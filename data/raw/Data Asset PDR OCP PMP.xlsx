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Accouplement" sheetId="1" r:id="rId1"/>
  </sheets>
  <externalReferences>
    <externalReference r:id="rId2"/>
  </externalReferences>
  <definedNames>
    <definedName name="_xlnm._FilterDatabase" localSheetId="0" hidden="1">Accouplement!$B$1:$AC$124</definedName>
  </definedName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15" i="1" l="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2" i="1"/>
  <c r="AB3" i="1"/>
  <c r="AB4" i="1"/>
  <c r="AB5" i="1"/>
  <c r="AB6" i="1"/>
  <c r="AB7" i="1"/>
  <c r="AB8" i="1"/>
  <c r="AB9" i="1"/>
  <c r="AB10" i="1"/>
  <c r="AB11" i="1"/>
  <c r="AB12" i="1"/>
  <c r="AB13" i="1"/>
  <c r="AB14" i="1"/>
  <c r="G124" i="1" l="1"/>
  <c r="J124" i="1" s="1"/>
  <c r="G123" i="1"/>
  <c r="G122" i="1"/>
  <c r="G3" i="1"/>
  <c r="J3" i="1" s="1"/>
  <c r="G121" i="1"/>
  <c r="J121" i="1" s="1"/>
  <c r="G97" i="1"/>
  <c r="G96" i="1"/>
  <c r="J96" i="1" s="1"/>
  <c r="AC120" i="1"/>
  <c r="G120" i="1"/>
  <c r="AC119" i="1"/>
  <c r="G119" i="1"/>
  <c r="AC118" i="1"/>
  <c r="G118" i="1"/>
  <c r="AC117" i="1"/>
  <c r="G117" i="1"/>
  <c r="AC116" i="1"/>
  <c r="G116" i="1"/>
  <c r="AC115" i="1"/>
  <c r="G115" i="1"/>
  <c r="AC114" i="1"/>
  <c r="G114" i="1"/>
  <c r="AC113" i="1"/>
  <c r="G113" i="1"/>
  <c r="AC112" i="1"/>
  <c r="G112" i="1"/>
  <c r="H112" i="1" s="1"/>
  <c r="AC111" i="1"/>
  <c r="G111" i="1"/>
  <c r="H111" i="1" s="1"/>
  <c r="G110" i="1"/>
  <c r="G109" i="1"/>
  <c r="G108" i="1"/>
  <c r="G107" i="1"/>
  <c r="G106" i="1"/>
  <c r="J106" i="1" s="1"/>
  <c r="AC105" i="1"/>
  <c r="G105" i="1"/>
  <c r="AC104" i="1"/>
  <c r="G104" i="1"/>
  <c r="AC103" i="1"/>
  <c r="G103" i="1"/>
  <c r="AC102" i="1"/>
  <c r="G102" i="1"/>
  <c r="AC101" i="1"/>
  <c r="G101" i="1"/>
  <c r="AC100" i="1"/>
  <c r="G100" i="1"/>
  <c r="AC99" i="1"/>
  <c r="G99" i="1"/>
  <c r="AC98" i="1"/>
  <c r="G98" i="1"/>
  <c r="AC95" i="1"/>
  <c r="G95" i="1"/>
  <c r="AC94" i="1"/>
  <c r="G94" i="1"/>
  <c r="J94" i="1" s="1"/>
  <c r="AC93" i="1"/>
  <c r="G93" i="1"/>
  <c r="AC92" i="1"/>
  <c r="G92" i="1"/>
  <c r="AC91" i="1"/>
  <c r="G91" i="1"/>
  <c r="AC90" i="1"/>
  <c r="G90" i="1"/>
  <c r="AC89" i="1"/>
  <c r="G89" i="1"/>
  <c r="AC88" i="1"/>
  <c r="G88" i="1"/>
  <c r="AC87" i="1"/>
  <c r="G87" i="1"/>
  <c r="AC86" i="1"/>
  <c r="G86" i="1"/>
  <c r="AC85" i="1"/>
  <c r="G85" i="1"/>
  <c r="AC84" i="1"/>
  <c r="G84" i="1"/>
  <c r="AC83" i="1"/>
  <c r="G83" i="1"/>
  <c r="J83" i="1" s="1"/>
  <c r="AC82" i="1"/>
  <c r="G82" i="1"/>
  <c r="AC81" i="1"/>
  <c r="G81" i="1"/>
  <c r="AC80" i="1"/>
  <c r="G80" i="1"/>
  <c r="AC79" i="1"/>
  <c r="G79" i="1"/>
  <c r="AC78" i="1"/>
  <c r="G78" i="1"/>
  <c r="AC77" i="1"/>
  <c r="G77" i="1"/>
  <c r="AC76" i="1"/>
  <c r="G76" i="1"/>
  <c r="AC75" i="1"/>
  <c r="G75" i="1"/>
  <c r="AC74" i="1"/>
  <c r="G74" i="1"/>
  <c r="AC73" i="1"/>
  <c r="G73" i="1"/>
  <c r="AC72" i="1"/>
  <c r="G72" i="1"/>
  <c r="AC71" i="1"/>
  <c r="G71" i="1"/>
  <c r="AC70" i="1"/>
  <c r="G70" i="1"/>
  <c r="AC69" i="1"/>
  <c r="G69" i="1"/>
  <c r="AC68" i="1"/>
  <c r="G68" i="1"/>
  <c r="J68" i="1" s="1"/>
  <c r="AC67" i="1"/>
  <c r="G67" i="1"/>
  <c r="AC66" i="1"/>
  <c r="G66" i="1"/>
  <c r="AC65" i="1"/>
  <c r="G65" i="1"/>
  <c r="AC64" i="1"/>
  <c r="G64" i="1"/>
  <c r="AC63" i="1"/>
  <c r="G63" i="1"/>
  <c r="J63" i="1" s="1"/>
  <c r="AC62" i="1"/>
  <c r="G62" i="1"/>
  <c r="AC61" i="1"/>
  <c r="G61" i="1"/>
  <c r="J61" i="1" s="1"/>
  <c r="AC60" i="1"/>
  <c r="G60" i="1"/>
  <c r="AC59" i="1"/>
  <c r="G59" i="1"/>
  <c r="J59" i="1" s="1"/>
  <c r="AC58" i="1"/>
  <c r="G58" i="1"/>
  <c r="J58" i="1" s="1"/>
  <c r="K58" i="1" s="1"/>
  <c r="AC57" i="1"/>
  <c r="G57" i="1"/>
  <c r="AC56" i="1"/>
  <c r="G56" i="1"/>
  <c r="AC55" i="1"/>
  <c r="G55" i="1"/>
  <c r="AC54" i="1"/>
  <c r="G54" i="1"/>
  <c r="J54" i="1" s="1"/>
  <c r="K54" i="1" s="1"/>
  <c r="AC53" i="1"/>
  <c r="G53" i="1"/>
  <c r="J53" i="1" s="1"/>
  <c r="K53" i="1" s="1"/>
  <c r="AC52" i="1"/>
  <c r="G52" i="1"/>
  <c r="J52" i="1" s="1"/>
  <c r="K52" i="1" s="1"/>
  <c r="G51" i="1"/>
  <c r="J51" i="1" s="1"/>
  <c r="K51" i="1" s="1"/>
  <c r="G39" i="1"/>
  <c r="J39" i="1" s="1"/>
  <c r="K39" i="1" s="1"/>
  <c r="G50" i="1"/>
  <c r="J50" i="1" s="1"/>
  <c r="K50" i="1" s="1"/>
  <c r="G49" i="1"/>
  <c r="J49" i="1" s="1"/>
  <c r="K49" i="1" s="1"/>
  <c r="G48" i="1"/>
  <c r="J48" i="1" s="1"/>
  <c r="K48" i="1" s="1"/>
  <c r="AC47" i="1"/>
  <c r="G47" i="1"/>
  <c r="J47" i="1" s="1"/>
  <c r="K47" i="1" s="1"/>
  <c r="AC46" i="1"/>
  <c r="G46" i="1"/>
  <c r="J46" i="1" s="1"/>
  <c r="K46" i="1" s="1"/>
  <c r="AC45" i="1"/>
  <c r="G45" i="1"/>
  <c r="J45" i="1" s="1"/>
  <c r="K45" i="1" s="1"/>
  <c r="AC44" i="1"/>
  <c r="G44" i="1"/>
  <c r="J44" i="1" s="1"/>
  <c r="K44" i="1" s="1"/>
  <c r="AC43" i="1"/>
  <c r="G43" i="1"/>
  <c r="J43" i="1" s="1"/>
  <c r="K43" i="1" s="1"/>
  <c r="AC42" i="1"/>
  <c r="G42" i="1"/>
  <c r="J42" i="1" s="1"/>
  <c r="K42" i="1" s="1"/>
  <c r="AC41" i="1"/>
  <c r="G41" i="1"/>
  <c r="J41" i="1" s="1"/>
  <c r="K41" i="1" s="1"/>
  <c r="AC40" i="1"/>
  <c r="G40" i="1"/>
  <c r="J40" i="1" s="1"/>
  <c r="K40" i="1" s="1"/>
  <c r="AC38" i="1"/>
  <c r="G38" i="1"/>
  <c r="J38" i="1" s="1"/>
  <c r="K38" i="1" s="1"/>
  <c r="AC37" i="1"/>
  <c r="G37" i="1"/>
  <c r="J37" i="1" s="1"/>
  <c r="K37" i="1" s="1"/>
  <c r="AC36" i="1"/>
  <c r="G36" i="1"/>
  <c r="J36" i="1" s="1"/>
  <c r="K36" i="1" s="1"/>
  <c r="AC35" i="1"/>
  <c r="G35" i="1"/>
  <c r="J35" i="1" s="1"/>
  <c r="K35" i="1" s="1"/>
  <c r="AC34" i="1"/>
  <c r="G34" i="1"/>
  <c r="J34" i="1" s="1"/>
  <c r="K34" i="1" s="1"/>
  <c r="AC33" i="1"/>
  <c r="G33" i="1"/>
  <c r="J33" i="1" s="1"/>
  <c r="K33" i="1" s="1"/>
  <c r="AC32" i="1"/>
  <c r="G32" i="1"/>
  <c r="J32" i="1" s="1"/>
  <c r="K32" i="1" s="1"/>
  <c r="AC31" i="1"/>
  <c r="G31" i="1"/>
  <c r="J31" i="1" s="1"/>
  <c r="K31" i="1" s="1"/>
  <c r="AC30" i="1"/>
  <c r="G30" i="1"/>
  <c r="J30" i="1" s="1"/>
  <c r="K30" i="1" s="1"/>
  <c r="AC29" i="1"/>
  <c r="G29" i="1"/>
  <c r="J29" i="1" s="1"/>
  <c r="K29" i="1" s="1"/>
  <c r="AC28" i="1"/>
  <c r="G28" i="1"/>
  <c r="J28" i="1" s="1"/>
  <c r="K28" i="1" s="1"/>
  <c r="AC27" i="1"/>
  <c r="G27" i="1"/>
  <c r="J27" i="1" s="1"/>
  <c r="K27" i="1" s="1"/>
  <c r="AC26" i="1"/>
  <c r="G26" i="1"/>
  <c r="J26" i="1" s="1"/>
  <c r="K26" i="1" s="1"/>
  <c r="AC25" i="1"/>
  <c r="G25" i="1"/>
  <c r="J25" i="1" s="1"/>
  <c r="K25" i="1" s="1"/>
  <c r="AC24" i="1"/>
  <c r="G24" i="1"/>
  <c r="J24" i="1" s="1"/>
  <c r="K24" i="1" s="1"/>
  <c r="AC23" i="1"/>
  <c r="G23" i="1"/>
  <c r="J23" i="1" s="1"/>
  <c r="K23" i="1" s="1"/>
  <c r="AC22" i="1"/>
  <c r="G22" i="1"/>
  <c r="J22" i="1" s="1"/>
  <c r="K22" i="1" s="1"/>
  <c r="AC21" i="1"/>
  <c r="G21" i="1"/>
  <c r="J21" i="1" s="1"/>
  <c r="K21" i="1" s="1"/>
  <c r="AC20" i="1"/>
  <c r="G20" i="1"/>
  <c r="J20" i="1" s="1"/>
  <c r="K20" i="1" s="1"/>
  <c r="AC19" i="1"/>
  <c r="G19" i="1"/>
  <c r="J19" i="1" s="1"/>
  <c r="K19" i="1" s="1"/>
  <c r="AC18" i="1"/>
  <c r="G18" i="1"/>
  <c r="J18" i="1" s="1"/>
  <c r="K18" i="1" s="1"/>
  <c r="AC17" i="1"/>
  <c r="G17" i="1"/>
  <c r="J17" i="1" s="1"/>
  <c r="K17" i="1" s="1"/>
  <c r="AC16" i="1"/>
  <c r="G16" i="1"/>
  <c r="J16" i="1" s="1"/>
  <c r="K16" i="1" s="1"/>
  <c r="AC15" i="1"/>
  <c r="G15" i="1"/>
  <c r="J15" i="1" s="1"/>
  <c r="K15" i="1" s="1"/>
  <c r="AC14" i="1"/>
  <c r="G14" i="1"/>
  <c r="J14" i="1" s="1"/>
  <c r="K14" i="1" s="1"/>
  <c r="AC13" i="1"/>
  <c r="G13" i="1"/>
  <c r="J13" i="1" s="1"/>
  <c r="K13" i="1" s="1"/>
  <c r="AC12" i="1"/>
  <c r="G12" i="1"/>
  <c r="J12" i="1" s="1"/>
  <c r="K12" i="1" s="1"/>
  <c r="AC11" i="1"/>
  <c r="G11" i="1"/>
  <c r="J11" i="1" s="1"/>
  <c r="K11" i="1" s="1"/>
  <c r="AC10" i="1"/>
  <c r="G10" i="1"/>
  <c r="J10" i="1" s="1"/>
  <c r="K10" i="1" s="1"/>
  <c r="AC9" i="1"/>
  <c r="G9" i="1"/>
  <c r="J9" i="1" s="1"/>
  <c r="K9" i="1" s="1"/>
  <c r="AC8" i="1"/>
  <c r="G8" i="1"/>
  <c r="J8" i="1" s="1"/>
  <c r="K8" i="1" s="1"/>
  <c r="AC7" i="1"/>
  <c r="G7" i="1"/>
  <c r="J7" i="1" s="1"/>
  <c r="K7" i="1" s="1"/>
  <c r="AC6" i="1"/>
  <c r="G6" i="1"/>
  <c r="J6" i="1" s="1"/>
  <c r="K6" i="1" s="1"/>
  <c r="AC5" i="1"/>
  <c r="G5" i="1"/>
  <c r="J5" i="1" s="1"/>
  <c r="K5" i="1" s="1"/>
  <c r="AC4" i="1"/>
  <c r="G4" i="1"/>
  <c r="J4" i="1" s="1"/>
  <c r="K4" i="1" s="1"/>
  <c r="AC2" i="1"/>
  <c r="H58" i="1" l="1"/>
  <c r="H26" i="1"/>
  <c r="H25" i="1"/>
</calcChain>
</file>

<file path=xl/sharedStrings.xml><?xml version="1.0" encoding="utf-8"?>
<sst xmlns="http://schemas.openxmlformats.org/spreadsheetml/2006/main" count="644" uniqueCount="404">
  <si>
    <t>unité</t>
  </si>
  <si>
    <t>Désignation langue</t>
  </si>
  <si>
    <t>Qte Inst</t>
  </si>
  <si>
    <t>CONS MOY MONSUELLE</t>
  </si>
  <si>
    <t>Qte Ddee Pour 3ans</t>
  </si>
  <si>
    <t>Stock Secur</t>
  </si>
  <si>
    <t>Stock min</t>
  </si>
  <si>
    <t>Stock max</t>
  </si>
  <si>
    <t>Classif</t>
  </si>
  <si>
    <t>Observation</t>
  </si>
  <si>
    <t>Cons 2024</t>
  </si>
  <si>
    <t>Cons 2023</t>
  </si>
  <si>
    <t>Cons 2022</t>
  </si>
  <si>
    <t>Cons 2021</t>
  </si>
  <si>
    <t>Cons 2020</t>
  </si>
  <si>
    <t>Cons 2019</t>
  </si>
  <si>
    <t>Cons 2018</t>
  </si>
  <si>
    <t>Cons 2017</t>
  </si>
  <si>
    <t>Cons 2016</t>
  </si>
  <si>
    <t>Cons 2015</t>
  </si>
  <si>
    <t>Cons 2014</t>
  </si>
  <si>
    <t>Cons 2013</t>
  </si>
  <si>
    <t>Cons 2012</t>
  </si>
  <si>
    <t>Prix Uni</t>
  </si>
  <si>
    <t>10016.00007</t>
  </si>
  <si>
    <t>FLECTOR ROTEX KTR  TAILLE : 38 DURETE : SHORE A</t>
  </si>
  <si>
    <t>Qté Mémoire</t>
  </si>
  <si>
    <t>10016.00016</t>
  </si>
  <si>
    <t>ACCOUPLEMENT REX VIVA TYPE VS TAILLE: 125 NB : DIAMETRE D'ALESAGE A PRECISER LORS DE LA COMMANDE</t>
  </si>
  <si>
    <t>A</t>
  </si>
  <si>
    <t>Forte rotation</t>
  </si>
  <si>
    <t>10016.00017</t>
  </si>
  <si>
    <t>ACCOUPLEMENT REX VIVA TYPE VS TAILLE: 245 DIMENSIONS: FBH D48H7/D80H7</t>
  </si>
  <si>
    <t>Forte rotation+CRITIQUE</t>
  </si>
  <si>
    <t>10016.00018</t>
  </si>
  <si>
    <t>ACCOUPLEMENT REX VIVA TYPE VS TAILLE: 290 DIMENSIONS: FBH D75H7/D80H7</t>
  </si>
  <si>
    <t>10016.00019</t>
  </si>
  <si>
    <t>ACCOUPLEMENT REX VIVA TYPE VS TAILLE: 130 DIMENSIONS: FBH D32H7/D48H7</t>
  </si>
  <si>
    <t>10016.00020</t>
  </si>
  <si>
    <t>ACCOUPLEMENT REX VIVA TYPE VS TAILLE: 130 DIMENSIONS: FBH D42H7/D48H7</t>
  </si>
  <si>
    <t>10016.00021</t>
  </si>
  <si>
    <t>ACCOUPLEMENT REX VIVA TYPE VS TAILLE: 150 DIMENSIONS: FBH D42H7/D55H7</t>
  </si>
  <si>
    <t>10016.00033</t>
  </si>
  <si>
    <t>ACCOUPLEMENT  METASTREAM  TYPE: TLKS , SERIE:  T  TAILLE : 0500  LONGUEUR DE L'ENTRETOISE (DEBA) : 280 mm</t>
  </si>
  <si>
    <t>AA</t>
  </si>
  <si>
    <t>CRITIQUE</t>
  </si>
  <si>
    <t>10016.00059</t>
  </si>
  <si>
    <t>ACCOUPLEMENT REX OMEGA TYPE ES TAILLE 4-R LONGUEUR 184</t>
  </si>
  <si>
    <t>B RQU EN REDANDANCE</t>
  </si>
  <si>
    <t>CONSOMABLE</t>
  </si>
  <si>
    <t>10016.00060</t>
  </si>
  <si>
    <t>ACCOUPLEMENT REX OMEGA TYPE ES TAILLE 3-R LONGUEUR 184</t>
  </si>
  <si>
    <t>10016.00061</t>
  </si>
  <si>
    <t>ACCOUPLEMENT REX OMEGA TYPE ES TAILLE 10-R LONGUEUR 184</t>
  </si>
  <si>
    <t>10016.00062</t>
  </si>
  <si>
    <t>ACCOUPLEMENT REX OMEGA TYPE ES TAILLE 20 LONGUEUR 238</t>
  </si>
  <si>
    <t>10016.00063</t>
  </si>
  <si>
    <t>ACCOUPLEMENT REX OMEGA TYPE ES TAILLE 40 LONGUEUR 238</t>
  </si>
  <si>
    <t>10016.00064</t>
  </si>
  <si>
    <t>ACCOUPLEMENT REX OMEGA TYPE ES TAILLE 5 LONGUEUR 97</t>
  </si>
  <si>
    <t>10016.00065</t>
  </si>
  <si>
    <t>ACCOUPLEMENT REX OMEGA TYPE ES TAILLE 10 LONGUEUR 97</t>
  </si>
  <si>
    <t>10016.00067</t>
  </si>
  <si>
    <t>ELEMENT ELASTOMER REP : 1 AVEC VISSERIE POUR ACCOUPLEMENT REX VIVA TYPE VS125 REF: 7392706</t>
  </si>
  <si>
    <t>Critique</t>
  </si>
  <si>
    <t>10016.00069</t>
  </si>
  <si>
    <t>ELEMENT ELASTOMER REP : 1 AVEC VISSERIE POUR ACCOUPLEMENT REX VIVA TYPE VS130 REF: 7392710</t>
  </si>
  <si>
    <t>10016.00070</t>
  </si>
  <si>
    <t>ELEMENT ELASTOMER REP : 1 AVEC VISSERIE POUR ACCOUPLEMENT REX VIVA TYPE VS150 REF: 7392712</t>
  </si>
  <si>
    <t>10016.00071</t>
  </si>
  <si>
    <t>ELEMENT ELASTOMER REP : 1 AVEC VISSERIE POUR ACCOUPLEMENT REX VIVA TYPE VS245 REF: 7392726</t>
  </si>
  <si>
    <t>10016.00073</t>
  </si>
  <si>
    <t>ELEMENT ELASTOMER REP : 1 AVEC VISSERIE POUR ACCOUPLEMENT REX VIVA TYPE VS290 REF: 7392730</t>
  </si>
  <si>
    <t>10016.00095</t>
  </si>
  <si>
    <t>FLECTOR ROTEX KTR TAILLE: 42 TYPE: A-H DURETE: 98 SHORE A (ROUGE)</t>
  </si>
  <si>
    <t>Elément élastique 98Sh-A en polyuréthane (PUR), pour Accouplement KTR ROTEX Taille 42</t>
  </si>
  <si>
    <t>10016.00141</t>
  </si>
  <si>
    <t>ACCOUPLEMENT COMPLET TAILLE: 60 GENRE:WESTCAR TYPE LRV POUR COUPLEUR HYDRAULIQUE TYPE: K-LRV</t>
  </si>
  <si>
    <t>10016.00143</t>
  </si>
  <si>
    <t>ELEMENT ELASTIQUE REP:8  POUR ACCOUPLEMENT GENRE: WESTCAR TYPE: LRV,TAILLE: 60</t>
  </si>
  <si>
    <t>10016.00144</t>
  </si>
  <si>
    <t>ACCOUPLEMENT A GLISSEMENT TAILLE: 01 GENRE: MAYR  TYPE: 494.520.3 COUPLE DE GLISSEMENT: 8,5 Nm • Alésage coté Moteur : 25mm.
• Alésage coté Réducteur : 18.8mm</t>
  </si>
  <si>
    <t>10016.00145</t>
  </si>
  <si>
    <t>ACCOUPLEMENT A GLISSEMENT TAILLE: 01 GENRE: MAYR  TYPE: 494.520.3 COUPLE DE GLISSEMENT: 5 Nm • Alésage coté Moteur : 25mm.
• Alésage coté Réducteur : 18.8mm</t>
  </si>
  <si>
    <t>10016.00148</t>
  </si>
  <si>
    <t>ACCOUPLEMENT A GLISSEMENT TAILLE:01 GENRE: MAYR  TYPE: 494.520.3 COUPLE DE GLISSEMENT: 7,5 Nm• Alésage coté Moteur : 25mm.
• Alésage coté Réducteur : 18.8mm</t>
  </si>
  <si>
    <t>10016.00173</t>
  </si>
  <si>
    <t>ACCOUPLEMENT COMPLET (GUARDIAN) TYPE GUARDEX TAILLE M-48 LONGUEUR TOTALE : 3,91" DIAMETRE MAXI : 3,88" DIAMETRE CHEMISE DENTEE : 3,06" LONGUEUR DE LA CHEMISE : 1,93" LES MOYEUX DOIVENT ETRE LIVRES SANS PERCAGE</t>
  </si>
  <si>
    <t>10016.00174</t>
  </si>
  <si>
    <t>MANCHON EN NYLON POUR ACCOUPLEMENT (GUARDIAN) TYPE GUARDEX TAILLE M-48</t>
  </si>
  <si>
    <t>10016.00192</t>
  </si>
  <si>
    <t>ELEMENT ELASTIQUE KTR POLY-NORM TYPE AR TAILLE 38</t>
  </si>
  <si>
    <t>10016.00193</t>
  </si>
  <si>
    <t>ACCOUPLEMENT COMPLET ROTEX KTR TAILLE : 42 MATIERE : FONTE HRISE EN-GJL-250 FINI PERCE ALESAGE DIAMETRE 55,ELEMENT ELASTIQUE 98 Sh-A EN POLYURETANE</t>
  </si>
  <si>
    <t>10016.00194</t>
  </si>
  <si>
    <t>ACCOUPLEMENT COMPLET ROTEX KTR TAILLE : 38 MATIERE : ALUMINIUM MOULE ,ALESAGE FINI DIAMETRE 42,ELEMENT ELASTIQUE 92 Sh-A EN POLYURETANE</t>
  </si>
  <si>
    <t>10016.00195</t>
  </si>
  <si>
    <t>ELEMENT ELASTIQUE 92SH-A EN POLYURETANE POUR ACCOUPLEMEN KTR ROTEX TAILLE 38</t>
  </si>
  <si>
    <t>10016.00936</t>
  </si>
  <si>
    <t>REF. ROTEX, TAILLE: 24, LONGUEUR: 70MM (NON ALESE)EN ACIER</t>
  </si>
  <si>
    <t>10016.00937</t>
  </si>
  <si>
    <t>FLECTOR POUR ACCOUPLEMENT KTR REF. ROTEX, TAILLE 24</t>
  </si>
  <si>
    <t>20271.00496</t>
  </si>
  <si>
    <t xml:space="preserve">ACCOUPLEMENT 70TL2 </t>
  </si>
  <si>
    <t>20271.00732</t>
  </si>
  <si>
    <t xml:space="preserve">ACCOUPLEMENT 28TL2 </t>
  </si>
  <si>
    <t>20271.00861</t>
  </si>
  <si>
    <t>ACCOUPLEMENT FLEXACIER TAILLE 43 TL2 MOYEU Ø 170 H7XØ205H7</t>
  </si>
  <si>
    <t>20271.00889</t>
  </si>
  <si>
    <t>Jeu de ressort pour Accou TL2 Taille 70</t>
  </si>
  <si>
    <t>20271.00890</t>
  </si>
  <si>
    <t>Kit d'etanchieté visserie  pour Accou TL2 Taille 70</t>
  </si>
  <si>
    <t>20271.00891</t>
  </si>
  <si>
    <t>Jeu de ressort pour Accou TL2 Taille 43</t>
  </si>
  <si>
    <t>20271.00892</t>
  </si>
  <si>
    <t>Kit d'etanchieté visserie  pour Accou TL2 Taille 43</t>
  </si>
  <si>
    <t>20271.00893</t>
  </si>
  <si>
    <t>Kit d'etanchieté visserie  pour Accou TL2 Taille 28</t>
  </si>
  <si>
    <t>20271.00895</t>
  </si>
  <si>
    <t>Jeu de ressort pour Accou TL2 Taille 28</t>
  </si>
  <si>
    <t>20271.09118</t>
  </si>
  <si>
    <t>RESSORT ACCOUPLE. CITROEN 00T</t>
  </si>
  <si>
    <t>20271.09130</t>
  </si>
  <si>
    <t>JOINT D'ACCOUPLEM CITROEN 00T</t>
  </si>
  <si>
    <t>20271.09220</t>
  </si>
  <si>
    <t>BOITIER D'ACCOUP. CITROEN 00T</t>
  </si>
  <si>
    <t>20271.00497</t>
  </si>
  <si>
    <t>ACCOUPL.  FLEXACIER CITROEN 00T</t>
  </si>
  <si>
    <t>20271.09336</t>
  </si>
  <si>
    <t>MOYEU D'ACCOUPL. CITROEN*00T</t>
  </si>
  <si>
    <t>20345.00100</t>
  </si>
  <si>
    <t xml:space="preserve">ACCOUPLEMENT AVEC TAMPON RUPEX RWN 800 PREALASE  </t>
  </si>
  <si>
    <t>20345.00226</t>
  </si>
  <si>
    <t>ACCOUPLEMENT N.EUPEX A350</t>
  </si>
  <si>
    <t>20345.00228</t>
  </si>
  <si>
    <t xml:space="preserve">ACCOUPLEMENT N.EUPEX TAILLE A 125                  </t>
  </si>
  <si>
    <t>20345.00284</t>
  </si>
  <si>
    <t>ACCOUPLEMENT N.EUPEX TAILLE A 110</t>
  </si>
  <si>
    <t>20345.00287</t>
  </si>
  <si>
    <t>ACCOUPLEMENT N.EUPEX TAILLE A 440</t>
  </si>
  <si>
    <t>20345.00288</t>
  </si>
  <si>
    <t>ACCOUPLEMENT COMPLET N.EUPEX TAILLE A 480  CATALOGUE FLENDER PAGE 9 VERSION 78</t>
  </si>
  <si>
    <t>20345.00294</t>
  </si>
  <si>
    <t>ACCOUPLEMENT N.EUPEX A250 PREALESE</t>
  </si>
  <si>
    <t>20345.00296</t>
  </si>
  <si>
    <t>ACCOUPLEMENT COMPLET N.EUPEX TAILLE A 280</t>
  </si>
  <si>
    <t>20345.00390</t>
  </si>
  <si>
    <t>ACCOUPLEMENT  N.EUPEX TAILLE H 160 /180</t>
  </si>
  <si>
    <t>20345.00725</t>
  </si>
  <si>
    <t>TAMPON P/ACCOUPLEMENT N.EUPEX TAILLE H 225 NOIR</t>
  </si>
  <si>
    <t>8Tamp*2</t>
  </si>
  <si>
    <t>20345.00813</t>
  </si>
  <si>
    <t>ACCOUPLEMENT N.EUPEX TYPE ET TAILLE H95-S3=140,PREALISE</t>
  </si>
  <si>
    <t>20345.00815</t>
  </si>
  <si>
    <t>ACCOUPLEMENT  N.EUPEX TYPE ET TAILLE H140-S3=140,PREALISE</t>
  </si>
  <si>
    <t>20345.00816</t>
  </si>
  <si>
    <t>ACCOUPLEMENT FLENDER N.EUPEX TYPE ET TAILLE H95-S3=100,PREALISE</t>
  </si>
  <si>
    <t>20345.00817</t>
  </si>
  <si>
    <t>ACCOUPLEMENT FLENDER N-EUPEX TYPE H TAILLE:160 S3=140  ALESAGE PIECE 1/PIECE 5 = 65 / 42</t>
  </si>
  <si>
    <t>20345.00820</t>
  </si>
  <si>
    <t>JEU DE 6 TAMPONS N.EUPEX TAILLE A110 (JEU DE 6 PIECES) NOIR ET TRAIT AU MILIEU</t>
  </si>
  <si>
    <t>20345.00821</t>
  </si>
  <si>
    <t>JEU DE 6 TAMPONS N.EUPEX TAILLE A125       (JEU DE 6 PIECES) NOIR ET TRAIT AU MILIEU</t>
  </si>
  <si>
    <t>20345.00829</t>
  </si>
  <si>
    <t>JEU DE 8 TAMPONS N.EUPEX TAILLE A280 NOIR ET TRAIT AU MILIEU</t>
  </si>
  <si>
    <t>20345.00831</t>
  </si>
  <si>
    <t>JEU DE 9 TAMPON N.EUPEX TAILLE A350       (JEU DE 9 PIECES)</t>
  </si>
  <si>
    <t>20345.00833</t>
  </si>
  <si>
    <t>JEU DE 10 TAMPONS N.EUPEX TAILLE A440       (JEU DE 10 PIECES)</t>
  </si>
  <si>
    <t>20345.00834</t>
  </si>
  <si>
    <t>JEU DE 10 TAMPONS N.EUPEX TAILLE A480       (JEU DE 10 PIECES)</t>
  </si>
  <si>
    <t>20345.00847</t>
  </si>
  <si>
    <t>JEU DE 6 TAMPONS ELASTIQUE N.EUPEX TAILLE H110       (JEU DE 6 PIECES) NOIR ET TRAIT AU MILIEU</t>
  </si>
  <si>
    <t>20345.00848</t>
  </si>
  <si>
    <t>JEU DE 6 TAMPONS ELASTIQUE N.EUPEX TAILLE H95        (JEU DE 6 PIECES) NOIR ET TRAIT AU MILIEU</t>
  </si>
  <si>
    <t>20345.00849</t>
  </si>
  <si>
    <t>JEU DE 6 TAMPONS ELASTIQUE N.EUPEX TAILLE H125       (JEU DE 6 PIECES) NOIR ET TRAIT AU MILIEU</t>
  </si>
  <si>
    <t>20345.00850</t>
  </si>
  <si>
    <t>JEU DE 7 TAMPON ELASTIQUE N.EUPEX TAILLE H160       (JEU DE 7 PIECES)</t>
  </si>
  <si>
    <t>20345.01153</t>
  </si>
  <si>
    <t>ACCOUPLEMENT N.EUPEX TAILLE H110 S3=100    ACCOUPLEMENT</t>
  </si>
  <si>
    <t>20345.01154</t>
  </si>
  <si>
    <t>ACCOUPLEMENT N.EUPEX TAILLE H125 S3=100    ACCOUPLEMENT</t>
  </si>
  <si>
    <t>20345.01532</t>
  </si>
  <si>
    <t>JEU DE  TAMPONS N-EUPEX H140 M 140</t>
  </si>
  <si>
    <t>20345.01658</t>
  </si>
  <si>
    <t>ACCOUPLEMENT  N-EUPEX TAILLE: H110 LZ140</t>
  </si>
  <si>
    <t>20345.02005</t>
  </si>
  <si>
    <t>ACCOUPLEMENT AVEC TAMPON RUPEX RWN 252</t>
  </si>
  <si>
    <t>20345.02006</t>
  </si>
  <si>
    <t>JEU DE TAMPON RUPEX RWN 800</t>
  </si>
  <si>
    <t>20345.02007</t>
  </si>
  <si>
    <t>JEU DE TAMPON RUPEX RWN 252</t>
  </si>
  <si>
    <t>20345.02010</t>
  </si>
  <si>
    <t>ACCOUPLEMENT N.EUPEX TAILLE H 225 M 180</t>
  </si>
  <si>
    <t>20345.02011</t>
  </si>
  <si>
    <t>ACCOUPLEMENT ARPEX TYPE NAN TAILLE 150-6 GAMME ARP S2=180 ALESAGE 48J7 / 65H7</t>
  </si>
  <si>
    <t>20345.02195</t>
  </si>
  <si>
    <t>JEU DE LAMELLE ET VISSERIE P/ACCOUPLEMENT ARPEX TYPE: MAN TAILLE: 150-6</t>
  </si>
  <si>
    <t>20345.02389</t>
  </si>
  <si>
    <t>ACCOUPLEMENT COMPLET BIPEX TYPE BWN TAILLE 97 VERSION AB</t>
  </si>
  <si>
    <t>20345.02390</t>
  </si>
  <si>
    <t>ELEMENT ELESTIQUE  P/ACCOUPLEMENT BIPEXTYPE BWN TAILLE 97 VERSION AB</t>
  </si>
  <si>
    <t>20345.02391</t>
  </si>
  <si>
    <t>ACCOUPLEMENT COMPLET BIPEX TYPE BWN TAILLE 142 VERSION AB</t>
  </si>
  <si>
    <t>20345.02392</t>
  </si>
  <si>
    <t>ELEMENT ELESTIQUE  P/ACCOUPLEMENT BIPEX TYPE BWN TAILLE 142 VERSION AB</t>
  </si>
  <si>
    <t>20345.02393</t>
  </si>
  <si>
    <t>ACCOUPLEMENT COMPLET BIPEX TYPE BWN TAILLE 162 VERSION AB</t>
  </si>
  <si>
    <t>20345.02394</t>
  </si>
  <si>
    <t>ELEMENT ELESTIQUE  P/ACCOUPLEMENT BIPEX TYPE BWN TAILLE 162 VERSION AB</t>
  </si>
  <si>
    <t>20345.02395</t>
  </si>
  <si>
    <t>ACCOUPLEMENT COMPLET BIPEX TYPE BWN TAILLE 182 VERSION AB</t>
  </si>
  <si>
    <t>20345.02396</t>
  </si>
  <si>
    <t>ELEMENT ELESTIQUE  P/ACCOUPLEMENT BIPEX TYPE BWN TAILLE 182 VERSION AB</t>
  </si>
  <si>
    <t>20345.02397</t>
  </si>
  <si>
    <t>ACCOUPLEMENT COMPLET BIPEX TYPE BWN TAILLE 202 VERSION AB</t>
  </si>
  <si>
    <t>20345.02398</t>
  </si>
  <si>
    <t>ELEMENT ELESTIQUE  P/ACCOUPLEMENT BIPEX TYPE BWN TAILLE 202 VERSION AB</t>
  </si>
  <si>
    <t>20392.00010</t>
  </si>
  <si>
    <t>JOINT CIRCULAIRE P/T20 T1090</t>
  </si>
  <si>
    <t>20392.00011</t>
  </si>
  <si>
    <t>RESSORT P/ACCOU.P/T20 T1090</t>
  </si>
  <si>
    <t>20392.00013</t>
  </si>
  <si>
    <t>JOINT CIRCULAIRE P/T20 T1070</t>
  </si>
  <si>
    <t>20392.00014</t>
  </si>
  <si>
    <t>RESSORT P/ACCOU.P/T20 T1070</t>
  </si>
  <si>
    <t>20392.00070</t>
  </si>
  <si>
    <t>JEU DE RESSORTS ET JOINTS POUR ACCOUPLEMENT TYPE 1100T T10</t>
  </si>
  <si>
    <t>20392.00074</t>
  </si>
  <si>
    <t>ACCOUPLEMENT COMPLET 1100T-T20</t>
  </si>
  <si>
    <t>20392.00075</t>
  </si>
  <si>
    <t>JEU DE RESSORTS ET JOINTS POUR ACCOUPLEMENT TYPE 1100T T20</t>
  </si>
  <si>
    <t>20392.00078</t>
  </si>
  <si>
    <t>ACCOUPLEMENT COMPLET 1100T-T10</t>
  </si>
  <si>
    <t>20392.00115</t>
  </si>
  <si>
    <t>ACCOUPLEMENT COMPLET  1090T-T20</t>
  </si>
  <si>
    <t>20392.00116</t>
  </si>
  <si>
    <t>ACCOUPLEMENT COMPLET  1070T-T20</t>
  </si>
  <si>
    <t>20392.00117</t>
  </si>
  <si>
    <t xml:space="preserve">ACCOUPLEMENT FALK 1080T10D </t>
  </si>
  <si>
    <t>20392.00118</t>
  </si>
  <si>
    <t>KIT DE JOINTS T10 TAILLE 1080T REF 0776708</t>
  </si>
  <si>
    <t>20392.00119</t>
  </si>
  <si>
    <t>RESSORT T10 ET T20 TAILLE 1080T REF 0758251</t>
  </si>
  <si>
    <t>20492.06633</t>
  </si>
  <si>
    <t>ACCOUPLEMENT COMPLET REXNORD TYPE THOMAS SR 52 TAILLE 450</t>
  </si>
  <si>
    <t>20492.06634</t>
  </si>
  <si>
    <t>ACCOUPLEMENT COMPLET REXNORD TYPE THOMAS SR 52 TAILLE 600</t>
  </si>
  <si>
    <t>20492.06635</t>
  </si>
  <si>
    <t xml:space="preserve">JEU DE LAMELLES ET VISSERIES POUR ACCOUPLEMENT REXNORD TYPE THOMAS SR 52 TAILLE 450 </t>
  </si>
  <si>
    <t>20492.06636</t>
  </si>
  <si>
    <t xml:space="preserve">JEU DE LAMELLES ET VISSERIES POUR ACCOUPLEMENT REXNORD TYPE THOMAS SR 52 TAILLE 600 </t>
  </si>
  <si>
    <t>20630.00636</t>
  </si>
  <si>
    <t>ACCOUPLEMENT KTR POLYNORM AR38</t>
  </si>
  <si>
    <t>20630.00858</t>
  </si>
  <si>
    <t>ACCOUPLEMENT METASTREAM JOHN CRANE TLK 1050 LONGUEUR ENTRETOISE 250</t>
  </si>
  <si>
    <t>20630.00859</t>
  </si>
  <si>
    <t>JEU DE LAMELLES P/ACCOUPLEMENT JOHN CRANE  TLK 1050</t>
  </si>
  <si>
    <t>20630.00860</t>
  </si>
  <si>
    <t>ACCOUPLEMENT METASTREAM JOHN CRANE TLK 750 LONGUEUR ENTRETOISE 250</t>
  </si>
  <si>
    <t>20630.00861</t>
  </si>
  <si>
    <t>JEU DE LAMELLES P/ACCOUPLEMENT JOHN CRANE  TLK 750</t>
  </si>
  <si>
    <t>20630.00863</t>
  </si>
  <si>
    <t>JEU DE LAMELLES P/ACCOUPLEMENT JOHN CRANE POUR ACCOUPLEMENT TLK 500</t>
  </si>
  <si>
    <t>20345.02502</t>
  </si>
  <si>
    <t>ACCOUPNLEMENT BIPEX BWN TAILLE 53</t>
  </si>
  <si>
    <t>20345.02503</t>
  </si>
  <si>
    <t>ELEMENT P/ACCOUP BIPEX BWN TAILLE 53</t>
  </si>
  <si>
    <t xml:space="preserve">ACCOUPLEMENT KTR BOWEX I80  </t>
  </si>
  <si>
    <t>10016.00015</t>
  </si>
  <si>
    <t>KTR BOWEX M-48MOD</t>
  </si>
  <si>
    <t>ACCOUPLEMENT KTR REF. ROTEX, TAILLE 14</t>
  </si>
  <si>
    <t>FLECTOR POUR ACCOUPLEMENT KTR REF. ROTEX, TAILLE 14</t>
  </si>
  <si>
    <t>ACCOUPLEMENT KTR POLYNORME :
-DEMI ACCOUPLEMENT T40 AR60, 55H7, L=60 GEW
-DEMI ACCOUPLEMENT T40 A60, 60H7, L=60-ATEX</t>
  </si>
  <si>
    <t>Code OCP</t>
  </si>
  <si>
    <t xml:space="preserve">Reference </t>
  </si>
  <si>
    <t>Asset 0001</t>
  </si>
  <si>
    <t>Asset 0002</t>
  </si>
  <si>
    <t>Asset 0003</t>
  </si>
  <si>
    <t>Asset 0004</t>
  </si>
  <si>
    <t>Asset 0005</t>
  </si>
  <si>
    <t>Asset 0006</t>
  </si>
  <si>
    <t>Asset 0007</t>
  </si>
  <si>
    <t>Asset 0008</t>
  </si>
  <si>
    <t>Asset 0009</t>
  </si>
  <si>
    <t>Asset 0010</t>
  </si>
  <si>
    <t>Asset 0011</t>
  </si>
  <si>
    <t>Asset 0012</t>
  </si>
  <si>
    <t>Asset 0013</t>
  </si>
  <si>
    <t>Asset 0014</t>
  </si>
  <si>
    <t>Asset 0015</t>
  </si>
  <si>
    <t>Asset 0016</t>
  </si>
  <si>
    <t>Asset 0017</t>
  </si>
  <si>
    <t>Asset 0018</t>
  </si>
  <si>
    <t>Asset 0019</t>
  </si>
  <si>
    <t>Asset 0020</t>
  </si>
  <si>
    <t>Asset 0021</t>
  </si>
  <si>
    <t>Asset 0022</t>
  </si>
  <si>
    <t>Asset 0023</t>
  </si>
  <si>
    <t>Asset 0024</t>
  </si>
  <si>
    <t>Asset 0025</t>
  </si>
  <si>
    <t>Asset 0026</t>
  </si>
  <si>
    <t>Asset 0027</t>
  </si>
  <si>
    <t>Asset 0028</t>
  </si>
  <si>
    <t>Asset 0029</t>
  </si>
  <si>
    <t>Asset 0030</t>
  </si>
  <si>
    <t>Asset 0031</t>
  </si>
  <si>
    <t>Asset 0032</t>
  </si>
  <si>
    <t>Asset 0033</t>
  </si>
  <si>
    <t>Asset 0034</t>
  </si>
  <si>
    <t>Asset 0035</t>
  </si>
  <si>
    <t>Asset 0036</t>
  </si>
  <si>
    <t>Asset 0037</t>
  </si>
  <si>
    <t>Asset 0038</t>
  </si>
  <si>
    <t>Asset 0039</t>
  </si>
  <si>
    <t>Asset 0040</t>
  </si>
  <si>
    <t>Asset 0041</t>
  </si>
  <si>
    <t>Asset 0042</t>
  </si>
  <si>
    <t>Asset 0043</t>
  </si>
  <si>
    <t>Asset 0044</t>
  </si>
  <si>
    <t>Asset 0045</t>
  </si>
  <si>
    <t>Asset 0046</t>
  </si>
  <si>
    <t>Asset 0047</t>
  </si>
  <si>
    <t>Asset 0048</t>
  </si>
  <si>
    <t>Asset 0049</t>
  </si>
  <si>
    <t>Asset 0050</t>
  </si>
  <si>
    <t>Asset 0051</t>
  </si>
  <si>
    <t>Asset 0052</t>
  </si>
  <si>
    <t>Asset 0053</t>
  </si>
  <si>
    <t>Asset 0054</t>
  </si>
  <si>
    <t>Asset 0055</t>
  </si>
  <si>
    <t>Asset 0056</t>
  </si>
  <si>
    <t>Asset 0057</t>
  </si>
  <si>
    <t>Asset 0058</t>
  </si>
  <si>
    <t>Asset 0059</t>
  </si>
  <si>
    <t>Asset 0060</t>
  </si>
  <si>
    <t>Asset 0061</t>
  </si>
  <si>
    <t>Asset 0062</t>
  </si>
  <si>
    <t>Asset 0063</t>
  </si>
  <si>
    <t>Asset 0064</t>
  </si>
  <si>
    <t>Asset 0065</t>
  </si>
  <si>
    <t>Asset 0066</t>
  </si>
  <si>
    <t>Asset 0067</t>
  </si>
  <si>
    <t>Asset 0068</t>
  </si>
  <si>
    <t>Asset 0069</t>
  </si>
  <si>
    <t>Asset 0070</t>
  </si>
  <si>
    <t>Asset 0071</t>
  </si>
  <si>
    <t>Asset 0072</t>
  </si>
  <si>
    <t>Asset 0073</t>
  </si>
  <si>
    <t>Asset 0074</t>
  </si>
  <si>
    <t>Asset 0075</t>
  </si>
  <si>
    <t>Asset 0076</t>
  </si>
  <si>
    <t>Asset 0077</t>
  </si>
  <si>
    <t>Asset 0078</t>
  </si>
  <si>
    <t>Asset 0079</t>
  </si>
  <si>
    <t>Asset 0080</t>
  </si>
  <si>
    <t>Asset 0081</t>
  </si>
  <si>
    <t>Asset 0082</t>
  </si>
  <si>
    <t>Asset 0083</t>
  </si>
  <si>
    <t>Asset 0084</t>
  </si>
  <si>
    <t>Asset 0085</t>
  </si>
  <si>
    <t>Asset 0086</t>
  </si>
  <si>
    <t>Asset 0087</t>
  </si>
  <si>
    <t>Asset 0088</t>
  </si>
  <si>
    <t>Asset 0089</t>
  </si>
  <si>
    <t>Asset 0090</t>
  </si>
  <si>
    <t>Asset 0091</t>
  </si>
  <si>
    <t>Asset 0092</t>
  </si>
  <si>
    <t>Asset 0093</t>
  </si>
  <si>
    <t>Asset 0094</t>
  </si>
  <si>
    <t>Asset 0095</t>
  </si>
  <si>
    <t>Asset 0096</t>
  </si>
  <si>
    <t>Asset 0097</t>
  </si>
  <si>
    <t>Asset 0098</t>
  </si>
  <si>
    <t>Asset 0099</t>
  </si>
  <si>
    <t>Asset 0100</t>
  </si>
  <si>
    <t>Asset 0101</t>
  </si>
  <si>
    <t>Asset 0102</t>
  </si>
  <si>
    <t>Asset 0103</t>
  </si>
  <si>
    <t>Asset 0104</t>
  </si>
  <si>
    <t>Asset 0105</t>
  </si>
  <si>
    <t>Asset 0106</t>
  </si>
  <si>
    <t>Asset 0107</t>
  </si>
  <si>
    <t>Asset 0108</t>
  </si>
  <si>
    <t>Asset 0109</t>
  </si>
  <si>
    <t>Asset 0110</t>
  </si>
  <si>
    <t>Asset 0111</t>
  </si>
  <si>
    <t>Asset 0112</t>
  </si>
  <si>
    <t>Asset 0113</t>
  </si>
  <si>
    <t>Asset 0114</t>
  </si>
  <si>
    <t>Asset 0115</t>
  </si>
  <si>
    <t>Asset 0116</t>
  </si>
  <si>
    <t>Asset 0117</t>
  </si>
  <si>
    <t>Asset 0118</t>
  </si>
  <si>
    <t>Asset 0119</t>
  </si>
  <si>
    <t>Asset 0120</t>
  </si>
  <si>
    <t>Asset 0121</t>
  </si>
  <si>
    <t>Asset 0122</t>
  </si>
  <si>
    <t>Asset 0123</t>
  </si>
  <si>
    <t>Non Codifié</t>
  </si>
  <si>
    <t>Moyenne de consommation</t>
  </si>
  <si>
    <t>Délai de livr prévi sem</t>
  </si>
  <si>
    <t>stock Actuel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</si>
</sst>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name val="Arial"/>
      <family val="2"/>
    </font>
    <font>
      <sz val="10"/>
      <color theme="1"/>
      <name val="Calibri"/>
      <family val="2"/>
    </font>
    <font>
      <b/>
      <sz val="10"/>
      <color theme="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
    <xf numFmtId="0" fontId="0" fillId="0" borderId="0" xfId="0"/>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wrapText="1"/>
    </xf>
    <xf numFmtId="4" fontId="2" fillId="2" borderId="1" xfId="0" applyNumberFormat="1" applyFont="1" applyFill="1" applyBorder="1" applyAlignment="1">
      <alignment horizontal="center" vertical="center"/>
    </xf>
    <xf numFmtId="0" fontId="2" fillId="2" borderId="1" xfId="1" applyFont="1" applyFill="1" applyBorder="1" applyAlignment="1">
      <alignment horizontal="center" vertical="center" wrapText="1"/>
    </xf>
    <xf numFmtId="0" fontId="3" fillId="2" borderId="1" xfId="0" applyFont="1" applyFill="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ocp-my.sharepoint.com/Users/nouhi/Desktop/PARTITION%20D/Doc%20nouhi/BESOINS/BESOIN%20POUR%20L'ANNEE%202023/INV%202023/INV%2002%20FEVRI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 02-02-23"/>
    </sheetNames>
    <sheetDataSet>
      <sheetData sheetId="0" refreshError="1">
        <row r="1">
          <cell r="A1" t="str">
            <v>ARTICLE</v>
          </cell>
          <cell r="B1" t="str">
            <v>DESCRIPTION</v>
          </cell>
          <cell r="C1" t="str">
            <v>DESCRIPTIF</v>
          </cell>
          <cell r="D1" t="str">
            <v>U</v>
          </cell>
          <cell r="E1" t="str">
            <v>CATEGORIE ACHAT</v>
          </cell>
          <cell r="F1" t="str">
            <v>PMP</v>
          </cell>
          <cell r="G1" t="str">
            <v xml:space="preserve">CONS AE </v>
          </cell>
          <cell r="H1" t="str">
            <v>CONS A-1</v>
          </cell>
          <cell r="I1" t="str">
            <v>CONS A-2</v>
          </cell>
          <cell r="J1" t="str">
            <v>CONS A-3</v>
          </cell>
          <cell r="K1" t="str">
            <v>CONS A-4</v>
          </cell>
          <cell r="L1" t="str">
            <v xml:space="preserve">STOCK AE </v>
          </cell>
        </row>
        <row r="2">
          <cell r="A2" t="str">
            <v>10087.00001</v>
          </cell>
          <cell r="B2" t="str">
            <v>BON DE CONSIGNATION ET DE DECONSIGNATION</v>
          </cell>
          <cell r="C2" t="str">
            <v>BON DE CONSIGNATION ET DE DECONSIGNATION CARNET DE 50 LIASSES DE 2 FEUILLETS DONT LE PREMIER CONSTITUE DE 3 TALONS (NCR : BLANC CB ET ROSE CF) DONT LE 1ER DETACHABLE, NUMEROTES ET PIQES VERTICALEMENT COTE GAUCHE PORTANT LE MEME NUMERO AVEC COUVERTURE FACE ET DOS 240 G/M² COULEUR DISPONIBLE FORMAT : 10,5 X 27IMPRESSION : R°NOIRESUIVANT MODELE CI ATTACHE</v>
          </cell>
          <cell r="D2" t="str">
            <v>PE</v>
          </cell>
          <cell r="E2" t="str">
            <v>222.22206</v>
          </cell>
          <cell r="F2">
            <v>15.52</v>
          </cell>
          <cell r="G2">
            <v>0</v>
          </cell>
          <cell r="H2">
            <v>15</v>
          </cell>
          <cell r="I2">
            <v>16</v>
          </cell>
          <cell r="J2">
            <v>13</v>
          </cell>
          <cell r="K2">
            <v>19</v>
          </cell>
          <cell r="L2">
            <v>331</v>
          </cell>
        </row>
        <row r="3">
          <cell r="A3" t="str">
            <v>10087.00200</v>
          </cell>
          <cell r="B3" t="str">
            <v>BON LOCATION VEHICULES ET ENGINS</v>
          </cell>
          <cell r="C3" t="str">
            <v>BON LOCATION VEHICULES ET ENGINS NATURE: CARNET DE 50 LIASSES DE 3 FEUILLETS(1ORIGINAL,2COPIES)DONT LES 2 PREMIERS SONT DETACHABLES PERFORATION VERTICALE -NUMEROTES ET PIQUES COTE GAUCHECOUVERTURE  FACE ET DOS 240G/M² COULEUR DISPONIBLE IMPRESSION : Rª VERTE FORMAT : 14,8X21MODELE ET SERIE DE NUMEROTATION FOURNIS PAR SDG/PH/DIIMPRESSION NUMEROTATION EN NOIR</v>
          </cell>
          <cell r="D3" t="str">
            <v>PE</v>
          </cell>
          <cell r="E3" t="str">
            <v>222.22206</v>
          </cell>
          <cell r="F3">
            <v>32.78</v>
          </cell>
          <cell r="G3">
            <v>0</v>
          </cell>
          <cell r="H3">
            <v>0</v>
          </cell>
          <cell r="I3">
            <v>0</v>
          </cell>
          <cell r="J3">
            <v>0</v>
          </cell>
          <cell r="K3">
            <v>0</v>
          </cell>
          <cell r="L3">
            <v>0</v>
          </cell>
        </row>
        <row r="4">
          <cell r="A4" t="str">
            <v>10087.00820</v>
          </cell>
          <cell r="B4" t="str">
            <v>CONSTAT D'ANOMALIE VERTE</v>
          </cell>
          <cell r="C4" t="str">
            <v xml:space="preserve">CONSTAT D'ANOMALIE (VERTE) TOPOMAINTENANCE NATURE: BLOC DE 50 LIASSES DE 2 ETIQUETTES NUMEROTE, PERFORE (1TROU) ET COLLE BORD SUPERIEUR PAPIER : ORIGINAL: BLANC NCR CB COPIE : CARTE BLANCHE NCR CF IMPRESSION : RECTO NOIRE ET VERTE FORMAT : 8 X 12 CM PRESENTATION : PORTRAIT SUIVANT MODELE : </v>
          </cell>
          <cell r="D4" t="str">
            <v>PE</v>
          </cell>
          <cell r="E4" t="str">
            <v>222.22206</v>
          </cell>
          <cell r="F4">
            <v>1.089</v>
          </cell>
          <cell r="G4">
            <v>0</v>
          </cell>
          <cell r="H4">
            <v>0</v>
          </cell>
          <cell r="I4">
            <v>0</v>
          </cell>
          <cell r="J4">
            <v>0</v>
          </cell>
          <cell r="K4">
            <v>0</v>
          </cell>
          <cell r="L4">
            <v>0</v>
          </cell>
        </row>
        <row r="5">
          <cell r="A5" t="str">
            <v>10087.00900</v>
          </cell>
          <cell r="B5" t="str">
            <v>CALENDRIER BANQUE</v>
          </cell>
          <cell r="C5" t="str">
            <v>CALENDRIER DE BANQUE,EN TETE O.C.P BILINGUE:ARABE-FRANCAIS(ANNEE A PRECISER) PAPIER: CARTON 1000G/M² + HABILLAGE IMPRESSION QUADRI IMPRESSION : R°V° EN QUADRICHROMIEFORMAT : 380 X 530 MM PRESENTATION : PAYSAGE LES OFFRES DOIVENT ETRE ACCOMPAGNEES D'UN ECHANTILLON POUR CHOIX</v>
          </cell>
          <cell r="D5" t="str">
            <v>PE</v>
          </cell>
          <cell r="E5" t="str">
            <v>222.22206</v>
          </cell>
          <cell r="F5">
            <v>27.468800000000002</v>
          </cell>
          <cell r="G5">
            <v>0</v>
          </cell>
          <cell r="H5">
            <v>0</v>
          </cell>
          <cell r="I5">
            <v>0</v>
          </cell>
          <cell r="J5">
            <v>0</v>
          </cell>
          <cell r="K5">
            <v>0</v>
          </cell>
          <cell r="L5">
            <v>0</v>
          </cell>
        </row>
        <row r="6">
          <cell r="A6" t="str">
            <v>10092.03208</v>
          </cell>
          <cell r="B6" t="str">
            <v>STERANIOS 2% NG PRET EMPL</v>
          </cell>
          <cell r="C6" t="str">
            <v xml:space="preserve">ARTICLES SPECIFIQUES AUX SERVICES MEDICAUX MATERIEL MEDICAL , STERANIOS 2% NG PRET A L'EMPLOI , EN BIDON DE 5 LITRES </v>
          </cell>
          <cell r="D6" t="str">
            <v>L</v>
          </cell>
          <cell r="E6" t="str">
            <v>223.22301</v>
          </cell>
          <cell r="F6">
            <v>145.19999999999999</v>
          </cell>
          <cell r="G6">
            <v>0</v>
          </cell>
          <cell r="H6">
            <v>30</v>
          </cell>
          <cell r="I6">
            <v>0</v>
          </cell>
          <cell r="J6">
            <v>0</v>
          </cell>
          <cell r="K6">
            <v>0</v>
          </cell>
          <cell r="L6">
            <v>0</v>
          </cell>
        </row>
        <row r="7">
          <cell r="A7" t="str">
            <v>10082.00628</v>
          </cell>
          <cell r="B7" t="str">
            <v>CAHIER SPIRAL 288 PAGES</v>
          </cell>
          <cell r="C7" t="str">
            <v>CAHIER SPIRAL 288 PAGESCOUVERTURE EN CARTON ENTIERMENT PLASTIFIEPAPIER QUADRILLE 5X5FORCE : 75 G/M²FORMAT 21 X 29,7 CM</v>
          </cell>
          <cell r="D7" t="str">
            <v>PE</v>
          </cell>
          <cell r="E7" t="str">
            <v>222.22206</v>
          </cell>
          <cell r="F7">
            <v>26.62</v>
          </cell>
          <cell r="G7">
            <v>0</v>
          </cell>
          <cell r="H7">
            <v>0</v>
          </cell>
          <cell r="I7">
            <v>0</v>
          </cell>
          <cell r="J7">
            <v>0</v>
          </cell>
          <cell r="K7">
            <v>0</v>
          </cell>
          <cell r="L7">
            <v>0</v>
          </cell>
        </row>
        <row r="8">
          <cell r="A8" t="str">
            <v>10083.00348</v>
          </cell>
          <cell r="B8" t="str">
            <v>CLASSEUR EN PLASTIQUE 2 BROCHES 28X32 CM</v>
          </cell>
          <cell r="C8" t="str">
            <v>CLASSEUR EN PLASTIQUE RENFORCE A 2 BROCHES A LEVIERCOULEUR : ASSORTIELARGEUR : DU DOS : 10 CM DIMENSIONS : 28 X 32 CM</v>
          </cell>
          <cell r="D8" t="str">
            <v>PE</v>
          </cell>
          <cell r="E8" t="str">
            <v>222.22206</v>
          </cell>
          <cell r="F8">
            <v>138</v>
          </cell>
          <cell r="G8">
            <v>0</v>
          </cell>
          <cell r="H8">
            <v>0</v>
          </cell>
          <cell r="I8">
            <v>0</v>
          </cell>
          <cell r="J8">
            <v>0</v>
          </cell>
          <cell r="K8">
            <v>0</v>
          </cell>
          <cell r="L8">
            <v>0</v>
          </cell>
        </row>
        <row r="9">
          <cell r="A9" t="str">
            <v>10083.00167</v>
          </cell>
          <cell r="B9" t="str">
            <v>BOITE D'ARCHIVAGE POLYPROPYLENE 10CM</v>
          </cell>
          <cell r="C9" t="str">
            <v xml:space="preserve">DESIGNATION: BOITE D'ARCHIVAGE EN POLYPROPYLENE A BOUTON A PRESSION COULEURS ASSORTIS DIMENSIONS : 32.5 X 24.5 CM DOS : 10 CM </v>
          </cell>
          <cell r="D9" t="str">
            <v>PE</v>
          </cell>
          <cell r="E9" t="str">
            <v>222.22206</v>
          </cell>
          <cell r="F9">
            <v>12.6</v>
          </cell>
          <cell r="G9">
            <v>0</v>
          </cell>
          <cell r="H9">
            <v>0</v>
          </cell>
          <cell r="I9">
            <v>0</v>
          </cell>
          <cell r="J9">
            <v>0</v>
          </cell>
          <cell r="K9">
            <v>0</v>
          </cell>
          <cell r="L9">
            <v>0</v>
          </cell>
        </row>
        <row r="10">
          <cell r="A10" t="str">
            <v>10081.00789</v>
          </cell>
          <cell r="B10" t="str">
            <v>CLAVIER ET SOURIS SANS FIL</v>
          </cell>
          <cell r="C10" t="str">
            <v>CLAVIER ET SOURIS SANS FIL AVEC CLE INFRA ROUGE</v>
          </cell>
          <cell r="D10" t="str">
            <v>PE</v>
          </cell>
          <cell r="E10" t="str">
            <v>222.22206</v>
          </cell>
          <cell r="F10">
            <v>400</v>
          </cell>
          <cell r="G10">
            <v>0</v>
          </cell>
          <cell r="H10">
            <v>1</v>
          </cell>
          <cell r="I10">
            <v>0</v>
          </cell>
          <cell r="J10">
            <v>0</v>
          </cell>
          <cell r="K10">
            <v>1</v>
          </cell>
          <cell r="L10">
            <v>0</v>
          </cell>
        </row>
        <row r="11">
          <cell r="A11" t="str">
            <v>10083.00286</v>
          </cell>
          <cell r="B11" t="str">
            <v>CHEMISE STEEL BOOK 3MM</v>
          </cell>
          <cell r="C11" t="str">
            <v xml:space="preserve">PAPETERIE CHEMISE "STEEL BOOK" . , DOS EN FORME DE U , COLLAGE A CHAUD COULEUR : A PRECISER FORMAT : 21 X 29.7 CM EPAISSEUR : 3 MM </v>
          </cell>
          <cell r="D11" t="str">
            <v>PE</v>
          </cell>
          <cell r="E11" t="str">
            <v>222.22206</v>
          </cell>
          <cell r="F11">
            <v>38.447699999999998</v>
          </cell>
          <cell r="G11">
            <v>0</v>
          </cell>
          <cell r="H11">
            <v>0</v>
          </cell>
          <cell r="I11">
            <v>0</v>
          </cell>
          <cell r="J11">
            <v>0</v>
          </cell>
          <cell r="K11">
            <v>96</v>
          </cell>
          <cell r="L11">
            <v>0</v>
          </cell>
        </row>
        <row r="12">
          <cell r="A12" t="str">
            <v>10083.00282</v>
          </cell>
          <cell r="B12" t="str">
            <v>CHEMISE "STEEL CRYSTAL"  36 MM</v>
          </cell>
          <cell r="C12" t="str">
            <v>CHEMISE "STEEL CRYSTAL" DOS EN FORME DE U COLLAGE A CHAUD COULEUR : A PRECISER FORMAT : 21 X 29,7 CM EPAISSEUR : 36 MM</v>
          </cell>
          <cell r="D12" t="str">
            <v>PE</v>
          </cell>
          <cell r="E12" t="str">
            <v>222.22206</v>
          </cell>
          <cell r="F12">
            <v>15.364100000000001</v>
          </cell>
          <cell r="G12">
            <v>0</v>
          </cell>
          <cell r="H12">
            <v>0</v>
          </cell>
          <cell r="I12">
            <v>0</v>
          </cell>
          <cell r="J12">
            <v>0</v>
          </cell>
          <cell r="K12">
            <v>166</v>
          </cell>
          <cell r="L12">
            <v>0</v>
          </cell>
        </row>
        <row r="13">
          <cell r="A13" t="str">
            <v>10083.00295</v>
          </cell>
          <cell r="B13" t="str">
            <v>CHEMISE "STEEL BOOK" 30 MM</v>
          </cell>
          <cell r="C13" t="str">
            <v>CHEMISE "STEEL BOOK" DOS EN FORME DE U COLLAGE A CHAUD COULEUR  : A PRECISER FORMAT : 21 X 29,7 CM EPAISSEUR : 30 MM</v>
          </cell>
          <cell r="D13" t="str">
            <v>PE</v>
          </cell>
          <cell r="E13" t="str">
            <v>222.22206</v>
          </cell>
          <cell r="F13">
            <v>44.067999999999998</v>
          </cell>
          <cell r="G13">
            <v>0</v>
          </cell>
          <cell r="H13">
            <v>0</v>
          </cell>
          <cell r="I13">
            <v>0</v>
          </cell>
          <cell r="J13">
            <v>0</v>
          </cell>
          <cell r="K13">
            <v>192</v>
          </cell>
          <cell r="L13">
            <v>0</v>
          </cell>
        </row>
        <row r="14">
          <cell r="A14" t="str">
            <v>10081.00773</v>
          </cell>
          <cell r="B14" t="str">
            <v>CD-ROM DVD INSCRIPTIBLE</v>
          </cell>
          <cell r="C14" t="str">
            <v>DISQUE CD-ROM DVD INSCRIPTIBLE AVEC POCHETTE DE PROTECTION EN PLASTIQUEN.B: LIVRAISON AVEC POCHETTE EN PLASTIQUE OBLIGATOIRE</v>
          </cell>
          <cell r="D14" t="str">
            <v>PE</v>
          </cell>
          <cell r="E14" t="str">
            <v>222.22206</v>
          </cell>
          <cell r="F14">
            <v>4.5483000000000002</v>
          </cell>
          <cell r="G14">
            <v>0</v>
          </cell>
          <cell r="H14">
            <v>0</v>
          </cell>
          <cell r="I14">
            <v>0</v>
          </cell>
          <cell r="J14">
            <v>0</v>
          </cell>
          <cell r="K14">
            <v>0</v>
          </cell>
          <cell r="L14">
            <v>0</v>
          </cell>
        </row>
        <row r="15">
          <cell r="A15" t="str">
            <v>10083.00293</v>
          </cell>
          <cell r="B15" t="str">
            <v>CHEMISE "STEEL BOOK"  21 MM</v>
          </cell>
          <cell r="C15" t="str">
            <v xml:space="preserve">CHEMISE "STEEL BOOK" DOS EN FORME DE U COLLAGE A CHAUD COULEUR : A PRECISER FORMAT : 21 X 29,7 CM EPAISSEUR : 21 MM </v>
          </cell>
          <cell r="D15" t="str">
            <v>PE</v>
          </cell>
          <cell r="E15" t="str">
            <v>222.22206</v>
          </cell>
          <cell r="F15">
            <v>42.072000000000003</v>
          </cell>
          <cell r="G15">
            <v>0</v>
          </cell>
          <cell r="H15">
            <v>0</v>
          </cell>
          <cell r="I15">
            <v>0</v>
          </cell>
          <cell r="J15">
            <v>0</v>
          </cell>
          <cell r="K15">
            <v>179</v>
          </cell>
          <cell r="L15">
            <v>0</v>
          </cell>
        </row>
        <row r="16">
          <cell r="A16" t="str">
            <v>10083.00294</v>
          </cell>
          <cell r="B16" t="str">
            <v>CHEMISE "STEEL BOOK"  24 MM</v>
          </cell>
          <cell r="C16" t="str">
            <v>CHEMISE "STEEL BOOK" DOS EN FORME DE U COLLAGE A CHAUD COULEUR : A PRECISER FORMAT : 21 X 29,7 CM EPAISSEUR : 24 MM</v>
          </cell>
          <cell r="D16" t="str">
            <v>PE</v>
          </cell>
          <cell r="E16" t="str">
            <v>222.22206</v>
          </cell>
          <cell r="F16">
            <v>45.143999999999998</v>
          </cell>
          <cell r="G16">
            <v>0</v>
          </cell>
          <cell r="H16">
            <v>0</v>
          </cell>
          <cell r="I16">
            <v>0</v>
          </cell>
          <cell r="J16">
            <v>0</v>
          </cell>
          <cell r="K16">
            <v>5</v>
          </cell>
          <cell r="L16">
            <v>0</v>
          </cell>
        </row>
        <row r="17">
          <cell r="A17" t="str">
            <v>10083.00296</v>
          </cell>
          <cell r="B17" t="str">
            <v>CHEMISE "STEEL BOOK"  30 MM</v>
          </cell>
          <cell r="C17" t="str">
            <v>CHEMISE "STEEL BOOK" DOS EN FORME DE U COLLAGE A CHAUD COULEUR : A PRECISER FORMAT : 21 X 29,7 CM EPAISSEUR : 30 MM</v>
          </cell>
          <cell r="D17" t="str">
            <v>PE</v>
          </cell>
          <cell r="E17" t="str">
            <v>222.22206</v>
          </cell>
          <cell r="F17">
            <v>47.136000000000003</v>
          </cell>
          <cell r="G17">
            <v>0</v>
          </cell>
          <cell r="H17">
            <v>0</v>
          </cell>
          <cell r="I17">
            <v>0</v>
          </cell>
          <cell r="J17">
            <v>0</v>
          </cell>
          <cell r="K17">
            <v>89</v>
          </cell>
          <cell r="L17">
            <v>0</v>
          </cell>
        </row>
        <row r="18">
          <cell r="A18" t="str">
            <v>10083.00257</v>
          </cell>
          <cell r="B18" t="str">
            <v>CHEMISE "STEEL CRYSTAL"  1 MM</v>
          </cell>
          <cell r="C18" t="str">
            <v>CHEMISE "STEEL CRYSTAL" DOS EN FORME DE U COLLAGE A CHAUD COULEUR : A PRECISER FORMAT : 21 X 29,7 CM EPAISSEUR : 1 MM</v>
          </cell>
          <cell r="D18" t="str">
            <v>PE</v>
          </cell>
          <cell r="E18" t="str">
            <v>222.22206</v>
          </cell>
          <cell r="F18">
            <v>8.9413</v>
          </cell>
          <cell r="G18">
            <v>0</v>
          </cell>
          <cell r="H18">
            <v>0</v>
          </cell>
          <cell r="I18">
            <v>0</v>
          </cell>
          <cell r="J18">
            <v>0</v>
          </cell>
          <cell r="K18">
            <v>0</v>
          </cell>
          <cell r="L18">
            <v>0</v>
          </cell>
        </row>
        <row r="19">
          <cell r="A19" t="str">
            <v>10083.00277</v>
          </cell>
          <cell r="B19" t="str">
            <v>CHEMISE "STEEL CRYSTAL"  24 MM</v>
          </cell>
          <cell r="C19" t="str">
            <v>CHEMISE "STEEL CRYSTAL" DOS EN FORME DE U COLLAGE A CHAUD COULEUR : A PRECISER FORMAT : 21 X 29,7 CM EPAISSEUR : 24 MM</v>
          </cell>
          <cell r="D19" t="str">
            <v>PE</v>
          </cell>
          <cell r="E19" t="str">
            <v>222.22206</v>
          </cell>
          <cell r="F19">
            <v>13.1556</v>
          </cell>
          <cell r="G19">
            <v>0</v>
          </cell>
          <cell r="H19">
            <v>0</v>
          </cell>
          <cell r="I19">
            <v>0</v>
          </cell>
          <cell r="J19">
            <v>0</v>
          </cell>
          <cell r="K19">
            <v>178</v>
          </cell>
          <cell r="L19">
            <v>0</v>
          </cell>
        </row>
        <row r="20">
          <cell r="A20" t="str">
            <v>10083.00287</v>
          </cell>
          <cell r="B20" t="str">
            <v>CHEMISE STEEL BOOK 5MM</v>
          </cell>
          <cell r="C20" t="str">
            <v xml:space="preserve">PAPETERIE CHEMISE "STEEL BOOK" . , DOS EN FORME DE U , COLLAGE A CHAUD COULEUR : A PRECISER FORMAT : 21 X 29,7 CM EPAISSEUR : 5 MM </v>
          </cell>
          <cell r="D20" t="str">
            <v>PE</v>
          </cell>
          <cell r="E20" t="str">
            <v>222.22206</v>
          </cell>
          <cell r="F20">
            <v>41.411999999999999</v>
          </cell>
          <cell r="G20">
            <v>0</v>
          </cell>
          <cell r="H20">
            <v>0</v>
          </cell>
          <cell r="I20">
            <v>0</v>
          </cell>
          <cell r="J20">
            <v>0</v>
          </cell>
          <cell r="K20">
            <v>64</v>
          </cell>
          <cell r="L20">
            <v>0</v>
          </cell>
        </row>
        <row r="21">
          <cell r="A21" t="str">
            <v>10083.00288</v>
          </cell>
          <cell r="B21" t="str">
            <v>CHEMISE STEEL BOOK 7MM</v>
          </cell>
          <cell r="C21" t="str">
            <v xml:space="preserve">PAPETERIE CHEMISE "STEEL BOOK" . , DOS EN FORME DE U , COLLAGE A CHAUD COULEUR : A PRECISER FORMAT : 21 X 29,7 CM EPAISSEUR : 7 MM </v>
          </cell>
          <cell r="D21" t="str">
            <v>PE</v>
          </cell>
          <cell r="E21" t="str">
            <v>222.22206</v>
          </cell>
          <cell r="F21">
            <v>38.810099999999998</v>
          </cell>
          <cell r="G21">
            <v>0</v>
          </cell>
          <cell r="H21">
            <v>0</v>
          </cell>
          <cell r="I21">
            <v>0</v>
          </cell>
          <cell r="J21">
            <v>0</v>
          </cell>
          <cell r="K21">
            <v>86</v>
          </cell>
          <cell r="L21">
            <v>0</v>
          </cell>
        </row>
        <row r="22">
          <cell r="A22" t="str">
            <v>10083.00292</v>
          </cell>
          <cell r="B22" t="str">
            <v>CHEMISE STEEL BOOK 18MM</v>
          </cell>
          <cell r="C22" t="str">
            <v xml:space="preserve">CHEMISE "STEEL BOOK" DOS EN FORME DE U COLLAGE A CHAUD COULEUR : A PRECISER FORMAT : 21 X 29,7 CM EPAISSEUR : 18 MM </v>
          </cell>
          <cell r="D22" t="str">
            <v>PE</v>
          </cell>
          <cell r="E22" t="str">
            <v>222.22206</v>
          </cell>
          <cell r="F22">
            <v>42.12</v>
          </cell>
          <cell r="G22">
            <v>0</v>
          </cell>
          <cell r="H22">
            <v>0</v>
          </cell>
          <cell r="I22">
            <v>0</v>
          </cell>
          <cell r="J22">
            <v>0</v>
          </cell>
          <cell r="K22">
            <v>66</v>
          </cell>
          <cell r="L22">
            <v>0</v>
          </cell>
        </row>
        <row r="23">
          <cell r="A23" t="str">
            <v>10083.00267</v>
          </cell>
          <cell r="B23" t="str">
            <v>CHEMISE STEEL CRYSTAL12MM</v>
          </cell>
          <cell r="C23" t="str">
            <v xml:space="preserve">PAPETERIE CHEMISE "STEEL CRYSTAL" , DOS EN FORME DE U , COLLAGE A CHAUD COULEUR : A PRECISER FORMAT : 21 X 29.7 CM EPAISSEUR : 12 MM </v>
          </cell>
          <cell r="D23" t="str">
            <v>PE</v>
          </cell>
          <cell r="E23" t="str">
            <v>222.22206</v>
          </cell>
          <cell r="F23">
            <v>9.1999999999999993</v>
          </cell>
          <cell r="G23">
            <v>0</v>
          </cell>
          <cell r="H23">
            <v>0</v>
          </cell>
          <cell r="I23">
            <v>0</v>
          </cell>
          <cell r="J23">
            <v>0</v>
          </cell>
          <cell r="K23">
            <v>0</v>
          </cell>
          <cell r="L23">
            <v>0</v>
          </cell>
        </row>
        <row r="24">
          <cell r="A24" t="str">
            <v>10084.00350</v>
          </cell>
          <cell r="B24" t="str">
            <v>RUBAN ACIER LAR.20MM L50M</v>
          </cell>
          <cell r="C24" t="str">
            <v xml:space="preserve">DIVERS INSTRUMENTS DE CONTROLES ET MESURES . . DESIGNATION RUBAN D'ACIER-SUR CROISILLON BOIS,A POIGNEE T ARTICULE, DIVISIONS PERFOREES TOUS LES 10 CM-RIVETS TOUS LES 20 , CM,CHIFFRES TOUS LES METRES DANS LES DEUX SENS LONGUEUR 50 METRES LARGEUR 20 MM </v>
          </cell>
          <cell r="D24" t="str">
            <v>PE</v>
          </cell>
          <cell r="E24" t="str">
            <v>522.52203</v>
          </cell>
          <cell r="F24">
            <v>2700</v>
          </cell>
          <cell r="G24">
            <v>0</v>
          </cell>
          <cell r="H24">
            <v>3</v>
          </cell>
          <cell r="I24">
            <v>0</v>
          </cell>
          <cell r="J24">
            <v>0</v>
          </cell>
          <cell r="K24">
            <v>0</v>
          </cell>
          <cell r="L24">
            <v>0</v>
          </cell>
        </row>
        <row r="25">
          <cell r="A25" t="str">
            <v>10085.00315</v>
          </cell>
          <cell r="B25" t="str">
            <v>PENDANT VOTRE ABSENCE</v>
          </cell>
          <cell r="C25" t="str">
            <v xml:space="preserve">IMPRIME RELATIF AU SECRETARIAT - BIBLIOTHEQUE  DESIGNATION : CARNET "PENDANT VOTRE ABSENCE , CARNET DE 50 FEUILLES,COLLE BORD SUPERIEUR IMPRESSION : RECTO-NOIRE QUALITE : PAPIER BLANC SUPERIEUR FORCE : 64 GR/M2 FORMAT : 10,5 X 13,5 CM PRESENTATION : A LA FRANCAISE COULEUR BLANCHE SUIVANT MODELE , (IMPRIME REALISE PAR IMPRIMERIE OCP) , </v>
          </cell>
          <cell r="D25" t="str">
            <v>PE</v>
          </cell>
          <cell r="E25" t="str">
            <v>222.22206</v>
          </cell>
          <cell r="F25">
            <v>4.8242000000000003</v>
          </cell>
          <cell r="G25">
            <v>0</v>
          </cell>
          <cell r="H25">
            <v>0</v>
          </cell>
          <cell r="I25">
            <v>0</v>
          </cell>
          <cell r="J25">
            <v>0</v>
          </cell>
          <cell r="K25">
            <v>0</v>
          </cell>
          <cell r="L25">
            <v>0</v>
          </cell>
        </row>
        <row r="26">
          <cell r="A26" t="str">
            <v>10085.00380</v>
          </cell>
          <cell r="B26" t="str">
            <v>REG COURRI ARRIV</v>
          </cell>
          <cell r="C26" t="str">
            <v xml:space="preserve">IMPRIME RELATIF AU SECRETARIAT - BIBLIOTHEQUE  DESIGNATION : REGISTRES D'ENREGISTREMENT DU COURRIER. IMPRESSION : RO-VO QUALITE : PAPIER REGISTRE SATINE FORCE : 80 G/METRE CARRE FORMAT : 22,5 X 36 TEINTE : BLANC COMPOSITION ARRIVEE DE 75 FEUILLES A PLAT,SOIT 300 PAGES-COUVERTUR, CARTONNE ET TOILE NOIRE </v>
          </cell>
          <cell r="D26" t="str">
            <v>PE</v>
          </cell>
          <cell r="E26" t="str">
            <v>222.22206</v>
          </cell>
          <cell r="F26">
            <v>17.9329</v>
          </cell>
          <cell r="G26">
            <v>0</v>
          </cell>
          <cell r="H26">
            <v>0</v>
          </cell>
          <cell r="I26">
            <v>0</v>
          </cell>
          <cell r="J26">
            <v>0</v>
          </cell>
          <cell r="K26">
            <v>86</v>
          </cell>
          <cell r="L26">
            <v>0</v>
          </cell>
        </row>
        <row r="27">
          <cell r="A27" t="str">
            <v>10087.00069</v>
          </cell>
          <cell r="B27" t="str">
            <v>PERMIS DE PENETRATION EN MILIEU CONFINE</v>
          </cell>
          <cell r="C27" t="str">
            <v>PERMIS DE PENETRATION EN MILIEU CONFINECARNET DE 50 LIASSES DE 3 FEUILLES AUTO-CARBONEESFORMAT: 21 x 31 CMFORCE : ORIGINAL DE 64 GR/M2 ET PAPIER PELURE POUR LE 2 ET LE 3EME EXEMPLAIRECOUVERTURE: DOSSIER DISPONIBLENUMEROTATION EN 4 CHIFFRESBORDURE DE COULEUR ROUGE DE 0,5 CM ENTOURE L'ORIGINALPRESENTATION:A LA FRANCAISEIMPRESSION: RECTO VERSO EN NOIR POUR LES 3 EXEMPLAIRESL'ORIGINALE : BLANCLA 1ERE COPIE: JAUNELA 2EME COPIE: ROSESUIVANT MODELE</v>
          </cell>
          <cell r="D27" t="str">
            <v>PE</v>
          </cell>
          <cell r="E27" t="str">
            <v>222.22206</v>
          </cell>
          <cell r="F27">
            <v>32.5</v>
          </cell>
          <cell r="G27">
            <v>0</v>
          </cell>
          <cell r="H27">
            <v>0</v>
          </cell>
          <cell r="I27">
            <v>0</v>
          </cell>
          <cell r="J27">
            <v>0</v>
          </cell>
          <cell r="K27">
            <v>30</v>
          </cell>
          <cell r="L27">
            <v>0</v>
          </cell>
        </row>
        <row r="28">
          <cell r="A28" t="str">
            <v>10086.02108</v>
          </cell>
          <cell r="B28" t="str">
            <v>BON DE SORTIE</v>
          </cell>
          <cell r="C28" t="str">
            <v xml:space="preserve">BON DE SORTIE CARNET DE 50 LIASSES DE 3 FEUILLETS NUMEROTES ( BLANC, JAUNE ET ROSEDONT LES 2 PREMIERS SONT DETACHABLES )PIQUES VERTICALEMENT COTE GAUCHE  AVEC COUVERTURE : FACE ET DOS IMPRESSION : RªVERTE FORMAT : 14,8 X 21 CM PRESENTATION : PAYSAGE PAPIER : NCR 56 G/M² : BLANC CB, JAUNE CBF ET ROSE CFCOUVERTURE : DOSSIER 240 G/M², COULEUR DISPONIBLESUIVANT MODELE . </v>
          </cell>
          <cell r="D28" t="str">
            <v>PE</v>
          </cell>
          <cell r="E28" t="str">
            <v>222.22206</v>
          </cell>
          <cell r="F28">
            <v>19.5</v>
          </cell>
          <cell r="G28">
            <v>0</v>
          </cell>
          <cell r="H28">
            <v>0</v>
          </cell>
          <cell r="I28">
            <v>0</v>
          </cell>
          <cell r="J28">
            <v>21</v>
          </cell>
          <cell r="K28">
            <v>15</v>
          </cell>
          <cell r="L28">
            <v>0</v>
          </cell>
        </row>
        <row r="29">
          <cell r="A29" t="str">
            <v>10086.02251</v>
          </cell>
          <cell r="B29" t="str">
            <v>BS COSOMMATION ESSENCE</v>
          </cell>
          <cell r="C29" t="str">
            <v>BON DE SORTIE (CONSOMMATION ESSENCE) NATURE : CARNET DE 50 LIASSES DE 3 FEUILLETS (1ORIGINAL, 2COPIES) DONT LES 2 PREMIERS SONT DETACHABLES PERFORATION VERTICALE-NUMEROTES ET PIQUES COTE GAUCHE, COUVERTURE : FACE ET DOS 240 G/M² COULEUR DISPONIBLE IMPRESSION : R° VERTE FORMAT : 14,8X21 PRESENTATION : PAYSAGEMODELE ET SERIE DE NUMEROTATION FOURNIS PAR SDG/PH/DIIMPRESSION NUMEROTATION EN NOIR</v>
          </cell>
          <cell r="D29" t="str">
            <v>PE</v>
          </cell>
          <cell r="E29" t="str">
            <v>222.22206</v>
          </cell>
          <cell r="F29">
            <v>22.728100000000001</v>
          </cell>
          <cell r="G29">
            <v>0</v>
          </cell>
          <cell r="H29">
            <v>0</v>
          </cell>
          <cell r="I29">
            <v>143</v>
          </cell>
          <cell r="J29">
            <v>0</v>
          </cell>
          <cell r="K29">
            <v>0</v>
          </cell>
          <cell r="L29">
            <v>0</v>
          </cell>
        </row>
        <row r="30">
          <cell r="A30" t="str">
            <v>10086.02252</v>
          </cell>
          <cell r="B30" t="str">
            <v>BS COSOMMATION GASOIL</v>
          </cell>
          <cell r="C30" t="str">
            <v xml:space="preserve">BON DE SORTIE (CONSOMMATION GASOIL) NATURE: CARNET DE 50 LIASSES DE 3 FEUILLETS(1ORIGINAL,3COPIES)DONT LES 2 PREMIERS SONT DETACHABLES PERFORATION VERTICALE -NUMEROTES ET PIQUES COTE GAUCHEAVEC COUVERTURE : FACE ET DOS IMPRESSION : Rª VERTE FORMAT : 14,8 X 21 CM PRESENTATION : PAYSAGE PAPIER : ORIGINAL-NCR BLANC CB 56 G/M2 COPIES -NCR :1)JAUNE CBF 56 G/M2 - 2) ROSE CF 56 G/M2 COUVERTURE : DOSSIER DISPONIBLE SUIVANT MODELE . </v>
          </cell>
          <cell r="D30" t="str">
            <v>PE</v>
          </cell>
          <cell r="E30" t="str">
            <v>222.22206</v>
          </cell>
          <cell r="F30">
            <v>13.75</v>
          </cell>
          <cell r="G30">
            <v>0</v>
          </cell>
          <cell r="H30">
            <v>0</v>
          </cell>
          <cell r="I30">
            <v>52</v>
          </cell>
          <cell r="J30">
            <v>2</v>
          </cell>
          <cell r="K30">
            <v>0</v>
          </cell>
          <cell r="L30">
            <v>0</v>
          </cell>
        </row>
        <row r="31">
          <cell r="A31" t="str">
            <v>10086.02128</v>
          </cell>
          <cell r="B31" t="str">
            <v>EXPRESSION DE BESOIN</v>
          </cell>
          <cell r="C31" t="str">
            <v>EXPRESSION DE BESOINS  NATURE : BLOC DE 50 LIASSES DE 4 FEUILLES COLLEES BORD SUPERIEUR ET NUMEROTEES DE 1 A 4 IMPRESSION : R° NOIR FORCE : 50G/M2 FORMAT : 21 X 29,7 PAPIER : ORIGINAL NCR : CB BLANC -1ERE COPIE NCR : CBF JAUNE -2EME COPIE NCR MODELE ET SERIE DE NUMEROTATION FOURNIS PAR SDG/PH/DIIMPRESSION NUMEROTATION EN NOIR</v>
          </cell>
          <cell r="D31" t="str">
            <v>PE</v>
          </cell>
          <cell r="E31" t="str">
            <v>222.22206</v>
          </cell>
          <cell r="F31">
            <v>22.253</v>
          </cell>
          <cell r="G31">
            <v>0</v>
          </cell>
          <cell r="H31">
            <v>0</v>
          </cell>
          <cell r="I31">
            <v>0</v>
          </cell>
          <cell r="J31">
            <v>0</v>
          </cell>
          <cell r="K31">
            <v>0</v>
          </cell>
          <cell r="L31">
            <v>0</v>
          </cell>
        </row>
        <row r="32">
          <cell r="A32" t="str">
            <v>10085.00997</v>
          </cell>
          <cell r="B32" t="str">
            <v>ENVELOPPE</v>
          </cell>
          <cell r="C32" t="str">
            <v xml:space="preserve">ENVELOPPES A FENETRE A EN-TETE GROUPE OFFICE CHERIFIEN DES PHOSPHATES BILINGUE (ARABE - FRANCAIS) IMPRESSION : RECTO-NOIR QUALITE : PAPIER PARCHEMINE FORCE : SUIVANT MODELE FORMAT : 225 X 115 MMTEINTE : BLANC -INTERIEUR MOIRE BLEU DIMENSIONS DU VITRAIL 105 X 45 MM </v>
          </cell>
          <cell r="D32" t="str">
            <v>PE</v>
          </cell>
          <cell r="E32" t="str">
            <v>222.22206</v>
          </cell>
          <cell r="F32">
            <v>0.53779999999999994</v>
          </cell>
          <cell r="G32">
            <v>0</v>
          </cell>
          <cell r="H32">
            <v>1455</v>
          </cell>
          <cell r="I32">
            <v>0</v>
          </cell>
          <cell r="J32">
            <v>0</v>
          </cell>
          <cell r="K32">
            <v>0</v>
          </cell>
          <cell r="L32">
            <v>0</v>
          </cell>
        </row>
        <row r="33">
          <cell r="A33" t="str">
            <v>10083.00218</v>
          </cell>
          <cell r="B33" t="str">
            <v>DOSSI.SUSP.A CROCHET 290</v>
          </cell>
          <cell r="C33" t="str">
            <v xml:space="preserve">PAPETERIE DOSSIERS SUSPENDUS A CROCHET COMPOSITION : EN PAPIER KRAFT , A GLISSIERE DE 140 MM ENVIRON A LECT, VERTICALE AVEC PLANCHE ET RODOIDE ENTRAXE 330 MM HAUTEUR : 290 MM </v>
          </cell>
          <cell r="D33" t="str">
            <v>PE</v>
          </cell>
          <cell r="E33" t="str">
            <v>222.22206</v>
          </cell>
          <cell r="F33">
            <v>5.4359999999999999</v>
          </cell>
          <cell r="G33">
            <v>0</v>
          </cell>
          <cell r="H33">
            <v>0</v>
          </cell>
          <cell r="I33">
            <v>0</v>
          </cell>
          <cell r="J33">
            <v>0</v>
          </cell>
          <cell r="K33">
            <v>100</v>
          </cell>
          <cell r="L33">
            <v>0</v>
          </cell>
        </row>
        <row r="34">
          <cell r="A34" t="str">
            <v>10083.00800</v>
          </cell>
          <cell r="B34" t="str">
            <v>REGIST QUA 19X27</v>
          </cell>
          <cell r="C34" t="str">
            <v xml:space="preserve">PAPETERIE REGISTRE QUADRILLE 5/5  FORMAT : 19 X 27 (A LA FRANCAISE) QUALITE : PAPIER VELIN SUPERIEUR,COUVERTURE RIGIDE EPAISSEUR : 2 MAINS (50 FEUILLES) </v>
          </cell>
          <cell r="D34" t="str">
            <v>PE</v>
          </cell>
          <cell r="E34" t="str">
            <v>222.22206</v>
          </cell>
          <cell r="F34">
            <v>19.2</v>
          </cell>
          <cell r="G34">
            <v>0</v>
          </cell>
          <cell r="H34">
            <v>0</v>
          </cell>
          <cell r="I34">
            <v>0</v>
          </cell>
          <cell r="J34">
            <v>0</v>
          </cell>
          <cell r="K34">
            <v>0</v>
          </cell>
          <cell r="L34">
            <v>0</v>
          </cell>
        </row>
        <row r="35">
          <cell r="A35" t="str">
            <v>10083.00835</v>
          </cell>
          <cell r="B35" t="str">
            <v>REGISTRE QUADILLE REPERT.</v>
          </cell>
          <cell r="C35" t="str">
            <v xml:space="preserve">PAPETERIE REGISTRE QUADRILLE 5/5  DESIGNATION : AVEC REPERTOIRE ALPHABETIQUE FORMAT : 21 X 31 (A LA FRANCAISE) QUALITE : PAPIER VELIN SUPERIEUR-COUVERTURE RIGIDE EPAISSEUR : 4 MAINS (100 FEUILLES) </v>
          </cell>
          <cell r="D35" t="str">
            <v>PE</v>
          </cell>
          <cell r="E35" t="str">
            <v>222.22206</v>
          </cell>
          <cell r="F35">
            <v>48.117100000000001</v>
          </cell>
          <cell r="G35">
            <v>0</v>
          </cell>
          <cell r="H35">
            <v>0</v>
          </cell>
          <cell r="I35">
            <v>0</v>
          </cell>
          <cell r="J35">
            <v>0</v>
          </cell>
          <cell r="K35">
            <v>0</v>
          </cell>
          <cell r="L35">
            <v>0</v>
          </cell>
        </row>
        <row r="36">
          <cell r="A36" t="str">
            <v>10083.00850</v>
          </cell>
          <cell r="B36" t="str">
            <v>REGIST REG 21X31</v>
          </cell>
          <cell r="C36" t="str">
            <v xml:space="preserve">PAPETERIE REGISTRE REGLE TRAVERS  FORMAT : 21 X 31 QUALITE : PAPIER VELIN SUPERIEUR -COUVERTURE RIGIDE EPAISSEUR : 4 MAINS (100 FEUILLES) </v>
          </cell>
          <cell r="D36" t="str">
            <v>PE</v>
          </cell>
          <cell r="E36" t="str">
            <v>222.22206</v>
          </cell>
          <cell r="F36">
            <v>39</v>
          </cell>
          <cell r="G36">
            <v>0</v>
          </cell>
          <cell r="H36">
            <v>0</v>
          </cell>
          <cell r="I36">
            <v>0</v>
          </cell>
          <cell r="J36">
            <v>0</v>
          </cell>
          <cell r="K36">
            <v>0</v>
          </cell>
          <cell r="L36">
            <v>0</v>
          </cell>
        </row>
        <row r="37">
          <cell r="A37" t="str">
            <v>10083.00318</v>
          </cell>
          <cell r="B37" t="str">
            <v>CLASSEUR BROCHES 28X32</v>
          </cell>
          <cell r="C37" t="str">
            <v xml:space="preserve">CLASSEURS A LEVIERS  FORMAT : 28 X 32 -ECARTEMENT DES BROCHES=8 CM LARGEUR : DOS:8 CM COMPOSITION : COUVERTURE CARTON FORT AVEC RENFORT METAL SUR ANGLES , PLIURE TOILE NOIRE -SANS PERFORATEUR </v>
          </cell>
          <cell r="D37" t="str">
            <v>PE</v>
          </cell>
          <cell r="E37" t="str">
            <v>222.22206</v>
          </cell>
          <cell r="F37">
            <v>12.696</v>
          </cell>
          <cell r="G37">
            <v>0</v>
          </cell>
          <cell r="H37">
            <v>696</v>
          </cell>
          <cell r="I37">
            <v>100</v>
          </cell>
          <cell r="J37">
            <v>75</v>
          </cell>
          <cell r="K37">
            <v>77</v>
          </cell>
          <cell r="L37">
            <v>0</v>
          </cell>
        </row>
        <row r="38">
          <cell r="A38" t="str">
            <v>10083.00345</v>
          </cell>
          <cell r="B38" t="str">
            <v>CLASSEUR EN PLASTIQUE 4 BROCHES 26X32</v>
          </cell>
          <cell r="C38" t="str">
            <v xml:space="preserve">CLASSEURS EN MATIERE PLASTIQUE 4 BROCHES LARGEUR : DU DOS : 7 CM DIMENSIONS : 26 X 32 CM </v>
          </cell>
          <cell r="D38" t="str">
            <v>PE</v>
          </cell>
          <cell r="E38" t="str">
            <v>222.22206</v>
          </cell>
          <cell r="F38">
            <v>29.004000000000001</v>
          </cell>
          <cell r="G38">
            <v>0</v>
          </cell>
          <cell r="H38">
            <v>0</v>
          </cell>
          <cell r="I38">
            <v>0</v>
          </cell>
          <cell r="J38">
            <v>0</v>
          </cell>
          <cell r="K38">
            <v>0</v>
          </cell>
          <cell r="L38">
            <v>0</v>
          </cell>
        </row>
        <row r="39">
          <cell r="A39" t="str">
            <v>10083.00410</v>
          </cell>
          <cell r="B39" t="str">
            <v>CHEMI TRIE COLOR</v>
          </cell>
          <cell r="C39" t="str">
            <v xml:space="preserve">PAPETERIE  DESIGNATION : TRI-CLASSEUR FORMAT : 24 X 32 QUALITE : COUVERTURE CARTE DE LYON COMPOSITION : A 10 COMPARTIMENTS- DOS EXTENSIBLE </v>
          </cell>
          <cell r="D39" t="str">
            <v>PE</v>
          </cell>
          <cell r="E39" t="str">
            <v>222.22206</v>
          </cell>
          <cell r="F39">
            <v>43.48</v>
          </cell>
          <cell r="G39">
            <v>0</v>
          </cell>
          <cell r="H39">
            <v>0</v>
          </cell>
          <cell r="I39">
            <v>0</v>
          </cell>
          <cell r="J39">
            <v>0</v>
          </cell>
          <cell r="K39">
            <v>0</v>
          </cell>
          <cell r="L39">
            <v>0</v>
          </cell>
        </row>
        <row r="40">
          <cell r="A40" t="str">
            <v>10083.00615</v>
          </cell>
          <cell r="B40" t="str">
            <v>RELIURE SIMPLE 20 VOLETS</v>
          </cell>
          <cell r="C40" t="str">
            <v xml:space="preserve">PAPETERIE RELIURES . . , SOUPLE EN PLASTIQUE TRANSPARENT , DIFFERENTS COLORIS , POUR FORMAT 21 X 29,7 CM , 20 VOLETS (40 VUES) </v>
          </cell>
          <cell r="D40" t="str">
            <v>PE</v>
          </cell>
          <cell r="E40" t="str">
            <v>222.22206</v>
          </cell>
          <cell r="F40">
            <v>8.1900999999999993</v>
          </cell>
          <cell r="G40">
            <v>0</v>
          </cell>
          <cell r="H40">
            <v>0</v>
          </cell>
          <cell r="I40">
            <v>0</v>
          </cell>
          <cell r="J40">
            <v>0</v>
          </cell>
          <cell r="K40">
            <v>155</v>
          </cell>
          <cell r="L40">
            <v>0</v>
          </cell>
        </row>
        <row r="41">
          <cell r="A41" t="str">
            <v>10083.00617</v>
          </cell>
          <cell r="B41" t="str">
            <v>RELIURE SIMPLE 40 VOLETS</v>
          </cell>
          <cell r="C41" t="str">
            <v xml:space="preserve">PAPETERIE RELIURES . . , SOUPLE EN PLASTIQUE TRANSPARENT , DIFFERENTS COLORIS , POUR FORMAT 21 X 29,7 CM , 40 VOLETS (80 VUES) </v>
          </cell>
          <cell r="D41" t="str">
            <v>PE</v>
          </cell>
          <cell r="E41" t="str">
            <v>222.22206</v>
          </cell>
          <cell r="F41">
            <v>13.571400000000001</v>
          </cell>
          <cell r="G41">
            <v>0</v>
          </cell>
          <cell r="H41">
            <v>0</v>
          </cell>
          <cell r="I41">
            <v>0</v>
          </cell>
          <cell r="J41">
            <v>0</v>
          </cell>
          <cell r="K41">
            <v>27</v>
          </cell>
          <cell r="L41">
            <v>0</v>
          </cell>
        </row>
        <row r="42">
          <cell r="A42" t="str">
            <v>10083.00618</v>
          </cell>
          <cell r="B42" t="str">
            <v>RELIURE SOUPLE 120 VUES</v>
          </cell>
          <cell r="C42" t="str">
            <v xml:space="preserve">PAPETERIE RELIURES . . , SOUPLE EN PLASTIQUE TRANSPARENT , DIFFERENTS COLORIS , POUR FORMAT 21 X 29,7 CM , 60 VOLETS (120 VUES) </v>
          </cell>
          <cell r="D42" t="str">
            <v>PE</v>
          </cell>
          <cell r="E42" t="str">
            <v>222.22206</v>
          </cell>
          <cell r="F42">
            <v>23.4</v>
          </cell>
          <cell r="G42">
            <v>0</v>
          </cell>
          <cell r="H42">
            <v>0</v>
          </cell>
          <cell r="I42">
            <v>0</v>
          </cell>
          <cell r="J42">
            <v>0</v>
          </cell>
          <cell r="K42">
            <v>1</v>
          </cell>
          <cell r="L42">
            <v>0</v>
          </cell>
        </row>
        <row r="43">
          <cell r="A43" t="str">
            <v>10083.00620</v>
          </cell>
          <cell r="B43" t="str">
            <v>RELIURE SOUPLE 160 VUES</v>
          </cell>
          <cell r="C43" t="str">
            <v xml:space="preserve">RELIURES SOUPLE EN PLASTIQUE TRANSPARENT DIFERENTS COLORIS POUR FORMAT 21 X 29.7 CM 80 VOLETS (160 VUES) </v>
          </cell>
          <cell r="D43" t="str">
            <v>PE</v>
          </cell>
          <cell r="E43" t="str">
            <v>222.22206</v>
          </cell>
          <cell r="F43">
            <v>36</v>
          </cell>
          <cell r="G43">
            <v>0</v>
          </cell>
          <cell r="H43">
            <v>0</v>
          </cell>
          <cell r="I43">
            <v>0</v>
          </cell>
          <cell r="J43">
            <v>0</v>
          </cell>
          <cell r="K43">
            <v>0</v>
          </cell>
          <cell r="L43">
            <v>0</v>
          </cell>
        </row>
        <row r="44">
          <cell r="A44" t="str">
            <v>10087.00872</v>
          </cell>
          <cell r="B44" t="str">
            <v>BULLETIN MOUV MATE CENTRE</v>
          </cell>
          <cell r="C44" t="str">
            <v xml:space="preserve">IMPRIME DIVERS . . DESIGNATION : BULLETIN MOUVEMENT MATERIEL DU CENTRE IMPRESSION : RO-VERT FORCE : ORIGINAL: 56 G/M2:COPIE:1?2 ET 3: 32 G/M2 FORMAT : 21 X 13,5 COMPOSITION BLOC DE 50 LIASSES?CHAQUE LIASSE COMPRENANT: 4 FEUILLE, DETACHABLES COLLES BORD SUPERIEUR:ORIGINAL: PAPIER , ECRITURE:BLANC?1 ERE COPIE:PELURE:BLEU PALE? 2 EME , COPIE:PELURE:JAUNE PALE?3 EME COPIE:PELURE:ROSE PALE PRESENTATION : HORIZONTALE NUMEROTATION DES LIASSES </v>
          </cell>
          <cell r="D44" t="str">
            <v>PE</v>
          </cell>
          <cell r="E44" t="str">
            <v>222.22206</v>
          </cell>
          <cell r="F44">
            <v>80</v>
          </cell>
          <cell r="G44">
            <v>0</v>
          </cell>
          <cell r="H44">
            <v>0</v>
          </cell>
          <cell r="I44">
            <v>0</v>
          </cell>
          <cell r="J44">
            <v>0</v>
          </cell>
          <cell r="K44">
            <v>0</v>
          </cell>
          <cell r="L44">
            <v>0</v>
          </cell>
        </row>
        <row r="45">
          <cell r="A45" t="str">
            <v>10087.00873</v>
          </cell>
          <cell r="B45" t="str">
            <v>BULLETIN MOUVEMENT INTER CENTRES</v>
          </cell>
          <cell r="C45" t="str">
            <v>BULLETIN MOUVEMENT INTER CENTRES IMPRESSION : R°VERT FORCE : ORIGINAL:56 G/M2</v>
          </cell>
          <cell r="D45" t="str">
            <v>PE</v>
          </cell>
          <cell r="E45" t="str">
            <v>222.22206</v>
          </cell>
          <cell r="F45">
            <v>65</v>
          </cell>
          <cell r="G45">
            <v>0</v>
          </cell>
          <cell r="H45">
            <v>0</v>
          </cell>
          <cell r="I45">
            <v>0</v>
          </cell>
          <cell r="J45">
            <v>0</v>
          </cell>
          <cell r="K45">
            <v>0</v>
          </cell>
          <cell r="L45">
            <v>0</v>
          </cell>
        </row>
        <row r="46">
          <cell r="A46" t="str">
            <v>10087.00874</v>
          </cell>
          <cell r="B46" t="str">
            <v>BULLETIN SORTIE INVENTAIR</v>
          </cell>
          <cell r="C46" t="str">
            <v>BULLETIN DE SORTIE D'INVENTAIRE IMPRESSION : RO-VERT FORCE : ORIGINAL: 56 G/M2</v>
          </cell>
          <cell r="D46" t="str">
            <v>PE</v>
          </cell>
          <cell r="E46" t="str">
            <v>222.22206</v>
          </cell>
          <cell r="F46">
            <v>32</v>
          </cell>
          <cell r="G46">
            <v>0</v>
          </cell>
          <cell r="H46">
            <v>0</v>
          </cell>
          <cell r="I46">
            <v>0</v>
          </cell>
          <cell r="J46">
            <v>0</v>
          </cell>
          <cell r="K46">
            <v>0</v>
          </cell>
          <cell r="L46">
            <v>0</v>
          </cell>
        </row>
        <row r="47">
          <cell r="A47" t="str">
            <v>10087.00881</v>
          </cell>
          <cell r="B47" t="str">
            <v>BULLETIN ENTREE IMMOBILSA</v>
          </cell>
          <cell r="C47" t="str">
            <v xml:space="preserve">BULLETIN D'ENTREE DES IMMOBILISATIONS (BEI) NATURE: CARNET DE 50 LIASSES DE 4 FEUILLETS(1ORIGINAL,3COPIES)DONT LES 3 PREMIERS SONT DETACHABLES PERFORATION VERTICALE -NUMEROTES ET PIQUES COTE GAUCHEAVEC COUVERTURE : FACE ET DOS IMPRESSION : Rª VERTE FORMAT : 21 X 29,7 CM PRESENTATION : PAYSAGE PAPIER : ORIGINAL -NCR BLANC CB 56 G/M2 COPIES -NCR 1)JAUNE CBF 56 G/M2 2)BLEU CBF 56 G/M2 3)ROSE CF 56 G/M2 COUVERTURE : DOSSIER DISPONIBLE SUIVANT MODELE </v>
          </cell>
          <cell r="D47" t="str">
            <v>PE</v>
          </cell>
          <cell r="E47" t="str">
            <v>222.22206</v>
          </cell>
          <cell r="F47">
            <v>24</v>
          </cell>
          <cell r="G47">
            <v>0</v>
          </cell>
          <cell r="H47">
            <v>0</v>
          </cell>
          <cell r="I47">
            <v>0</v>
          </cell>
          <cell r="J47">
            <v>0</v>
          </cell>
          <cell r="K47">
            <v>0</v>
          </cell>
          <cell r="L47">
            <v>0</v>
          </cell>
        </row>
        <row r="48">
          <cell r="A48" t="str">
            <v>10087.00882</v>
          </cell>
          <cell r="B48" t="str">
            <v>DEMANDE REFORME IMMOBILIS</v>
          </cell>
          <cell r="C48" t="str">
            <v xml:space="preserve">IMPRIME DIVERS . . DESIGNATION : DEMANDE DE REFORME DES IMMOBILISATIONS NATURE: BLOC DE 50 LIASSES DE 5 FEUILLES , DETACHABLES COLLEES BORD SUPERIEUR IMPRESSION : RECTO NOIRE FORMAT : 21 X 29,7 , PAPIER : ORIGINAL BLANC 56 G/M2 , 1ERE COPIE JAUNE 32 G/M2 , 2EME COPIE VERT 32 G/M2 , 3EME COPIE ROSE 32 G/M2 , 4EME COPIE BLEU 32 G/M2 PRESENTATION : PAYSAGE SUIVANT MODELE , (IMPRIME REALISE PAR IMPRIMERIE OCP) , </v>
          </cell>
          <cell r="D48" t="str">
            <v>PE</v>
          </cell>
          <cell r="E48" t="str">
            <v>222.22206</v>
          </cell>
          <cell r="F48">
            <v>38</v>
          </cell>
          <cell r="G48">
            <v>0</v>
          </cell>
          <cell r="H48">
            <v>0</v>
          </cell>
          <cell r="I48">
            <v>0</v>
          </cell>
          <cell r="J48">
            <v>0</v>
          </cell>
          <cell r="K48">
            <v>0</v>
          </cell>
          <cell r="L48">
            <v>0</v>
          </cell>
        </row>
        <row r="49">
          <cell r="A49" t="str">
            <v>10087.00883</v>
          </cell>
          <cell r="B49" t="str">
            <v>BULLET.SORT.INV.IMM.(BSI)</v>
          </cell>
          <cell r="C49" t="str">
            <v xml:space="preserve">BULLETIN DE SORTIE D'INVENTAIRE DES IMMOBILISATIONS (BSI) NATURE: CARNET DE 50 LIASSES DE 4 FEUILLES(1ORIGINALE,3COPIES)DONT LES 3 PREMIERS SONT DETACHABLES PERFORATION VERTICALE -NUMEROTES ET PIQUES COTE GAUCHEAVEC COUVERTURE : FACE ET DOS IMPRESSION : Rª VERTE FORMAT : 21 X 29,7 CM PRESENTATION : PAYSAGE PAPIER : ORIGINAL -NCR BLANC CB 56 G/M2 COPIES -NCR 1)JAUNE CBF 56 G/M2 2)BLEU CBF 56 G/M2 3)ROSE CF 56 G/M2 COUVERTURE : DOSSIER DISPONIBLE SUIVANT MODELE . </v>
          </cell>
          <cell r="D49" t="str">
            <v>PE</v>
          </cell>
          <cell r="E49" t="str">
            <v>222.22206</v>
          </cell>
          <cell r="F49">
            <v>34.112000000000002</v>
          </cell>
          <cell r="G49">
            <v>0</v>
          </cell>
          <cell r="H49">
            <v>0</v>
          </cell>
          <cell r="I49">
            <v>0</v>
          </cell>
          <cell r="J49">
            <v>0</v>
          </cell>
          <cell r="K49">
            <v>0</v>
          </cell>
          <cell r="L49">
            <v>0</v>
          </cell>
        </row>
        <row r="50">
          <cell r="A50" t="str">
            <v>10087.00887</v>
          </cell>
          <cell r="B50" t="str">
            <v>BULLET.TRANSF.IMMO.(BTMD)</v>
          </cell>
          <cell r="C50" t="str">
            <v xml:space="preserve">BULLETIN TRANSFERT DES IMMOBILISATIONS MEME DIVISION (BTMD) NATURE: CARNET DE 50 LIASSES DE 4 FEUILLES (1ORIGINAL,3COPIES)DONT LES 3 PREMIERS SONT DETACHABLES AVEC COUVERTURE : FACE ET DOS IMPRESSION : Rª VERTE FORMAT : 21 X 29,7 CM PRESENTATION : PAYSAGE PAPIER : ORIGINAL -NCR BLANC CB 56 G/M2 COPIES -NCR 1)JAUNE CBF 56 G/M2 2)BLEU CBF 56 G/M2 3)ROSE CF 56 G/M2 COUVERTURE : DOSSIER DISPONIBLE SUIVANT MODELE . </v>
          </cell>
          <cell r="D50" t="str">
            <v>PE</v>
          </cell>
          <cell r="E50" t="str">
            <v>222.22206</v>
          </cell>
          <cell r="F50">
            <v>30.844899999999999</v>
          </cell>
          <cell r="G50">
            <v>0</v>
          </cell>
          <cell r="H50">
            <v>0</v>
          </cell>
          <cell r="I50">
            <v>0</v>
          </cell>
          <cell r="J50">
            <v>0</v>
          </cell>
          <cell r="K50">
            <v>0</v>
          </cell>
          <cell r="L50">
            <v>0</v>
          </cell>
        </row>
        <row r="51">
          <cell r="A51" t="str">
            <v>10087.00888</v>
          </cell>
          <cell r="B51" t="str">
            <v>BULLET.TRANSF.IMMO.(BTID)</v>
          </cell>
          <cell r="C51" t="str">
            <v xml:space="preserve">BULLETIN DE TRANSFERT DES IMMOBILISATIONS INTER DIVISION MEME FILIALE (BTID) NATURE: CARNET DE 50 LIASSES DE 3 FEUILLES (1ORIGINAL,2COPIES)DONT LES 2 PREMIERS SONT DETACHABLES PERFORATION VERTICALE -NUMEROTES ET PIQUES COTE GAUCHEAVEC COUVERTURE : FACE ET DOS IMPRESSION : Rª VERTE FORMAT : 21 X 29,7 CM PRESENTATION : PAYSAGE PAPIER : ORIGINAL -NCR BLANC CB 56 G/M2 COPIES -NCR 1)JAUNE CBF 56 G/M2 2)ROSE CF 56 G/M2 COUVERTURE : DOSSIER DISPONIBLE SUIVANT MODELE . </v>
          </cell>
          <cell r="D51" t="str">
            <v>PE</v>
          </cell>
          <cell r="E51" t="str">
            <v>222.22206</v>
          </cell>
          <cell r="F51">
            <v>23.057200000000002</v>
          </cell>
          <cell r="G51">
            <v>0</v>
          </cell>
          <cell r="H51">
            <v>0</v>
          </cell>
          <cell r="I51">
            <v>0</v>
          </cell>
          <cell r="J51">
            <v>0</v>
          </cell>
          <cell r="K51">
            <v>0</v>
          </cell>
          <cell r="L51">
            <v>0</v>
          </cell>
        </row>
        <row r="52">
          <cell r="A52" t="str">
            <v>10087.00889</v>
          </cell>
          <cell r="B52" t="str">
            <v>DEMANDE REFORME IMMOBILISATIONS</v>
          </cell>
          <cell r="C52" t="str">
            <v>DEMANDE DE REFORME DES IMMOBILISATIONS NATURE: BLOC DE 50 LIASSEES DE 5 FEUILLES ORIGINAL ET 4 COPIES,NUMEROTES, COLLES BORD SUPERIEUR AVEC COUVERTURE AU DOS IMPRESSION : R° NOIRE FORMAT : 21 X 29,7 CM PAPIER : NCR 56 G/M²,ORIGINAL BLANC CB, COPIE 1 : JAUNE CBF, COPIE 2 : VERT CBF, COPIE 3 BLEU CBF, COPIE 4 : ROSE CF COUVERTURE : EN  DOSSIER COULEUR DISPONIBLE PRESENTATION : PAYSAGESUIVANT  MODELE .</v>
          </cell>
          <cell r="D52" t="str">
            <v>PE</v>
          </cell>
          <cell r="E52" t="str">
            <v>222.22206</v>
          </cell>
          <cell r="F52">
            <v>37.9208</v>
          </cell>
          <cell r="G52">
            <v>0</v>
          </cell>
          <cell r="H52">
            <v>0</v>
          </cell>
          <cell r="I52">
            <v>0</v>
          </cell>
          <cell r="J52">
            <v>0</v>
          </cell>
          <cell r="K52">
            <v>0</v>
          </cell>
          <cell r="L52">
            <v>0</v>
          </cell>
        </row>
        <row r="53">
          <cell r="A53" t="str">
            <v>10087.00890</v>
          </cell>
          <cell r="B53" t="str">
            <v>BULLETIN D'INVENTAIRE PHYSIQUE (BIP)</v>
          </cell>
          <cell r="C53" t="str">
            <v xml:space="preserve">BULLETIN D'INVENTAIRE PHYSIQUE (BIP)BLOC DE 50 LIASSES DE 4 FEUILLES NUMEROTEES ( NCR : BLANC, JAUNE, BLEU ET ROSE )   IMPRESSION : R° VERTE FORMAT : 21 X 29,7 CM PAPIER : NCR 56 G/M² : BLANC CB, JAUNE CBF, BLEU CBF ET ROSE CF PRESENTATION : PAYSAGECOUVERTURE : DOSSIER 240 G/M², COULEUR DISPONIBLE SUIVANT MODELE . </v>
          </cell>
          <cell r="D53" t="str">
            <v>PE</v>
          </cell>
          <cell r="E53" t="str">
            <v>222.22206</v>
          </cell>
          <cell r="F53">
            <v>30.105499999999999</v>
          </cell>
          <cell r="G53">
            <v>0</v>
          </cell>
          <cell r="H53">
            <v>0</v>
          </cell>
          <cell r="I53">
            <v>0</v>
          </cell>
          <cell r="J53">
            <v>0</v>
          </cell>
          <cell r="K53">
            <v>0</v>
          </cell>
          <cell r="L53">
            <v>0</v>
          </cell>
        </row>
        <row r="54">
          <cell r="A54" t="str">
            <v>10087.00891</v>
          </cell>
          <cell r="B54" t="str">
            <v>ECART INVENTAIRE DES IMMOBILISATIONS</v>
          </cell>
          <cell r="C54" t="str">
            <v xml:space="preserve">ETAT DES ECARTS D'INVENTAIRE DES IMMOBILISATIONS ECI BLOC DE 50 LIASSES DE 4 FEUILLES NUMEROTEES ( NCR : BLANC, JAUNE, BLEU ET ROSE )   COLLEES VERTICALMENT COTE GAUCHE AVEC COUVERTURE AU DOS IMPRESSION : R° VERTE FORMAT : 21 X 29,7 CM VERSION FRANCAISEPAPIER : NCR 56 G/M² : BLANC CB, JAUNE CBF, BLEU CBF ET ROSE CF PRESENTATION : PAYSAGECOUVERTURE : DOSSIER 240 G/M², COULEUR DISPONIBLE SUIVANT MODELE . </v>
          </cell>
          <cell r="D54" t="str">
            <v>PE</v>
          </cell>
          <cell r="E54" t="str">
            <v>222.22206</v>
          </cell>
          <cell r="F54">
            <v>30.105499999999999</v>
          </cell>
          <cell r="G54">
            <v>0</v>
          </cell>
          <cell r="H54">
            <v>0</v>
          </cell>
          <cell r="I54">
            <v>0</v>
          </cell>
          <cell r="J54">
            <v>0</v>
          </cell>
          <cell r="K54">
            <v>0</v>
          </cell>
          <cell r="L54">
            <v>0</v>
          </cell>
        </row>
        <row r="55">
          <cell r="A55" t="str">
            <v>10087.00903</v>
          </cell>
          <cell r="B55" t="str">
            <v>AGENDA</v>
          </cell>
          <cell r="C55" t="str">
            <v xml:space="preserve">AGENDA ANNEE : A PRECISERSUIVANT DESCRIPTIF TECHNIQUE OU MODELE  </v>
          </cell>
          <cell r="D55" t="str">
            <v>PE</v>
          </cell>
          <cell r="E55" t="str">
            <v>222.22206</v>
          </cell>
          <cell r="F55">
            <v>68.699600000000004</v>
          </cell>
          <cell r="G55">
            <v>0</v>
          </cell>
          <cell r="H55">
            <v>0</v>
          </cell>
          <cell r="I55">
            <v>0</v>
          </cell>
          <cell r="J55">
            <v>0</v>
          </cell>
          <cell r="K55">
            <v>0</v>
          </cell>
          <cell r="L55">
            <v>0</v>
          </cell>
        </row>
        <row r="56">
          <cell r="A56" t="str">
            <v>10087.00905</v>
          </cell>
          <cell r="B56" t="str">
            <v>BLOC EPHEMERIDE</v>
          </cell>
          <cell r="C56" t="str">
            <v>BLOC EPHEMERIDEBILINGUE EN-TETE OCP ( ANNEE A PRECISER )FORMAT : 12 X 8,5 (A 3 TROUS, ADAPTABLE POUR LES SOCLES D'ECARTEMENT 7 ET 8)IMPRESSION : VERSO EN QUADRICHROMIECOUVERTURE : FEUILLET EPAIS A 120G/M²INTERIEUR : FEUILLET EPAIS A 72G/M²PERSONNALISATION : MARQUAGE DU LOGO EN IMPRESSION QUADRI R° DANS L’ENSEMBLE DES FEUILLES DU BLOCLES OFFRES DOIVENT ETRE ACCOMPAGNEES D'UN ECHANTILLON POUR CHOIX</v>
          </cell>
          <cell r="D56" t="str">
            <v>PE</v>
          </cell>
          <cell r="E56" t="str">
            <v>222.22206</v>
          </cell>
          <cell r="F56">
            <v>14.4</v>
          </cell>
          <cell r="G56">
            <v>0</v>
          </cell>
          <cell r="H56">
            <v>0</v>
          </cell>
          <cell r="I56">
            <v>0</v>
          </cell>
          <cell r="J56">
            <v>0</v>
          </cell>
          <cell r="K56">
            <v>0</v>
          </cell>
          <cell r="L56">
            <v>0</v>
          </cell>
        </row>
        <row r="57">
          <cell r="A57" t="str">
            <v>10087.00821</v>
          </cell>
          <cell r="B57" t="str">
            <v>CONSTAT D'ANOMALIE ROUGE</v>
          </cell>
          <cell r="C57" t="str">
            <v xml:space="preserve">CONSTAT D'ANOMALIE (ROUGE) TOPOMAINTENANCE NATURE: BLOC DE 50 LIASSES DE 2 ETIQUETTES,NUMEROTE, PERFORE (1TROU) ET C0LLE BORD SUPERIEUR PAPIER : ORIGINAL : BLANC NCR CB COPIE : CARTE BLANCHE NCR CF IMPRESSION : RECTO NOIRE ET ROUGE FORMAT : 8 X 12 CM PRESENTATION : PORTRAIT SUIVANT MODELE . </v>
          </cell>
          <cell r="D57" t="str">
            <v>PE</v>
          </cell>
          <cell r="E57" t="str">
            <v>222.22206</v>
          </cell>
          <cell r="F57">
            <v>1.089</v>
          </cell>
          <cell r="G57">
            <v>0</v>
          </cell>
          <cell r="H57">
            <v>0</v>
          </cell>
          <cell r="I57">
            <v>0</v>
          </cell>
          <cell r="J57">
            <v>0</v>
          </cell>
          <cell r="K57">
            <v>0</v>
          </cell>
          <cell r="L57">
            <v>0</v>
          </cell>
        </row>
        <row r="58">
          <cell r="A58" t="str">
            <v>10087.00058</v>
          </cell>
          <cell r="B58" t="str">
            <v>FICHE TECHNIQUE "PAKISTAN MAROC-PHOSPHORE"</v>
          </cell>
          <cell r="C58" t="str">
            <v>FICHE TECHNIQUE "PAKISTAN MAROC-PHOSPHORE"POUR CONTROLE DE MATERIELIMPRESSION     : R° V° NOIREFORMAT            : 21 X 29,7 CMPRESENTATION : PYSAGEPAPIER              : CARTE BLANCHE 240G/M²MODELE A REPRODUIRE FOURNI PAR SDG/PH/DI</v>
          </cell>
          <cell r="D58" t="str">
            <v>PE</v>
          </cell>
          <cell r="E58" t="str">
            <v>222.22206</v>
          </cell>
          <cell r="F58">
            <v>0.55000000000000004</v>
          </cell>
          <cell r="G58">
            <v>0</v>
          </cell>
          <cell r="H58">
            <v>0</v>
          </cell>
          <cell r="I58">
            <v>0</v>
          </cell>
          <cell r="J58">
            <v>0</v>
          </cell>
          <cell r="K58">
            <v>0</v>
          </cell>
          <cell r="L58">
            <v>0</v>
          </cell>
        </row>
        <row r="59">
          <cell r="A59" t="str">
            <v>10087.00911</v>
          </cell>
          <cell r="B59" t="str">
            <v>AGENDA OCP GAMME STANDARD</v>
          </cell>
          <cell r="C59" t="str">
            <v>AGENDA OCPGAMME STANDARDSUIVANT DESCRIPTIF TECHNIQUE CI-JOINTANNEE A PRECISER</v>
          </cell>
          <cell r="D59" t="str">
            <v>PE</v>
          </cell>
          <cell r="E59" t="str">
            <v>222.22206</v>
          </cell>
          <cell r="F59">
            <v>59.994</v>
          </cell>
          <cell r="G59">
            <v>0</v>
          </cell>
          <cell r="H59">
            <v>0</v>
          </cell>
          <cell r="I59">
            <v>0</v>
          </cell>
          <cell r="J59">
            <v>0</v>
          </cell>
          <cell r="K59">
            <v>0</v>
          </cell>
          <cell r="L59">
            <v>0</v>
          </cell>
        </row>
        <row r="60">
          <cell r="A60" t="str">
            <v>10086.02052</v>
          </cell>
          <cell r="B60" t="str">
            <v>CHEM DOSSIER COMMANDE</v>
          </cell>
          <cell r="C60" t="str">
            <v>CHEMISE DOSSIER "COMMANDE" IMPRESSION : R° V° QUALITE : PAPIER DOSSIER FORCE : 250 GR/M² CARRE FORMAT : PLIE 23 X 31- A PLAT 31 X 50- PORTEFEUILLE COMPOSITION A 3 VOLETS COULEUR PAPIER A PRECISER A LA DEMANDESUIVANT MODELE</v>
          </cell>
          <cell r="D60" t="str">
            <v>PE</v>
          </cell>
          <cell r="E60" t="str">
            <v>222.22206</v>
          </cell>
          <cell r="F60">
            <v>1.1639999999999999</v>
          </cell>
          <cell r="G60">
            <v>0</v>
          </cell>
          <cell r="H60">
            <v>0</v>
          </cell>
          <cell r="I60">
            <v>590</v>
          </cell>
          <cell r="J60">
            <v>200</v>
          </cell>
          <cell r="K60">
            <v>220</v>
          </cell>
          <cell r="L60">
            <v>0</v>
          </cell>
        </row>
        <row r="61">
          <cell r="A61" t="str">
            <v>10087.00462</v>
          </cell>
          <cell r="B61" t="str">
            <v>BON DE REPARATION (BREX)</v>
          </cell>
          <cell r="C61" t="str">
            <v>BON DE REPARATION A L'EXTERIEUR (BREX) NATURE: CARNET DE 50 LIASSES DE 5 FEUILLETS(1ORIGINAL,4COPIES)DONT LES 4 PREMIERS SONT DETACHABLES PERFORATION VERTICALE-NUMEROTES ET PIQUES COTE GAUCHE AVEC COUVERTURE : FACE ET DOS 240G/M² COULEUR DISPONIBLEIMPRESSION : Rª VERTE FORMAT :  21X29,7 (A4) PAPIER  NCRIMPRESSION NUMEROTATION EN NOIRSUIVANT MODELE.</v>
          </cell>
          <cell r="D61" t="str">
            <v>PE</v>
          </cell>
          <cell r="E61" t="str">
            <v>222.22206</v>
          </cell>
          <cell r="F61">
            <v>38.250999999999998</v>
          </cell>
          <cell r="G61">
            <v>0</v>
          </cell>
          <cell r="H61">
            <v>0</v>
          </cell>
          <cell r="I61">
            <v>0</v>
          </cell>
          <cell r="J61">
            <v>0</v>
          </cell>
          <cell r="K61">
            <v>0</v>
          </cell>
          <cell r="L61">
            <v>0</v>
          </cell>
        </row>
        <row r="62">
          <cell r="A62" t="str">
            <v>10087.00466</v>
          </cell>
          <cell r="B62" t="str">
            <v>BON DE TRAVAUX</v>
          </cell>
          <cell r="C62" t="str">
            <v xml:space="preserve">IMPRIME DIVERS BON DE TRAVAUX . NATURE: CARNET DE 50 LIASSES DE 4 FEUILLETS(1ORIGINAL,3COPIES), DONT LES 3 PREMIERS SONT DETACHABLES , PERFORATION VERTICALE -NUMEROTES ET PIQUES COTE GAUCHE, AVEC COUVERTURE : FACE ET DOS IMPRESSION : Rª VERTE FORMAT : 14,8 X 21 CM , PRESENTATION : PAYSAGE , PAPIER : ORIGINAL -NCR BLANC CB 56 G/M2 , COPIES NCR 1)JAUNE CBF 56 G/M2 2)BLEU CBF 56 G/M2 , 3)ROSE CF 56 G/M2 COUVERTURE : DOSSIER DISPONIBLE SUIVANT MODELE . </v>
          </cell>
          <cell r="D62" t="str">
            <v>PE</v>
          </cell>
          <cell r="E62" t="str">
            <v>222.22206</v>
          </cell>
          <cell r="F62">
            <v>16</v>
          </cell>
          <cell r="G62">
            <v>0</v>
          </cell>
          <cell r="H62">
            <v>127</v>
          </cell>
          <cell r="I62">
            <v>0</v>
          </cell>
          <cell r="J62">
            <v>0</v>
          </cell>
          <cell r="K62">
            <v>5</v>
          </cell>
          <cell r="L62">
            <v>0</v>
          </cell>
        </row>
        <row r="63">
          <cell r="A63" t="str">
            <v>10083.00802</v>
          </cell>
          <cell r="B63" t="str">
            <v>REGIST QUA 21X31</v>
          </cell>
          <cell r="C63" t="str">
            <v xml:space="preserve">PAPETERIE REGISTRE QUADRILLE 5/5  FORMAT : 21 X 31 (A LA FRANCAISE) QUALITE : PAPIER VELIN SUPERIEUR,COUVERTURE RIGIDE EPAISSEUR : 2 MAINS (50 FEUILLES) </v>
          </cell>
          <cell r="D63" t="str">
            <v>PE</v>
          </cell>
          <cell r="E63" t="str">
            <v>222.22206</v>
          </cell>
          <cell r="F63">
            <v>16.116</v>
          </cell>
          <cell r="G63">
            <v>0</v>
          </cell>
          <cell r="H63">
            <v>0</v>
          </cell>
          <cell r="I63">
            <v>0</v>
          </cell>
          <cell r="J63">
            <v>0</v>
          </cell>
          <cell r="K63">
            <v>8</v>
          </cell>
          <cell r="L63">
            <v>0</v>
          </cell>
        </row>
        <row r="64">
          <cell r="A64" t="str">
            <v>10083.00804</v>
          </cell>
          <cell r="B64" t="str">
            <v>REGIST QUA 25X33</v>
          </cell>
          <cell r="C64" t="str">
            <v xml:space="preserve">PAPETERIE REGISTRE QUADRILLE 5/5  FORMAT : 25 X 33 (A LA FRANCAISE) QUALITE : PAPIER VELIN SUPERIEUR,COUVERTURE RIGIDE EPAISSEUR : 2 MAINS (50 FEUILLES) </v>
          </cell>
          <cell r="D64" t="str">
            <v>PE</v>
          </cell>
          <cell r="E64" t="str">
            <v>222.22206</v>
          </cell>
          <cell r="F64">
            <v>15</v>
          </cell>
          <cell r="G64">
            <v>0</v>
          </cell>
          <cell r="H64">
            <v>0</v>
          </cell>
          <cell r="I64">
            <v>0</v>
          </cell>
          <cell r="J64">
            <v>0</v>
          </cell>
          <cell r="K64">
            <v>8</v>
          </cell>
          <cell r="L64">
            <v>0</v>
          </cell>
        </row>
        <row r="65">
          <cell r="A65" t="str">
            <v>10083.00806</v>
          </cell>
          <cell r="B65" t="str">
            <v>REGIST CAR 26X40</v>
          </cell>
          <cell r="C65" t="str">
            <v xml:space="preserve">PAPETERIE REGISTRE QUADRILLE 5/5  FORMAT : 26 X 40 (A LA FRANCAISE) QUALITE : PAPIER VELIN SUPERIEUR,COUVERTURE RIGIDE EPAISSEUR : 2 MAINS (50 FEUILLES) </v>
          </cell>
          <cell r="D65" t="str">
            <v>PE</v>
          </cell>
          <cell r="E65" t="str">
            <v>222.22206</v>
          </cell>
          <cell r="F65">
            <v>20.867999999999999</v>
          </cell>
          <cell r="G65">
            <v>0</v>
          </cell>
          <cell r="H65">
            <v>0</v>
          </cell>
          <cell r="I65">
            <v>0</v>
          </cell>
          <cell r="J65">
            <v>0</v>
          </cell>
          <cell r="K65">
            <v>4</v>
          </cell>
          <cell r="L65">
            <v>0</v>
          </cell>
        </row>
        <row r="66">
          <cell r="A66" t="str">
            <v>10086.08106</v>
          </cell>
          <cell r="B66" t="str">
            <v>FICHE MAGASIN 21X29,7 CM</v>
          </cell>
          <cell r="C66" t="str">
            <v xml:space="preserve">FICHE MAGASIN FEUILLE SIMPLE IMPRESSION : RO.VO NOIRE QUALITE : PAPIER DOSSIER FORCE : 240 GR/M2 FORMAT : HORS TOUT = 21 X 29,7 CM PRESENTATION : A LA FRANCAISE COULEUR VERTE CLAIRE SUIVANT MODELE , </v>
          </cell>
          <cell r="D66" t="str">
            <v>PE</v>
          </cell>
          <cell r="E66" t="str">
            <v>222.22206</v>
          </cell>
          <cell r="F66">
            <v>0.46970000000000001</v>
          </cell>
          <cell r="G66">
            <v>0</v>
          </cell>
          <cell r="H66">
            <v>0</v>
          </cell>
          <cell r="I66">
            <v>0</v>
          </cell>
          <cell r="J66">
            <v>0</v>
          </cell>
          <cell r="K66">
            <v>500</v>
          </cell>
          <cell r="L66">
            <v>0</v>
          </cell>
        </row>
        <row r="67">
          <cell r="A67" t="str">
            <v>10086.08110</v>
          </cell>
          <cell r="B67" t="str">
            <v>FICHE GESTION STOCK ROSE</v>
          </cell>
          <cell r="C67" t="str">
            <v xml:space="preserve">IMPRIME RELATIF AUX APPROVISIONNEMENTS . . DESIGNATION : FICHE GESTION DES STOCKS , FORME CHEMISE PLIEE EN 2 VOLETS S/DECOUPAGE DES COINS IMPRESSION : RO-VO NOIRE QUALITE : PAPIER DOSSIER FORCE : 240 GR/M2 FORMAT : 21 X 46 CM PRESENTATION : A L'ITALIENNE COULEUR ROSE SUIVANT MODELE , </v>
          </cell>
          <cell r="D67" t="str">
            <v>PE</v>
          </cell>
          <cell r="E67" t="str">
            <v>222.22206</v>
          </cell>
          <cell r="F67">
            <v>0.72750000000000004</v>
          </cell>
          <cell r="G67">
            <v>0</v>
          </cell>
          <cell r="H67">
            <v>0</v>
          </cell>
          <cell r="I67">
            <v>9000</v>
          </cell>
          <cell r="J67">
            <v>0</v>
          </cell>
          <cell r="K67">
            <v>0</v>
          </cell>
          <cell r="L67">
            <v>0</v>
          </cell>
        </row>
        <row r="68">
          <cell r="A68" t="str">
            <v>10086.08111</v>
          </cell>
          <cell r="B68" t="str">
            <v>FICHE GESTION STOCK VERTE</v>
          </cell>
          <cell r="C68" t="str">
            <v xml:space="preserve">IMPRIME RELATIF AUX APPROVISIONNEMENTS . . DESIGNATION : FICHE GESTION DES STOCKS , FORME CHEMISE PLIEE EN 2 VOLETS S/DECOUPAGE DES COINS IMPRESSION : RO-VO NOIRE QUALITE : PAPIER DOSSIER FORCE : 240 GR/M2 FORMAT : 21 X 46 CM PRESENTATION : A L'ITALIENNE COULEUR VERTE SUIVANT MODELE , </v>
          </cell>
          <cell r="D68" t="str">
            <v>PE</v>
          </cell>
          <cell r="E68" t="str">
            <v>222.22206</v>
          </cell>
          <cell r="F68">
            <v>1.1639999999999999</v>
          </cell>
          <cell r="G68">
            <v>0</v>
          </cell>
          <cell r="H68">
            <v>0</v>
          </cell>
          <cell r="I68">
            <v>5250</v>
          </cell>
          <cell r="J68">
            <v>0</v>
          </cell>
          <cell r="K68">
            <v>0</v>
          </cell>
          <cell r="L68">
            <v>0</v>
          </cell>
        </row>
        <row r="69">
          <cell r="A69" t="str">
            <v>10068.05633</v>
          </cell>
          <cell r="B69" t="str">
            <v>BRIDE TOURNANTE DN200</v>
          </cell>
          <cell r="C69" t="str">
            <v xml:space="preserve">BRIDE TOURNANTE EN ACIER INOX 316LPRESSION NOMINALE 10    DIAMETRE NOMINAL 200 </v>
          </cell>
          <cell r="D69" t="str">
            <v>PE</v>
          </cell>
          <cell r="E69" t="str">
            <v>313.31301</v>
          </cell>
          <cell r="F69">
            <v>980</v>
          </cell>
          <cell r="G69">
            <v>0</v>
          </cell>
          <cell r="H69">
            <v>0</v>
          </cell>
          <cell r="I69">
            <v>0</v>
          </cell>
          <cell r="J69">
            <v>0</v>
          </cell>
          <cell r="K69">
            <v>0</v>
          </cell>
          <cell r="L69">
            <v>0</v>
          </cell>
        </row>
        <row r="70">
          <cell r="A70" t="str">
            <v>10068.05623</v>
          </cell>
          <cell r="B70" t="str">
            <v>BRIDE PLATE A SOUD.DN50</v>
          </cell>
          <cell r="C70" t="str">
            <v xml:space="preserve">BRIDE PLATE A SOUDER EN ACIER INOX 316LPRESSION NOMINALE 10 DIAMETRE NOMINAL 50 </v>
          </cell>
          <cell r="D70" t="str">
            <v>PE</v>
          </cell>
          <cell r="E70" t="str">
            <v>313.31301</v>
          </cell>
          <cell r="F70">
            <v>275</v>
          </cell>
          <cell r="G70">
            <v>0</v>
          </cell>
          <cell r="H70">
            <v>0</v>
          </cell>
          <cell r="I70">
            <v>0</v>
          </cell>
          <cell r="J70">
            <v>15</v>
          </cell>
          <cell r="K70">
            <v>0</v>
          </cell>
          <cell r="L70">
            <v>1</v>
          </cell>
        </row>
        <row r="71">
          <cell r="A71" t="str">
            <v>10068.05624</v>
          </cell>
          <cell r="B71" t="str">
            <v>BRIDE PLATE A SOUD.DN80</v>
          </cell>
          <cell r="C71" t="str">
            <v xml:space="preserve">BRIDE PLATE A SOUDER EN ACIER INOX 316LPRESSION NOMINALE 10    DIAMETRE NOMINAL 80 </v>
          </cell>
          <cell r="D71" t="str">
            <v>PE</v>
          </cell>
          <cell r="E71" t="str">
            <v>313.31301</v>
          </cell>
          <cell r="F71">
            <v>519.4</v>
          </cell>
          <cell r="G71">
            <v>0</v>
          </cell>
          <cell r="H71">
            <v>0</v>
          </cell>
          <cell r="I71">
            <v>0</v>
          </cell>
          <cell r="J71">
            <v>0</v>
          </cell>
          <cell r="K71">
            <v>0</v>
          </cell>
          <cell r="L71">
            <v>0</v>
          </cell>
        </row>
        <row r="72">
          <cell r="A72" t="str">
            <v>10068.05627</v>
          </cell>
          <cell r="B72" t="str">
            <v>BRIDE PLATE A SOUD.DN100</v>
          </cell>
          <cell r="C72" t="str">
            <v xml:space="preserve">BRIDE PLATE A SOUDER EN ACIER INOX 316LPRESSION NOMINALE 10   DIAMETRE NOMINAL 100 </v>
          </cell>
          <cell r="D72" t="str">
            <v>PE</v>
          </cell>
          <cell r="E72" t="str">
            <v>313.31301</v>
          </cell>
          <cell r="F72">
            <v>402.24380000000002</v>
          </cell>
          <cell r="G72">
            <v>0</v>
          </cell>
          <cell r="H72">
            <v>0</v>
          </cell>
          <cell r="I72">
            <v>0</v>
          </cell>
          <cell r="J72">
            <v>0</v>
          </cell>
          <cell r="K72">
            <v>0</v>
          </cell>
          <cell r="L72">
            <v>2</v>
          </cell>
        </row>
        <row r="73">
          <cell r="A73" t="str">
            <v>10068.00807</v>
          </cell>
          <cell r="B73" t="str">
            <v>COUDE A90° UB6 DN100</v>
          </cell>
          <cell r="C73" t="str">
            <v>COUDE A SOUDER A 90° SANS SOUDURE EN ACIER INOX SCHEDULE 40SNORME/NUANCEAFNOR               / Z1 NCDU 25-20AISI                    / 904LUGINE                 / NSB6CREUSOT-LOIRE / UB6D.EXTERIEUR 114,3MM EP. EPAISSEUR = 6,02MM SCHED.40S</v>
          </cell>
          <cell r="D73" t="str">
            <v>PE</v>
          </cell>
          <cell r="E73" t="str">
            <v>313.31301</v>
          </cell>
          <cell r="F73">
            <v>1681.1143</v>
          </cell>
          <cell r="G73">
            <v>0</v>
          </cell>
          <cell r="H73">
            <v>0</v>
          </cell>
          <cell r="I73">
            <v>0</v>
          </cell>
          <cell r="J73">
            <v>0</v>
          </cell>
          <cell r="K73">
            <v>0</v>
          </cell>
          <cell r="L73">
            <v>2</v>
          </cell>
        </row>
        <row r="74">
          <cell r="A74" t="str">
            <v>10068.05356</v>
          </cell>
          <cell r="B74" t="str">
            <v>BRIDE A FACE SURELEVEE</v>
          </cell>
          <cell r="C74" t="str">
            <v>BRIDE A FACE SURELEVEEDN 150 PN 16 D.EXT.285 CERCLE PERCAGE 240 8TROUS D.22</v>
          </cell>
          <cell r="D74" t="str">
            <v>PE</v>
          </cell>
          <cell r="E74" t="str">
            <v>313.31301</v>
          </cell>
          <cell r="F74">
            <v>375</v>
          </cell>
          <cell r="G74">
            <v>0</v>
          </cell>
          <cell r="H74">
            <v>0</v>
          </cell>
          <cell r="I74">
            <v>0</v>
          </cell>
          <cell r="J74">
            <v>0</v>
          </cell>
          <cell r="K74">
            <v>0</v>
          </cell>
          <cell r="L74">
            <v>0</v>
          </cell>
        </row>
        <row r="75">
          <cell r="A75" t="str">
            <v>10068.05357</v>
          </cell>
          <cell r="B75" t="str">
            <v>BRIDE A FACE SURELEVEE</v>
          </cell>
          <cell r="C75" t="str">
            <v>BRIDE A FACE SURELEVEEDN 200 PN 16 D.EXT.340 CERCLE PERCAGE 295 12TROUS D.22</v>
          </cell>
          <cell r="D75" t="str">
            <v>PE</v>
          </cell>
          <cell r="E75" t="str">
            <v>313.31301</v>
          </cell>
          <cell r="F75">
            <v>555</v>
          </cell>
          <cell r="G75">
            <v>0</v>
          </cell>
          <cell r="H75">
            <v>0</v>
          </cell>
          <cell r="I75">
            <v>0</v>
          </cell>
          <cell r="J75">
            <v>0</v>
          </cell>
          <cell r="K75">
            <v>0</v>
          </cell>
          <cell r="L75">
            <v>0</v>
          </cell>
        </row>
        <row r="76">
          <cell r="A76" t="str">
            <v>10068.05621</v>
          </cell>
          <cell r="B76" t="str">
            <v>BRIDE PLATE A SOUD.DN25</v>
          </cell>
          <cell r="C76" t="str">
            <v xml:space="preserve">BRIDES PLATE A SOUDER EN ACIER INOX 316LPRESSION NOMINALE 10    DIAMETRE NOMINAL 25 </v>
          </cell>
          <cell r="D76" t="str">
            <v>PE</v>
          </cell>
          <cell r="E76" t="str">
            <v>313.31301</v>
          </cell>
          <cell r="F76">
            <v>112.7</v>
          </cell>
          <cell r="G76">
            <v>0</v>
          </cell>
          <cell r="H76">
            <v>0</v>
          </cell>
          <cell r="I76">
            <v>0</v>
          </cell>
          <cell r="J76">
            <v>0</v>
          </cell>
          <cell r="K76">
            <v>0</v>
          </cell>
          <cell r="L76">
            <v>0</v>
          </cell>
        </row>
        <row r="77">
          <cell r="A77" t="str">
            <v>10068.05351</v>
          </cell>
          <cell r="B77" t="str">
            <v>BRID COLL A SOUDER DN 100</v>
          </cell>
          <cell r="C77" t="str">
            <v>BRIDE A COLERETTE A SOUDER EN INOX 316TINUANCE AFNORE Z6 CNDT 17-12FACE DU JOINT SURELEVEE S/NORME NF.E 29.203PN10 SCHEDULE 5SDN100 D.EXT. 220 D.EXT.TUBE 114,3 EP.20 PERCAGE 18 NBR BOULON 8COLERETTE : D.BASE 131MM EP.3,6MM D.JOINT SURELEVE 158MM</v>
          </cell>
          <cell r="D77" t="str">
            <v>PE</v>
          </cell>
          <cell r="E77" t="str">
            <v>313.31301</v>
          </cell>
          <cell r="F77">
            <v>1056</v>
          </cell>
          <cell r="G77">
            <v>0</v>
          </cell>
          <cell r="H77">
            <v>0</v>
          </cell>
          <cell r="I77">
            <v>0</v>
          </cell>
          <cell r="J77">
            <v>0</v>
          </cell>
          <cell r="K77">
            <v>0</v>
          </cell>
          <cell r="L77">
            <v>6</v>
          </cell>
        </row>
        <row r="78">
          <cell r="A78" t="str">
            <v>10068.05352</v>
          </cell>
          <cell r="B78" t="str">
            <v>BRID COLL A SOUDER DN 50</v>
          </cell>
          <cell r="C78" t="str">
            <v>BRIDE A COLERETTE A SOUDER EN ACIER A42 FACE DU JOINT SURELEVEE S/NORME NF.E 29.203PN16 SCHEDULE 160DN50 D.EXT. 165 D.EXT.TUBE 60,3 EP.18 PERCAGE 18 NBR BOULON 4COLERETTE : D.BASE 75MM EP.2,9MM D.JOINT SURELEVE 102MM</v>
          </cell>
          <cell r="D78" t="str">
            <v>PE</v>
          </cell>
          <cell r="E78" t="str">
            <v>313.31301</v>
          </cell>
          <cell r="F78">
            <v>148.5</v>
          </cell>
          <cell r="G78">
            <v>0</v>
          </cell>
          <cell r="H78">
            <v>0</v>
          </cell>
          <cell r="I78">
            <v>0</v>
          </cell>
          <cell r="J78">
            <v>0</v>
          </cell>
          <cell r="K78">
            <v>0</v>
          </cell>
          <cell r="L78">
            <v>6</v>
          </cell>
        </row>
        <row r="79">
          <cell r="A79" t="str">
            <v>10068.05355</v>
          </cell>
          <cell r="B79" t="str">
            <v>BRID A COLLERETTE A SOUDER DN100</v>
          </cell>
          <cell r="C79" t="str">
            <v>BRIDE A COLERETTE A SOUDER EN ACIER A42 FACE DU JOINT SURELEVEE S/NORME NF.E 29.203PN16 SCHEDULE 160DN100 D.EXT. 220 D.EXT.TUBE 114,3 EP.20 PERCAGE 20 NBR BOULON 8COLERETTE : D.BASE 131MM EP.3,6MM D.JOINT SURELEVE 158MM</v>
          </cell>
          <cell r="D79" t="str">
            <v>PE</v>
          </cell>
          <cell r="E79" t="str">
            <v>313.31301</v>
          </cell>
          <cell r="F79">
            <v>247.5</v>
          </cell>
          <cell r="G79">
            <v>0</v>
          </cell>
          <cell r="H79">
            <v>0</v>
          </cell>
          <cell r="I79">
            <v>0</v>
          </cell>
          <cell r="J79">
            <v>0</v>
          </cell>
          <cell r="K79">
            <v>0</v>
          </cell>
          <cell r="L79">
            <v>0</v>
          </cell>
        </row>
        <row r="80">
          <cell r="A80" t="str">
            <v>10068.08403</v>
          </cell>
          <cell r="B80" t="str">
            <v>BRIDE TOURNANTE EN INOX 304L DN150</v>
          </cell>
          <cell r="C80" t="str">
            <v>BRIDE TOURNANTE INOX AISI 304L NORME EN 1092-1 TYPE 02A DIN 2642 DN150</v>
          </cell>
          <cell r="D80" t="str">
            <v>PE</v>
          </cell>
          <cell r="E80" t="str">
            <v>313.31301</v>
          </cell>
          <cell r="F80">
            <v>643.5</v>
          </cell>
          <cell r="G80">
            <v>0</v>
          </cell>
          <cell r="H80">
            <v>0</v>
          </cell>
          <cell r="I80">
            <v>0</v>
          </cell>
          <cell r="J80">
            <v>0</v>
          </cell>
          <cell r="K80">
            <v>0</v>
          </cell>
          <cell r="L80">
            <v>2</v>
          </cell>
        </row>
        <row r="81">
          <cell r="A81" t="str">
            <v>10083.00258</v>
          </cell>
          <cell r="B81" t="str">
            <v>CHEMISE STEEL CRYSTAL 3MM</v>
          </cell>
          <cell r="C81" t="str">
            <v xml:space="preserve">PAPETERIE CHEMISE "STEEL CRYSTAL" , DOS EN FORME DE U , COLLAGE A CHAUD COULEUR : A PRECISER FORMAT : FORMAT 21 X 29,7 CM EPAISSEUR : 3 MM </v>
          </cell>
          <cell r="D81" t="str">
            <v>PE</v>
          </cell>
          <cell r="E81" t="str">
            <v>222.22206</v>
          </cell>
          <cell r="F81">
            <v>8.75</v>
          </cell>
          <cell r="G81">
            <v>0</v>
          </cell>
          <cell r="H81">
            <v>0</v>
          </cell>
          <cell r="I81">
            <v>0</v>
          </cell>
          <cell r="J81">
            <v>0</v>
          </cell>
          <cell r="K81">
            <v>43</v>
          </cell>
          <cell r="L81">
            <v>0</v>
          </cell>
        </row>
        <row r="82">
          <cell r="A82" t="str">
            <v>10083.00260</v>
          </cell>
          <cell r="B82" t="str">
            <v>CHEMISE STEEL CRYSTAL 5MM</v>
          </cell>
          <cell r="C82" t="str">
            <v xml:space="preserve">PAPETERIE CHEMISE "STEEL CRYSTAL" , DOS EN FORME DE U , COLLAGE A CHAUD COULEUR : A PRECISER FORMAT : 21 X 29.7 CM EPAISSEUR : 5 MM </v>
          </cell>
          <cell r="D82" t="str">
            <v>PE</v>
          </cell>
          <cell r="E82" t="str">
            <v>222.22206</v>
          </cell>
          <cell r="F82">
            <v>11.9</v>
          </cell>
          <cell r="G82">
            <v>0</v>
          </cell>
          <cell r="H82">
            <v>0</v>
          </cell>
          <cell r="I82">
            <v>62</v>
          </cell>
          <cell r="J82">
            <v>10</v>
          </cell>
          <cell r="K82">
            <v>0</v>
          </cell>
          <cell r="L82">
            <v>0</v>
          </cell>
        </row>
        <row r="83">
          <cell r="A83" t="str">
            <v>10083.00262</v>
          </cell>
          <cell r="B83" t="str">
            <v>CHEMISE STEEL CRYSTAL 7MM</v>
          </cell>
          <cell r="C83" t="str">
            <v xml:space="preserve">PAPETERIE CHEMISE "STEEL CRYSTAL" . , DOS EN FORME DE U , COLLAGE A CHAUD COULEUR : A PRECISER FORMAT : 21 X 29.7 CM EPAISSEUR : 7 MM </v>
          </cell>
          <cell r="D83" t="str">
            <v>PE</v>
          </cell>
          <cell r="E83" t="str">
            <v>222.22206</v>
          </cell>
          <cell r="F83">
            <v>8.75</v>
          </cell>
          <cell r="G83">
            <v>0</v>
          </cell>
          <cell r="H83">
            <v>0</v>
          </cell>
          <cell r="I83">
            <v>0</v>
          </cell>
          <cell r="J83">
            <v>0</v>
          </cell>
          <cell r="K83">
            <v>37</v>
          </cell>
          <cell r="L83">
            <v>0</v>
          </cell>
        </row>
        <row r="84">
          <cell r="A84" t="str">
            <v>10083.00264</v>
          </cell>
          <cell r="B84" t="str">
            <v>CHEMISE STEEL CRYSTAL 9MM</v>
          </cell>
          <cell r="C84" t="str">
            <v xml:space="preserve">PAPETERIE CHEMISE "STEEL CRYSTAL" , DOS EN FORME DE U , COLLAGE A CHAUD COULEUR : A PRECISER FORMAT : 21 X 29.7 CM EPAISSEUR : 9 MM </v>
          </cell>
          <cell r="D84" t="str">
            <v>PE</v>
          </cell>
          <cell r="E84" t="str">
            <v>222.22206</v>
          </cell>
          <cell r="F84">
            <v>9.3361000000000001</v>
          </cell>
          <cell r="G84">
            <v>0</v>
          </cell>
          <cell r="H84">
            <v>0</v>
          </cell>
          <cell r="I84">
            <v>0</v>
          </cell>
          <cell r="J84">
            <v>0</v>
          </cell>
          <cell r="K84">
            <v>0</v>
          </cell>
          <cell r="L84">
            <v>0</v>
          </cell>
        </row>
        <row r="85">
          <cell r="A85" t="str">
            <v>10080.00299</v>
          </cell>
          <cell r="B85" t="str">
            <v>BOITE DE 1000 AGRAF.15MM</v>
          </cell>
          <cell r="C85" t="str">
            <v xml:space="preserve">FOURNITURES ET MATERIEL POUR LE BUREAU AGRAFES . . DESIGNATION : BOITE DE 1000 AGRAFES , DE 15 MM GENRE JAKY </v>
          </cell>
          <cell r="D85" t="str">
            <v>PE</v>
          </cell>
          <cell r="E85" t="str">
            <v>222.22206</v>
          </cell>
          <cell r="F85">
            <v>15</v>
          </cell>
          <cell r="G85">
            <v>0</v>
          </cell>
          <cell r="H85">
            <v>0</v>
          </cell>
          <cell r="I85">
            <v>98</v>
          </cell>
          <cell r="J85">
            <v>0</v>
          </cell>
          <cell r="K85">
            <v>0</v>
          </cell>
          <cell r="L85">
            <v>0</v>
          </cell>
        </row>
        <row r="86">
          <cell r="A86" t="str">
            <v>10080.00302</v>
          </cell>
          <cell r="B86" t="str">
            <v>PUNAISES</v>
          </cell>
          <cell r="C86" t="str">
            <v xml:space="preserve">FOURNITURES ET MATERIEL POUR LE BUREAU PUNAISES BAIONNETTES EN ACIER DIAMETRE DE LA TETE = 10 MM EN BOITE DE 100 </v>
          </cell>
          <cell r="D86" t="str">
            <v>PE</v>
          </cell>
          <cell r="E86" t="str">
            <v>222.22206</v>
          </cell>
          <cell r="F86">
            <v>0.96</v>
          </cell>
          <cell r="G86">
            <v>0</v>
          </cell>
          <cell r="H86">
            <v>0</v>
          </cell>
          <cell r="I86">
            <v>0</v>
          </cell>
          <cell r="J86">
            <v>0</v>
          </cell>
          <cell r="K86">
            <v>3</v>
          </cell>
          <cell r="L86">
            <v>0</v>
          </cell>
        </row>
        <row r="87">
          <cell r="A87" t="str">
            <v>10080.00304</v>
          </cell>
          <cell r="B87" t="str">
            <v>PUNAISE BAIO D14</v>
          </cell>
          <cell r="C87" t="str">
            <v xml:space="preserve">FOURNITURES ET MATERIEL POUR LE BUREAU PUNAISES BAIONNETTES EN ACIER  DIAMETRE DE LA TETE = 14 MM DESTINATION EN BOITE DE 100 </v>
          </cell>
          <cell r="D87" t="str">
            <v>PE</v>
          </cell>
          <cell r="E87" t="str">
            <v>222.22206</v>
          </cell>
          <cell r="F87">
            <v>2.3279999999999998</v>
          </cell>
          <cell r="G87">
            <v>0</v>
          </cell>
          <cell r="H87">
            <v>0</v>
          </cell>
          <cell r="I87">
            <v>0</v>
          </cell>
          <cell r="J87">
            <v>0</v>
          </cell>
          <cell r="K87">
            <v>5</v>
          </cell>
          <cell r="L87">
            <v>0</v>
          </cell>
        </row>
        <row r="88">
          <cell r="A88" t="str">
            <v>10080.00330</v>
          </cell>
          <cell r="B88" t="str">
            <v>ATTACH GEANT 4X3</v>
          </cell>
          <cell r="C88" t="str">
            <v xml:space="preserve">FOURNITURES ET MATERIEL POUR LE BUREAU AGRAFES . . DESIGNATION : BOITE DE 100 ATTACHES GEANTES ANTI-ROUILLE DIMENSION : 40 X 30 MM -MOYENNE </v>
          </cell>
          <cell r="D88" t="str">
            <v>PE</v>
          </cell>
          <cell r="E88" t="str">
            <v>222.22206</v>
          </cell>
          <cell r="F88">
            <v>7.9467999999999996</v>
          </cell>
          <cell r="G88">
            <v>0</v>
          </cell>
          <cell r="H88">
            <v>0</v>
          </cell>
          <cell r="I88">
            <v>0</v>
          </cell>
          <cell r="J88">
            <v>0</v>
          </cell>
          <cell r="K88">
            <v>0</v>
          </cell>
          <cell r="L88">
            <v>0</v>
          </cell>
        </row>
        <row r="89">
          <cell r="A89" t="str">
            <v>10080.00332</v>
          </cell>
          <cell r="B89" t="str">
            <v>ATTACHES GEANTES</v>
          </cell>
          <cell r="C89" t="str">
            <v xml:space="preserve">FOURNITURES ET MATERIEL POUR LE BUREAU AGRAFES . . DESIGNATION : BOITE DE 100 ATTACHES GEANTES ANTI-ROUILLE DIMENSION : 62 X 36 MM-GRANDE </v>
          </cell>
          <cell r="D89" t="str">
            <v>PE</v>
          </cell>
          <cell r="E89" t="str">
            <v>222.22206</v>
          </cell>
          <cell r="F89">
            <v>4.68</v>
          </cell>
          <cell r="G89">
            <v>0</v>
          </cell>
          <cell r="H89">
            <v>0</v>
          </cell>
          <cell r="I89">
            <v>0</v>
          </cell>
          <cell r="J89">
            <v>0</v>
          </cell>
          <cell r="K89">
            <v>0</v>
          </cell>
          <cell r="L89">
            <v>0</v>
          </cell>
        </row>
        <row r="90">
          <cell r="A90" t="str">
            <v>10080.00297</v>
          </cell>
          <cell r="B90" t="str">
            <v>BOITE 1000 AGRAFES 13MM</v>
          </cell>
          <cell r="C90" t="str">
            <v xml:space="preserve">FOURNITURES ET MATERIEL POUR LE BUREAU AGRAFES . . DESIGNATION : BOITE DE 1000 AGRAFES ANTI-ROUILLE DE 13 MM </v>
          </cell>
          <cell r="D90" t="str">
            <v>PE</v>
          </cell>
          <cell r="E90" t="str">
            <v>222.22206</v>
          </cell>
          <cell r="F90">
            <v>9</v>
          </cell>
          <cell r="G90">
            <v>0</v>
          </cell>
          <cell r="H90">
            <v>90</v>
          </cell>
          <cell r="I90">
            <v>0</v>
          </cell>
          <cell r="J90">
            <v>0</v>
          </cell>
          <cell r="K90">
            <v>0</v>
          </cell>
          <cell r="L90">
            <v>0</v>
          </cell>
        </row>
        <row r="91">
          <cell r="A91" t="str">
            <v>10080.00298</v>
          </cell>
          <cell r="B91" t="str">
            <v>BOITE 5000 ATTACHES SOUDEE 50/12S</v>
          </cell>
          <cell r="C91" t="str">
            <v xml:space="preserve">BOITE DE 5000 ATTACHES SOUDEES DE50/12S - 130 FEUILLESGENRE NAGEL DESTINATION POUR AGRAFEUSE ENAK 50-200 </v>
          </cell>
          <cell r="D91" t="str">
            <v>PE</v>
          </cell>
          <cell r="E91" t="str">
            <v>222.22206</v>
          </cell>
          <cell r="F91">
            <v>6.4964000000000004</v>
          </cell>
          <cell r="G91">
            <v>0</v>
          </cell>
          <cell r="H91">
            <v>0</v>
          </cell>
          <cell r="I91">
            <v>0</v>
          </cell>
          <cell r="J91">
            <v>0</v>
          </cell>
          <cell r="K91">
            <v>0</v>
          </cell>
          <cell r="L91">
            <v>0</v>
          </cell>
        </row>
        <row r="92">
          <cell r="A92" t="str">
            <v>10083.00510</v>
          </cell>
          <cell r="B92" t="str">
            <v>PARAPH 32X24 20F</v>
          </cell>
          <cell r="C92" t="str">
            <v xml:space="preserve">PAPETERIE  DESIGNATION : PARAPHEUR FORMAT : 32 X 24 QUALITE : COUVERTURE PERCALINE OU SIMILI CUIR COMPOSITION : 20 FEUILLETS </v>
          </cell>
          <cell r="D92" t="str">
            <v>PE</v>
          </cell>
          <cell r="E92" t="str">
            <v>222.22206</v>
          </cell>
          <cell r="F92">
            <v>45.6</v>
          </cell>
          <cell r="G92">
            <v>0</v>
          </cell>
          <cell r="H92">
            <v>0</v>
          </cell>
          <cell r="I92">
            <v>0</v>
          </cell>
          <cell r="J92">
            <v>0</v>
          </cell>
          <cell r="K92">
            <v>22</v>
          </cell>
          <cell r="L92">
            <v>0</v>
          </cell>
        </row>
        <row r="93">
          <cell r="A93" t="str">
            <v>10083.00520</v>
          </cell>
          <cell r="B93" t="str">
            <v>PARAPH 32X24 25F</v>
          </cell>
          <cell r="C93" t="str">
            <v xml:space="preserve">PAPETERIE  DESIGNATION : PARAPHEUR FORMAT : 32 X 24 QUALITE : COUVERTURE PERCALINE OU SIMILI CUIR COMPOSITION : 25 FEUILLETS </v>
          </cell>
          <cell r="D93" t="str">
            <v>PE</v>
          </cell>
          <cell r="E93" t="str">
            <v>222.22206</v>
          </cell>
          <cell r="F93">
            <v>52.8</v>
          </cell>
          <cell r="G93">
            <v>0</v>
          </cell>
          <cell r="H93">
            <v>0</v>
          </cell>
          <cell r="I93">
            <v>0</v>
          </cell>
          <cell r="J93">
            <v>0</v>
          </cell>
          <cell r="K93">
            <v>11</v>
          </cell>
          <cell r="L93">
            <v>0</v>
          </cell>
        </row>
        <row r="94">
          <cell r="A94" t="str">
            <v>10083.00530</v>
          </cell>
          <cell r="B94" t="str">
            <v>PARAPHEUR</v>
          </cell>
          <cell r="C94" t="str">
            <v xml:space="preserve">PARAPHEUR FORMAT : 32 X 24 QUALITE : COUVERTURE PERCALINE OU SIMILI CUIR COMPOSITION : 30 FEUILLETS </v>
          </cell>
          <cell r="D94" t="str">
            <v>PE</v>
          </cell>
          <cell r="E94" t="str">
            <v>222.22206</v>
          </cell>
          <cell r="F94">
            <v>49.616599999999998</v>
          </cell>
          <cell r="G94">
            <v>0</v>
          </cell>
          <cell r="H94">
            <v>92</v>
          </cell>
          <cell r="I94">
            <v>2</v>
          </cell>
          <cell r="J94">
            <v>22</v>
          </cell>
          <cell r="K94">
            <v>13</v>
          </cell>
          <cell r="L94">
            <v>0</v>
          </cell>
        </row>
        <row r="95">
          <cell r="A95" t="str">
            <v>10083.00535</v>
          </cell>
          <cell r="B95" t="str">
            <v>PARAPHEUR 32X24 25 FEUILLETS</v>
          </cell>
          <cell r="C95" t="str">
            <v>PARAPHEUR COUVERTURE PERCALINE OU SIMPLE CUIR,DOS EXTENSIBLE 25 FEUILLETS                    FORMAT : 32 X 24 CM                MENTION EN GROS CARACTERES DORES:</v>
          </cell>
          <cell r="D95" t="str">
            <v>PE</v>
          </cell>
          <cell r="E95" t="str">
            <v>222.22206</v>
          </cell>
          <cell r="F95">
            <v>54.228000000000002</v>
          </cell>
          <cell r="G95">
            <v>0</v>
          </cell>
          <cell r="H95">
            <v>0</v>
          </cell>
          <cell r="I95">
            <v>0</v>
          </cell>
          <cell r="J95">
            <v>0</v>
          </cell>
          <cell r="K95">
            <v>3</v>
          </cell>
          <cell r="L95">
            <v>0</v>
          </cell>
        </row>
        <row r="96">
          <cell r="A96" t="str">
            <v>10083.00540</v>
          </cell>
          <cell r="B96" t="str">
            <v>PARAPHEUR 12 VOLETS 32X24</v>
          </cell>
          <cell r="C96" t="str">
            <v xml:space="preserve">PAPETERIE PARAPHEUR  , A COUVERTURE PERCALINE OU SIMILI CUIR FORMAT : 32 X 24 CM , 12 VOLETS </v>
          </cell>
          <cell r="D96" t="str">
            <v>PE</v>
          </cell>
          <cell r="E96" t="str">
            <v>222.22206</v>
          </cell>
          <cell r="F96">
            <v>32.28</v>
          </cell>
          <cell r="G96">
            <v>0</v>
          </cell>
          <cell r="H96">
            <v>0</v>
          </cell>
          <cell r="I96">
            <v>0</v>
          </cell>
          <cell r="J96">
            <v>0</v>
          </cell>
          <cell r="K96">
            <v>0</v>
          </cell>
          <cell r="L96">
            <v>0</v>
          </cell>
        </row>
        <row r="97">
          <cell r="A97" t="str">
            <v>10083.00340</v>
          </cell>
          <cell r="B97" t="str">
            <v>CLASSEUR EN PLASTIQUE 3 BROCHES 26X32CM</v>
          </cell>
          <cell r="C97" t="str">
            <v xml:space="preserve">CLASSEURS EN MATIERE PLASTIQUE  COULEUR : ASSORTIE FORMAT : 26 X 32 CM LARGEUR : DU DOS : 4 CM , 3 BROCHES </v>
          </cell>
          <cell r="D97" t="str">
            <v>PE</v>
          </cell>
          <cell r="E97" t="str">
            <v>222.22206</v>
          </cell>
          <cell r="F97">
            <v>23.394500000000001</v>
          </cell>
          <cell r="G97">
            <v>0</v>
          </cell>
          <cell r="H97">
            <v>0</v>
          </cell>
          <cell r="I97">
            <v>0</v>
          </cell>
          <cell r="J97">
            <v>0</v>
          </cell>
          <cell r="K97">
            <v>0</v>
          </cell>
          <cell r="L97">
            <v>0</v>
          </cell>
        </row>
        <row r="98">
          <cell r="A98" t="str">
            <v>10083.00341</v>
          </cell>
          <cell r="B98" t="str">
            <v>CLASSEUR EN PLASTIQUE 4 BROCHES 26X32CM</v>
          </cell>
          <cell r="C98" t="str">
            <v xml:space="preserve">CLASSEURS EN MATIERE PLASTIQUE  COULEUR : ASSORTIE FORMAT : 26 X 32 CM LARGEUR : DU DOS : 4 CM , 4 BROCHES </v>
          </cell>
          <cell r="D98" t="str">
            <v>PE</v>
          </cell>
          <cell r="E98" t="str">
            <v>222.22206</v>
          </cell>
          <cell r="F98">
            <v>18.5</v>
          </cell>
          <cell r="G98">
            <v>0</v>
          </cell>
          <cell r="H98">
            <v>0</v>
          </cell>
          <cell r="I98">
            <v>0</v>
          </cell>
          <cell r="J98">
            <v>0</v>
          </cell>
          <cell r="K98">
            <v>0</v>
          </cell>
          <cell r="L98">
            <v>0</v>
          </cell>
        </row>
        <row r="99">
          <cell r="A99" t="str">
            <v>10083.00420</v>
          </cell>
          <cell r="B99" t="str">
            <v>CLASSEUR TRI 24X32</v>
          </cell>
          <cell r="C99" t="str">
            <v xml:space="preserve">TRI-CLASSEUR FORMAT : 24 X 32 QUALITE : COUVERTURE PERCALINE OU SIMILI CUIR </v>
          </cell>
          <cell r="D99" t="str">
            <v>PE</v>
          </cell>
          <cell r="E99" t="str">
            <v>222.22206</v>
          </cell>
          <cell r="F99">
            <v>39.9</v>
          </cell>
          <cell r="G99">
            <v>0</v>
          </cell>
          <cell r="H99">
            <v>0</v>
          </cell>
          <cell r="I99">
            <v>0</v>
          </cell>
          <cell r="J99">
            <v>0</v>
          </cell>
          <cell r="K99">
            <v>0</v>
          </cell>
          <cell r="L99">
            <v>0</v>
          </cell>
        </row>
        <row r="100">
          <cell r="A100" t="str">
            <v>10085.00985</v>
          </cell>
          <cell r="B100" t="str">
            <v>ENVELOPPE</v>
          </cell>
          <cell r="C100" t="str">
            <v xml:space="preserve">IMPRIME ENVELOPPES . . DESIGNATION : A ENTETE "GROUPE OFFICE CHERIFIEN DES PHOSPHATES" , AVEC ENCADREMENT EMETTEUR ET DESTINATAIRE , BILINGUE : ARABE FRANCAIS IMPRESSION : RECTO-NOIR QUALITE : PAPIER KRAFT FORCE : 112 GR/M2 FORMAT : 325 X 250 COUPE-MI-HAUTE TEINTE : HAVANE </v>
          </cell>
          <cell r="D100" t="str">
            <v>PE</v>
          </cell>
          <cell r="E100" t="str">
            <v>222.22206</v>
          </cell>
          <cell r="F100">
            <v>0.90149999999999997</v>
          </cell>
          <cell r="G100">
            <v>0</v>
          </cell>
          <cell r="H100">
            <v>4546</v>
          </cell>
          <cell r="I100">
            <v>0</v>
          </cell>
          <cell r="J100">
            <v>0</v>
          </cell>
          <cell r="K100">
            <v>70</v>
          </cell>
          <cell r="L100">
            <v>0</v>
          </cell>
        </row>
        <row r="101">
          <cell r="A101" t="str">
            <v>10085.00987</v>
          </cell>
          <cell r="B101" t="str">
            <v>ENVELOPPE 225X170 MM</v>
          </cell>
          <cell r="C101" t="str">
            <v xml:space="preserve">IMPRIME ENVELOPPE A EN-TETE GROUPE OFFICE CHERIFIEN DES PHOSPHATES AVEC ENCADREMENT EMETTEUR ET DESTINATAIRE BILINGUE : ARABE ET FRANCAIS IMPRESSION : RECTO-NOIR QUALITE : PAPIER KRAFT FORCE : 112 GR/M2 FORMAT : 225 X 170 COUPE MI-HAUTE TEINTE : HAVANE </v>
          </cell>
          <cell r="D101" t="str">
            <v>PE</v>
          </cell>
          <cell r="E101" t="str">
            <v>222.22206</v>
          </cell>
          <cell r="F101">
            <v>0.66249999999999998</v>
          </cell>
          <cell r="G101">
            <v>0</v>
          </cell>
          <cell r="H101">
            <v>2949</v>
          </cell>
          <cell r="I101">
            <v>0</v>
          </cell>
          <cell r="J101">
            <v>0</v>
          </cell>
          <cell r="K101">
            <v>659</v>
          </cell>
          <cell r="L101">
            <v>0</v>
          </cell>
        </row>
        <row r="102">
          <cell r="A102" t="str">
            <v>10085.00988</v>
          </cell>
          <cell r="B102" t="str">
            <v>ENVELOP 170X130</v>
          </cell>
          <cell r="C102" t="str">
            <v xml:space="preserve">IMPRIME ENVELOPPES . . DESIGNATION : ENVELOPPE A EN-TETE GROUPE OFFICE CHERIFIEN DES , PHOSPHATES AVEC ENCADREMENT EMETTEUR ET DESTINATAIRE , BILINGUE ARABE-FRANCAIS IMPRESSION : RECTO-NOIR QUALITE : PAPIER KRAFT FORCE : 90 GR/M2 FORMAT : 171 X 128 COUPE MI-HAUTE TEINTE : HAVANE </v>
          </cell>
          <cell r="D102" t="str">
            <v>PE</v>
          </cell>
          <cell r="E102" t="str">
            <v>222.22206</v>
          </cell>
          <cell r="F102">
            <v>0.17019999999999999</v>
          </cell>
          <cell r="G102">
            <v>0</v>
          </cell>
          <cell r="H102">
            <v>0</v>
          </cell>
          <cell r="I102">
            <v>0</v>
          </cell>
          <cell r="J102">
            <v>0</v>
          </cell>
          <cell r="K102">
            <v>0</v>
          </cell>
          <cell r="L102">
            <v>0</v>
          </cell>
        </row>
        <row r="103">
          <cell r="A103" t="str">
            <v>10085.00989</v>
          </cell>
          <cell r="B103" t="str">
            <v>ENVELOP 155X125</v>
          </cell>
          <cell r="C103" t="str">
            <v xml:space="preserve">IMPRIME ENVELOPPES . . IMPRESSION : RECTO-NOIR QUALITE : PAPIER PARCHEMINE EXTRA FORCE : SUIVANT MODELE FORMAT : 155 X 125 TEINTE : AZURE CLAIR -INTERIEUR MOIRE BLEU COMPOSITION A EN-TETE "GROUPE OFFICE CHERIFIEN DES PHOSPHATES" , (EN BILINGUE ARABE-FRANCAIS) </v>
          </cell>
          <cell r="D103" t="str">
            <v>PE</v>
          </cell>
          <cell r="E103" t="str">
            <v>222.22206</v>
          </cell>
          <cell r="F103">
            <v>0.1431</v>
          </cell>
          <cell r="G103">
            <v>0</v>
          </cell>
          <cell r="H103">
            <v>0</v>
          </cell>
          <cell r="I103">
            <v>0</v>
          </cell>
          <cell r="J103">
            <v>0</v>
          </cell>
          <cell r="K103">
            <v>0</v>
          </cell>
          <cell r="L103">
            <v>0</v>
          </cell>
        </row>
        <row r="104">
          <cell r="A104" t="str">
            <v>10085.00970</v>
          </cell>
          <cell r="B104" t="str">
            <v>ENVELOP.A FENET.220X310MM</v>
          </cell>
          <cell r="C104" t="str">
            <v xml:space="preserve">ENVELOPPE A FENETRE A EN-TETE "GROUPE OFFICE CHERIFIEN DES PHOSPHATES" (BILINGUE : ARABE - FRANCAIS) IMPRESSION : RECTO-NOIRE QUALITE : PAPIER : KRAFT FORCE : 90 GRAMMES/M2 FORMAT : 310 X 220 MM DIMENSIONS DU VITRAIL : 120 X 55 MM TEINTE : HAVANE SUIVANT MODELE , </v>
          </cell>
          <cell r="D104" t="str">
            <v>PE</v>
          </cell>
          <cell r="E104" t="str">
            <v>222.22206</v>
          </cell>
          <cell r="F104">
            <v>0.82499999999999996</v>
          </cell>
          <cell r="G104">
            <v>0</v>
          </cell>
          <cell r="H104">
            <v>0</v>
          </cell>
          <cell r="I104">
            <v>0</v>
          </cell>
          <cell r="J104">
            <v>0</v>
          </cell>
          <cell r="K104">
            <v>0</v>
          </cell>
          <cell r="L104">
            <v>0</v>
          </cell>
        </row>
        <row r="105">
          <cell r="A105" t="str">
            <v>10085.00984</v>
          </cell>
          <cell r="B105" t="str">
            <v>ENVELOPPE</v>
          </cell>
          <cell r="C105" t="str">
            <v xml:space="preserve">IMPRIME ENVELOPPES . . DESIGNATION : A ENTETE GROUPE OFFICE CHERIFIEN DES PHOSPHATES , AVEC ENCADREMENT : EMETTEUR ET DESTINATAIRE , BILINGUE : ARABE FRANCAIS IMPRESSION : RECTO-NOIRE QUALITE : PAPIER KRAFT FORCE : 112 GR/M2 FORMAT : 360 X 280 COUPE MI-HAUTE TEINTE : HAVANE </v>
          </cell>
          <cell r="D105" t="str">
            <v>PE</v>
          </cell>
          <cell r="E105" t="str">
            <v>222.22206</v>
          </cell>
          <cell r="F105">
            <v>1.1677999999999999</v>
          </cell>
          <cell r="G105">
            <v>0</v>
          </cell>
          <cell r="H105">
            <v>4756</v>
          </cell>
          <cell r="I105">
            <v>0</v>
          </cell>
          <cell r="J105">
            <v>20</v>
          </cell>
          <cell r="K105">
            <v>50</v>
          </cell>
          <cell r="L105">
            <v>0</v>
          </cell>
        </row>
        <row r="106">
          <cell r="A106" t="str">
            <v>10080.00335</v>
          </cell>
          <cell r="B106" t="str">
            <v>ATTACH TROMBO 20</v>
          </cell>
          <cell r="C106" t="str">
            <v xml:space="preserve">FOURNITURES ET MATERIEL POUR LE BUREAU AGRAFES . . DESIGNATION : BOITE DE 100 ATTACHES GEANTES ANTI-ROUILLE LONGUEUR 20 MM ENVIRON </v>
          </cell>
          <cell r="D106" t="str">
            <v>PE</v>
          </cell>
          <cell r="E106" t="str">
            <v>222.22206</v>
          </cell>
          <cell r="F106">
            <v>0.95379999999999998</v>
          </cell>
          <cell r="G106">
            <v>0</v>
          </cell>
          <cell r="H106">
            <v>363</v>
          </cell>
          <cell r="I106">
            <v>10</v>
          </cell>
          <cell r="J106">
            <v>20</v>
          </cell>
          <cell r="K106">
            <v>14</v>
          </cell>
          <cell r="L106">
            <v>0</v>
          </cell>
        </row>
        <row r="107">
          <cell r="A107" t="str">
            <v>10080.00336</v>
          </cell>
          <cell r="B107" t="str">
            <v>ATTACH TROMBO 25</v>
          </cell>
          <cell r="C107" t="str">
            <v xml:space="preserve">FOURNITURES ET MATERIEL POUR LE BUREAU AGRAFES . . DESIGNATION : BOITE DE 100 ATTACHES GEANTES ANTI-ROUILLE LONGUEUR 25 MM ENVIRON </v>
          </cell>
          <cell r="D107" t="str">
            <v>PE</v>
          </cell>
          <cell r="E107" t="str">
            <v>222.22206</v>
          </cell>
          <cell r="F107">
            <v>1.2267999999999999</v>
          </cell>
          <cell r="G107">
            <v>0</v>
          </cell>
          <cell r="H107">
            <v>557</v>
          </cell>
          <cell r="I107">
            <v>0</v>
          </cell>
          <cell r="J107">
            <v>0</v>
          </cell>
          <cell r="K107">
            <v>0</v>
          </cell>
          <cell r="L107">
            <v>0</v>
          </cell>
        </row>
        <row r="108">
          <cell r="A108" t="str">
            <v>10080.00338</v>
          </cell>
          <cell r="B108" t="str">
            <v>ATTAC TROMBON 35</v>
          </cell>
          <cell r="C108" t="str">
            <v xml:space="preserve">BOITE DE 100 ATTACHES GEANTES ANTI-ROUILLE LONGUEUR 32 MM ENVIRON </v>
          </cell>
          <cell r="D108" t="str">
            <v>PE</v>
          </cell>
          <cell r="E108" t="str">
            <v>222.22206</v>
          </cell>
          <cell r="F108">
            <v>1.4923</v>
          </cell>
          <cell r="G108">
            <v>0</v>
          </cell>
          <cell r="H108">
            <v>411</v>
          </cell>
          <cell r="I108">
            <v>10</v>
          </cell>
          <cell r="J108">
            <v>22</v>
          </cell>
          <cell r="K108">
            <v>19</v>
          </cell>
          <cell r="L108">
            <v>0</v>
          </cell>
        </row>
        <row r="109">
          <cell r="A109" t="str">
            <v>10083.00826</v>
          </cell>
          <cell r="B109" t="str">
            <v>REGIS QUAD 25X33</v>
          </cell>
          <cell r="C109" t="str">
            <v xml:space="preserve">PAPETERIE REGISTRE QUADRILLE 5/5  FORMAT : 25 X 33 (A LA FRANCAISE) QUALITE : PAPIER VELIN SUPERIEUR -COUVERTURE RIGIDE EPAISSEUR : 4 MAINS(100 FEUILLES) </v>
          </cell>
          <cell r="D109" t="str">
            <v>PE</v>
          </cell>
          <cell r="E109" t="str">
            <v>222.22206</v>
          </cell>
          <cell r="F109">
            <v>32.880000000000003</v>
          </cell>
          <cell r="G109">
            <v>0</v>
          </cell>
          <cell r="H109">
            <v>0</v>
          </cell>
          <cell r="I109">
            <v>0</v>
          </cell>
          <cell r="J109">
            <v>0</v>
          </cell>
          <cell r="K109">
            <v>0</v>
          </cell>
          <cell r="L109">
            <v>0</v>
          </cell>
        </row>
        <row r="110">
          <cell r="A110" t="str">
            <v>10083.00828</v>
          </cell>
          <cell r="B110" t="str">
            <v>REGIS QUAD 26X40</v>
          </cell>
          <cell r="C110" t="str">
            <v xml:space="preserve">PAPETERIE REGISTRE QUADRILLE 5/5  FORMAT : 26 X 40 (A LA FRANCAISE) QUALITE : PAPIER VELIN SUPERIEUR -COUVERTURE RIGIDE EPAISSEUR : 4 MAINS (100 FEUILLES) </v>
          </cell>
          <cell r="D110" t="str">
            <v>PE</v>
          </cell>
          <cell r="E110" t="str">
            <v>222.22206</v>
          </cell>
          <cell r="F110">
            <v>32.28</v>
          </cell>
          <cell r="G110">
            <v>0</v>
          </cell>
          <cell r="H110">
            <v>0</v>
          </cell>
          <cell r="I110">
            <v>0</v>
          </cell>
          <cell r="J110">
            <v>0</v>
          </cell>
          <cell r="K110">
            <v>0</v>
          </cell>
          <cell r="L110">
            <v>0</v>
          </cell>
        </row>
        <row r="111">
          <cell r="A111" t="str">
            <v>10083.00832</v>
          </cell>
          <cell r="B111" t="str">
            <v>REGIS QUAD 30X19</v>
          </cell>
          <cell r="C111" t="str">
            <v xml:space="preserve">PAPETERIE REGISTRE QUADRILLE 5/5  FORMAT : 30 X 19 (A L'ITALIENNE) QUALITE : PAPIER VELIN SUPERIEUR -COUVERTURE RIGIDE EPAISSEUR : 4 MAINS (100 FEUILLES) </v>
          </cell>
          <cell r="D111" t="str">
            <v>PE</v>
          </cell>
          <cell r="E111" t="str">
            <v>222.22206</v>
          </cell>
          <cell r="F111">
            <v>27.684000000000001</v>
          </cell>
          <cell r="G111">
            <v>0</v>
          </cell>
          <cell r="H111">
            <v>0</v>
          </cell>
          <cell r="I111">
            <v>0</v>
          </cell>
          <cell r="J111">
            <v>0</v>
          </cell>
          <cell r="K111">
            <v>0</v>
          </cell>
          <cell r="L111">
            <v>0</v>
          </cell>
        </row>
        <row r="112">
          <cell r="A112" t="str">
            <v>10083.00854</v>
          </cell>
          <cell r="B112" t="str">
            <v>REGIS REGL 24X30</v>
          </cell>
          <cell r="C112" t="str">
            <v xml:space="preserve">PAPETERIE REGISTRE REGLE TRAVERS  FORMAT : 24 X 30 QUALITE : PAPIER VELIN SUPERIEUR -COUVERTURE RIGIDE EPAISSEUR : 4 MAINS (100 FEUILLES) </v>
          </cell>
          <cell r="D112" t="str">
            <v>PE</v>
          </cell>
          <cell r="E112" t="str">
            <v>222.22206</v>
          </cell>
          <cell r="F112">
            <v>49.2</v>
          </cell>
          <cell r="G112">
            <v>0</v>
          </cell>
          <cell r="H112">
            <v>0</v>
          </cell>
          <cell r="I112">
            <v>0</v>
          </cell>
          <cell r="J112">
            <v>0</v>
          </cell>
          <cell r="K112">
            <v>0</v>
          </cell>
          <cell r="L112">
            <v>0</v>
          </cell>
        </row>
        <row r="113">
          <cell r="A113" t="str">
            <v>10083.00810</v>
          </cell>
          <cell r="B113" t="str">
            <v>REGIST CAR 30X19</v>
          </cell>
          <cell r="C113" t="str">
            <v xml:space="preserve">PAPETERIE REGISTRE QUADRILLE 5/5  FORMAT : 30 X 19 (A L'ITALIENNE) QUALITE : PAPIER VELIN SUPERIEUR,COUVERTURE RIGIDE EPAISSEUR : 2 MAINS (50 FEUILLES) </v>
          </cell>
          <cell r="D113" t="str">
            <v>PE</v>
          </cell>
          <cell r="E113" t="str">
            <v>222.22206</v>
          </cell>
          <cell r="F113">
            <v>16.116</v>
          </cell>
          <cell r="G113">
            <v>0</v>
          </cell>
          <cell r="H113">
            <v>0</v>
          </cell>
          <cell r="I113">
            <v>0</v>
          </cell>
          <cell r="J113">
            <v>0</v>
          </cell>
          <cell r="K113">
            <v>1</v>
          </cell>
          <cell r="L113">
            <v>0</v>
          </cell>
        </row>
        <row r="114">
          <cell r="A114" t="str">
            <v>10083.00820</v>
          </cell>
          <cell r="B114" t="str">
            <v>REGIS QUAD 19X27</v>
          </cell>
          <cell r="C114" t="str">
            <v xml:space="preserve">PAPETERIE REGISTRE QUADRILLE 5/5  FORMAT : 19 X 27 (A LA FRANCAISE) QUALITE : PAPIER VELIN SUPERIEUR -COUVERTURE RIGIDE EPAISSEUR : 4 MAINS (100 FEUILLES) </v>
          </cell>
          <cell r="D114" t="str">
            <v>PE</v>
          </cell>
          <cell r="E114" t="str">
            <v>222.22206</v>
          </cell>
          <cell r="F114">
            <v>22.0901</v>
          </cell>
          <cell r="G114">
            <v>0</v>
          </cell>
          <cell r="H114">
            <v>0</v>
          </cell>
          <cell r="I114">
            <v>0</v>
          </cell>
          <cell r="J114">
            <v>0</v>
          </cell>
          <cell r="K114">
            <v>0</v>
          </cell>
          <cell r="L114">
            <v>0</v>
          </cell>
        </row>
        <row r="115">
          <cell r="A115" t="str">
            <v>10083.00822</v>
          </cell>
          <cell r="B115" t="str">
            <v>REGIS QUAD 21X31</v>
          </cell>
          <cell r="C115" t="str">
            <v xml:space="preserve">PAPETERIE REGISTRE QUADRILLE 5/5  FORMAT : 21 X 31 (A LA FRANCAISE) QUALITE : PAPIER VELIN SUPERIEUR -COUVERTURE RIGIDE EPAISSEUR : 4 MAINS (100 FEUILLES) </v>
          </cell>
          <cell r="D115" t="str">
            <v>PE</v>
          </cell>
          <cell r="E115" t="str">
            <v>222.22206</v>
          </cell>
          <cell r="F115">
            <v>27.6</v>
          </cell>
          <cell r="G115">
            <v>0</v>
          </cell>
          <cell r="H115">
            <v>0</v>
          </cell>
          <cell r="I115">
            <v>0</v>
          </cell>
          <cell r="J115">
            <v>0</v>
          </cell>
          <cell r="K115">
            <v>0</v>
          </cell>
          <cell r="L115">
            <v>0</v>
          </cell>
        </row>
        <row r="116">
          <cell r="A116" t="str">
            <v>10085.00381</v>
          </cell>
          <cell r="B116" t="str">
            <v>REG COURRI DEPAR</v>
          </cell>
          <cell r="C116" t="str">
            <v xml:space="preserve">IMPRIME RELATIF AU SECRETARIAT - BIBLIOTHEQUE  DESIGNATION : REGISTRES D'ENREGISTREMENT DU COURRIER IMPRESSION : RO-VO QUALITE : PAPIER REGISTRE SATINE FORCE : 80 G/METRE CARRE FORMAT : 22,5 X 36 TEINTE : BLANC COMPOSITION DEPART DE 75 FEUILLES A PLAT,SOIT 300 PAGES -COUVERTUR, CARTONNE ET TOILE NOIRE </v>
          </cell>
          <cell r="D116" t="str">
            <v>PE</v>
          </cell>
          <cell r="E116" t="str">
            <v>222.22206</v>
          </cell>
          <cell r="F116">
            <v>17.966899999999999</v>
          </cell>
          <cell r="G116">
            <v>0</v>
          </cell>
          <cell r="H116">
            <v>0</v>
          </cell>
          <cell r="I116">
            <v>0</v>
          </cell>
          <cell r="J116">
            <v>0</v>
          </cell>
          <cell r="K116">
            <v>78</v>
          </cell>
          <cell r="L116">
            <v>0</v>
          </cell>
        </row>
        <row r="117">
          <cell r="A117" t="str">
            <v>10080.00380</v>
          </cell>
          <cell r="B117" t="str">
            <v>TIMBR NUME 4 CHI</v>
          </cell>
          <cell r="C117" t="str">
            <v xml:space="preserve">FOURNITURES ET MATERIEL POUR LE BUREAU TIMBRES CAOUTCHOUC NUMEROTEUR . COMPOSITION A BANDE CAOUTCHOUC,A MOLETTE,4 CHIFFRES DE 5 MM DE , HAUTEUR,CAGE NICKELEE,MANCHE NOIR </v>
          </cell>
          <cell r="D117" t="str">
            <v>PE</v>
          </cell>
          <cell r="E117" t="str">
            <v>222.22206</v>
          </cell>
          <cell r="F117">
            <v>19.581199999999999</v>
          </cell>
          <cell r="G117">
            <v>0</v>
          </cell>
          <cell r="H117">
            <v>0</v>
          </cell>
          <cell r="I117">
            <v>8</v>
          </cell>
          <cell r="J117">
            <v>0</v>
          </cell>
          <cell r="K117">
            <v>5</v>
          </cell>
          <cell r="L117">
            <v>0</v>
          </cell>
        </row>
        <row r="118">
          <cell r="A118" t="str">
            <v>10080.00382</v>
          </cell>
          <cell r="B118" t="str">
            <v>TIMBRE DATEUR</v>
          </cell>
          <cell r="C118" t="str">
            <v xml:space="preserve">FOURNITURES ET MATERIEL POUR LE BUREAU TIMBRES CAOUTCHOUC DATEUR  COMPOSITION A BANDE CAOUTCHOUC,A MOLETTE,CHIFFRES ET LETTRES DE , 5 MM DE HAUTEUR,CAGE NICKELEE,MANCHE NOIR </v>
          </cell>
          <cell r="D118" t="str">
            <v>PE</v>
          </cell>
          <cell r="E118" t="str">
            <v>222.22206</v>
          </cell>
          <cell r="F118">
            <v>5.6447000000000003</v>
          </cell>
          <cell r="G118">
            <v>0</v>
          </cell>
          <cell r="H118">
            <v>0</v>
          </cell>
          <cell r="I118">
            <v>33</v>
          </cell>
          <cell r="J118">
            <v>0</v>
          </cell>
          <cell r="K118">
            <v>20</v>
          </cell>
          <cell r="L118">
            <v>0</v>
          </cell>
        </row>
        <row r="119">
          <cell r="A119" t="str">
            <v>10068.01516</v>
          </cell>
          <cell r="B119" t="str">
            <v>BRIDE PLEINE 316L DN80</v>
          </cell>
          <cell r="C119" t="str">
            <v>BRIDE PLEINE EN ACIER INOX 316L - 1.4404 CONSTRUCTION SUIVANT EN 1092-1 (DIN 2527) TYPE 05A PRESSION NOMINAL PN10  DIAMETRE NOMINAL DN80</v>
          </cell>
          <cell r="D119" t="str">
            <v>PE</v>
          </cell>
          <cell r="E119" t="str">
            <v>313.31301</v>
          </cell>
          <cell r="F119">
            <v>647.47</v>
          </cell>
          <cell r="G119">
            <v>0</v>
          </cell>
          <cell r="H119">
            <v>1</v>
          </cell>
          <cell r="I119">
            <v>0</v>
          </cell>
          <cell r="J119">
            <v>0</v>
          </cell>
          <cell r="K119">
            <v>1</v>
          </cell>
          <cell r="L119">
            <v>3</v>
          </cell>
        </row>
        <row r="120">
          <cell r="A120" t="str">
            <v>10080.00375</v>
          </cell>
          <cell r="B120" t="str">
            <v>FICELLE D BUREAU</v>
          </cell>
          <cell r="C120" t="str">
            <v xml:space="preserve">FOURNITURES ET MATERIEL POUR LE BUREAU . . . DESIGNATION : FICELLE DESTINATION EN PELOTE DE 100 GRS ENVIRON </v>
          </cell>
          <cell r="D120" t="str">
            <v>PE</v>
          </cell>
          <cell r="E120" t="str">
            <v>222.22206</v>
          </cell>
          <cell r="F120">
            <v>9</v>
          </cell>
          <cell r="G120">
            <v>0</v>
          </cell>
          <cell r="H120">
            <v>0</v>
          </cell>
          <cell r="I120">
            <v>0</v>
          </cell>
          <cell r="J120">
            <v>0</v>
          </cell>
          <cell r="K120">
            <v>14</v>
          </cell>
          <cell r="L120">
            <v>0</v>
          </cell>
        </row>
        <row r="121">
          <cell r="A121" t="str">
            <v>10078.04283</v>
          </cell>
          <cell r="B121" t="str">
            <v>P CHAUSSET NYLO NOI E H41</v>
          </cell>
          <cell r="C121" t="str">
            <v xml:space="preserve">HABILLEMENT PAIRE DE CHAUSSETTES (ETE ET HIVER)  QUALITE: TISSU : NYLON COULEUR: NOIRE POUR MAITRE D'HOTEL POINTURE : 41 </v>
          </cell>
          <cell r="D121" t="str">
            <v>PE</v>
          </cell>
          <cell r="E121" t="str">
            <v>522.52216</v>
          </cell>
          <cell r="F121">
            <v>40</v>
          </cell>
          <cell r="G121">
            <v>0</v>
          </cell>
          <cell r="H121">
            <v>0</v>
          </cell>
          <cell r="I121">
            <v>0</v>
          </cell>
          <cell r="J121">
            <v>0</v>
          </cell>
          <cell r="K121">
            <v>12</v>
          </cell>
          <cell r="L121">
            <v>0</v>
          </cell>
        </row>
        <row r="122">
          <cell r="A122" t="str">
            <v>10068.01514</v>
          </cell>
          <cell r="B122" t="str">
            <v>BRIDE PLEINE 316L DN25</v>
          </cell>
          <cell r="C122" t="str">
            <v>BRIDE PLEINE EN ACIER INOX 316L - 1.4404 CONSTRUCTION SUIVANT EN 1092-1 (DIN 2527) TYPE 05A PRESSION NOMINAL PN10  DIAMETRE NOMINAL DN25</v>
          </cell>
          <cell r="D122" t="str">
            <v>PE</v>
          </cell>
          <cell r="E122" t="str">
            <v>313.31301</v>
          </cell>
          <cell r="F122">
            <v>202.44</v>
          </cell>
          <cell r="G122">
            <v>0</v>
          </cell>
          <cell r="H122">
            <v>0</v>
          </cell>
          <cell r="I122">
            <v>0</v>
          </cell>
          <cell r="J122">
            <v>0</v>
          </cell>
          <cell r="K122">
            <v>0</v>
          </cell>
          <cell r="L122">
            <v>10</v>
          </cell>
        </row>
        <row r="123">
          <cell r="A123" t="str">
            <v>10083.00860</v>
          </cell>
          <cell r="B123" t="str">
            <v>REGIST REG 21X31</v>
          </cell>
          <cell r="C123" t="str">
            <v xml:space="preserve">PAPETERIE REGISTRE REGLE TRAVERS  FORMAT : 21 X 31 QUALITE : PAPIER VELIN SUPERIEUR -COUVERTURE SOUPLE EPAISSEUR : 4 MAINS (100 FEUILLES) </v>
          </cell>
          <cell r="D123" t="str">
            <v>PE</v>
          </cell>
          <cell r="E123" t="str">
            <v>222.22206</v>
          </cell>
          <cell r="F123">
            <v>39</v>
          </cell>
          <cell r="G123">
            <v>0</v>
          </cell>
          <cell r="H123">
            <v>0</v>
          </cell>
          <cell r="I123">
            <v>0</v>
          </cell>
          <cell r="J123">
            <v>0</v>
          </cell>
          <cell r="K123">
            <v>0</v>
          </cell>
          <cell r="L123">
            <v>0</v>
          </cell>
        </row>
        <row r="124">
          <cell r="A124" t="str">
            <v>10085.00415</v>
          </cell>
          <cell r="B124" t="str">
            <v>BULLETIN MOUVEMEN PERSONL</v>
          </cell>
          <cell r="C124" t="str">
            <v xml:space="preserve">IMPRIME RELATIF AU PERSONNEL ET A LA MAIN D'OEUVRE . . DESIGNATION : BULLETIN DE MOUVEMENT (PERSONNEL) IMPRESSION : RO-BISTRE QUALITE : PAPIER ECRITURE SUPERIEUR FORCE : 64 G/METRE CARRE FORMAT : 7 X 21 A L'ITALIENNE COMPOSITION LIASSE DE 2 FEUILLETS COLLEES A GAUCHE -1 ER FEUILLET , TEINTE ROSE CARBONE AU VERSO -2 EME FEUILLET TEINTE , VERT NON CARBONE (SUIVANT MODELE) </v>
          </cell>
          <cell r="D124" t="str">
            <v>PE</v>
          </cell>
          <cell r="E124" t="str">
            <v>222.22206</v>
          </cell>
          <cell r="F124">
            <v>0.216</v>
          </cell>
          <cell r="G124">
            <v>0</v>
          </cell>
          <cell r="H124">
            <v>0</v>
          </cell>
          <cell r="I124">
            <v>0</v>
          </cell>
          <cell r="J124">
            <v>0</v>
          </cell>
          <cell r="K124">
            <v>0</v>
          </cell>
          <cell r="L124">
            <v>0</v>
          </cell>
        </row>
        <row r="125">
          <cell r="A125" t="str">
            <v>10085.00423</v>
          </cell>
          <cell r="B125" t="str">
            <v>FEUILLE CONCOURS SIMPLE</v>
          </cell>
          <cell r="C125" t="str">
            <v xml:space="preserve">IMPRIME RELATIF AU PERSONNEL ET A LA MAIN D'OEUVRE DESIGNATION : FEUILLE DE CONCOURS (C7),FEUILLE SIMPLE IMPRESSION : RO-VO-NOIRE QUALITE : PAPIER MINISTRE QUADRILLE 5X5 FORCE : 64 G/METRE CARRE FORMAT : 21 X 29,7 PRESENTATION : VERTICALE COULEUR PAPIER:BLANC </v>
          </cell>
          <cell r="D125" t="str">
            <v>PE</v>
          </cell>
          <cell r="E125" t="str">
            <v>222.22206</v>
          </cell>
          <cell r="F125">
            <v>0.47749999999999998</v>
          </cell>
          <cell r="G125">
            <v>0</v>
          </cell>
          <cell r="H125">
            <v>0</v>
          </cell>
          <cell r="I125">
            <v>0</v>
          </cell>
          <cell r="J125">
            <v>0</v>
          </cell>
          <cell r="K125">
            <v>0</v>
          </cell>
          <cell r="L125">
            <v>0</v>
          </cell>
        </row>
        <row r="126">
          <cell r="A126" t="str">
            <v>10081.00797</v>
          </cell>
          <cell r="B126" t="str">
            <v>SOURIS OPTIQUE USB 3 BOUTONS</v>
          </cell>
          <cell r="C126" t="str">
            <v>SOURIS OPTIQUE USB A 3 BOUTONS ET MOLETTECOMPATIBLE A TOUT OS</v>
          </cell>
          <cell r="D126" t="str">
            <v>PE</v>
          </cell>
          <cell r="E126" t="str">
            <v>222.22206</v>
          </cell>
          <cell r="F126">
            <v>43.2</v>
          </cell>
          <cell r="G126">
            <v>0</v>
          </cell>
          <cell r="H126">
            <v>0</v>
          </cell>
          <cell r="I126">
            <v>0</v>
          </cell>
          <cell r="J126">
            <v>0</v>
          </cell>
          <cell r="K126">
            <v>0</v>
          </cell>
          <cell r="L126">
            <v>0</v>
          </cell>
        </row>
        <row r="127">
          <cell r="A127" t="str">
            <v>10067.00070</v>
          </cell>
          <cell r="B127" t="str">
            <v>TUYAU SOUDURE 16</v>
          </cell>
          <cell r="C127" t="str">
            <v xml:space="preserve">TUBE EN CAOUTCHOUC S/NORME :   NF T 47.111 DE NOVEMBRE 1956                          PRESSION :  DE SERVICE :1,5 HPZ; D'ECLATEMENT:20 HPZ             POUR SOUDURE AUTOGENE                           DIAMETRE :  INT.TOLERANCES:9 -0,5 MM;EXT.TOLERANCES:16 -0,5 MM    COULEUR :   ROUGE                                                 EMPLOI PRINCIPAL :ACETYLENE                                       ,     V/TUYAU CHERGUI                                             ,     V/TUYAUX CHERGUI                                                                                                                                                                               </v>
          </cell>
          <cell r="D127" t="str">
            <v>M</v>
          </cell>
          <cell r="E127" t="str">
            <v>522.52203</v>
          </cell>
          <cell r="F127">
            <v>7.6079999999999997</v>
          </cell>
          <cell r="G127">
            <v>0</v>
          </cell>
          <cell r="H127">
            <v>0</v>
          </cell>
          <cell r="I127">
            <v>0</v>
          </cell>
          <cell r="J127">
            <v>0</v>
          </cell>
          <cell r="K127">
            <v>0</v>
          </cell>
          <cell r="L127">
            <v>0</v>
          </cell>
        </row>
        <row r="128">
          <cell r="A128" t="str">
            <v>10067.00071</v>
          </cell>
          <cell r="B128" t="str">
            <v>TUYAU SOUDURE 17</v>
          </cell>
          <cell r="C128" t="str">
            <v xml:space="preserve">TUBE EN CAOUTCHOUC                                                        S/NORME :   NF T 47.111 NOVEMBRE 1956                                PRESSION :  DE SERVICE :6 HPZ; D'ECLATEMENT: 30 HPZ                  POUR SOUDURE AUTOGENE                               DIAMETRE :  INTER.TOLERANCES:9 -0,5 MM;EXT.TOLERANCES: 17- 0,5 MM     COULEUR :   NOIR                                                      EMPLOI PRINCIPAL :OXYGENE                                             ,     V/ CHERGUI NOIR                                                 ,     V/TUYAU CHERGUI                                                 ,     V/TUYAU CHERGI                                                  ,     V/TUYAUX CHERGUI                                                                                                                                                                                           </v>
          </cell>
          <cell r="D128" t="str">
            <v>M</v>
          </cell>
          <cell r="E128" t="str">
            <v>522.52203</v>
          </cell>
          <cell r="F128">
            <v>7.6079999999999997</v>
          </cell>
          <cell r="G128">
            <v>0</v>
          </cell>
          <cell r="H128">
            <v>0</v>
          </cell>
          <cell r="I128">
            <v>0</v>
          </cell>
          <cell r="J128">
            <v>0</v>
          </cell>
          <cell r="K128">
            <v>19</v>
          </cell>
          <cell r="L128">
            <v>0</v>
          </cell>
        </row>
        <row r="129">
          <cell r="A129" t="str">
            <v>10080.00405</v>
          </cell>
          <cell r="B129" t="str">
            <v>GRATTO DOUB USAG</v>
          </cell>
          <cell r="C129" t="str">
            <v xml:space="preserve">FOURNITURES ET MATERIEL POUR LE BUREAU . . . DESIGNATION : GRATTOIR,DOUBLE USAGE (CANIF-GRATTOIR) LONGUEUR 18 CM ENVIRON MATIERE LAME ACIER CHROME COMPOSITION A MANCHE FACON EBENE </v>
          </cell>
          <cell r="D129" t="str">
            <v>PE</v>
          </cell>
          <cell r="E129" t="str">
            <v>222.22206</v>
          </cell>
          <cell r="F129">
            <v>9.9</v>
          </cell>
          <cell r="G129">
            <v>0</v>
          </cell>
          <cell r="H129">
            <v>0</v>
          </cell>
          <cell r="I129">
            <v>0</v>
          </cell>
          <cell r="J129">
            <v>0</v>
          </cell>
          <cell r="K129">
            <v>8</v>
          </cell>
          <cell r="L129">
            <v>0</v>
          </cell>
        </row>
        <row r="130">
          <cell r="A130" t="str">
            <v>10067.00075</v>
          </cell>
          <cell r="B130" t="str">
            <v>TUYAU SOUPLE POUR GAZ</v>
          </cell>
          <cell r="C130" t="str">
            <v xml:space="preserve">TUYAU SOUPLE POUR GAZ BUTANE ET PROPANE DIAMETRE INTERIEUR 6 MM  /  DIAMETRE EXTERIEUR 12 MM PRESSION D'ECLATEMENT MINI 3,5 BARS  /   IMPERMEABLE AU GAZ DURETE (SHORE A) 70 - 75   /   RESISTANCE A LA RUPTURE 16 - 19 dan/cm2 ALLONGEMENT A LA RUPTURE 500 - 600 % </v>
          </cell>
          <cell r="D130" t="str">
            <v>M</v>
          </cell>
          <cell r="E130" t="str">
            <v>522.52203</v>
          </cell>
          <cell r="F130">
            <v>7.92</v>
          </cell>
          <cell r="G130">
            <v>0</v>
          </cell>
          <cell r="H130">
            <v>0</v>
          </cell>
          <cell r="I130">
            <v>0</v>
          </cell>
          <cell r="J130">
            <v>0</v>
          </cell>
          <cell r="K130">
            <v>0</v>
          </cell>
          <cell r="L130">
            <v>0</v>
          </cell>
        </row>
        <row r="131">
          <cell r="A131" t="str">
            <v>10067.00079</v>
          </cell>
          <cell r="B131" t="str">
            <v>TUYAU CAOUT AIR COMPR D25</v>
          </cell>
          <cell r="C131" t="str">
            <v xml:space="preserve">TUBE EN CAOUTCHOUC . S/NORME : M 82 271 DE NOVEMBRE 1972 PRESSION : DE SERVICE 18(HPZ) - D'ECLATEMENT 50(HPZ) DESTINATION : POUR AIR COMPRIME DIAMETRE : INTERIEUR 25 MM - EXTERIEUR 38 MM </v>
          </cell>
          <cell r="D131" t="str">
            <v>M</v>
          </cell>
          <cell r="E131" t="str">
            <v>522.52203</v>
          </cell>
          <cell r="F131">
            <v>33.6</v>
          </cell>
          <cell r="G131">
            <v>0</v>
          </cell>
          <cell r="H131">
            <v>0</v>
          </cell>
          <cell r="I131">
            <v>0</v>
          </cell>
          <cell r="J131">
            <v>0</v>
          </cell>
          <cell r="K131">
            <v>0</v>
          </cell>
          <cell r="L131">
            <v>0</v>
          </cell>
        </row>
        <row r="132">
          <cell r="A132" t="str">
            <v>10080.00465</v>
          </cell>
          <cell r="B132" t="str">
            <v>PANIER A COURRIER EN PLASTIQUE</v>
          </cell>
          <cell r="C132" t="str">
            <v xml:space="preserve">PANIER A COURRIER EN PLASTIQUE DIMENSION : 335 X 255 X 70 MM ENVIRON </v>
          </cell>
          <cell r="D132" t="str">
            <v>PE</v>
          </cell>
          <cell r="E132" t="str">
            <v>222.22206</v>
          </cell>
          <cell r="F132">
            <v>12.714</v>
          </cell>
          <cell r="G132">
            <v>0</v>
          </cell>
          <cell r="H132">
            <v>12</v>
          </cell>
          <cell r="I132">
            <v>8</v>
          </cell>
          <cell r="J132">
            <v>0</v>
          </cell>
          <cell r="K132">
            <v>3</v>
          </cell>
          <cell r="L132">
            <v>91</v>
          </cell>
        </row>
        <row r="133">
          <cell r="A133" t="str">
            <v>10080.00468</v>
          </cell>
          <cell r="B133" t="str">
            <v>CORBEILLE BUREAU</v>
          </cell>
          <cell r="C133" t="str">
            <v xml:space="preserve">FOURNITURES ET MATERIEL POUR LE BUREAU . . . DESIGNATION : CORBEILLE A PAPIER EN MATIERE PLASTIQUE DIAMETRE 28 CM HAUTEUR 31 CM ENVIRON </v>
          </cell>
          <cell r="D133" t="str">
            <v>PE</v>
          </cell>
          <cell r="E133" t="str">
            <v>222.22206</v>
          </cell>
          <cell r="F133">
            <v>12.737299999999999</v>
          </cell>
          <cell r="G133">
            <v>0</v>
          </cell>
          <cell r="H133">
            <v>0</v>
          </cell>
          <cell r="I133">
            <v>1</v>
          </cell>
          <cell r="J133">
            <v>0</v>
          </cell>
          <cell r="K133">
            <v>8</v>
          </cell>
          <cell r="L133">
            <v>216</v>
          </cell>
        </row>
        <row r="134">
          <cell r="A134" t="str">
            <v>10079.05078</v>
          </cell>
          <cell r="B134" t="str">
            <v>CARAFE EN CRISTAL</v>
          </cell>
          <cell r="C134" t="str">
            <v>CARAFE EN CRISTAL</v>
          </cell>
          <cell r="D134" t="str">
            <v>PE</v>
          </cell>
          <cell r="E134" t="str">
            <v>222.22203</v>
          </cell>
          <cell r="F134">
            <v>312</v>
          </cell>
          <cell r="G134">
            <v>0</v>
          </cell>
          <cell r="H134">
            <v>0</v>
          </cell>
          <cell r="I134">
            <v>0</v>
          </cell>
          <cell r="J134">
            <v>0</v>
          </cell>
          <cell r="K134">
            <v>0</v>
          </cell>
          <cell r="L134">
            <v>0</v>
          </cell>
        </row>
        <row r="135">
          <cell r="A135" t="str">
            <v>10080.00470</v>
          </cell>
          <cell r="B135" t="str">
            <v>SOCLE EPHEMERIDE</v>
          </cell>
          <cell r="C135" t="str">
            <v xml:space="preserve">SOCLE EN BOIS POUR BLOC_EPHEMERIDES </v>
          </cell>
          <cell r="D135" t="str">
            <v>PE</v>
          </cell>
          <cell r="E135" t="str">
            <v>222.22206</v>
          </cell>
          <cell r="F135">
            <v>11.88</v>
          </cell>
          <cell r="G135">
            <v>0</v>
          </cell>
          <cell r="H135">
            <v>0</v>
          </cell>
          <cell r="I135">
            <v>0</v>
          </cell>
          <cell r="J135">
            <v>0</v>
          </cell>
          <cell r="K135">
            <v>0</v>
          </cell>
          <cell r="L135">
            <v>0</v>
          </cell>
        </row>
        <row r="136">
          <cell r="A136" t="str">
            <v>10080.00478</v>
          </cell>
          <cell r="B136" t="str">
            <v>TAILLE MINE PLASTIC 2 MM</v>
          </cell>
          <cell r="C136" t="str">
            <v xml:space="preserve">FOURNITURES ET MATERIEL POUR LE BUREAU . . . DESIGNATION : TAILLE MINE , PETIT MODELE EN PLASTIC , POUR MINE JUSQU'A 2 MM </v>
          </cell>
          <cell r="D136" t="str">
            <v>PE</v>
          </cell>
          <cell r="E136" t="str">
            <v>222.22206</v>
          </cell>
          <cell r="F136">
            <v>2.2440000000000002</v>
          </cell>
          <cell r="G136">
            <v>0</v>
          </cell>
          <cell r="H136">
            <v>0</v>
          </cell>
          <cell r="I136">
            <v>0</v>
          </cell>
          <cell r="J136">
            <v>0</v>
          </cell>
          <cell r="K136">
            <v>0</v>
          </cell>
          <cell r="L136">
            <v>0</v>
          </cell>
        </row>
        <row r="137">
          <cell r="A137" t="str">
            <v>10080.00407</v>
          </cell>
          <cell r="B137" t="str">
            <v>CUTTER TYPE OLFA-FL</v>
          </cell>
          <cell r="C137" t="str">
            <v xml:space="preserve">FOURNITURES ET MATERIEL POUR LE BUREAU MATERIEL DIVERS POUR BUREAU  DESIGNATION : CUTTER , AVEC RECHARGE TYPE OLFA-FL </v>
          </cell>
          <cell r="D137" t="str">
            <v>PE</v>
          </cell>
          <cell r="E137" t="str">
            <v>222.22206</v>
          </cell>
          <cell r="F137">
            <v>1.5</v>
          </cell>
          <cell r="G137">
            <v>0</v>
          </cell>
          <cell r="H137">
            <v>0</v>
          </cell>
          <cell r="I137">
            <v>0</v>
          </cell>
          <cell r="J137">
            <v>0</v>
          </cell>
          <cell r="K137">
            <v>0</v>
          </cell>
          <cell r="L137">
            <v>0</v>
          </cell>
        </row>
        <row r="138">
          <cell r="A138" t="str">
            <v>10068.00465</v>
          </cell>
          <cell r="B138" t="str">
            <v>MANCHON CYLIND. 1 1/2 P</v>
          </cell>
          <cell r="C138" t="str">
            <v xml:space="preserve">MANCHONS CYLINDRIQUE MATIERE : EN ACIER ASTM A105GR2, QUALITE : SERIE 3000NPT REF.739 DIAMETRE : 1POUCE 1/2 </v>
          </cell>
          <cell r="D138" t="str">
            <v>PE</v>
          </cell>
          <cell r="E138" t="str">
            <v>313.31301</v>
          </cell>
          <cell r="F138">
            <v>55</v>
          </cell>
          <cell r="G138">
            <v>0</v>
          </cell>
          <cell r="H138">
            <v>0</v>
          </cell>
          <cell r="I138">
            <v>0</v>
          </cell>
          <cell r="J138">
            <v>0</v>
          </cell>
          <cell r="K138">
            <v>0</v>
          </cell>
          <cell r="L138">
            <v>9</v>
          </cell>
        </row>
        <row r="139">
          <cell r="A139" t="str">
            <v>10080.00480</v>
          </cell>
          <cell r="B139" t="str">
            <v>SOCL BLC RECHANG</v>
          </cell>
          <cell r="C139" t="str">
            <v xml:space="preserve">FOURNITURES ET MATERIEL POUR LE BUREAU . . . DESIGNATION : SOCLE EN METAL AVEC BLOC INTERCHANGEABLE DE 200 , FEUILLETS DE PAPIER QUADRILLE FORMAT 13,5X21 CM </v>
          </cell>
          <cell r="D139" t="str">
            <v>PE</v>
          </cell>
          <cell r="E139" t="str">
            <v>222.22206</v>
          </cell>
          <cell r="F139">
            <v>28.628</v>
          </cell>
          <cell r="G139">
            <v>0</v>
          </cell>
          <cell r="H139">
            <v>0</v>
          </cell>
          <cell r="I139">
            <v>0</v>
          </cell>
          <cell r="J139">
            <v>0</v>
          </cell>
          <cell r="K139">
            <v>0</v>
          </cell>
          <cell r="L139">
            <v>0</v>
          </cell>
        </row>
        <row r="140">
          <cell r="A140" t="str">
            <v>10080.00481</v>
          </cell>
          <cell r="B140" t="str">
            <v>BLOC BUREAU 21X27 LUQUET</v>
          </cell>
          <cell r="C140" t="str">
            <v xml:space="preserve">FOURNITURES ET MATERIEL POUR LE BUREAU . . . DESIGNATION : SOCLE EN METAL AVEC BLOC INTERCHANGEABLE DE 200 , FEUILLETS DE PAPIER QUADRILLE GENRE "LUQUET" FORMAT 21 X 27 </v>
          </cell>
          <cell r="D140" t="str">
            <v>PE</v>
          </cell>
          <cell r="E140" t="str">
            <v>222.22206</v>
          </cell>
          <cell r="F140">
            <v>45</v>
          </cell>
          <cell r="G140">
            <v>0</v>
          </cell>
          <cell r="H140">
            <v>0</v>
          </cell>
          <cell r="I140">
            <v>0</v>
          </cell>
          <cell r="J140">
            <v>0</v>
          </cell>
          <cell r="K140">
            <v>0</v>
          </cell>
          <cell r="L140">
            <v>0</v>
          </cell>
        </row>
        <row r="141">
          <cell r="A141" t="str">
            <v>10080.00483</v>
          </cell>
          <cell r="B141" t="str">
            <v>PORT CACH 16 PLA</v>
          </cell>
          <cell r="C141" t="str">
            <v xml:space="preserve">FOURNITURES ET MATERIEL POUR LE BUREAU . . . DESIGNATION : PORTE-CACHETS A DOUBLE PLATEAUX DE 16 PLACES </v>
          </cell>
          <cell r="D141" t="str">
            <v>PE</v>
          </cell>
          <cell r="E141" t="str">
            <v>222.22206</v>
          </cell>
          <cell r="F141">
            <v>20.724499999999999</v>
          </cell>
          <cell r="G141">
            <v>0</v>
          </cell>
          <cell r="H141">
            <v>0</v>
          </cell>
          <cell r="I141">
            <v>0</v>
          </cell>
          <cell r="J141">
            <v>0</v>
          </cell>
          <cell r="K141">
            <v>0</v>
          </cell>
          <cell r="L141">
            <v>0</v>
          </cell>
        </row>
        <row r="142">
          <cell r="A142" t="str">
            <v>10080.00484</v>
          </cell>
          <cell r="B142" t="str">
            <v>TAILLE CRAYONS DOUBLE USA</v>
          </cell>
          <cell r="C142" t="str">
            <v xml:space="preserve">FOURNITURES ET MATERIEL POUR LE BUREAU . . . DESIGNATION : TAILLE-CRAYON A DOUBLE USAGE GENRE "ECOLIER" MODELE PETIT MATIERE EN METAL DESTINATION POUR CRAYON JUSQU'A 10 MM DE DIAMETRE </v>
          </cell>
          <cell r="D142" t="str">
            <v>PE</v>
          </cell>
          <cell r="E142" t="str">
            <v>222.22206</v>
          </cell>
          <cell r="F142">
            <v>9.2110000000000003</v>
          </cell>
          <cell r="G142">
            <v>0</v>
          </cell>
          <cell r="H142">
            <v>13</v>
          </cell>
          <cell r="I142">
            <v>12</v>
          </cell>
          <cell r="J142">
            <v>3</v>
          </cell>
          <cell r="K142">
            <v>19</v>
          </cell>
          <cell r="L142">
            <v>0</v>
          </cell>
        </row>
        <row r="143">
          <cell r="A143" t="str">
            <v>10080.00485</v>
          </cell>
          <cell r="B143" t="str">
            <v>MACHIN TAIL CRAY</v>
          </cell>
          <cell r="C143" t="str">
            <v xml:space="preserve">FOURNITURES ET MATERIEL POUR LE BUREAU . . . DESIGNATION : MACHINE A TAILLER LES CRAYONS JUSQU'A 11,7 MM DIAMETRE, AVEC ETRIER DE FIXATION (LONGUEUR DE POINTE REGLABLE) GENRE STAEDTLER 5750 * FABER CASTELL 52-15 </v>
          </cell>
          <cell r="D143" t="str">
            <v>PE</v>
          </cell>
          <cell r="E143" t="str">
            <v>222.22206</v>
          </cell>
          <cell r="F143">
            <v>39.42</v>
          </cell>
          <cell r="G143">
            <v>0</v>
          </cell>
          <cell r="H143">
            <v>0</v>
          </cell>
          <cell r="I143">
            <v>0</v>
          </cell>
          <cell r="J143">
            <v>0</v>
          </cell>
          <cell r="K143">
            <v>0</v>
          </cell>
          <cell r="L143">
            <v>0</v>
          </cell>
        </row>
        <row r="144">
          <cell r="A144" t="str">
            <v>10075.01952</v>
          </cell>
          <cell r="B144" t="str">
            <v>PEINTURE SYNTHETIQUE FINI</v>
          </cell>
          <cell r="C144" t="str">
            <v xml:space="preserve">PEINTURE - VITRERIE PEINTURE POUR CARROSSERIE PEINTURE SYNTHETIQUE  FINITION , CONDITIONNEMENT 1 KG COULEUR RAL 7042 (GRIS TRAFIC A) SUIVANT FICHE TECHNIQUE CI-JOINTE. , GENRE SADVEL:CARGO CHIMICOLOR:LUXAUTO PRODEC:G2 OU G+ </v>
          </cell>
          <cell r="D144" t="str">
            <v>KG</v>
          </cell>
          <cell r="E144" t="str">
            <v>522.52203</v>
          </cell>
          <cell r="F144">
            <v>27.614999999999998</v>
          </cell>
          <cell r="G144">
            <v>0</v>
          </cell>
          <cell r="H144">
            <v>0</v>
          </cell>
          <cell r="I144">
            <v>0</v>
          </cell>
          <cell r="J144">
            <v>0</v>
          </cell>
          <cell r="K144">
            <v>0</v>
          </cell>
          <cell r="L144">
            <v>0</v>
          </cell>
        </row>
        <row r="145">
          <cell r="A145" t="str">
            <v>10080.01270</v>
          </cell>
          <cell r="B145" t="str">
            <v>CACHET TRODAT REF.4910</v>
          </cell>
          <cell r="C145" t="str">
            <v xml:space="preserve">FOURNITURES ET MATERIEL POUR LE BUREAU CACHET (boitier + gravure)GENRE"TRODAT" OU SIMILAIRE . REFERENCE : 4910 . SUIVANT DESCRIPTIF OU MODELE CI-JOINT </v>
          </cell>
          <cell r="D145" t="str">
            <v>PE</v>
          </cell>
          <cell r="E145" t="str">
            <v>222.22206</v>
          </cell>
          <cell r="F145">
            <v>75</v>
          </cell>
          <cell r="G145">
            <v>0</v>
          </cell>
          <cell r="H145">
            <v>0</v>
          </cell>
          <cell r="I145">
            <v>0</v>
          </cell>
          <cell r="J145">
            <v>0</v>
          </cell>
          <cell r="K145">
            <v>0</v>
          </cell>
          <cell r="L145">
            <v>0</v>
          </cell>
        </row>
        <row r="146">
          <cell r="A146" t="str">
            <v>10080.01274</v>
          </cell>
          <cell r="B146" t="str">
            <v>CACHET TRODAT REF.4911</v>
          </cell>
          <cell r="C146" t="str">
            <v xml:space="preserve">FOURNITURES ET MATERIEL POUR LE BUREAU CACHET (boitier + gravure)GENRE"TRODAT" OU SIMILAIRE . REFERENCE : 4911 . SUIVANT DESCRIPTIF OU MODELE CI-JOINT </v>
          </cell>
          <cell r="D146" t="str">
            <v>PE</v>
          </cell>
          <cell r="E146" t="str">
            <v>222.22206</v>
          </cell>
          <cell r="F146">
            <v>95</v>
          </cell>
          <cell r="G146">
            <v>0</v>
          </cell>
          <cell r="H146">
            <v>0</v>
          </cell>
          <cell r="I146">
            <v>0</v>
          </cell>
          <cell r="J146">
            <v>0</v>
          </cell>
          <cell r="K146">
            <v>0</v>
          </cell>
          <cell r="L146">
            <v>0</v>
          </cell>
        </row>
        <row r="147">
          <cell r="A147" t="str">
            <v>10080.00400</v>
          </cell>
          <cell r="B147" t="str">
            <v>CISEAU DE BUREAU</v>
          </cell>
          <cell r="C147" t="str">
            <v xml:space="preserve">FOURNITURES ET MATERIEL POUR LE BUREAU . . . DESIGNATION : CISEAU FORME A BOUTS ARRONDIS LONGUEUR 18 A 20 CM ENVIRON MATIERE EN ACIER FORGE,NICKELE </v>
          </cell>
          <cell r="D147" t="str">
            <v>PE</v>
          </cell>
          <cell r="E147" t="str">
            <v>222.22206</v>
          </cell>
          <cell r="F147">
            <v>16.586300000000001</v>
          </cell>
          <cell r="G147">
            <v>0</v>
          </cell>
          <cell r="H147">
            <v>0</v>
          </cell>
          <cell r="I147">
            <v>0</v>
          </cell>
          <cell r="J147">
            <v>0</v>
          </cell>
          <cell r="K147">
            <v>0</v>
          </cell>
          <cell r="L147">
            <v>0</v>
          </cell>
        </row>
        <row r="148">
          <cell r="A148" t="str">
            <v>10080.00494</v>
          </cell>
          <cell r="B148" t="str">
            <v>BLOC FEUILLES AUTOCOLLANTES 76X76MM</v>
          </cell>
          <cell r="C148" t="str">
            <v xml:space="preserve">BLOC DE FEUILLES AUTOCLLANTES D'UN COTE (POST-IT) FORMAT 76X 76 MM COULEUR A PRECISER </v>
          </cell>
          <cell r="D148" t="str">
            <v>PE</v>
          </cell>
          <cell r="E148" t="str">
            <v>222.22206</v>
          </cell>
          <cell r="F148">
            <v>4.1216999999999997</v>
          </cell>
          <cell r="G148">
            <v>0</v>
          </cell>
          <cell r="H148">
            <v>0</v>
          </cell>
          <cell r="I148">
            <v>0</v>
          </cell>
          <cell r="J148">
            <v>0</v>
          </cell>
          <cell r="K148">
            <v>0</v>
          </cell>
          <cell r="L148">
            <v>0</v>
          </cell>
        </row>
        <row r="149">
          <cell r="A149" t="str">
            <v>10080.00410</v>
          </cell>
          <cell r="B149" t="str">
            <v>OUVRE LETTRES</v>
          </cell>
          <cell r="C149" t="str">
            <v xml:space="preserve">FOURNITURES ET MATERIEL POUR LE BUREAU . . . DESIGNATION : OUVRE-LETTRES LONGUEUR 19 CM ENVIRON MATIERE LAME ACIER NICKELEE </v>
          </cell>
          <cell r="D149" t="str">
            <v>PE</v>
          </cell>
          <cell r="E149" t="str">
            <v>222.22206</v>
          </cell>
          <cell r="F149">
            <v>19.5</v>
          </cell>
          <cell r="G149">
            <v>0</v>
          </cell>
          <cell r="H149">
            <v>0</v>
          </cell>
          <cell r="I149">
            <v>0</v>
          </cell>
          <cell r="J149">
            <v>0</v>
          </cell>
          <cell r="K149">
            <v>0</v>
          </cell>
          <cell r="L149">
            <v>0</v>
          </cell>
        </row>
        <row r="150">
          <cell r="A150" t="str">
            <v>10075.01870</v>
          </cell>
          <cell r="B150" t="str">
            <v>PEINTURE CELLULOSIQUE FIN</v>
          </cell>
          <cell r="C150" t="str">
            <v>PEINTURE - VITRERIE PEINTURE POUR CARROSSERIE PEINTURE CELLULOSIQUE  FINITION ,ET FAUSSE TEINTE CONDITIONNEMENT KITE DE 1 KG COULEUR RAL 9016 (BLANC TRAFIC) GENRE SADVEL:CELLEMAIL CHIMICOLOR:CELLULAC 5000 FICHE DE DONNEE DE SECURITE EST EXIGEE LORS DE LA LIVRAISON DU PRODUIT.</v>
          </cell>
          <cell r="D150" t="str">
            <v>KG</v>
          </cell>
          <cell r="E150" t="str">
            <v>522.52203</v>
          </cell>
          <cell r="F150">
            <v>35.234499999999997</v>
          </cell>
          <cell r="G150">
            <v>0</v>
          </cell>
          <cell r="H150">
            <v>0</v>
          </cell>
          <cell r="I150">
            <v>0</v>
          </cell>
          <cell r="J150">
            <v>0</v>
          </cell>
          <cell r="K150">
            <v>0</v>
          </cell>
          <cell r="L150">
            <v>0</v>
          </cell>
        </row>
        <row r="151">
          <cell r="A151" t="str">
            <v>10080.00495</v>
          </cell>
          <cell r="B151" t="str">
            <v>BLOC FEUIL AUTOCOL 76X102 (POST-IT)</v>
          </cell>
          <cell r="C151" t="str">
            <v xml:space="preserve">BLOC DE FEUILLES AUTOCLLANTES D'UN COTE (POST-IT) FORMAT 76 X 102 MM COULEUR A PRECISER </v>
          </cell>
          <cell r="D151" t="str">
            <v>PE</v>
          </cell>
          <cell r="E151" t="str">
            <v>222.22206</v>
          </cell>
          <cell r="F151">
            <v>4.2427000000000001</v>
          </cell>
          <cell r="G151">
            <v>0</v>
          </cell>
          <cell r="H151">
            <v>54</v>
          </cell>
          <cell r="I151">
            <v>16</v>
          </cell>
          <cell r="J151">
            <v>0</v>
          </cell>
          <cell r="K151">
            <v>209</v>
          </cell>
          <cell r="L151">
            <v>0</v>
          </cell>
        </row>
        <row r="152">
          <cell r="A152" t="str">
            <v>10080.00420</v>
          </cell>
          <cell r="B152" t="str">
            <v>SOUS MAIN</v>
          </cell>
          <cell r="C152" t="str">
            <v xml:space="preserve">SOUS-MAIN FORMAT 40 X 60 DESTINATION A LIVRER AVEC COINS EN CUIR </v>
          </cell>
          <cell r="D152" t="str">
            <v>PE</v>
          </cell>
          <cell r="E152" t="str">
            <v>222.22206</v>
          </cell>
          <cell r="F152">
            <v>37.402000000000001</v>
          </cell>
          <cell r="G152">
            <v>0</v>
          </cell>
          <cell r="H152">
            <v>0</v>
          </cell>
          <cell r="I152">
            <v>0</v>
          </cell>
          <cell r="J152">
            <v>0</v>
          </cell>
          <cell r="K152">
            <v>2</v>
          </cell>
          <cell r="L152">
            <v>0</v>
          </cell>
        </row>
        <row r="153">
          <cell r="A153" t="str">
            <v>10080.01260</v>
          </cell>
          <cell r="B153" t="str">
            <v>CACHET ROND.BOIS M.MODELE</v>
          </cell>
          <cell r="C153" t="str">
            <v xml:space="preserve">FOURNITURES ET MATERIEL POUR LE BUREAU CACHET ROND EN BOIS MOYEN MODELE (boitier + gravure)SUIVANT DESCRIPTIF OU MODELE CI-JOINT </v>
          </cell>
          <cell r="D153" t="str">
            <v>PE</v>
          </cell>
          <cell r="E153" t="str">
            <v>222.22206</v>
          </cell>
          <cell r="F153">
            <v>35</v>
          </cell>
          <cell r="G153">
            <v>0</v>
          </cell>
          <cell r="H153">
            <v>0</v>
          </cell>
          <cell r="I153">
            <v>0</v>
          </cell>
          <cell r="J153">
            <v>0</v>
          </cell>
          <cell r="K153">
            <v>0</v>
          </cell>
          <cell r="L153">
            <v>0</v>
          </cell>
        </row>
        <row r="154">
          <cell r="A154" t="str">
            <v>10082.00258</v>
          </cell>
          <cell r="B154" t="str">
            <v>RAME PAPIER QUADRILLE 5X5</v>
          </cell>
          <cell r="C154" t="str">
            <v xml:space="preserve">PAPETERIE PAPIER QUADRILLE 5X5  FORCE : 64 G/METRE CARRE COULEUR : BLANC MODE DE LIVRAISON : RAME DE 500 FEUILLES SIMPLES FORMAT : (A4):210 X 297 MM </v>
          </cell>
          <cell r="D154" t="str">
            <v>PE</v>
          </cell>
          <cell r="E154" t="str">
            <v>222.22206</v>
          </cell>
          <cell r="F154">
            <v>31.2</v>
          </cell>
          <cell r="G154">
            <v>0</v>
          </cell>
          <cell r="H154">
            <v>0</v>
          </cell>
          <cell r="I154">
            <v>0</v>
          </cell>
          <cell r="J154">
            <v>0</v>
          </cell>
          <cell r="K154">
            <v>0</v>
          </cell>
          <cell r="L154">
            <v>0</v>
          </cell>
        </row>
        <row r="155">
          <cell r="A155" t="str">
            <v>10082.00260</v>
          </cell>
          <cell r="B155" t="str">
            <v>RAME PAPIER QUADRILLE 5X5</v>
          </cell>
          <cell r="C155" t="str">
            <v xml:space="preserve">PAPETERIE PAPIER QUADRILLE 5X5  FORCE : 64 G/METRE CARRE COULEUR : BLANC MODE DE LIVRAISON : RAME DE 500 FEUILLES SIMPLES FORMAT : (A3):297 X 420 MM </v>
          </cell>
          <cell r="D155" t="str">
            <v>PE</v>
          </cell>
          <cell r="E155" t="str">
            <v>222.22206</v>
          </cell>
          <cell r="F155">
            <v>60</v>
          </cell>
          <cell r="G155">
            <v>0</v>
          </cell>
          <cell r="H155">
            <v>0</v>
          </cell>
          <cell r="I155">
            <v>0</v>
          </cell>
          <cell r="J155">
            <v>0</v>
          </cell>
          <cell r="K155">
            <v>0</v>
          </cell>
          <cell r="L155">
            <v>0</v>
          </cell>
        </row>
        <row r="156">
          <cell r="A156" t="str">
            <v>10082.00291</v>
          </cell>
          <cell r="B156" t="str">
            <v>PAPIER BUL 21X31</v>
          </cell>
          <cell r="C156" t="str">
            <v xml:space="preserve">PAPETERIE PAPIER BULLE  FORCE : 64 G/METRE CARRE MODE DE LIVRAISON : RAME DE 500 FEUILLES SIMPLES PAPIER FORMAT : 21 X 31 </v>
          </cell>
          <cell r="D156" t="str">
            <v>PE</v>
          </cell>
          <cell r="E156" t="str">
            <v>222.22206</v>
          </cell>
          <cell r="F156">
            <v>33.6</v>
          </cell>
          <cell r="G156">
            <v>0</v>
          </cell>
          <cell r="H156">
            <v>0</v>
          </cell>
          <cell r="I156">
            <v>0</v>
          </cell>
          <cell r="J156">
            <v>0</v>
          </cell>
          <cell r="K156">
            <v>53</v>
          </cell>
          <cell r="L156">
            <v>0</v>
          </cell>
        </row>
        <row r="157">
          <cell r="A157" t="str">
            <v>10082.00070</v>
          </cell>
          <cell r="B157" t="str">
            <v>RAME-500 F.MACHIN.210X297</v>
          </cell>
          <cell r="C157" t="str">
            <v xml:space="preserve">PAPETERIE PAPIER MACHINE JAPON  FORCE : 72 G/METRE CARRE COULEUR : BLANC MODE DE LIVRAISON : RAME DE 500 FEUILLES SIMPLES FORMAT : (A4):210 X 297 MM </v>
          </cell>
          <cell r="D157" t="str">
            <v>PE</v>
          </cell>
          <cell r="E157" t="str">
            <v>222.22206</v>
          </cell>
          <cell r="F157">
            <v>32.031999999999996</v>
          </cell>
          <cell r="G157">
            <v>0</v>
          </cell>
          <cell r="H157">
            <v>0</v>
          </cell>
          <cell r="I157">
            <v>0</v>
          </cell>
          <cell r="J157">
            <v>0</v>
          </cell>
          <cell r="K157">
            <v>0</v>
          </cell>
          <cell r="L157">
            <v>0</v>
          </cell>
        </row>
        <row r="158">
          <cell r="A158" t="str">
            <v>10082.00072</v>
          </cell>
          <cell r="B158" t="str">
            <v>RAME-500 F.MACHIN.297X420</v>
          </cell>
          <cell r="C158" t="str">
            <v xml:space="preserve">PAPETERIE PAPIER MACHINE JAPON  FORCE : 72 G/METRE CARRE COULEUR : BLANC MODE DE LIVRAISON : RAME DE 500 FEUILLES SIMPLES FORMAT : (A3):297 X 420 MM </v>
          </cell>
          <cell r="D158" t="str">
            <v>PE</v>
          </cell>
          <cell r="E158" t="str">
            <v>222.22206</v>
          </cell>
          <cell r="F158">
            <v>72</v>
          </cell>
          <cell r="G158">
            <v>0</v>
          </cell>
          <cell r="H158">
            <v>0</v>
          </cell>
          <cell r="I158">
            <v>0</v>
          </cell>
          <cell r="J158">
            <v>0</v>
          </cell>
          <cell r="K158">
            <v>0</v>
          </cell>
          <cell r="L158">
            <v>0</v>
          </cell>
        </row>
        <row r="159">
          <cell r="A159" t="str">
            <v>10067.03071</v>
          </cell>
          <cell r="B159" t="str">
            <v>VANNE A SOUPAPE A SOUDER SW  DN 1/2''   CLASSE 1500</v>
          </cell>
          <cell r="C159" t="str">
            <v>VANNE A SOUPAPE A SOUDER SW  DN 1/2''   CLASSE 1500.MATIERE DU CORPS : A105+STL6.RACCORDEMENT : A SOUDER SW.ENCOMBREMENT : 111 MM.FLUIDE VEHICULE : VAPEUR HP.SUIVANT FICHE TECHNIQUE CI ATTACHE</v>
          </cell>
          <cell r="D159" t="str">
            <v>PE</v>
          </cell>
          <cell r="E159" t="str">
            <v>515.51511</v>
          </cell>
          <cell r="F159">
            <v>600</v>
          </cell>
          <cell r="G159">
            <v>0</v>
          </cell>
          <cell r="H159">
            <v>1</v>
          </cell>
          <cell r="I159">
            <v>0</v>
          </cell>
          <cell r="J159">
            <v>3</v>
          </cell>
          <cell r="K159">
            <v>11</v>
          </cell>
          <cell r="L159">
            <v>0</v>
          </cell>
        </row>
        <row r="160">
          <cell r="A160" t="str">
            <v>10080.00601</v>
          </cell>
          <cell r="B160" t="str">
            <v>BOITE CRAYON</v>
          </cell>
          <cell r="C160" t="str">
            <v xml:space="preserve">FOURNITURES ET MATERIEL POUR LE BUREAU CRAYONS FEUTRES DE COULEURS POINTE FINE COULEUR DIFFERENTE DIAMETRE 2 PLUS OU MOINS 0,5 MM MODE DE LIVRAISON EN BOITE DE 12 </v>
          </cell>
          <cell r="D160" t="str">
            <v>PE</v>
          </cell>
          <cell r="E160" t="str">
            <v>222.22206</v>
          </cell>
          <cell r="F160">
            <v>6.6</v>
          </cell>
          <cell r="G160">
            <v>0</v>
          </cell>
          <cell r="H160">
            <v>0</v>
          </cell>
          <cell r="I160">
            <v>0</v>
          </cell>
          <cell r="J160">
            <v>0</v>
          </cell>
          <cell r="K160">
            <v>0</v>
          </cell>
          <cell r="L160">
            <v>0</v>
          </cell>
        </row>
        <row r="161">
          <cell r="A161" t="str">
            <v>10067.03078</v>
          </cell>
          <cell r="B161" t="str">
            <v>VANNE A SOUPAPE A SOUDER SW DN 3/4''  CLASSE 1500</v>
          </cell>
          <cell r="C161" t="str">
            <v>VANNE A SOUPAPE  A SOUDER SW  DN 3/4''   CLASSE 1500.MATIERE DU CORPS : A182F11 CL3                                                                                                  RACCORDEMENT : A SOUDER SW.ENCOMBREMENT : 111 MM.FLUIDE VEHICULE : VAPEUR HP.SUIVANT FICHE TECHNIQUE CI ATTACHE</v>
          </cell>
          <cell r="D161" t="str">
            <v>PE</v>
          </cell>
          <cell r="E161" t="str">
            <v>515.51511</v>
          </cell>
          <cell r="F161">
            <v>600</v>
          </cell>
          <cell r="G161">
            <v>0</v>
          </cell>
          <cell r="H161">
            <v>11</v>
          </cell>
          <cell r="I161">
            <v>0</v>
          </cell>
          <cell r="J161">
            <v>0</v>
          </cell>
          <cell r="K161">
            <v>0</v>
          </cell>
          <cell r="L161">
            <v>0</v>
          </cell>
        </row>
        <row r="162">
          <cell r="A162" t="str">
            <v>10067.03079</v>
          </cell>
          <cell r="B162" t="str">
            <v>VANNE D'ARRET A SOUDER SW  DN 1''1/2  CLASSE 1500</v>
          </cell>
          <cell r="C162" t="str">
            <v>VANNE D'ARRET A SOUDER SW  DN 1''1/2   CLASSE 1500.MATIERE DU CORPS : A182F11 CL3                                                                                                  RACCORDEMENT : A SOUDER SW.ENCOMBREMENT : 140 MM.FLUIDE VEHICULE : VAPEUR HP   .SUIVANT FICHE TECHNIQUE CI ATTACHE.</v>
          </cell>
          <cell r="D162" t="str">
            <v>PE</v>
          </cell>
          <cell r="E162" t="str">
            <v>515.51511</v>
          </cell>
          <cell r="F162">
            <v>1480</v>
          </cell>
          <cell r="G162">
            <v>0</v>
          </cell>
          <cell r="H162">
            <v>0</v>
          </cell>
          <cell r="I162">
            <v>0</v>
          </cell>
          <cell r="J162">
            <v>0</v>
          </cell>
          <cell r="K162">
            <v>0</v>
          </cell>
          <cell r="L162">
            <v>4</v>
          </cell>
        </row>
        <row r="163">
          <cell r="A163" t="str">
            <v>10082.00295</v>
          </cell>
          <cell r="B163" t="str">
            <v>PAPIER BUL 21X27</v>
          </cell>
          <cell r="C163" t="str">
            <v xml:space="preserve">PAPETERIE PAPIER BULLE  FORCE : 64 G/METRE CARRE MODE DE LIVRAISON : RAME DE 250 FEUILLES DOUBLES PAPIER FORMAT : 21 X 27 </v>
          </cell>
          <cell r="D163" t="str">
            <v>PE</v>
          </cell>
          <cell r="E163" t="str">
            <v>222.22206</v>
          </cell>
          <cell r="F163">
            <v>31.2</v>
          </cell>
          <cell r="G163">
            <v>0</v>
          </cell>
          <cell r="H163">
            <v>0</v>
          </cell>
          <cell r="I163">
            <v>0</v>
          </cell>
          <cell r="J163">
            <v>0</v>
          </cell>
          <cell r="K163">
            <v>0</v>
          </cell>
          <cell r="L163">
            <v>0</v>
          </cell>
        </row>
        <row r="164">
          <cell r="A164" t="str">
            <v>10067.00814</v>
          </cell>
          <cell r="B164" t="str">
            <v>HOUSSE DE PROTECTION POUR COMPENSATEUR</v>
          </cell>
          <cell r="C164" t="str">
            <v>HOUSSE DE PROTECTION POUR COMPENSATEUR DN250 PN10 A 16 ENCOMBREMENT DELATO 500 CARACTERISTIQUE DES FLUIDES :- EN MARCHE : ACIDE PHOSPHORIQUE 54 A 58% (P2O5) 5% DE SULFATE (H2SO4) 200ppm DE CHLORE   - TAUX DE SOLIDE 5% ET 1% DE FLUOR - EN LAVAGE : EAU FILTREE 400ppm DE CHLORE ET 5% D'ACIDE SULFURIQUE   - PRESSION DE SEVICE : 10 BARS   - DEPRESSION : VIDE 40 A 80 TORRES   - TEMPERATURE DE SERVICE : DE 110 °C</v>
          </cell>
          <cell r="D164" t="str">
            <v>PE</v>
          </cell>
          <cell r="E164" t="str">
            <v>522.52207</v>
          </cell>
          <cell r="F164">
            <v>1200</v>
          </cell>
          <cell r="G164">
            <v>0</v>
          </cell>
          <cell r="H164">
            <v>0</v>
          </cell>
          <cell r="I164">
            <v>0</v>
          </cell>
          <cell r="J164">
            <v>0</v>
          </cell>
          <cell r="K164">
            <v>4</v>
          </cell>
          <cell r="L164">
            <v>0</v>
          </cell>
        </row>
        <row r="165">
          <cell r="A165" t="str">
            <v>10067.00816</v>
          </cell>
          <cell r="B165" t="str">
            <v>HOUSSE DE PROTECTION POUR COMPENSATEUR</v>
          </cell>
          <cell r="C165" t="str">
            <v>HOUSSE DE PROTECTION POUR COMPENSATEUR DN750 PN10 A 16 ENCOMBREMENT DELATO 550 CARACTERISTIQUE DES FLUIDES : - EN MARCHE : ACIDE PHOSPHORIQUE 54 A 58% (P2O5) 5% DE SULFATE (H2SO4) 200ppm DE CHLORE   - TAUX DE SOLIDE 5% ET 1% DE FLUOR - EN LAVAGE : EAU FILTREE 400ppm DE CHLORE ET 5% D'ACIDE SULFURIQUE   - PRESSION DE SEVICE : 10 BARS   - DEPRESSION : VIDE 40 A 80 TORRES   - TEMPERATURE DE SERVICE : DE 110 °C</v>
          </cell>
          <cell r="D165" t="str">
            <v>PE</v>
          </cell>
          <cell r="E165" t="str">
            <v>522.52207</v>
          </cell>
          <cell r="F165">
            <v>3138.43</v>
          </cell>
          <cell r="G165">
            <v>0</v>
          </cell>
          <cell r="H165">
            <v>0</v>
          </cell>
          <cell r="I165">
            <v>8</v>
          </cell>
          <cell r="J165">
            <v>0</v>
          </cell>
          <cell r="K165">
            <v>0</v>
          </cell>
          <cell r="L165">
            <v>0</v>
          </cell>
        </row>
        <row r="166">
          <cell r="A166" t="str">
            <v>10080.00605</v>
          </cell>
          <cell r="B166" t="str">
            <v>CRAYON FEUTRE P.FINE VERT</v>
          </cell>
          <cell r="C166" t="str">
            <v xml:space="preserve">FOURNITURES ET MATERIEL POUR LE BUREAU CRAYONS FEUTRES DE COULEURS POINTE FINE COULEUR VERT DIAMETRE 2 PLUS OU MOINS 0,5 MM </v>
          </cell>
          <cell r="D166" t="str">
            <v>PE</v>
          </cell>
          <cell r="E166" t="str">
            <v>222.22206</v>
          </cell>
          <cell r="F166">
            <v>1.3180000000000001</v>
          </cell>
          <cell r="G166">
            <v>0</v>
          </cell>
          <cell r="H166">
            <v>0</v>
          </cell>
          <cell r="I166">
            <v>7</v>
          </cell>
          <cell r="J166">
            <v>50</v>
          </cell>
          <cell r="K166">
            <v>10</v>
          </cell>
          <cell r="L166">
            <v>0</v>
          </cell>
        </row>
        <row r="167">
          <cell r="A167" t="str">
            <v>10067.00817</v>
          </cell>
          <cell r="B167" t="str">
            <v>HOUSSE DE PROTECTION POUR COMPENSATEUR</v>
          </cell>
          <cell r="C167" t="str">
            <v>HOUSSE DE PROTECTION POUR COMPENSATEUR DN1200 PN10 A 16 ENCOMBREMENT DELATO 650 CARACTERISTIQUE DES FLUIDES : - EN MARCHE : ACIDE PHOSPHORIQUE 54 A 58% (P2O5) 5% DE SULFATE (H2SO4) 200ppm DE CHLORE   - TAUX DE SOLIDE 5% ET 1% DE FLUOR - EN LAVAGE : EAU FILTREE 400ppm DE CHLORE ET 5% D'ACIDE SULFURIQUE   - PRESSION DE SEVICE : 10 BARS   - DEPRESSION : VIDE 40 A 80 TORRES   - TEMPERATURE DE SERVICE : DE 110 °C</v>
          </cell>
          <cell r="D167" t="str">
            <v>PE</v>
          </cell>
          <cell r="E167" t="str">
            <v>522.52207</v>
          </cell>
          <cell r="F167">
            <v>4209.3900000000003</v>
          </cell>
          <cell r="G167">
            <v>0</v>
          </cell>
          <cell r="H167">
            <v>0</v>
          </cell>
          <cell r="I167">
            <v>9</v>
          </cell>
          <cell r="J167">
            <v>0</v>
          </cell>
          <cell r="K167">
            <v>3</v>
          </cell>
          <cell r="L167">
            <v>0</v>
          </cell>
        </row>
        <row r="168">
          <cell r="A168" t="str">
            <v>10080.00615</v>
          </cell>
          <cell r="B168" t="str">
            <v>CRAY FEUTRE GROS POINT BL</v>
          </cell>
          <cell r="C168" t="str">
            <v xml:space="preserve">FOURNITURES ET MATERIEL POUR LE BUREAU CRAYONS FEUTRES DE COULEURS POINTE GROSSE COULEUR BLEU DIAMETRE 4,5 PLUS OU MOINS 0,5 MM </v>
          </cell>
          <cell r="D168" t="str">
            <v>PE</v>
          </cell>
          <cell r="E168" t="str">
            <v>222.22206</v>
          </cell>
          <cell r="F168">
            <v>3.7753999999999999</v>
          </cell>
          <cell r="G168">
            <v>0</v>
          </cell>
          <cell r="H168">
            <v>0</v>
          </cell>
          <cell r="I168">
            <v>3</v>
          </cell>
          <cell r="J168">
            <v>26</v>
          </cell>
          <cell r="K168">
            <v>114</v>
          </cell>
          <cell r="L168">
            <v>0</v>
          </cell>
        </row>
        <row r="169">
          <cell r="A169" t="str">
            <v>10080.00616</v>
          </cell>
          <cell r="B169" t="str">
            <v>CRAY FEUTRE GROS POINT NO</v>
          </cell>
          <cell r="C169" t="str">
            <v xml:space="preserve">FOURNITURES ET MATERIEL POUR LE BUREAU CRAYONS FEUTRES DE COULEURS POINTE GROSSE COULEUR NOIR DIAMETRE 4,5 PLUS OU MOINS 0,5 MM </v>
          </cell>
          <cell r="D169" t="str">
            <v>PE</v>
          </cell>
          <cell r="E169" t="str">
            <v>222.22206</v>
          </cell>
          <cell r="F169">
            <v>3.7319</v>
          </cell>
          <cell r="G169">
            <v>0</v>
          </cell>
          <cell r="H169">
            <v>0</v>
          </cell>
          <cell r="I169">
            <v>0</v>
          </cell>
          <cell r="J169">
            <v>0</v>
          </cell>
          <cell r="K169">
            <v>0</v>
          </cell>
          <cell r="L169">
            <v>0</v>
          </cell>
        </row>
        <row r="170">
          <cell r="A170" t="str">
            <v>10067.00812</v>
          </cell>
          <cell r="B170" t="str">
            <v>HOUSSE DE PROTECTION POUR COMPENSATEUR</v>
          </cell>
          <cell r="C170" t="str">
            <v>HOUSSE DE PROTECTION POUR COMPENSATEUR DN150 PN10 A 16 ENCOMBREMENT DELATO 500 CARACTERISTIQUE DES FLUIDES :- EN MARCHE : ACIDE PHOSPHORIQUE 54 A 58% (P2O5) 5% DE SULFATE (H2SO4) 200ppm DE CHLORE- TAUX DE SOLIDE 5% ET 1% DE FLUOR - EN LAVAGE : EAU FILTREE 400ppm DE CHLORE ET 5% D'ACIDE SULFURIQUE- PRESSION DE SEVICE : 10 BARS- DEPRESSION : VIDE 40 A 80 TORRES- TEMPERATURE DE SERVICE : DE 110 °C</v>
          </cell>
          <cell r="D170" t="str">
            <v>PE</v>
          </cell>
          <cell r="E170" t="str">
            <v>522.52207</v>
          </cell>
          <cell r="F170">
            <v>890</v>
          </cell>
          <cell r="G170">
            <v>0</v>
          </cell>
          <cell r="H170">
            <v>0</v>
          </cell>
          <cell r="I170">
            <v>0</v>
          </cell>
          <cell r="J170">
            <v>0</v>
          </cell>
          <cell r="K170">
            <v>0</v>
          </cell>
          <cell r="L170">
            <v>0</v>
          </cell>
        </row>
        <row r="171">
          <cell r="A171" t="str">
            <v>10067.00813</v>
          </cell>
          <cell r="B171" t="str">
            <v>HOUSSE DE PROTECTION POUR COMPENSATEUR</v>
          </cell>
          <cell r="C171" t="str">
            <v>HOUSSE DE PROTECTION POUR COMPENSATEUR DN200 PN10 A 16 ENCOMBREMENT DELATO 550 CARACTERISTIQUE DES FLUIDES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171" t="str">
            <v>PE</v>
          </cell>
          <cell r="E171" t="str">
            <v>522.52207</v>
          </cell>
          <cell r="F171">
            <v>1100</v>
          </cell>
          <cell r="G171">
            <v>0</v>
          </cell>
          <cell r="H171">
            <v>0</v>
          </cell>
          <cell r="I171">
            <v>0</v>
          </cell>
          <cell r="J171">
            <v>0</v>
          </cell>
          <cell r="K171">
            <v>3</v>
          </cell>
          <cell r="L171">
            <v>0</v>
          </cell>
        </row>
        <row r="172">
          <cell r="A172" t="str">
            <v>10080.00617</v>
          </cell>
          <cell r="B172" t="str">
            <v>CRAY FEUTRE GROS POINT VE</v>
          </cell>
          <cell r="C172" t="str">
            <v xml:space="preserve">FOURNITURES ET MATERIEL POUR LE BUREAU CRAYONS FEUTRES DE COULEURS POINTE GROSSE COULEUR VERT DIAMETRE 4,5 PLUS OU MOINS 0,5 MM </v>
          </cell>
          <cell r="D172" t="str">
            <v>PE</v>
          </cell>
          <cell r="E172" t="str">
            <v>222.22206</v>
          </cell>
          <cell r="F172">
            <v>3.7961999999999998</v>
          </cell>
          <cell r="G172">
            <v>0</v>
          </cell>
          <cell r="H172">
            <v>212</v>
          </cell>
          <cell r="I172">
            <v>12</v>
          </cell>
          <cell r="J172">
            <v>36</v>
          </cell>
          <cell r="K172">
            <v>41</v>
          </cell>
          <cell r="L172">
            <v>0</v>
          </cell>
        </row>
        <row r="173">
          <cell r="A173" t="str">
            <v>10075.02170</v>
          </cell>
          <cell r="B173" t="str">
            <v>DILUANT P.PEINTURES CELLU</v>
          </cell>
          <cell r="C173" t="str">
            <v>PEINTURE - VITRERIE DILUANTS DILUANT POUR PEINTURE  UTILISATION : PEINTURES CELLULOSIQUES CONDITIONNEMENT 5 LITRES GENRE SADVEL:DILUANT CELLULOSIQUE-PRODEC:V 18 FICHE DE DONNEE DE SECURITE EST EXIGEE LORS DE LA LIVRAISON DU PRODUIT.</v>
          </cell>
          <cell r="D173" t="str">
            <v>L</v>
          </cell>
          <cell r="E173" t="str">
            <v>522.52203</v>
          </cell>
          <cell r="F173">
            <v>11.561299999999999</v>
          </cell>
          <cell r="G173">
            <v>0</v>
          </cell>
          <cell r="H173">
            <v>0</v>
          </cell>
          <cell r="I173">
            <v>0</v>
          </cell>
          <cell r="J173">
            <v>0</v>
          </cell>
          <cell r="K173">
            <v>0</v>
          </cell>
          <cell r="L173">
            <v>0</v>
          </cell>
        </row>
        <row r="174">
          <cell r="A174" t="str">
            <v>10080.00602</v>
          </cell>
          <cell r="B174" t="str">
            <v>CRAYON FEUTRE POINTE FINE ROUGE</v>
          </cell>
          <cell r="C174" t="str">
            <v xml:space="preserve">CRAYONS FEUTRES DE COULEURS POINTE FINE - COULEUR ROUGEDIAMETRE 2 PLUS OU MOINS 0,5 MM </v>
          </cell>
          <cell r="D174" t="str">
            <v>PE</v>
          </cell>
          <cell r="E174" t="str">
            <v>222.22206</v>
          </cell>
          <cell r="F174">
            <v>1.26</v>
          </cell>
          <cell r="G174">
            <v>0</v>
          </cell>
          <cell r="H174">
            <v>0</v>
          </cell>
          <cell r="I174">
            <v>0</v>
          </cell>
          <cell r="J174">
            <v>0</v>
          </cell>
          <cell r="K174">
            <v>0</v>
          </cell>
          <cell r="L174">
            <v>0</v>
          </cell>
        </row>
        <row r="175">
          <cell r="A175" t="str">
            <v>10080.00603</v>
          </cell>
          <cell r="B175" t="str">
            <v>CRAYON FEUTRE POINTE FINE BLEU</v>
          </cell>
          <cell r="C175" t="str">
            <v xml:space="preserve">CRAYONS FEUTRES DE COULEURSPOINTE FINE - COULEUR BLEU DIAMETRE 2 PLUS OU MOINS 0,5 MM </v>
          </cell>
          <cell r="D175" t="str">
            <v>PE</v>
          </cell>
          <cell r="E175" t="str">
            <v>222.22206</v>
          </cell>
          <cell r="F175">
            <v>1.3371</v>
          </cell>
          <cell r="G175">
            <v>0</v>
          </cell>
          <cell r="H175">
            <v>0</v>
          </cell>
          <cell r="I175">
            <v>0</v>
          </cell>
          <cell r="J175">
            <v>0</v>
          </cell>
          <cell r="K175">
            <v>0</v>
          </cell>
          <cell r="L175">
            <v>0</v>
          </cell>
        </row>
        <row r="176">
          <cell r="A176" t="str">
            <v>10080.00604</v>
          </cell>
          <cell r="B176" t="str">
            <v>CRAYON FEUTRE POINTE FINE NOIR</v>
          </cell>
          <cell r="C176" t="str">
            <v xml:space="preserve">CRAYON FEUTRE POINTE FINE  COULEUR  : NOIR DIAMETRE 2 PLUS OU MOINS 0,5 MM </v>
          </cell>
          <cell r="D176" t="str">
            <v>PE</v>
          </cell>
          <cell r="E176" t="str">
            <v>222.22206</v>
          </cell>
          <cell r="F176">
            <v>1.3148</v>
          </cell>
          <cell r="G176">
            <v>0</v>
          </cell>
          <cell r="H176">
            <v>0</v>
          </cell>
          <cell r="I176">
            <v>0</v>
          </cell>
          <cell r="J176">
            <v>0</v>
          </cell>
          <cell r="K176">
            <v>0</v>
          </cell>
          <cell r="L176">
            <v>0</v>
          </cell>
        </row>
        <row r="177">
          <cell r="A177" t="str">
            <v>10085.00605</v>
          </cell>
          <cell r="B177" t="str">
            <v>CARNET RAPPORT D'ACCIDENT</v>
          </cell>
          <cell r="C177" t="str">
            <v xml:space="preserve">IMPRIME RELATIF AU PERSONNEL ET A LA MAIN D'OEUVRE . . DESIGNATION : RAPPORT D'ACCIDENT DU TRAVAIL QUALITE : UTILE:21 X 31 CM COMPOSITION CARNET DE 25 LIASSES DE 4 FEUILLETS DETACHABLES COTE , GAUCHE SUIVANT POINTILLE NUMEROTES DE 1 A 4 -LES , FEUILLETS:1-2-3 CARBONES AU VERSO.-ORIGINAL:IMPRESSION, RO-VERT,PAPIER ECRITURE,FORCE:64 G/M2.-COPIES:2 ET 3: , IMPR:RO-VO-VERT,PAPIER PELURE,F:32 G/M2.-COPIE:4 IMPR:, RO-VO-VERT,INSTRUCTIONS AU VERSO,PELURE,F:32 G/M2 COUVERTURE PAPIE DOSSIER,FORCE:240 G/M2,COULEUR:GRIS-(S.MODELE) PRESENTATION : HORIZONTALE COULEUR BLANC (IMPRIME REALISE PAR IMPRIMERIE OCP) , </v>
          </cell>
          <cell r="D177" t="str">
            <v>PE</v>
          </cell>
          <cell r="E177" t="str">
            <v>222.22206</v>
          </cell>
          <cell r="F177">
            <v>26.059000000000001</v>
          </cell>
          <cell r="G177">
            <v>0</v>
          </cell>
          <cell r="H177">
            <v>0</v>
          </cell>
          <cell r="I177">
            <v>0</v>
          </cell>
          <cell r="J177">
            <v>0</v>
          </cell>
          <cell r="K177">
            <v>0</v>
          </cell>
          <cell r="L177">
            <v>0</v>
          </cell>
        </row>
        <row r="178">
          <cell r="A178" t="str">
            <v>10085.00606</v>
          </cell>
          <cell r="B178" t="str">
            <v>RAPPORT ACCIDENT DE TRAVAIL</v>
          </cell>
          <cell r="C178" t="str">
            <v xml:space="preserve">RAPPORT D'ACCIDENT DU TRAVAIL BLOC DE 25 LIASSES DE 5 FEUILLES IDENTIQUES (1ère BLANCHE 64 G/M², LE RESTE : PELURE BLANCHE 40 G/M² ) NUMEROTEES DE 1 A 5 ET COLLEES COTE GAUCHE AVEC COUVERTURE AU DOSIMPRESSION : R° NOIRE FORMAT : 21 X 29,7 CM PRESENTATION : PAYSAGEPAPIER : 1er FEUILLET SUPERIEUR BLANC 64 G/M²               2èm; 3ème; 4ème et 5ème FEUILLET : PELURE BLANCHE 40 G/M²COUVERTURE : DOSSIER 240 G/M², COULEUR DISPONIBLE  SUIVANT MODELE </v>
          </cell>
          <cell r="D178" t="str">
            <v>PE</v>
          </cell>
          <cell r="E178" t="str">
            <v>222.22206</v>
          </cell>
          <cell r="F178">
            <v>4.4983000000000004</v>
          </cell>
          <cell r="G178">
            <v>0</v>
          </cell>
          <cell r="H178">
            <v>0</v>
          </cell>
          <cell r="I178">
            <v>0</v>
          </cell>
          <cell r="J178">
            <v>0</v>
          </cell>
          <cell r="K178">
            <v>0</v>
          </cell>
          <cell r="L178">
            <v>0</v>
          </cell>
        </row>
        <row r="179">
          <cell r="A179" t="str">
            <v>10080.00980</v>
          </cell>
          <cell r="B179" t="str">
            <v>POCHETTE STYL IDELIBILE POINTE FINE</v>
          </cell>
          <cell r="C179" t="str">
            <v xml:space="preserve">POCHETTE DE QUATRE STYLOS INDELIBILE POINTE FINE COULEUR ROUGE BLEU VERT NOIR DESTINATION POUR ECRITURE SUR PAPIER POLYESTER TRANSPARANT </v>
          </cell>
          <cell r="D179" t="str">
            <v>PE</v>
          </cell>
          <cell r="E179" t="str">
            <v>222.22206</v>
          </cell>
          <cell r="F179">
            <v>21.6</v>
          </cell>
          <cell r="G179">
            <v>0</v>
          </cell>
          <cell r="H179">
            <v>0</v>
          </cell>
          <cell r="I179">
            <v>0</v>
          </cell>
          <cell r="J179">
            <v>0</v>
          </cell>
          <cell r="K179">
            <v>0</v>
          </cell>
          <cell r="L179">
            <v>0</v>
          </cell>
        </row>
        <row r="180">
          <cell r="A180" t="str">
            <v>10080.00981</v>
          </cell>
          <cell r="B180" t="str">
            <v>POCHETTE STYL IDEL P EX F</v>
          </cell>
          <cell r="C180" t="str">
            <v xml:space="preserve">CHETTE DE QUATRE STYLOS INDELIBILE POINTE EXTRA FINECOULEUR ROUGE BLEU VERT NOIR DESTINATION POUR ECRITURE SUR PAPIER POLYESTER TRANSPARANT </v>
          </cell>
          <cell r="D180" t="str">
            <v>PE</v>
          </cell>
          <cell r="E180" t="str">
            <v>222.22206</v>
          </cell>
          <cell r="F180">
            <v>22.763999999999999</v>
          </cell>
          <cell r="G180">
            <v>0</v>
          </cell>
          <cell r="H180">
            <v>0</v>
          </cell>
          <cell r="I180">
            <v>0</v>
          </cell>
          <cell r="J180">
            <v>0</v>
          </cell>
          <cell r="K180">
            <v>0</v>
          </cell>
          <cell r="L180">
            <v>0</v>
          </cell>
        </row>
        <row r="181">
          <cell r="A181" t="str">
            <v>10080.00614</v>
          </cell>
          <cell r="B181" t="str">
            <v>CRAY FEUTRE GROS POINT RO</v>
          </cell>
          <cell r="C181" t="str">
            <v xml:space="preserve">FOURNITURES ET MATERIEL POUR LE BUREAU CRAYONS FEUTRES DE COULEURS POINTE GROSSE COULEUR ROUGE DIAMETRE 4,5 PLUS OU MOINS 0,5 MM </v>
          </cell>
          <cell r="D181" t="str">
            <v>PE</v>
          </cell>
          <cell r="E181" t="str">
            <v>222.22206</v>
          </cell>
          <cell r="F181">
            <v>3.7818000000000001</v>
          </cell>
          <cell r="G181">
            <v>0</v>
          </cell>
          <cell r="H181">
            <v>0</v>
          </cell>
          <cell r="I181">
            <v>27</v>
          </cell>
          <cell r="J181">
            <v>6</v>
          </cell>
          <cell r="K181">
            <v>88</v>
          </cell>
          <cell r="L181">
            <v>0</v>
          </cell>
        </row>
        <row r="182">
          <cell r="A182" t="str">
            <v>10076.02248</v>
          </cell>
          <cell r="B182" t="str">
            <v>CHARBON ACTIF ENV.2.5MM</v>
          </cell>
          <cell r="C182" t="str">
            <v>. CHARBON ACTIF . GRANULOMETRIE env.2.5mm . POUR PURIFICATION DE L'EAU . GENRE MERCK 102518 .</v>
          </cell>
          <cell r="D182" t="str">
            <v>KG</v>
          </cell>
          <cell r="E182" t="str">
            <v>522.52211</v>
          </cell>
          <cell r="F182">
            <v>116.5</v>
          </cell>
          <cell r="G182">
            <v>0</v>
          </cell>
          <cell r="H182">
            <v>0</v>
          </cell>
          <cell r="I182">
            <v>0</v>
          </cell>
          <cell r="J182">
            <v>0</v>
          </cell>
          <cell r="K182">
            <v>0</v>
          </cell>
          <cell r="L182">
            <v>0</v>
          </cell>
        </row>
        <row r="183">
          <cell r="A183" t="str">
            <v>10085.00545</v>
          </cell>
          <cell r="B183" t="str">
            <v>CARTE DE VISITE (suivant model)</v>
          </cell>
          <cell r="C183" t="str">
            <v>CARTE DE VISITE (suivant model)</v>
          </cell>
          <cell r="D183" t="str">
            <v>PE</v>
          </cell>
          <cell r="E183" t="str">
            <v>222.22206</v>
          </cell>
          <cell r="F183">
            <v>0.3</v>
          </cell>
          <cell r="G183">
            <v>0</v>
          </cell>
          <cell r="H183">
            <v>0</v>
          </cell>
          <cell r="I183">
            <v>0</v>
          </cell>
          <cell r="J183">
            <v>0</v>
          </cell>
          <cell r="K183">
            <v>0</v>
          </cell>
          <cell r="L183">
            <v>0</v>
          </cell>
        </row>
        <row r="184">
          <cell r="A184" t="str">
            <v>10075.00377</v>
          </cell>
          <cell r="B184" t="str">
            <v>BOMBE PULVER PEINTU JETABL</v>
          </cell>
          <cell r="C184" t="str">
            <v xml:space="preserve">PEINTURE DIVERSE ET VITRERIE DESIGNATION: BOMBE PULVERRISATEUR DE PEINTURE JETABLE COULEUR : A PRECISER </v>
          </cell>
          <cell r="D184" t="str">
            <v>PE</v>
          </cell>
          <cell r="E184" t="str">
            <v>522.52203</v>
          </cell>
          <cell r="F184">
            <v>20</v>
          </cell>
          <cell r="G184">
            <v>0</v>
          </cell>
          <cell r="H184">
            <v>0</v>
          </cell>
          <cell r="I184">
            <v>0</v>
          </cell>
          <cell r="J184">
            <v>0</v>
          </cell>
          <cell r="K184">
            <v>0</v>
          </cell>
          <cell r="L184">
            <v>0</v>
          </cell>
        </row>
        <row r="185">
          <cell r="A185" t="str">
            <v>10078.06000</v>
          </cell>
          <cell r="B185" t="str">
            <v>PARDESSU BLEU HIVER S.MES</v>
          </cell>
          <cell r="C185" t="str">
            <v xml:space="preserve">HABILLEMENT PAR DESSUS (HIVER) POUR GARDIEN AVEC ECUSSON PORTANT L'EMBLEME O-C-P QUALITE: TISSU : LAINE COULEUR: BLEUE CONFECTION SUR MESURE </v>
          </cell>
          <cell r="D185" t="str">
            <v>PE</v>
          </cell>
          <cell r="E185" t="str">
            <v>522.52216</v>
          </cell>
          <cell r="F185">
            <v>500</v>
          </cell>
          <cell r="G185">
            <v>0</v>
          </cell>
          <cell r="H185">
            <v>0</v>
          </cell>
          <cell r="I185">
            <v>0</v>
          </cell>
          <cell r="J185">
            <v>0</v>
          </cell>
          <cell r="K185">
            <v>0</v>
          </cell>
          <cell r="L185">
            <v>0</v>
          </cell>
        </row>
        <row r="186">
          <cell r="A186" t="str">
            <v>10078.06001</v>
          </cell>
          <cell r="B186" t="str">
            <v>PARDESSU P/CHAUFFEUR SDG</v>
          </cell>
          <cell r="C186" t="str">
            <v xml:space="preserve">HABILLEMENT PAR DESSUS (HIVER) POUR CHAUFFEURS SDG  QUALITE: TISSU:LAINE DE TRES BONNE QUALITE CONFECTION SUR MESURE </v>
          </cell>
          <cell r="D186" t="str">
            <v>PE</v>
          </cell>
          <cell r="E186" t="str">
            <v>522.52216</v>
          </cell>
          <cell r="F186">
            <v>800</v>
          </cell>
          <cell r="G186">
            <v>0</v>
          </cell>
          <cell r="H186">
            <v>0</v>
          </cell>
          <cell r="I186">
            <v>0</v>
          </cell>
          <cell r="J186">
            <v>0</v>
          </cell>
          <cell r="K186">
            <v>0</v>
          </cell>
          <cell r="L186">
            <v>0</v>
          </cell>
        </row>
        <row r="187">
          <cell r="A187" t="str">
            <v>10085.05645</v>
          </cell>
          <cell r="B187" t="str">
            <v>PERMIS DE FEU</v>
          </cell>
          <cell r="C187" t="str">
            <v>PERMIS DE FEUCARNET DE 50 LIASSES DE 3 FEUILLES AUTO-CARBONEESFORMAT: 21 x 31 CMFORCE : ORIGINAL DE 64 GR/M2 ET PAPIER PELURE POUR LE 2 ET LE 3EME EXEMPLAIRECOUVERTURE: DOSSIER DISPONIBLENUMEROTATION EN 4 CHIFFRESBORDURE DE COULEUR ROUGE DE 0,5 CM ENTOURE L¿ORIGINALPRESENTATION:A LA FRANCAISEIMPRESSION: RECTO VERSO EN NOIR POUR LES 3 EXEMPLAIRESL¿ORIGINALE : BLANCLA 1ERE COPIE: JAUNELA 2EME COPIE: ROSESUIVANT MODELE</v>
          </cell>
          <cell r="D187" t="str">
            <v>PE</v>
          </cell>
          <cell r="E187" t="str">
            <v>222.22206</v>
          </cell>
          <cell r="F187">
            <v>32.574199999999998</v>
          </cell>
          <cell r="G187">
            <v>0</v>
          </cell>
          <cell r="H187">
            <v>80</v>
          </cell>
          <cell r="I187">
            <v>20</v>
          </cell>
          <cell r="J187">
            <v>0</v>
          </cell>
          <cell r="K187">
            <v>13</v>
          </cell>
          <cell r="L187">
            <v>0</v>
          </cell>
        </row>
        <row r="188">
          <cell r="A188" t="str">
            <v>10085.05646</v>
          </cell>
          <cell r="B188" t="str">
            <v>PERMIS DE FOUILLE</v>
          </cell>
          <cell r="C188" t="str">
            <v>PERMIS DE FOUILLECARNET DE 50 LIASSES DE 3 FEUILLES AUTO-CARBONEESFORMAT: 21 x 31 CMFORCE : ORIGINAL DE 64 GR/M2 ET PAPIER PELURE POUR LE 2 ET LE 3EME EXEMPLAIRECOUVERTURE: DOSSIER DISPONIBLENUMEROTATION EN 4 CHIFFRESBORDURE DE COULEUR ROUGE DE 0,5 CM ENTOURE L¿ORIGINALPRESENTATION:A LA FRANCAISEIMPRESSION: RECTO VERSO EN NOIR POUR LES 3 EXEMPLAIRESL¿ORIGINALE : BLANCLA 1ERE COPIE: JAUNELA 2EME COPIE: ROSESUIVANT MODELE</v>
          </cell>
          <cell r="D188" t="str">
            <v>PE</v>
          </cell>
          <cell r="E188" t="str">
            <v>222.22206</v>
          </cell>
          <cell r="F188">
            <v>41.869599999999998</v>
          </cell>
          <cell r="G188">
            <v>0</v>
          </cell>
          <cell r="H188">
            <v>3</v>
          </cell>
          <cell r="I188">
            <v>11</v>
          </cell>
          <cell r="J188">
            <v>5</v>
          </cell>
          <cell r="K188">
            <v>16</v>
          </cell>
          <cell r="L188">
            <v>0</v>
          </cell>
        </row>
        <row r="189">
          <cell r="A189" t="str">
            <v>10074.00082</v>
          </cell>
          <cell r="B189" t="str">
            <v>PINCAU ROND 25MM</v>
          </cell>
          <cell r="C189" t="str">
            <v xml:space="preserve">DROGUERIE PINCEAUX RONDS A VIROLE HAUTE EN CUIVRE  MODELE : :FORME POUCE LONGUEUR : SOIE 60 MM DIAMETRE : 25 MM COMPOSITION : HERMETIQUE INDEMANCHABLE,COUVERCLE SERTI AVEC COLLETS , EN FICELLE - SOIE BLANCHE EXTRA </v>
          </cell>
          <cell r="D189" t="str">
            <v>PE</v>
          </cell>
          <cell r="E189" t="str">
            <v>522.52203</v>
          </cell>
          <cell r="F189">
            <v>7.9</v>
          </cell>
          <cell r="G189">
            <v>0</v>
          </cell>
          <cell r="H189">
            <v>0</v>
          </cell>
          <cell r="I189">
            <v>0</v>
          </cell>
          <cell r="J189">
            <v>0</v>
          </cell>
          <cell r="K189">
            <v>0</v>
          </cell>
          <cell r="L189">
            <v>0</v>
          </cell>
        </row>
        <row r="190">
          <cell r="A190" t="str">
            <v>10074.00084</v>
          </cell>
          <cell r="B190" t="str">
            <v>PINCAU ROND 30MM</v>
          </cell>
          <cell r="C190" t="str">
            <v xml:space="preserve">DROGUERIE PINCEAUX RONDS A VIROLE HAUTE EN CUIVRE  MODELE : :FORME POUCE LONGUEUR : SOIE 65 MM DIAMETRE : 30 MM COMPOSITION : HERMETIQUE INDEMANCHABLE,COUVERCLE SERTI AVEC COLLETS , EN FICELLE - SOIE BLANCHE EXTRA </v>
          </cell>
          <cell r="D190" t="str">
            <v>PE</v>
          </cell>
          <cell r="E190" t="str">
            <v>522.52203</v>
          </cell>
          <cell r="F190">
            <v>8.6999999999999993</v>
          </cell>
          <cell r="G190">
            <v>0</v>
          </cell>
          <cell r="H190">
            <v>0</v>
          </cell>
          <cell r="I190">
            <v>0</v>
          </cell>
          <cell r="J190">
            <v>0</v>
          </cell>
          <cell r="K190">
            <v>0</v>
          </cell>
          <cell r="L190">
            <v>0</v>
          </cell>
        </row>
        <row r="191">
          <cell r="A191" t="str">
            <v>10074.00090</v>
          </cell>
          <cell r="B191" t="str">
            <v>PINCAU ROND 35MM</v>
          </cell>
          <cell r="C191" t="str">
            <v xml:space="preserve">DROGUERIE PINCEAUX RONDS A VIROLE HAUTE EN CUIVRE  MODELE : :FORME ORDINAIRE LONGUEUR : SOIE 70 MM DIAMETRE : 35 MM COMPOSITION : HERMETIQUE INDEMANCHABLE,COUVERCLE SERTI AVEC COLLETS , EN FICELLE - SOIE BLANCHE EXTRA </v>
          </cell>
          <cell r="D191" t="str">
            <v>PE</v>
          </cell>
          <cell r="E191" t="str">
            <v>522.52203</v>
          </cell>
          <cell r="F191">
            <v>9.5</v>
          </cell>
          <cell r="G191">
            <v>0</v>
          </cell>
          <cell r="H191">
            <v>0</v>
          </cell>
          <cell r="I191">
            <v>0</v>
          </cell>
          <cell r="J191">
            <v>0</v>
          </cell>
          <cell r="K191">
            <v>0</v>
          </cell>
          <cell r="L191">
            <v>0</v>
          </cell>
        </row>
        <row r="192">
          <cell r="A192" t="str">
            <v>10074.00092</v>
          </cell>
          <cell r="B192" t="str">
            <v>PINCAU ROND 40MM</v>
          </cell>
          <cell r="C192" t="str">
            <v xml:space="preserve">DROGUERIE PINCEAUX RONDS A VIROLE HAUTE EN CUIVRE  MODELE : :FORME ORDINAIRE LONGUEUR : SOIE 75 MM DIAMETRE : 40 MM COMPOSITION : HERMETIQUE INDEMANCHABLE,COUVERCLE SERTI AVEC COLLETS , EN FICELLE - SOIE BLANCHE EXTRA </v>
          </cell>
          <cell r="D192" t="str">
            <v>PE</v>
          </cell>
          <cell r="E192" t="str">
            <v>522.52203</v>
          </cell>
          <cell r="F192">
            <v>10.5</v>
          </cell>
          <cell r="G192">
            <v>0</v>
          </cell>
          <cell r="H192">
            <v>0</v>
          </cell>
          <cell r="I192">
            <v>0</v>
          </cell>
          <cell r="J192">
            <v>0</v>
          </cell>
          <cell r="K192">
            <v>0</v>
          </cell>
          <cell r="L192">
            <v>0</v>
          </cell>
        </row>
        <row r="193">
          <cell r="A193" t="str">
            <v>10074.00096</v>
          </cell>
          <cell r="B193" t="str">
            <v>PINCAU ROND 55MM</v>
          </cell>
          <cell r="C193" t="str">
            <v xml:space="preserve">DROGUERIE PINCEAUX RONDS A VIROLE HAUTE EN CUIVRE  MODELE : :FORME ORDINAIRE LONGUEUR : SOIE 90 MM DIAMETRE : 55 MM COMPOSITION : HERMETIQUE INDEMANCHABLE,COUVERCLE SERTI AVEC COLLETS , EN FICELLE - SOIE BLANCHE EXTRA </v>
          </cell>
          <cell r="D193" t="str">
            <v>PE</v>
          </cell>
          <cell r="E193" t="str">
            <v>522.52203</v>
          </cell>
          <cell r="F193">
            <v>43.188000000000002</v>
          </cell>
          <cell r="G193">
            <v>0</v>
          </cell>
          <cell r="H193">
            <v>0</v>
          </cell>
          <cell r="I193">
            <v>0</v>
          </cell>
          <cell r="J193">
            <v>0</v>
          </cell>
          <cell r="K193">
            <v>0</v>
          </cell>
          <cell r="L193">
            <v>0</v>
          </cell>
        </row>
        <row r="194">
          <cell r="A194" t="str">
            <v>10085.05644</v>
          </cell>
          <cell r="B194" t="str">
            <v>AUTORISATION DE TRAVAIL</v>
          </cell>
          <cell r="C194" t="str">
            <v>AUTORISATION DE TRAVAIL CARNET DE 50 LIASSES DE 3 FEUILLES AUTO-CARBONEESFORMAT: 21 x 31 CMFORCE : ORIGINAL DE 64 GR/M2 ET PAPIER PELURE POUR LE 2 ET LE 3EME EXEMPLAIRECOUVERTURE: DOSSIER DISPONIBLENUMEROTATION EN 4 CHIFFRESBORDURE DE COULEUR ROUGE DE 0,5 CM ENTOURE L'ORIGINALPRESENTATION:A LA FRANCAISEIMPRESSION: RECTO VERSO EN NOIR POUR LES 3 EXEMPLAIRESL¿ORIGINALE : BLANCLA 1ERE COPIE: JAUNELA 2EME COPIE: ROSESUIVANT MODELE</v>
          </cell>
          <cell r="D194" t="str">
            <v>PE</v>
          </cell>
          <cell r="E194" t="str">
            <v>222.22206</v>
          </cell>
          <cell r="F194">
            <v>29.645</v>
          </cell>
          <cell r="G194">
            <v>0</v>
          </cell>
          <cell r="H194">
            <v>0</v>
          </cell>
          <cell r="I194">
            <v>219</v>
          </cell>
          <cell r="J194">
            <v>171</v>
          </cell>
          <cell r="K194">
            <v>200</v>
          </cell>
          <cell r="L194">
            <v>20</v>
          </cell>
        </row>
        <row r="195">
          <cell r="A195" t="str">
            <v>10080.00991</v>
          </cell>
          <cell r="B195" t="str">
            <v>MARQUEUR EFFACAB COU BLEU</v>
          </cell>
          <cell r="C195" t="str">
            <v xml:space="preserve">FOURNITURES ET MATERIEL POUR LE BUREAU . . . DESIGNATION : MARQUEUR EFFACABLE A SEC COULEUR BLEUE </v>
          </cell>
          <cell r="D195" t="str">
            <v>PE</v>
          </cell>
          <cell r="E195" t="str">
            <v>222.22206</v>
          </cell>
          <cell r="F195">
            <v>4.0747</v>
          </cell>
          <cell r="G195">
            <v>0</v>
          </cell>
          <cell r="H195">
            <v>0</v>
          </cell>
          <cell r="I195">
            <v>0</v>
          </cell>
          <cell r="J195">
            <v>0</v>
          </cell>
          <cell r="K195">
            <v>30</v>
          </cell>
          <cell r="L195">
            <v>0</v>
          </cell>
        </row>
        <row r="196">
          <cell r="A196" t="str">
            <v>10080.00992</v>
          </cell>
          <cell r="B196" t="str">
            <v>MARQUEUR EFFACAB COU ROUG</v>
          </cell>
          <cell r="C196" t="str">
            <v xml:space="preserve">FOURNITURES ET MATERIEL POUR LE BUREAU . . . DESIGNATION : MARQUEUR EFFACABLE A SEC COULEUR ROUGE </v>
          </cell>
          <cell r="D196" t="str">
            <v>PE</v>
          </cell>
          <cell r="E196" t="str">
            <v>222.22206</v>
          </cell>
          <cell r="F196">
            <v>4.0831</v>
          </cell>
          <cell r="G196">
            <v>0</v>
          </cell>
          <cell r="H196">
            <v>0</v>
          </cell>
          <cell r="I196">
            <v>0</v>
          </cell>
          <cell r="J196">
            <v>18</v>
          </cell>
          <cell r="K196">
            <v>84</v>
          </cell>
          <cell r="L196">
            <v>0</v>
          </cell>
        </row>
        <row r="197">
          <cell r="A197" t="str">
            <v>10082.00996</v>
          </cell>
          <cell r="B197" t="str">
            <v>ROULEAU PAPIER BLAN 900MM</v>
          </cell>
          <cell r="C197" t="str">
            <v xml:space="preserve">PAPETERIE ROULEAU DE PAPIER ORDINAIRE POUR TIREUSE DE PLANS FORCE : 80G/M2 COULEUR : BLANCHE DESTINATION TIREUSE DE PLANS OCE 7050 LARGEUR : 900 MM LONGUEUR : 50 METRES </v>
          </cell>
          <cell r="D197" t="str">
            <v>PE</v>
          </cell>
          <cell r="E197" t="str">
            <v>222.22206</v>
          </cell>
          <cell r="F197">
            <v>102</v>
          </cell>
          <cell r="G197">
            <v>0</v>
          </cell>
          <cell r="H197">
            <v>0</v>
          </cell>
          <cell r="I197">
            <v>0</v>
          </cell>
          <cell r="J197">
            <v>0</v>
          </cell>
          <cell r="K197">
            <v>3</v>
          </cell>
          <cell r="L197">
            <v>0</v>
          </cell>
        </row>
        <row r="198">
          <cell r="A198" t="str">
            <v>10082.00996</v>
          </cell>
          <cell r="B198" t="str">
            <v>ROULEAU PAPIER BLAN 900MM</v>
          </cell>
          <cell r="C198" t="str">
            <v xml:space="preserve">PAPETERIE ROULEAU DE PAPIER ORDINAIRE POUR TIREUSE DE PLANS FORCE : 80G/M2 COULEUR : BLANCHE DESTINATION TIREUSE DE PLANS OCE 7050 LARGEUR : 900 MM LONGUEUR : 50 METRES </v>
          </cell>
          <cell r="D198" t="str">
            <v>PE</v>
          </cell>
          <cell r="E198" t="str">
            <v>222.22206</v>
          </cell>
          <cell r="F198">
            <v>102</v>
          </cell>
          <cell r="G198">
            <v>0</v>
          </cell>
          <cell r="H198">
            <v>0</v>
          </cell>
          <cell r="I198">
            <v>0</v>
          </cell>
          <cell r="J198">
            <v>0</v>
          </cell>
          <cell r="K198">
            <v>11</v>
          </cell>
          <cell r="L198">
            <v>0</v>
          </cell>
        </row>
        <row r="199">
          <cell r="A199" t="str">
            <v>10078.06282</v>
          </cell>
          <cell r="B199" t="str">
            <v>P.CHAUSS.BON.QUALITE P.43 NOIRE</v>
          </cell>
          <cell r="C199" t="str">
            <v xml:space="preserve">PAIRE DE CHAUSSURES BASSES A OEILLETS ET LACETS QUALITE: TRES BONNE COULEUR: NOIRE TIGE ET DOUBLURE : EN CUIR SEMELLE EN CUIR TALON EN CUIR RECOUVERT DE CAOUTCHOUC ANTIDERAPANT POINTURE : 43 </v>
          </cell>
          <cell r="D199" t="str">
            <v>PE</v>
          </cell>
          <cell r="E199" t="str">
            <v>522.52216</v>
          </cell>
          <cell r="F199">
            <v>312</v>
          </cell>
          <cell r="G199">
            <v>0</v>
          </cell>
          <cell r="H199">
            <v>0</v>
          </cell>
          <cell r="I199">
            <v>0</v>
          </cell>
          <cell r="J199">
            <v>0</v>
          </cell>
          <cell r="K199">
            <v>0</v>
          </cell>
          <cell r="L199">
            <v>0</v>
          </cell>
        </row>
        <row r="200">
          <cell r="A200" t="str">
            <v>10080.00999</v>
          </cell>
          <cell r="B200" t="str">
            <v>STYLO FEUTRE INDEL. ROUGE</v>
          </cell>
          <cell r="C200" t="str">
            <v xml:space="preserve">FOURNITURES ET MATERIEL POUR LE BUREAU CRAYONS FEUTRES DE COULEURS INDELEBILE DESIGNATION : PAQUET DE 12 STYLOS A POINTE FEUTRE TRIANGULAIRE , NON RECHARGEABLES AVEC CAPUCHON,PERMET D'ECRIRE LARGE , (4MM) OU FIN (1MM) COULEUR ROUGE </v>
          </cell>
          <cell r="D200" t="str">
            <v>PE</v>
          </cell>
          <cell r="E200" t="str">
            <v>222.22206</v>
          </cell>
          <cell r="F200">
            <v>43.2</v>
          </cell>
          <cell r="G200">
            <v>0</v>
          </cell>
          <cell r="H200">
            <v>0</v>
          </cell>
          <cell r="I200">
            <v>0</v>
          </cell>
          <cell r="J200">
            <v>0</v>
          </cell>
          <cell r="K200">
            <v>0</v>
          </cell>
          <cell r="L200">
            <v>0</v>
          </cell>
        </row>
        <row r="201">
          <cell r="A201" t="str">
            <v>10078.06283</v>
          </cell>
          <cell r="B201" t="str">
            <v>P.CHAUSS.BON.QUALITE P.44</v>
          </cell>
          <cell r="C201" t="str">
            <v xml:space="preserve">HABILLEMENT PAIRE DE CHAUSSURES BASSES A OEILLETS ET LACETS . QUALITE: TRES BONNE COULEUR: NOIRE TIGE ET DOUBLURE : EN CUIR SEMELLE EN CUIR TALON EN CUIR RECOUVERT DE CAOUTCHOUC ANTIDERAPANT POINTURE : 44 </v>
          </cell>
          <cell r="D201" t="str">
            <v>PE</v>
          </cell>
          <cell r="E201" t="str">
            <v>522.52216</v>
          </cell>
          <cell r="F201">
            <v>288</v>
          </cell>
          <cell r="G201">
            <v>0</v>
          </cell>
          <cell r="H201">
            <v>0</v>
          </cell>
          <cell r="I201">
            <v>0</v>
          </cell>
          <cell r="J201">
            <v>0</v>
          </cell>
          <cell r="K201">
            <v>0</v>
          </cell>
          <cell r="L201">
            <v>0</v>
          </cell>
        </row>
        <row r="202">
          <cell r="A202" t="str">
            <v>10078.06306</v>
          </cell>
          <cell r="B202" t="str">
            <v>P.CHAUSS.BASSES.POINTURE 42</v>
          </cell>
          <cell r="C202" t="str">
            <v>PAIRE DE CHAUSSURES BASSES A OEILLETS ET LACETS TIGE EN CUIR NOIR ET LANGUETTE SEMELLE CUIR GROUPON TALON CUIR OU CAOUTCHOUC POINTURE : 42 COULEUR : NOIRE</v>
          </cell>
          <cell r="D202" t="str">
            <v>PE</v>
          </cell>
          <cell r="E202" t="str">
            <v>522.52216</v>
          </cell>
          <cell r="F202">
            <v>380</v>
          </cell>
          <cell r="G202">
            <v>0</v>
          </cell>
          <cell r="H202">
            <v>0</v>
          </cell>
          <cell r="I202">
            <v>0</v>
          </cell>
          <cell r="J202">
            <v>0</v>
          </cell>
          <cell r="K202">
            <v>0</v>
          </cell>
          <cell r="L202">
            <v>0</v>
          </cell>
        </row>
        <row r="203">
          <cell r="A203" t="str">
            <v>10080.01072</v>
          </cell>
          <cell r="B203" t="str">
            <v>MINE DIAM 0,7MM DURETE.HB</v>
          </cell>
          <cell r="C203" t="str">
            <v xml:space="preserve">FOURNITURES ET MATERIEL POUR LE BUREAU . . . DESIGNATION : MINE DE RECHARGE POUR PORTE-MINE COULEUR NOIRE DIAMETRE 0,7MM LONGUEUR 60MM CONDITIONNEMENT EN ETUIS DE 12 MINES . HB </v>
          </cell>
          <cell r="D203" t="str">
            <v>PE</v>
          </cell>
          <cell r="E203" t="str">
            <v>222.22206</v>
          </cell>
          <cell r="F203">
            <v>4.0999999999999996</v>
          </cell>
          <cell r="G203">
            <v>0</v>
          </cell>
          <cell r="H203">
            <v>0</v>
          </cell>
          <cell r="I203">
            <v>0</v>
          </cell>
          <cell r="J203">
            <v>0</v>
          </cell>
          <cell r="K203">
            <v>0</v>
          </cell>
          <cell r="L203">
            <v>0</v>
          </cell>
        </row>
        <row r="204">
          <cell r="A204" t="str">
            <v>10080.01073</v>
          </cell>
          <cell r="B204" t="str">
            <v>MINE DIAM 0,7MM DURETE.H</v>
          </cell>
          <cell r="C204" t="str">
            <v xml:space="preserve">FOURNITURES ET MATERIEL POUR LE BUREAU . . . DESIGNATION : MINE DE RECHARGE POUR PORTE-MINE COULEUR NOIRE DIAMETRE 0,7MM LONGUEUR 60MM CONDITIONNEMENT EN ETUIS DE 12 MINES . H </v>
          </cell>
          <cell r="D204" t="str">
            <v>PE</v>
          </cell>
          <cell r="E204" t="str">
            <v>222.22206</v>
          </cell>
          <cell r="F204">
            <v>3.2292999999999998</v>
          </cell>
          <cell r="G204">
            <v>0</v>
          </cell>
          <cell r="H204">
            <v>0</v>
          </cell>
          <cell r="I204">
            <v>0</v>
          </cell>
          <cell r="J204">
            <v>0</v>
          </cell>
          <cell r="K204">
            <v>0</v>
          </cell>
          <cell r="L204">
            <v>0</v>
          </cell>
        </row>
        <row r="205">
          <cell r="A205" t="str">
            <v>10078.06305</v>
          </cell>
          <cell r="B205" t="str">
            <v>P.CHAUSS.BASSES.POINTURE 41</v>
          </cell>
          <cell r="C205" t="str">
            <v>PAIRE DE CHAUSSURES BASSES A OEILLETS ET LACETS TIGE EN CUIR NOIR ET LANGUETTE SEMELLE CUIR CROUPON TALON CUIR OU CAOUTCHOUC POINTURE : 41 COULEUR : NOIRE</v>
          </cell>
          <cell r="D205" t="str">
            <v>PE</v>
          </cell>
          <cell r="E205" t="str">
            <v>522.52216</v>
          </cell>
          <cell r="F205">
            <v>400</v>
          </cell>
          <cell r="G205">
            <v>0</v>
          </cell>
          <cell r="H205">
            <v>0</v>
          </cell>
          <cell r="I205">
            <v>0</v>
          </cell>
          <cell r="J205">
            <v>0</v>
          </cell>
          <cell r="K205">
            <v>4</v>
          </cell>
          <cell r="L205">
            <v>0</v>
          </cell>
        </row>
        <row r="206">
          <cell r="A206" t="str">
            <v>10074.00102</v>
          </cell>
          <cell r="B206" t="str">
            <v>PINCAU ROND 60MM</v>
          </cell>
          <cell r="C206" t="str">
            <v xml:space="preserve">DROGUERIE PINCEAUX A GELATINE  LONGUEUR : SOIE : 110 MM - TOTALE AVEC MANCHE : 520 DIAMETRE : 60 MM COMPOSITION : SOIES GRISES FINES VIROLE CUIVRE SERTIE FORME : RONDS AUTRE APPELLATION : BROSSE ALGERIENNE </v>
          </cell>
          <cell r="D206" t="str">
            <v>PE</v>
          </cell>
          <cell r="E206" t="str">
            <v>522.52203</v>
          </cell>
          <cell r="F206">
            <v>21.6</v>
          </cell>
          <cell r="G206">
            <v>0</v>
          </cell>
          <cell r="H206">
            <v>0</v>
          </cell>
          <cell r="I206">
            <v>0</v>
          </cell>
          <cell r="J206">
            <v>0</v>
          </cell>
          <cell r="K206">
            <v>0</v>
          </cell>
          <cell r="L206">
            <v>0</v>
          </cell>
        </row>
        <row r="207">
          <cell r="A207" t="str">
            <v>10082.00895</v>
          </cell>
          <cell r="B207" t="str">
            <v>RAME 500 FEUILLES BRISTOL</v>
          </cell>
          <cell r="C207" t="str">
            <v xml:space="preserve">PAPETERIE PAPIER BRISTOL . DESIGNATION : RAME DE 500 FEUILLES DE PAPIER BRISTOL FORCE : 180 G/M2 COULEUR : BLANCHE FORMAT : 65 X 100 CM </v>
          </cell>
          <cell r="D207" t="str">
            <v>PE</v>
          </cell>
          <cell r="E207" t="str">
            <v>222.22206</v>
          </cell>
          <cell r="F207">
            <v>1074</v>
          </cell>
          <cell r="G207">
            <v>0</v>
          </cell>
          <cell r="H207">
            <v>0</v>
          </cell>
          <cell r="I207">
            <v>0</v>
          </cell>
          <cell r="J207">
            <v>0</v>
          </cell>
          <cell r="K207">
            <v>0</v>
          </cell>
          <cell r="L207">
            <v>0</v>
          </cell>
        </row>
        <row r="208">
          <cell r="A208" t="str">
            <v>10082.00905</v>
          </cell>
          <cell r="B208" t="str">
            <v>BRIS 55 250 2127</v>
          </cell>
          <cell r="C208" t="str">
            <v xml:space="preserve">PAPETERIE PAPIER BRISTOL QUADRILLE 5/5 FORCE : 250 G/METRE CARRE COULEUR : BLANC FORMAT : 21 X 27 </v>
          </cell>
          <cell r="D208" t="str">
            <v>PE</v>
          </cell>
          <cell r="E208" t="str">
            <v>222.22206</v>
          </cell>
          <cell r="F208">
            <v>0.29959999999999998</v>
          </cell>
          <cell r="G208">
            <v>0</v>
          </cell>
          <cell r="H208">
            <v>0</v>
          </cell>
          <cell r="I208">
            <v>0</v>
          </cell>
          <cell r="J208">
            <v>0</v>
          </cell>
          <cell r="K208">
            <v>0</v>
          </cell>
          <cell r="L208">
            <v>0</v>
          </cell>
        </row>
        <row r="209">
          <cell r="A209" t="str">
            <v>10082.00906</v>
          </cell>
          <cell r="B209" t="str">
            <v>BRIS 55 250 2131</v>
          </cell>
          <cell r="C209" t="str">
            <v xml:space="preserve">PAPETERIE PAPIER BRISTOL QUADRILLE 5/5 FORCE : 250 G/METRE CARRE COULEUR : BLANC FORMAT : 21 X 31 </v>
          </cell>
          <cell r="D209" t="str">
            <v>PE</v>
          </cell>
          <cell r="E209" t="str">
            <v>222.22206</v>
          </cell>
          <cell r="F209">
            <v>0.36299999999999999</v>
          </cell>
          <cell r="G209">
            <v>0</v>
          </cell>
          <cell r="H209">
            <v>0</v>
          </cell>
          <cell r="I209">
            <v>0</v>
          </cell>
          <cell r="J209">
            <v>0</v>
          </cell>
          <cell r="K209">
            <v>0</v>
          </cell>
          <cell r="L209">
            <v>0</v>
          </cell>
        </row>
        <row r="210">
          <cell r="A210" t="str">
            <v>10082.00909</v>
          </cell>
          <cell r="B210" t="str">
            <v>FEUILLE BRIS 21X31 F 240G</v>
          </cell>
          <cell r="C210" t="str">
            <v xml:space="preserve">PAPETERIE PAPIER BRISTOL . DESIGNATION : FEUILLE PAPIER "BRISTOL" FORCE : 240 GRS COULEUR : , FORMAT : 21 X 31 </v>
          </cell>
          <cell r="D210" t="str">
            <v>PE</v>
          </cell>
          <cell r="E210" t="str">
            <v>222.22206</v>
          </cell>
          <cell r="F210">
            <v>0.29120000000000001</v>
          </cell>
          <cell r="G210">
            <v>0</v>
          </cell>
          <cell r="H210">
            <v>0</v>
          </cell>
          <cell r="I210">
            <v>0</v>
          </cell>
          <cell r="J210">
            <v>0</v>
          </cell>
          <cell r="K210">
            <v>0</v>
          </cell>
          <cell r="L210">
            <v>0</v>
          </cell>
        </row>
        <row r="211">
          <cell r="A211" t="str">
            <v>10080.01205</v>
          </cell>
          <cell r="B211" t="str">
            <v>PORTE-MINE P/MINE DIA 0,7</v>
          </cell>
          <cell r="C211" t="str">
            <v xml:space="preserve">FOURNITURES ET MATERIEL POUR LE BUREAU PORTE-MINES,HEXAGONAL,AVEC AGRAFE  , AVEC AGRAFE TAILLE-MINE ET GOMME DIAMETRE MINE = 0,7 MM </v>
          </cell>
          <cell r="D211" t="str">
            <v>PE</v>
          </cell>
          <cell r="E211" t="str">
            <v>222.22206</v>
          </cell>
          <cell r="F211">
            <v>16.4893</v>
          </cell>
          <cell r="G211">
            <v>0</v>
          </cell>
          <cell r="H211">
            <v>0</v>
          </cell>
          <cell r="I211">
            <v>0</v>
          </cell>
          <cell r="J211">
            <v>0</v>
          </cell>
          <cell r="K211">
            <v>0</v>
          </cell>
          <cell r="L211">
            <v>0</v>
          </cell>
        </row>
        <row r="212">
          <cell r="A212" t="str">
            <v>10082.00920</v>
          </cell>
          <cell r="B212" t="str">
            <v>CARTO RIGID50X65</v>
          </cell>
          <cell r="C212" t="str">
            <v xml:space="preserve">PAPETERIE PAPIER DOSSIER  FORCE : 180 G/METRE CARRE COULEUR : ASSORTIES FORMAT : 50 X 65-LIVRE A PLAT </v>
          </cell>
          <cell r="D212" t="str">
            <v>PE</v>
          </cell>
          <cell r="E212" t="str">
            <v>222.22206</v>
          </cell>
          <cell r="F212">
            <v>1.1759999999999999</v>
          </cell>
          <cell r="G212">
            <v>0</v>
          </cell>
          <cell r="H212">
            <v>0</v>
          </cell>
          <cell r="I212">
            <v>0</v>
          </cell>
          <cell r="J212">
            <v>0</v>
          </cell>
          <cell r="K212">
            <v>0</v>
          </cell>
          <cell r="L212">
            <v>0</v>
          </cell>
        </row>
        <row r="213">
          <cell r="A213" t="str">
            <v>10067.06261</v>
          </cell>
          <cell r="B213" t="str">
            <v>VANN BOISSEAU CONIQ DN50</v>
          </cell>
          <cell r="C213" t="str">
            <v xml:space="preserve">CANALISATION ET ACCESSOIRES ROBINET VANNE VANNE A PASSAGE DIRECT ( A BOISSEAU CONIQUE) MILIEU : BOUILLIE D'ACIDE PHOSPHORIQUE , SUIVANT FICHE TECHNIQUE CI-JOINTE </v>
          </cell>
          <cell r="D213" t="str">
            <v>PE</v>
          </cell>
          <cell r="E213" t="str">
            <v>515.51511</v>
          </cell>
          <cell r="F213">
            <v>7629.05</v>
          </cell>
          <cell r="G213">
            <v>0</v>
          </cell>
          <cell r="H213">
            <v>1</v>
          </cell>
          <cell r="I213">
            <v>0</v>
          </cell>
          <cell r="J213">
            <v>0</v>
          </cell>
          <cell r="K213">
            <v>0</v>
          </cell>
          <cell r="L213">
            <v>0</v>
          </cell>
        </row>
        <row r="214">
          <cell r="A214" t="str">
            <v>10067.06271</v>
          </cell>
          <cell r="B214" t="str">
            <v>VANN BOISSEAU CONIQ DN200</v>
          </cell>
          <cell r="C214" t="str">
            <v xml:space="preserve">CANALISATION ET ACCESSOIRES ROBINET VANNE VANNE A PASSAGE DIRECT ( A BOISSEAU CONIQUE) MILIEU : BOUILLIE D'ACIDE PHOSPHORIQUE , SUIVANT FICHE TECHNIQUE CI-JOINTE </v>
          </cell>
          <cell r="D214" t="str">
            <v>PE</v>
          </cell>
          <cell r="E214" t="str">
            <v>515.51511</v>
          </cell>
          <cell r="F214">
            <v>33436.615400000002</v>
          </cell>
          <cell r="G214">
            <v>0</v>
          </cell>
          <cell r="H214">
            <v>1</v>
          </cell>
          <cell r="I214">
            <v>0</v>
          </cell>
          <cell r="J214">
            <v>0</v>
          </cell>
          <cell r="K214">
            <v>0</v>
          </cell>
          <cell r="L214">
            <v>0</v>
          </cell>
        </row>
        <row r="215">
          <cell r="A215" t="str">
            <v>10080.01230</v>
          </cell>
          <cell r="B215" t="str">
            <v>CACHET RECT.BOIS+ENCADRE.</v>
          </cell>
          <cell r="C215" t="str">
            <v xml:space="preserve">FOURNITURES ET MATERIEL POUR LE BUREAU CACHET RECTANGULAIRE EN BOIS AVEC ENCADREMENT , A UNE LIGNE , SUIVANT DESCRIPTIF OU MODELE CI-JOINT </v>
          </cell>
          <cell r="D215" t="str">
            <v>PE</v>
          </cell>
          <cell r="E215" t="str">
            <v>222.22206</v>
          </cell>
          <cell r="F215">
            <v>15</v>
          </cell>
          <cell r="G215">
            <v>0</v>
          </cell>
          <cell r="H215">
            <v>0</v>
          </cell>
          <cell r="I215">
            <v>63</v>
          </cell>
          <cell r="J215">
            <v>0</v>
          </cell>
          <cell r="K215">
            <v>0</v>
          </cell>
          <cell r="L215">
            <v>0</v>
          </cell>
        </row>
        <row r="216">
          <cell r="A216" t="str">
            <v>10082.00902</v>
          </cell>
          <cell r="B216" t="str">
            <v>BRIS 55 180 2131</v>
          </cell>
          <cell r="C216" t="str">
            <v xml:space="preserve">PAPETERIE PAPIER BRISTOL QUADRILLE 5/5 FORCE : 180 G/METRE CARRE COULEUR : BLANC FORMAT : 21 X 31 </v>
          </cell>
          <cell r="D216" t="str">
            <v>PE</v>
          </cell>
          <cell r="E216" t="str">
            <v>222.22206</v>
          </cell>
          <cell r="F216">
            <v>0.32100000000000001</v>
          </cell>
          <cell r="G216">
            <v>0</v>
          </cell>
          <cell r="H216">
            <v>0</v>
          </cell>
          <cell r="I216">
            <v>0</v>
          </cell>
          <cell r="J216">
            <v>0</v>
          </cell>
          <cell r="K216">
            <v>0</v>
          </cell>
          <cell r="L216">
            <v>0</v>
          </cell>
        </row>
        <row r="217">
          <cell r="A217" t="str">
            <v>10067.06181</v>
          </cell>
          <cell r="B217" t="str">
            <v>VANNE AVEC DEMULTUPLICAT.</v>
          </cell>
          <cell r="C217" t="str">
            <v xml:space="preserve">CANALISATION ET ACCESSOIRES ROBINET A TOURNANT VANNE AVEC DEMULTUPLICATEUR MILIEU : BOUILLIE D'ACIDE PHOSPHORIQUE SUIVANT FICHE TECHNIQUE CI-JOINTE </v>
          </cell>
          <cell r="D217" t="str">
            <v>PE</v>
          </cell>
          <cell r="E217" t="str">
            <v>515.51511</v>
          </cell>
          <cell r="F217">
            <v>66542.666700000002</v>
          </cell>
          <cell r="G217">
            <v>0</v>
          </cell>
          <cell r="H217">
            <v>2</v>
          </cell>
          <cell r="I217">
            <v>0</v>
          </cell>
          <cell r="J217">
            <v>0</v>
          </cell>
          <cell r="K217">
            <v>0</v>
          </cell>
          <cell r="L217">
            <v>0</v>
          </cell>
        </row>
        <row r="218">
          <cell r="A218" t="str">
            <v>10080.01231</v>
          </cell>
          <cell r="B218" t="str">
            <v>CACHET RECT.BOIS+ENCADRE.</v>
          </cell>
          <cell r="C218" t="str">
            <v xml:space="preserve">FOURNITURES ET MATERIEL POUR LE BUREAU CACHET RECTANGULAIRE EN BOIS AVEC ENCADREMENT , A 2 LIGNES , SUIVANT DESCRIPTIF OU MODELE CI-JOINT </v>
          </cell>
          <cell r="D218" t="str">
            <v>PE</v>
          </cell>
          <cell r="E218" t="str">
            <v>222.22206</v>
          </cell>
          <cell r="F218">
            <v>20</v>
          </cell>
          <cell r="G218">
            <v>0</v>
          </cell>
          <cell r="H218">
            <v>0</v>
          </cell>
          <cell r="I218">
            <v>0</v>
          </cell>
          <cell r="J218">
            <v>0</v>
          </cell>
          <cell r="K218">
            <v>0</v>
          </cell>
          <cell r="L218">
            <v>0</v>
          </cell>
        </row>
        <row r="219">
          <cell r="A219" t="str">
            <v>10082.00931</v>
          </cell>
          <cell r="B219" t="str">
            <v>FEUILLE CART 21X31 F 240G</v>
          </cell>
          <cell r="C219" t="str">
            <v xml:space="preserve">FEUILLE CARTONNEE FORCE : 240 GR COULEUR : A PRECISER FORMAT : 21 X 31 </v>
          </cell>
          <cell r="D219" t="str">
            <v>PE</v>
          </cell>
          <cell r="E219" t="str">
            <v>222.22206</v>
          </cell>
          <cell r="F219">
            <v>0.27</v>
          </cell>
          <cell r="G219">
            <v>0</v>
          </cell>
          <cell r="H219">
            <v>0</v>
          </cell>
          <cell r="I219">
            <v>0</v>
          </cell>
          <cell r="J219">
            <v>0</v>
          </cell>
          <cell r="K219">
            <v>0</v>
          </cell>
          <cell r="L219">
            <v>0</v>
          </cell>
        </row>
        <row r="220">
          <cell r="A220" t="str">
            <v>10080.01232</v>
          </cell>
          <cell r="B220" t="str">
            <v>CACHET RECT.BOIS+ENCADRE.</v>
          </cell>
          <cell r="C220" t="str">
            <v xml:space="preserve">FOURNITURES ET MATERIEL POUR LE BUREAU CACHET RECTANGULAIRE EN BOIS AVEC ENCADREMENT , A 3 LIGNES , SUIVANT DESCRIPTIF OU MODELE CI-JOINT </v>
          </cell>
          <cell r="D220" t="str">
            <v>PE</v>
          </cell>
          <cell r="E220" t="str">
            <v>222.22206</v>
          </cell>
          <cell r="F220">
            <v>25</v>
          </cell>
          <cell r="G220">
            <v>0</v>
          </cell>
          <cell r="H220">
            <v>0</v>
          </cell>
          <cell r="I220">
            <v>0</v>
          </cell>
          <cell r="J220">
            <v>0</v>
          </cell>
          <cell r="K220">
            <v>0</v>
          </cell>
          <cell r="L220">
            <v>0</v>
          </cell>
        </row>
        <row r="221">
          <cell r="A221" t="str">
            <v>10082.00941</v>
          </cell>
          <cell r="B221" t="str">
            <v>CARTE DE LYON 42X31 CM</v>
          </cell>
          <cell r="C221" t="str">
            <v xml:space="preserve">FEUILLE DE PAPIER CARTE DE LYON COULEUR : = MODE DE LIVRAISON : LIVRE A PLAT FORMAT : 42X31 CENTIMETRES </v>
          </cell>
          <cell r="D221" t="str">
            <v>PE</v>
          </cell>
          <cell r="E221" t="str">
            <v>222.22206</v>
          </cell>
          <cell r="F221">
            <v>3</v>
          </cell>
          <cell r="G221">
            <v>0</v>
          </cell>
          <cell r="H221">
            <v>0</v>
          </cell>
          <cell r="I221">
            <v>0</v>
          </cell>
          <cell r="J221">
            <v>0</v>
          </cell>
          <cell r="K221">
            <v>47</v>
          </cell>
          <cell r="L221">
            <v>0</v>
          </cell>
        </row>
        <row r="222">
          <cell r="A222" t="str">
            <v>10080.01233</v>
          </cell>
          <cell r="B222" t="str">
            <v>CACHET RECT.BOIS+ENCADRE.</v>
          </cell>
          <cell r="C222" t="str">
            <v xml:space="preserve">FOURNITURES ET MATERIEL POUR LE BUREAU CACHET RECTANGULAIRE EN BOIS AVEC ENCADREMENT , A 4 LIGNES , SUIVANT DESCRIPTIF OU MODELE CI-JOINT </v>
          </cell>
          <cell r="D222" t="str">
            <v>PE</v>
          </cell>
          <cell r="E222" t="str">
            <v>222.22206</v>
          </cell>
          <cell r="F222">
            <v>35</v>
          </cell>
          <cell r="G222">
            <v>0</v>
          </cell>
          <cell r="H222">
            <v>0</v>
          </cell>
          <cell r="I222">
            <v>0</v>
          </cell>
          <cell r="J222">
            <v>0</v>
          </cell>
          <cell r="K222">
            <v>0</v>
          </cell>
          <cell r="L222">
            <v>0</v>
          </cell>
        </row>
        <row r="223">
          <cell r="A223" t="str">
            <v>10082.00930</v>
          </cell>
          <cell r="B223" t="str">
            <v>FEUILLE CART 21X27 F 240G</v>
          </cell>
          <cell r="C223" t="str">
            <v xml:space="preserve">PAPETERIE PAPIER . . DESIGNATION : FEUILLE CARTONNEE FORCE : 240 GR COULEUR : A PRECISER FORMAT : 21 X 27 </v>
          </cell>
          <cell r="D223" t="str">
            <v>PE</v>
          </cell>
          <cell r="E223" t="str">
            <v>222.22206</v>
          </cell>
          <cell r="F223">
            <v>0.35170000000000001</v>
          </cell>
          <cell r="G223">
            <v>0</v>
          </cell>
          <cell r="H223">
            <v>0</v>
          </cell>
          <cell r="I223">
            <v>0</v>
          </cell>
          <cell r="J223">
            <v>0</v>
          </cell>
          <cell r="K223">
            <v>0</v>
          </cell>
          <cell r="L223">
            <v>0</v>
          </cell>
        </row>
        <row r="224">
          <cell r="A224" t="str">
            <v>10082.00951</v>
          </cell>
          <cell r="B224" t="str">
            <v>ENVELOP  170X125</v>
          </cell>
          <cell r="C224" t="str">
            <v xml:space="preserve">PAPETERIE ENVELOPPE COMMERCIALE  FORCE : 90 G/METRE CARRE COULEUR : TEINTE HAVANE FORMAT : 170 X 125 QUALITE : PAPIER "KRAFT" </v>
          </cell>
          <cell r="D224" t="str">
            <v>PE</v>
          </cell>
          <cell r="E224" t="str">
            <v>222.22206</v>
          </cell>
          <cell r="F224">
            <v>0.1</v>
          </cell>
          <cell r="G224">
            <v>0</v>
          </cell>
          <cell r="H224">
            <v>0</v>
          </cell>
          <cell r="I224">
            <v>0</v>
          </cell>
          <cell r="J224">
            <v>0</v>
          </cell>
          <cell r="K224">
            <v>190</v>
          </cell>
          <cell r="L224">
            <v>0</v>
          </cell>
        </row>
        <row r="225">
          <cell r="A225" t="str">
            <v>10082.00952</v>
          </cell>
          <cell r="B225" t="str">
            <v>ENVELOPPE 17X26</v>
          </cell>
          <cell r="C225" t="str">
            <v xml:space="preserve">PAPETERIE ENVELOPPE COMMERCIALE  FORCE : 90 G/METRE CARRE COULEUR : TEINTE HAVANE FORMAT : 150 X 225 QUALITE : PAPIER "KRAFT" </v>
          </cell>
          <cell r="D225" t="str">
            <v>PE</v>
          </cell>
          <cell r="E225" t="str">
            <v>222.22206</v>
          </cell>
          <cell r="F225">
            <v>0.26400000000000001</v>
          </cell>
          <cell r="G225">
            <v>0</v>
          </cell>
          <cell r="H225">
            <v>0</v>
          </cell>
          <cell r="I225">
            <v>0</v>
          </cell>
          <cell r="J225">
            <v>0</v>
          </cell>
          <cell r="K225">
            <v>104</v>
          </cell>
          <cell r="L225">
            <v>0</v>
          </cell>
        </row>
        <row r="226">
          <cell r="A226" t="str">
            <v>10082.00953</v>
          </cell>
          <cell r="B226" t="str">
            <v>ENVEL COM 128171</v>
          </cell>
          <cell r="C226" t="str">
            <v xml:space="preserve">PAPETERIE ENVELOPPE COMMERCIALE  FORCE : 90 G/METRE CARRE COULEUR : TEINTE HAVANE FORMAT : 128 X 171 QUALITE : PAPIER "KRAFT" </v>
          </cell>
          <cell r="D226" t="str">
            <v>PE</v>
          </cell>
          <cell r="E226" t="str">
            <v>222.22206</v>
          </cell>
          <cell r="F226">
            <v>0.2278</v>
          </cell>
          <cell r="G226">
            <v>0</v>
          </cell>
          <cell r="H226">
            <v>0</v>
          </cell>
          <cell r="I226">
            <v>0</v>
          </cell>
          <cell r="J226">
            <v>0</v>
          </cell>
          <cell r="K226">
            <v>999</v>
          </cell>
          <cell r="L226">
            <v>0</v>
          </cell>
        </row>
        <row r="227">
          <cell r="A227" t="str">
            <v>10080.01202</v>
          </cell>
          <cell r="B227" t="str">
            <v>PORTE MINE</v>
          </cell>
          <cell r="C227" t="str">
            <v xml:space="preserve">FOURNITURES ET MATERIEL POUR LE BUREAU PORTE-MINES,HEXAGONAL,AVEC AGRAFE  TAILLE MINE ET GOMME DESTINATION MINE DE DIAMETRE 0,5MM </v>
          </cell>
          <cell r="D227" t="str">
            <v>PE</v>
          </cell>
          <cell r="E227" t="str">
            <v>222.22206</v>
          </cell>
          <cell r="F227">
            <v>7.2</v>
          </cell>
          <cell r="G227">
            <v>0</v>
          </cell>
          <cell r="H227">
            <v>0</v>
          </cell>
          <cell r="I227">
            <v>0</v>
          </cell>
          <cell r="J227">
            <v>0</v>
          </cell>
          <cell r="K227">
            <v>0</v>
          </cell>
          <cell r="L227">
            <v>0</v>
          </cell>
        </row>
        <row r="228">
          <cell r="A228" t="str">
            <v>10082.00954</v>
          </cell>
          <cell r="B228" t="str">
            <v>ENVELOP  113X145</v>
          </cell>
          <cell r="C228" t="str">
            <v xml:space="preserve">PAPETERIE ENVELOPPE COMMERCIALE  FORCE : 72 G/METRE CARRE COULEUR : TEINTE HAVANE FORMAT : 113 X 145 QUALITE : PAPIER "KRAFT" </v>
          </cell>
          <cell r="D228" t="str">
            <v>PE</v>
          </cell>
          <cell r="E228" t="str">
            <v>222.22206</v>
          </cell>
          <cell r="F228">
            <v>0.156</v>
          </cell>
          <cell r="G228">
            <v>0</v>
          </cell>
          <cell r="H228">
            <v>0</v>
          </cell>
          <cell r="I228">
            <v>0</v>
          </cell>
          <cell r="J228">
            <v>0</v>
          </cell>
          <cell r="K228">
            <v>0</v>
          </cell>
          <cell r="L228">
            <v>0</v>
          </cell>
        </row>
        <row r="229">
          <cell r="A229" t="str">
            <v>10082.00955</v>
          </cell>
          <cell r="B229" t="str">
            <v>ENVELOPPE  280X360</v>
          </cell>
          <cell r="C229" t="str">
            <v xml:space="preserve">PAPETERIE ENVELOPPE COMMERCIALE  , ORDINAIRE TEINTE HAVANE FORCE : 112 G/M2 FORMAT : 280X360 QUALITE : PAPIER KRAFT </v>
          </cell>
          <cell r="D229" t="str">
            <v>PE</v>
          </cell>
          <cell r="E229" t="str">
            <v>222.22206</v>
          </cell>
          <cell r="F229">
            <v>0.38080000000000003</v>
          </cell>
          <cell r="G229">
            <v>0</v>
          </cell>
          <cell r="H229">
            <v>1551</v>
          </cell>
          <cell r="I229">
            <v>0</v>
          </cell>
          <cell r="J229">
            <v>0</v>
          </cell>
          <cell r="K229">
            <v>155</v>
          </cell>
          <cell r="L229">
            <v>0</v>
          </cell>
        </row>
        <row r="230">
          <cell r="A230" t="str">
            <v>10082.00947</v>
          </cell>
          <cell r="B230" t="str">
            <v>ENVELOP FEN BLANC 225X115</v>
          </cell>
          <cell r="C230" t="str">
            <v xml:space="preserve">PAPETERIE ENVELOPPE A FENETRE . COULEUR : BLANCHE -INTERIEUR NOIR OU BLEU FORMAT : 225 X 115 QUALITE : PAPIER PARCHEMINE DIMENSIONS : DU VITRAIL 105 X 45 </v>
          </cell>
          <cell r="D230" t="str">
            <v>PE</v>
          </cell>
          <cell r="E230" t="str">
            <v>222.22206</v>
          </cell>
          <cell r="F230">
            <v>0.32079999999999997</v>
          </cell>
          <cell r="G230">
            <v>0</v>
          </cell>
          <cell r="H230">
            <v>1678</v>
          </cell>
          <cell r="I230">
            <v>0</v>
          </cell>
          <cell r="J230">
            <v>0</v>
          </cell>
          <cell r="K230">
            <v>0</v>
          </cell>
          <cell r="L230">
            <v>0</v>
          </cell>
        </row>
        <row r="231">
          <cell r="A231" t="str">
            <v>10080.01203</v>
          </cell>
          <cell r="B231" t="str">
            <v>PORTE-MINE AUTOMATIQUE P8</v>
          </cell>
          <cell r="C231" t="str">
            <v xml:space="preserve">PAPETERIE  DESIGNATION : PORTE-MINE AUTOMATIQUE AVEC AMORTISSEUR DE CHOCS POUR , LA MINE POINTE ET CLIP CHROMES AVEC MINE HB DE 0,5 MM , DE DIAMETRE BOITE DE 10 COULEURS (2 DE CHAQUE) GENRE : EDDING P8 </v>
          </cell>
          <cell r="D231" t="str">
            <v>PE</v>
          </cell>
          <cell r="E231" t="str">
            <v>222.22206</v>
          </cell>
          <cell r="F231">
            <v>16.4633</v>
          </cell>
          <cell r="G231">
            <v>0</v>
          </cell>
          <cell r="H231">
            <v>0</v>
          </cell>
          <cell r="I231">
            <v>8</v>
          </cell>
          <cell r="J231">
            <v>0</v>
          </cell>
          <cell r="K231">
            <v>2</v>
          </cell>
          <cell r="L231">
            <v>0</v>
          </cell>
        </row>
        <row r="232">
          <cell r="A232" t="str">
            <v>10082.00950</v>
          </cell>
          <cell r="B232" t="str">
            <v>ENVELOPPE  287X225</v>
          </cell>
          <cell r="C232" t="str">
            <v xml:space="preserve">ENVELOPPE COMMERCIALE  FORCE : 112 G/METRE CARRE COULEUR : TEINTE HAVANE FORMAT : 287 X 225 QUALITE : PAPIER "KRAFT" </v>
          </cell>
          <cell r="D232" t="str">
            <v>PE</v>
          </cell>
          <cell r="E232" t="str">
            <v>222.22206</v>
          </cell>
          <cell r="F232">
            <v>0.52649999999999997</v>
          </cell>
          <cell r="G232">
            <v>0</v>
          </cell>
          <cell r="H232">
            <v>0</v>
          </cell>
          <cell r="I232">
            <v>0</v>
          </cell>
          <cell r="J232">
            <v>0</v>
          </cell>
          <cell r="K232">
            <v>1352</v>
          </cell>
          <cell r="L232">
            <v>0</v>
          </cell>
        </row>
        <row r="233">
          <cell r="A233" t="str">
            <v>10074.00160</v>
          </cell>
          <cell r="B233" t="str">
            <v>PINCEAU PLA 20MM</v>
          </cell>
          <cell r="C233" t="str">
            <v xml:space="preserve">DROGUERIE PINCEAUX  LARGEUR : 20 MM COMPOSITION : VIROLE METAL POUR BATIMENT MATIERE : SOIE COURTE EXTRA FORME : PLATS AUTRE APPELLATION : "QUEUE DE MORUE" </v>
          </cell>
          <cell r="D233" t="str">
            <v>PE</v>
          </cell>
          <cell r="E233" t="str">
            <v>522.52203</v>
          </cell>
          <cell r="F233">
            <v>4</v>
          </cell>
          <cell r="G233">
            <v>0</v>
          </cell>
          <cell r="H233">
            <v>0</v>
          </cell>
          <cell r="I233">
            <v>0</v>
          </cell>
          <cell r="J233">
            <v>0</v>
          </cell>
          <cell r="K233">
            <v>0</v>
          </cell>
          <cell r="L233">
            <v>0</v>
          </cell>
        </row>
        <row r="234">
          <cell r="A234" t="str">
            <v>10074.00163</v>
          </cell>
          <cell r="B234" t="str">
            <v>PINCEAU PLA 35MM</v>
          </cell>
          <cell r="C234" t="str">
            <v xml:space="preserve">DROGUERIE PINCEAUX  LARGEUR : 35 MM COMPOSITION : VIROLE METAL POUR BATIMENT MATIERE : SOIE COURTE EXTRA FORME : PLATS AUTRE APPELLATION : "QUEUE DE MORUE" </v>
          </cell>
          <cell r="D234" t="str">
            <v>PE</v>
          </cell>
          <cell r="E234" t="str">
            <v>522.52203</v>
          </cell>
          <cell r="F234">
            <v>7.8</v>
          </cell>
          <cell r="G234">
            <v>0</v>
          </cell>
          <cell r="H234">
            <v>0</v>
          </cell>
          <cell r="I234">
            <v>0</v>
          </cell>
          <cell r="J234">
            <v>0</v>
          </cell>
          <cell r="K234">
            <v>0</v>
          </cell>
          <cell r="L234">
            <v>0</v>
          </cell>
        </row>
        <row r="235">
          <cell r="A235" t="str">
            <v>10069.01400</v>
          </cell>
          <cell r="B235" t="str">
            <v>BOUTEILLE JETABLE DE GAZ FREON</v>
          </cell>
          <cell r="C235" t="str">
            <v>BOUTEILLE JETABLE DE GAZ FREON R22CHARGE : 13,5 KG</v>
          </cell>
          <cell r="D235" t="str">
            <v>PE</v>
          </cell>
          <cell r="E235" t="str">
            <v>522.52210</v>
          </cell>
          <cell r="F235">
            <v>449.15010000000001</v>
          </cell>
          <cell r="G235">
            <v>0</v>
          </cell>
          <cell r="H235">
            <v>0</v>
          </cell>
          <cell r="I235">
            <v>0</v>
          </cell>
          <cell r="J235">
            <v>0</v>
          </cell>
          <cell r="K235">
            <v>0</v>
          </cell>
          <cell r="L235">
            <v>0</v>
          </cell>
        </row>
        <row r="236">
          <cell r="A236" t="str">
            <v>10082.00602</v>
          </cell>
          <cell r="B236" t="str">
            <v>CAHIER SCOLAIRE</v>
          </cell>
          <cell r="C236" t="str">
            <v xml:space="preserve">PAPETERIE CAHIERS SCOLAIRE  , REGLURE SEYES-COUVERTURE CARTON SOUPLE FORMAT : 17X22 COMPOSITION : 24 FEUILLES 48 PAGES </v>
          </cell>
          <cell r="D236" t="str">
            <v>PE</v>
          </cell>
          <cell r="E236" t="str">
            <v>222.22206</v>
          </cell>
          <cell r="F236">
            <v>1.605</v>
          </cell>
          <cell r="G236">
            <v>0</v>
          </cell>
          <cell r="H236">
            <v>0</v>
          </cell>
          <cell r="I236">
            <v>0</v>
          </cell>
          <cell r="J236">
            <v>0</v>
          </cell>
          <cell r="K236">
            <v>51</v>
          </cell>
          <cell r="L236">
            <v>0</v>
          </cell>
        </row>
        <row r="237">
          <cell r="A237" t="str">
            <v>10082.00603</v>
          </cell>
          <cell r="B237" t="str">
            <v>CAHIER 100 PAGES</v>
          </cell>
          <cell r="C237" t="str">
            <v xml:space="preserve">PAPETERIE CAHIERS SCOLAIRE  , REGLURE SEYES-COUVERTURE DOSSIER 150 G/M2 ENVIRON FORMAT : 17X22 COMPOSITION : 48 FEUILLES 96 PAGES </v>
          </cell>
          <cell r="D237" t="str">
            <v>PE</v>
          </cell>
          <cell r="E237" t="str">
            <v>222.22206</v>
          </cell>
          <cell r="F237">
            <v>2.0865</v>
          </cell>
          <cell r="G237">
            <v>0</v>
          </cell>
          <cell r="H237">
            <v>0</v>
          </cell>
          <cell r="I237">
            <v>0</v>
          </cell>
          <cell r="J237">
            <v>0</v>
          </cell>
          <cell r="K237">
            <v>61</v>
          </cell>
          <cell r="L237">
            <v>0</v>
          </cell>
        </row>
        <row r="238">
          <cell r="A238" t="str">
            <v>10082.00604</v>
          </cell>
          <cell r="B238" t="str">
            <v>CAHIER 200 PAGE</v>
          </cell>
          <cell r="C238" t="str">
            <v xml:space="preserve">CAHIERS GENRE SPIRODOS REGLURE SEYES FORMAT : 17X22 COMPOSITION : 96 FEUILLES 192 PAGES </v>
          </cell>
          <cell r="D238" t="str">
            <v>PE</v>
          </cell>
          <cell r="E238" t="str">
            <v>222.22206</v>
          </cell>
          <cell r="F238">
            <v>3</v>
          </cell>
          <cell r="G238">
            <v>0</v>
          </cell>
          <cell r="H238">
            <v>0</v>
          </cell>
          <cell r="I238">
            <v>0</v>
          </cell>
          <cell r="J238">
            <v>0</v>
          </cell>
          <cell r="K238">
            <v>0</v>
          </cell>
          <cell r="L238">
            <v>0</v>
          </cell>
        </row>
        <row r="239">
          <cell r="A239" t="str">
            <v>10080.01234</v>
          </cell>
          <cell r="B239" t="str">
            <v>CACHET RECT.BOIS+ENCADRE.</v>
          </cell>
          <cell r="C239" t="str">
            <v xml:space="preserve">FOURNITURES ET MATERIEL POUR LE BUREAU CACHET RECTANGULAIRE EN BOIS AVEC ENCADREMENT , A 5 LIGNES , SUIVANT DESCRIPTIF OU MODELE CI-JOINT </v>
          </cell>
          <cell r="D239" t="str">
            <v>PE</v>
          </cell>
          <cell r="E239" t="str">
            <v>222.22206</v>
          </cell>
          <cell r="F239">
            <v>40</v>
          </cell>
          <cell r="G239">
            <v>0</v>
          </cell>
          <cell r="H239">
            <v>0</v>
          </cell>
          <cell r="I239">
            <v>0</v>
          </cell>
          <cell r="J239">
            <v>0</v>
          </cell>
          <cell r="K239">
            <v>0</v>
          </cell>
          <cell r="L239">
            <v>0</v>
          </cell>
        </row>
        <row r="240">
          <cell r="A240" t="str">
            <v>10074.00165</v>
          </cell>
          <cell r="B240" t="str">
            <v>PINCEAU PLA 60MM</v>
          </cell>
          <cell r="C240" t="str">
            <v xml:space="preserve">DROGUERIE PINCEAUX  LARGEUR : 60 MM COMPOSITION : VIROLE METAL POUR BATIMENT MATIERE : SOIE COURTE EXTRA FORME : PLATS AUTRE APPELLATION : "QUEUE DE MORUE" </v>
          </cell>
          <cell r="D240" t="str">
            <v>PE</v>
          </cell>
          <cell r="E240" t="str">
            <v>522.52203</v>
          </cell>
          <cell r="F240">
            <v>12.5</v>
          </cell>
          <cell r="G240">
            <v>0</v>
          </cell>
          <cell r="H240">
            <v>0</v>
          </cell>
          <cell r="I240">
            <v>0</v>
          </cell>
          <cell r="J240">
            <v>0</v>
          </cell>
          <cell r="K240">
            <v>0</v>
          </cell>
          <cell r="L240">
            <v>0</v>
          </cell>
        </row>
        <row r="241">
          <cell r="A241" t="str">
            <v>10082.00290</v>
          </cell>
          <cell r="B241" t="str">
            <v>PAPIER BUL 21X27</v>
          </cell>
          <cell r="C241" t="str">
            <v xml:space="preserve">PAPETERIE PAPIER BULLE  FORCE : 64 G/METRE CARRE MODE DE LIVRAISON : RAME DE 500 FEUILLES SIMPLES PAPIER FORMAT : (21 X 27) </v>
          </cell>
          <cell r="D241" t="str">
            <v>PE</v>
          </cell>
          <cell r="E241" t="str">
            <v>222.22206</v>
          </cell>
          <cell r="F241">
            <v>32.4</v>
          </cell>
          <cell r="G241">
            <v>0</v>
          </cell>
          <cell r="H241">
            <v>0</v>
          </cell>
          <cell r="I241">
            <v>0</v>
          </cell>
          <cell r="J241">
            <v>0</v>
          </cell>
          <cell r="K241">
            <v>27</v>
          </cell>
          <cell r="L241">
            <v>0</v>
          </cell>
        </row>
        <row r="242">
          <cell r="A242" t="str">
            <v>10082.00610</v>
          </cell>
          <cell r="B242" t="str">
            <v>RECHARGE BLOC 5X5  21X27</v>
          </cell>
          <cell r="C242" t="str">
            <v xml:space="preserve">PAPETERIE BLOC RECHARGE  DESTINATION POUR BLOC DE BUREAU GENRE "LUQUET" FORMAT : 21 X 27 COMPOSITION : DE 200 FEUILLES PERCES DE 2 TROUS DE PAPIER BLANC , QUADRILLE 5/5 </v>
          </cell>
          <cell r="D242" t="str">
            <v>PE</v>
          </cell>
          <cell r="E242" t="str">
            <v>222.22206</v>
          </cell>
          <cell r="F242">
            <v>17.399999999999999</v>
          </cell>
          <cell r="G242">
            <v>0</v>
          </cell>
          <cell r="H242">
            <v>0</v>
          </cell>
          <cell r="I242">
            <v>0</v>
          </cell>
          <cell r="J242">
            <v>0</v>
          </cell>
          <cell r="K242">
            <v>0</v>
          </cell>
          <cell r="L242">
            <v>0</v>
          </cell>
        </row>
        <row r="243">
          <cell r="A243" t="str">
            <v>10082.00296</v>
          </cell>
          <cell r="B243" t="str">
            <v>PAPIER BULL DOUBLE 21X31</v>
          </cell>
          <cell r="C243" t="str">
            <v xml:space="preserve">PAPIER BULLE FORCE : 64 G/M² MODE DE LIVRAISON : RAME DE 250 FEUILLES DOUBLES PAPIER FORMAT : 21 X 31 </v>
          </cell>
          <cell r="D243" t="str">
            <v>PE</v>
          </cell>
          <cell r="E243" t="str">
            <v>222.22206</v>
          </cell>
          <cell r="F243">
            <v>31.8</v>
          </cell>
          <cell r="G243">
            <v>0</v>
          </cell>
          <cell r="H243">
            <v>0</v>
          </cell>
          <cell r="I243">
            <v>0</v>
          </cell>
          <cell r="J243">
            <v>0</v>
          </cell>
          <cell r="K243">
            <v>26</v>
          </cell>
          <cell r="L243">
            <v>0</v>
          </cell>
        </row>
        <row r="244">
          <cell r="A244" t="str">
            <v>10082.00611</v>
          </cell>
          <cell r="B244" t="str">
            <v>BLOC NOTE 13 5X21</v>
          </cell>
          <cell r="C244" t="str">
            <v xml:space="preserve">RECHARGE DESTINATION POUR BLOC DE BUREAU GENRE "LUQUET" FORMAT : 13,5 X 21 COMPOSITION : DE 200 FEUILLES PERCES DE 2 TROUS DE PAPIER BLANC QUADRILLE 5/5 </v>
          </cell>
          <cell r="D244" t="str">
            <v>PE</v>
          </cell>
          <cell r="E244" t="str">
            <v>222.22206</v>
          </cell>
          <cell r="F244">
            <v>10.56</v>
          </cell>
          <cell r="G244">
            <v>0</v>
          </cell>
          <cell r="H244">
            <v>0</v>
          </cell>
          <cell r="I244">
            <v>0</v>
          </cell>
          <cell r="J244">
            <v>0</v>
          </cell>
          <cell r="K244">
            <v>0</v>
          </cell>
          <cell r="L244">
            <v>0</v>
          </cell>
        </row>
        <row r="245">
          <cell r="A245" t="str">
            <v>10082.00605</v>
          </cell>
          <cell r="B245" t="str">
            <v>CAHIER 72 FEUILL</v>
          </cell>
          <cell r="C245" t="str">
            <v xml:space="preserve">PAPETERIE CAHIERS QUADRILLE 5X5  , COUVERTURE MOLESKINE FORMAT : 17X22 COMPOSITION : 70 FEUILLES 140 PAGES </v>
          </cell>
          <cell r="D245" t="str">
            <v>PE</v>
          </cell>
          <cell r="E245" t="str">
            <v>222.22206</v>
          </cell>
          <cell r="F245">
            <v>12.5</v>
          </cell>
          <cell r="G245">
            <v>0</v>
          </cell>
          <cell r="H245">
            <v>0</v>
          </cell>
          <cell r="I245">
            <v>0</v>
          </cell>
          <cell r="J245">
            <v>0</v>
          </cell>
          <cell r="K245">
            <v>32</v>
          </cell>
          <cell r="L245">
            <v>0</v>
          </cell>
        </row>
        <row r="246">
          <cell r="A246" t="str">
            <v>10082.00606</v>
          </cell>
          <cell r="B246" t="str">
            <v>CAHIER 5X5 96 PAGES</v>
          </cell>
          <cell r="C246" t="str">
            <v xml:space="preserve">CAHIERS QUADRILLE 5X5 COUVERTURE DOSSIER 150 G/M2 ENVIRON FORMAT : 17X22 COMPOSITION : 48 FEUILLES 96 PAGES </v>
          </cell>
          <cell r="D246" t="str">
            <v>PE</v>
          </cell>
          <cell r="E246" t="str">
            <v>222.22206</v>
          </cell>
          <cell r="F246">
            <v>2.0865</v>
          </cell>
          <cell r="G246">
            <v>0</v>
          </cell>
          <cell r="H246">
            <v>0</v>
          </cell>
          <cell r="I246">
            <v>0</v>
          </cell>
          <cell r="J246">
            <v>0</v>
          </cell>
          <cell r="K246">
            <v>40</v>
          </cell>
          <cell r="L246">
            <v>0</v>
          </cell>
        </row>
        <row r="247">
          <cell r="A247" t="str">
            <v>10082.00608</v>
          </cell>
          <cell r="B247" t="str">
            <v>CAHIER QUADRILLE</v>
          </cell>
          <cell r="C247" t="str">
            <v xml:space="preserve">PAPETERIE  DESIGNATION : PIQURE QUADRILLE 5X5 FORMAT : 21X31 COMPOSITION : 48 FEUILLES 96 PAGES </v>
          </cell>
          <cell r="D247" t="str">
            <v>PE</v>
          </cell>
          <cell r="E247" t="str">
            <v>222.22206</v>
          </cell>
          <cell r="F247">
            <v>4.5073999999999996</v>
          </cell>
          <cell r="G247">
            <v>0</v>
          </cell>
          <cell r="H247">
            <v>0</v>
          </cell>
          <cell r="I247">
            <v>0</v>
          </cell>
          <cell r="J247">
            <v>0</v>
          </cell>
          <cell r="K247">
            <v>63</v>
          </cell>
          <cell r="L247">
            <v>0</v>
          </cell>
        </row>
        <row r="248">
          <cell r="A248" t="str">
            <v>10078.00370</v>
          </cell>
          <cell r="B248" t="str">
            <v>COSTUME DE VILLE  HIVER POUR CHAUFFEUR</v>
          </cell>
          <cell r="C248" t="str">
            <v xml:space="preserve">HABILLEMENT  COSTUME DE VILLE D'HIVER, COMPRENANT VESTE ET PANTALON  DE BONNE QUALITÉ POUR CHAUFFEUR DE LA DIRECTION :VESTE: COL CHEVALIER AVEC FERMETURE SUR LE DEVANT PAR 3 BOUTONS ET DEUX OUVERTURES EN ARRIÈRE. UNE POCHE POITRINE SUR LE COTÉ GAUCHE PLUS UNE POCHE DE CHAQUE COTÉ A OUVERTURE EN BIAIS. PANTALON : DROIT AVEC DEUX POCHES AVANT ET DEUX POCHES ARRIÈRE.CONFECTION SUR MESURE CONFECTION TRES SOIGNEE  COULEUR: NOIR TISSU HAUT QUALITE SUIVANT ÉCHANTILLONS  AVEC CERTIFICAT D¿ANALYSE LIVRÉ PAR UN LABORATOIRE AGRÉE POUR LA COMPOSITION DU TISSU.NB : Echantillon(s) de costume à présenter lors  de la consultation des offres </v>
          </cell>
          <cell r="D248" t="str">
            <v>PE</v>
          </cell>
          <cell r="E248" t="str">
            <v>522.52216</v>
          </cell>
          <cell r="F248">
            <v>1100</v>
          </cell>
          <cell r="G248">
            <v>0</v>
          </cell>
          <cell r="H248">
            <v>0</v>
          </cell>
          <cell r="I248">
            <v>0</v>
          </cell>
          <cell r="J248">
            <v>0</v>
          </cell>
          <cell r="K248">
            <v>4</v>
          </cell>
          <cell r="L248">
            <v>0</v>
          </cell>
        </row>
        <row r="249">
          <cell r="A249" t="str">
            <v>10078.00371</v>
          </cell>
          <cell r="B249" t="str">
            <v>COSTUME DE VILLE  ETE POUR CHAUFFEUR</v>
          </cell>
          <cell r="C249" t="str">
            <v>HABILLEMENT  COSTUME DE VILLE D'ETE, COMPRENANT VESTE ET PANTALON  DE BONNE QUALITÉ POUR CHAUFFEUR DE LA DIRECTION :VESTE: COL CHEVALIER AVEC FERMETURE SUR LE DEVANT PAR 3 BOUTONS ET DEUX OUVERTURES EN ARRIÈRE. UNE POCHE POITRINE SUR LE COTÉ GAUCHE PLUS UNE POCHE DE CHAQUE COTÉ A OUVERTURE EN BIAIS. PANTALON : DROIT AVEC DEUX POCHES AVANT ET DEUX POCHES ARRIÈRE.CONFECTION SUR MESURE CONFECTION TRES SOIGNEE COULEUR: GRIS TISSU HAUT QUALITE SUIVANT ÉCHANTILLONS  AVEC CERTIFICAT D¿ANALYSE LIVRÉ PAR UN LABORATOIRE AGRÉE POUR LA COMPOSITION DU TISSU.NB : Echantillon(s) de costume à présenter lors  de la consultation des offres</v>
          </cell>
          <cell r="D249" t="str">
            <v>PE</v>
          </cell>
          <cell r="E249" t="str">
            <v>522.52216</v>
          </cell>
          <cell r="F249">
            <v>1000</v>
          </cell>
          <cell r="G249">
            <v>0</v>
          </cell>
          <cell r="H249">
            <v>0</v>
          </cell>
          <cell r="I249">
            <v>0</v>
          </cell>
          <cell r="J249">
            <v>0</v>
          </cell>
          <cell r="K249">
            <v>4</v>
          </cell>
          <cell r="L249">
            <v>0</v>
          </cell>
        </row>
        <row r="250">
          <cell r="A250" t="str">
            <v>10082.00614</v>
          </cell>
          <cell r="B250" t="str">
            <v>BLOC NOTE UNI 13,5 X 21</v>
          </cell>
          <cell r="C250" t="str">
            <v xml:space="preserve">BLOC NOTE FORMAT : 13,5 X 21 COMPOSITION : DE 100 FEUILLES DETACHABLES PAPIER BLANC UNI COLLE SURCARTON </v>
          </cell>
          <cell r="D250" t="str">
            <v>PE</v>
          </cell>
          <cell r="E250" t="str">
            <v>222.22206</v>
          </cell>
          <cell r="F250">
            <v>3.5785</v>
          </cell>
          <cell r="G250">
            <v>0</v>
          </cell>
          <cell r="H250">
            <v>0</v>
          </cell>
          <cell r="I250">
            <v>0</v>
          </cell>
          <cell r="J250">
            <v>0</v>
          </cell>
          <cell r="K250">
            <v>0</v>
          </cell>
          <cell r="L250">
            <v>0</v>
          </cell>
        </row>
        <row r="251">
          <cell r="A251" t="str">
            <v>10082.00616</v>
          </cell>
          <cell r="B251" t="str">
            <v>BLOCNO UNI 21X27</v>
          </cell>
          <cell r="C251" t="str">
            <v xml:space="preserve">PAPETERIE BLOC NOTE  FORMAT : 21 X 27 COMPOSITION : DE 100 FEUILLES DETACHABLES PAPIER BLANC UNI COLLE SUR, CARTON </v>
          </cell>
          <cell r="D251" t="str">
            <v>PE</v>
          </cell>
          <cell r="E251" t="str">
            <v>222.22206</v>
          </cell>
          <cell r="F251">
            <v>6</v>
          </cell>
          <cell r="G251">
            <v>0</v>
          </cell>
          <cell r="H251">
            <v>0</v>
          </cell>
          <cell r="I251">
            <v>0</v>
          </cell>
          <cell r="J251">
            <v>0</v>
          </cell>
          <cell r="K251">
            <v>0</v>
          </cell>
          <cell r="L251">
            <v>0</v>
          </cell>
        </row>
        <row r="252">
          <cell r="A252" t="str">
            <v>10078.00372</v>
          </cell>
          <cell r="B252" t="str">
            <v>PAR DESSUS (HIVER)</v>
          </cell>
          <cell r="C252" t="str">
            <v xml:space="preserve">HABILLEMENT  PAR DESSUS (HIVER)  LONG POUR CHAUFFEURS DE LA DIRECTION EN CACHEMIRE COL CHEVALIER, MANCHES LONGUES AVEC DEUX BOUTONS MÉTALLIQUE, DEUX POCHES DEVANT ET UNE A L¿INTERIEUR AVEC FERMETURE TROIS BOUTONS CACHES AVEC BANDE DOUBLE.CONFECTION SUR MESURE CONFECTION TRES SOIGNEE COULEUR: BLEU MARINE OU NOIR SUIVANT LA DEMANDE CACHEMIRE HAUT QUALITE SUIVANT ÉCHANTILLONS  (MAINTIENT LA COULEUR ET TOUTES SES PRIORITÉS MÊME APRÈS LAVAGE) AVEC CERTIFICAT D¿ANALYSE LIVRÉ PAR UN LABORATOIRE AGRÉE POUR LA COMPOSITION DU TISSU.NB : ECHANTILLON(S) DE PAR -DESSUS A PRESENTER LORS DE LA CONSULTATION DES OFFRES </v>
          </cell>
          <cell r="D252" t="str">
            <v>PE</v>
          </cell>
          <cell r="E252" t="str">
            <v>522.52216</v>
          </cell>
          <cell r="F252">
            <v>900</v>
          </cell>
          <cell r="G252">
            <v>0</v>
          </cell>
          <cell r="H252">
            <v>0</v>
          </cell>
          <cell r="I252">
            <v>0</v>
          </cell>
          <cell r="J252">
            <v>0</v>
          </cell>
          <cell r="K252">
            <v>4</v>
          </cell>
          <cell r="L252">
            <v>0</v>
          </cell>
        </row>
        <row r="253">
          <cell r="A253" t="str">
            <v>10082.00489</v>
          </cell>
          <cell r="B253" t="str">
            <v>FEUILLES TRANSPARENTES EN BOITE DE 50</v>
          </cell>
          <cell r="C253" t="str">
            <v xml:space="preserve">FEUILLES TRANSPARENTES  EN BOITE DE 50DESTINATION IMPRIMANTE :- A JET D'ENCRE HP -LASER COULEUR FORMAT : 21 X 29,7 CM </v>
          </cell>
          <cell r="D253" t="str">
            <v>PE</v>
          </cell>
          <cell r="E253" t="str">
            <v>222.22206</v>
          </cell>
          <cell r="F253">
            <v>211.68</v>
          </cell>
          <cell r="G253">
            <v>0</v>
          </cell>
          <cell r="H253">
            <v>0</v>
          </cell>
          <cell r="I253">
            <v>0</v>
          </cell>
          <cell r="J253">
            <v>0</v>
          </cell>
          <cell r="K253">
            <v>0</v>
          </cell>
          <cell r="L253">
            <v>0</v>
          </cell>
        </row>
        <row r="254">
          <cell r="A254" t="str">
            <v>10085.00609</v>
          </cell>
          <cell r="B254" t="str">
            <v>AUTORISATION DE TRAVAIL</v>
          </cell>
          <cell r="C254" t="str">
            <v xml:space="preserve">IMPRIME RELATIF AU PERSONNEL ET A LA MAIN D'OEUVRE . . DESIGNATION : AUTORISATION DE TRAVAIL , CARNET DE 50 LIASSES DE 2 FEUILLETS NUMEROTES , L'ORIGINAL EST DETACHABLE IMPRESSION : RECTO NOIRE QUALITE : ORIGINAL = PAPIER SUPERIEUR COPIE = PELURE FORCE : ORIGINAL = 64 GR/M2 FORMAT : HORS TOUT = 21 X 31 CM COUVERTURE DOSSIER DISPONIBLE PRESENTATION : A LA FRANCAISE COULEUR BLANCHE NUMEROTATION A LA CHARGE DE SDG/MG/I SUIVANT MODELE , (IMPRIME REALISE PAR IMPRIMERIE OCP) , </v>
          </cell>
          <cell r="D254" t="str">
            <v>PE</v>
          </cell>
          <cell r="E254" t="str">
            <v>222.22206</v>
          </cell>
          <cell r="F254">
            <v>18.43</v>
          </cell>
          <cell r="G254">
            <v>0</v>
          </cell>
          <cell r="H254">
            <v>0</v>
          </cell>
          <cell r="I254">
            <v>0</v>
          </cell>
          <cell r="J254">
            <v>0</v>
          </cell>
          <cell r="K254">
            <v>0</v>
          </cell>
          <cell r="L254">
            <v>0</v>
          </cell>
        </row>
        <row r="255">
          <cell r="A255" t="str">
            <v>10080.00995</v>
          </cell>
          <cell r="B255" t="str">
            <v>STYLO FEUTR INDEL CO ROUG</v>
          </cell>
          <cell r="C255" t="str">
            <v xml:space="preserve">FOURNITURES ET MATERIEL POUR LE BUREAU CRAYONS FEUTRES DE COULEURS INDELEBILE COULEUR ROUGE DIAMETRE DE LA POINTE 2MM PLUS OU MOINS 0,5 </v>
          </cell>
          <cell r="D255" t="str">
            <v>PE</v>
          </cell>
          <cell r="E255" t="str">
            <v>222.22206</v>
          </cell>
          <cell r="F255">
            <v>3.6</v>
          </cell>
          <cell r="G255">
            <v>0</v>
          </cell>
          <cell r="H255">
            <v>0</v>
          </cell>
          <cell r="I255">
            <v>0</v>
          </cell>
          <cell r="J255">
            <v>0</v>
          </cell>
          <cell r="K255">
            <v>0</v>
          </cell>
          <cell r="L255">
            <v>0</v>
          </cell>
        </row>
        <row r="256">
          <cell r="A256" t="str">
            <v>10080.00996</v>
          </cell>
          <cell r="B256" t="str">
            <v>STYLO FEUTR INDEL CO BLEU</v>
          </cell>
          <cell r="C256" t="str">
            <v xml:space="preserve">FOURNITURES ET MATERIEL POUR LE BUREAU CRAYONS FEUTRES DE COULEURS INDELEBILE COULEUR BLEUE DIAMETRE DE LA POINTE 2MM PLUS OU MOINS 0,5 </v>
          </cell>
          <cell r="D256" t="str">
            <v>PE</v>
          </cell>
          <cell r="E256" t="str">
            <v>222.22206</v>
          </cell>
          <cell r="F256">
            <v>3.6</v>
          </cell>
          <cell r="G256">
            <v>0</v>
          </cell>
          <cell r="H256">
            <v>0</v>
          </cell>
          <cell r="I256">
            <v>0</v>
          </cell>
          <cell r="J256">
            <v>0</v>
          </cell>
          <cell r="K256">
            <v>0</v>
          </cell>
          <cell r="L256">
            <v>0</v>
          </cell>
        </row>
        <row r="257">
          <cell r="A257" t="str">
            <v>10080.00997</v>
          </cell>
          <cell r="B257" t="str">
            <v>STYLO FEUTR INDEL CO NOIR</v>
          </cell>
          <cell r="C257" t="str">
            <v xml:space="preserve">FOURNITURES ET MATERIEL POUR LE BUREAU CRAYONS FEUTRES DE COULEURS INDELEBILE COULEUR NOIRE DIAMETRE DE LA POINTE 2MM PLUS OU MOINS 0,5 </v>
          </cell>
          <cell r="D257" t="str">
            <v>PE</v>
          </cell>
          <cell r="E257" t="str">
            <v>222.22206</v>
          </cell>
          <cell r="F257">
            <v>3.6</v>
          </cell>
          <cell r="G257">
            <v>0</v>
          </cell>
          <cell r="H257">
            <v>0</v>
          </cell>
          <cell r="I257">
            <v>0</v>
          </cell>
          <cell r="J257">
            <v>0</v>
          </cell>
          <cell r="K257">
            <v>0</v>
          </cell>
          <cell r="L257">
            <v>0</v>
          </cell>
        </row>
        <row r="258">
          <cell r="A258" t="str">
            <v>10080.00998</v>
          </cell>
          <cell r="B258" t="str">
            <v>STYLO FEUTR INDEL CO VERT</v>
          </cell>
          <cell r="C258" t="str">
            <v xml:space="preserve">FOURNITURES ET MATERIEL POUR LE BUREAU CRAYONS FEUTRES DE COULEURS INDELEBILE COULEUR VERTE DIAMETRE DE LA POINTE 2MM PLUS OU MOINS 0,5 </v>
          </cell>
          <cell r="D258" t="str">
            <v>PE</v>
          </cell>
          <cell r="E258" t="str">
            <v>222.22206</v>
          </cell>
          <cell r="F258">
            <v>3.6</v>
          </cell>
          <cell r="G258">
            <v>0</v>
          </cell>
          <cell r="H258">
            <v>0</v>
          </cell>
          <cell r="I258">
            <v>0</v>
          </cell>
          <cell r="J258">
            <v>0</v>
          </cell>
          <cell r="K258">
            <v>38</v>
          </cell>
          <cell r="L258">
            <v>0</v>
          </cell>
        </row>
        <row r="259">
          <cell r="A259" t="str">
            <v>10080.00990</v>
          </cell>
          <cell r="B259" t="str">
            <v>MARQUEUR EFFACAB COU NOIR</v>
          </cell>
          <cell r="C259" t="str">
            <v xml:space="preserve">FOURNITURES ET MATERIEL POUR LE BUREAU . . . DESIGNATION : MARQUEUR EFFACABLE A SEC COULEUR NOIRE </v>
          </cell>
          <cell r="D259" t="str">
            <v>PE</v>
          </cell>
          <cell r="E259" t="str">
            <v>222.22206</v>
          </cell>
          <cell r="F259">
            <v>5.9172000000000002</v>
          </cell>
          <cell r="G259">
            <v>0</v>
          </cell>
          <cell r="H259">
            <v>0</v>
          </cell>
          <cell r="I259">
            <v>0</v>
          </cell>
          <cell r="J259">
            <v>0</v>
          </cell>
          <cell r="K259">
            <v>4</v>
          </cell>
          <cell r="L259">
            <v>0</v>
          </cell>
        </row>
        <row r="260">
          <cell r="A260" t="str">
            <v>10080.00993</v>
          </cell>
          <cell r="B260" t="str">
            <v>MARQUEUR EFFACAB COU VERT</v>
          </cell>
          <cell r="C260" t="str">
            <v xml:space="preserve">FOURNITURES ET MATERIEL POUR LE BUREAU . . . DESIGNATION : MARQUEUR EFFACABLE A SEC COULEUR VERTE </v>
          </cell>
          <cell r="D260" t="str">
            <v>PE</v>
          </cell>
          <cell r="E260" t="str">
            <v>222.22206</v>
          </cell>
          <cell r="F260">
            <v>3.7530999999999999</v>
          </cell>
          <cell r="G260">
            <v>0</v>
          </cell>
          <cell r="H260">
            <v>0</v>
          </cell>
          <cell r="I260">
            <v>0</v>
          </cell>
          <cell r="J260">
            <v>0</v>
          </cell>
          <cell r="K260">
            <v>35</v>
          </cell>
          <cell r="L260">
            <v>0</v>
          </cell>
        </row>
        <row r="261">
          <cell r="A261" t="str">
            <v>10080.00994</v>
          </cell>
          <cell r="B261" t="str">
            <v>POCHETT QUATR STYLO INDEL</v>
          </cell>
          <cell r="C261" t="str">
            <v xml:space="preserve">FOURNITURES ET MATERIEL POUR LE BUREAU CRAYONS FEUTRES DE COULEURS INDELEBILE COULEUR ROUGE-BLEU-VERT-NOIR DIAMETRE DE LA POINTE 4,5 MM PLUS OU MOINS 0,5 MODE DE LIVRAISON POCHETTE DE 4 FEUTRES DESTINATION POUR ECRITURE SUR PAPIER POLYESTER TRANSPARENT </v>
          </cell>
          <cell r="D261" t="str">
            <v>PE</v>
          </cell>
          <cell r="E261" t="str">
            <v>222.22206</v>
          </cell>
          <cell r="F261">
            <v>21.18</v>
          </cell>
          <cell r="G261">
            <v>0</v>
          </cell>
          <cell r="H261">
            <v>0</v>
          </cell>
          <cell r="I261">
            <v>0</v>
          </cell>
          <cell r="J261">
            <v>0</v>
          </cell>
          <cell r="K261">
            <v>0</v>
          </cell>
          <cell r="L261">
            <v>0</v>
          </cell>
        </row>
        <row r="262">
          <cell r="A262" t="str">
            <v>10078.02505</v>
          </cell>
          <cell r="B262" t="str">
            <v>BLOUSE BEIGE ETE TAILLE54</v>
          </cell>
          <cell r="C262" t="str">
            <v xml:space="preserve">HABILLEMENT BLOUSE POUR PERSONNEL MASCULIN (HORS-CADRE) HIVERQUALITE: TISSU:TERGAL DE BONNE QUALITE POIDS= :125 GR/M2 FORME DE LA BLOUSE DROITE COL: CHEVALIER MANCHES: LONGUES COULEUR: BEIGE TAILLE: 541 POCHE POITRINE SUR LE COTE GAUCHE 1 POCHE DE CHAQUE COTE A OUVERTURE EN BIAIS CONFECTION TRES SOIGNEE FERMETURE SUR LE DEVANT PAR 4 BOUTONS </v>
          </cell>
          <cell r="D262" t="str">
            <v>PE</v>
          </cell>
          <cell r="E262" t="str">
            <v>522.52216</v>
          </cell>
          <cell r="F262">
            <v>107.4</v>
          </cell>
          <cell r="G262">
            <v>0</v>
          </cell>
          <cell r="H262">
            <v>0</v>
          </cell>
          <cell r="I262">
            <v>0</v>
          </cell>
          <cell r="J262">
            <v>0</v>
          </cell>
          <cell r="K262">
            <v>0</v>
          </cell>
          <cell r="L262">
            <v>0</v>
          </cell>
        </row>
        <row r="263">
          <cell r="A263" t="str">
            <v>10080.00016</v>
          </cell>
          <cell r="B263" t="str">
            <v>CRAYONS 2B</v>
          </cell>
          <cell r="C263" t="str">
            <v xml:space="preserve">FOURNITURES ET MATERIEL POUR LE BUREAU CRAYONS EN BOIS VERNI MINE NOIRE FORME HEXAGONALE OU RONDE QUALITE SUPERIEURE GENRE LUMOGRAPHE MARS GRADUATION SERIE 2 B </v>
          </cell>
          <cell r="D263" t="str">
            <v>PE</v>
          </cell>
          <cell r="E263" t="str">
            <v>222.22206</v>
          </cell>
          <cell r="F263">
            <v>0.39600000000000002</v>
          </cell>
          <cell r="G263">
            <v>0</v>
          </cell>
          <cell r="H263">
            <v>0</v>
          </cell>
          <cell r="I263">
            <v>0</v>
          </cell>
          <cell r="J263">
            <v>0</v>
          </cell>
          <cell r="K263">
            <v>0</v>
          </cell>
          <cell r="L263">
            <v>0</v>
          </cell>
        </row>
        <row r="264">
          <cell r="A264" t="str">
            <v>10080.00017</v>
          </cell>
          <cell r="B264" t="str">
            <v>CRAYONS B</v>
          </cell>
          <cell r="C264" t="str">
            <v xml:space="preserve">FOURNITURES ET MATERIEL POUR LE BUREAU CRAYONS EN BOIS VERNI MINE NOIRE FORME HEXAGONALE OU RONDE QUALITE SUPERIEURE GENRE LUMOGRAPHE MARS GRADUATION SERIE B </v>
          </cell>
          <cell r="D264" t="str">
            <v>PE</v>
          </cell>
          <cell r="E264" t="str">
            <v>222.22206</v>
          </cell>
          <cell r="F264">
            <v>0.372</v>
          </cell>
          <cell r="G264">
            <v>0</v>
          </cell>
          <cell r="H264">
            <v>0</v>
          </cell>
          <cell r="I264">
            <v>0</v>
          </cell>
          <cell r="J264">
            <v>0</v>
          </cell>
          <cell r="K264">
            <v>0</v>
          </cell>
          <cell r="L264">
            <v>0</v>
          </cell>
        </row>
        <row r="265">
          <cell r="A265" t="str">
            <v>10080.01022</v>
          </cell>
          <cell r="B265" t="str">
            <v>FEUTRE FLUORES COUL JAUNE</v>
          </cell>
          <cell r="C265" t="str">
            <v xml:space="preserve">FOURNITURES ET MATERIEL POUR LE BUREAU CRAYONS FEUTRES DE COULEURS FLUORESCENTS GENRE FABER CASTEL COULEUR JAUNE DIAMETRE DE LA POINTE 4,5 MM PLUS OU MOINS 0,5 MM </v>
          </cell>
          <cell r="D265" t="str">
            <v>PE</v>
          </cell>
          <cell r="E265" t="str">
            <v>222.22206</v>
          </cell>
          <cell r="F265">
            <v>3.2768999999999999</v>
          </cell>
          <cell r="G265">
            <v>0</v>
          </cell>
          <cell r="H265">
            <v>0</v>
          </cell>
          <cell r="I265">
            <v>0</v>
          </cell>
          <cell r="J265">
            <v>0</v>
          </cell>
          <cell r="K265">
            <v>0</v>
          </cell>
          <cell r="L265">
            <v>0</v>
          </cell>
        </row>
        <row r="266">
          <cell r="A266" t="str">
            <v>10080.01023</v>
          </cell>
          <cell r="B266" t="str">
            <v>FEUTTRE FLUORES COUL ROSE</v>
          </cell>
          <cell r="C266" t="str">
            <v xml:space="preserve">FOURNITURES ET MATERIEL POUR LE BUREAU CRAYONS FEUTRES DE COULEURS FLUORESCENTS GENRE FABER CASTEL COULEUR ROSE DIAMETRE DE LA POINTE 4,5 MM PLUS OU MOINS 0,5 MM </v>
          </cell>
          <cell r="D266" t="str">
            <v>PE</v>
          </cell>
          <cell r="E266" t="str">
            <v>222.22206</v>
          </cell>
          <cell r="F266">
            <v>3.3370000000000002</v>
          </cell>
          <cell r="G266">
            <v>0</v>
          </cell>
          <cell r="H266">
            <v>0</v>
          </cell>
          <cell r="I266">
            <v>0</v>
          </cell>
          <cell r="J266">
            <v>0</v>
          </cell>
          <cell r="K266">
            <v>0</v>
          </cell>
          <cell r="L266">
            <v>0</v>
          </cell>
        </row>
        <row r="267">
          <cell r="A267" t="str">
            <v>10078.00376</v>
          </cell>
          <cell r="B267" t="str">
            <v>CHEMISE POUR CHAUFFEURS ETE  COTON POLYESTER 180</v>
          </cell>
          <cell r="C267" t="str">
            <v>Composition : mélange 35 % coton, 65% polyester Sergé  180 g/m2Manches longues droites (montées plates, surpiquées sur épaule, plis plats d¿aisance et fermeture par boutons), longueur 63 cm sous le bras Col : Chemisier surpiqué, boutonné avec pied de col, renforcé de l¿intérieur par une doublure  de couleur harmonisée  Coupe : Ergonomique avec couture décalée pour plus d¿aisance  Devant : Gorge anglaise et sous gorge simple, 01 poche plaquée niveau  poitrine avec fermeture en braguette, Passage stylo dans le rabat, Fermeture par boutons 4 trousCôtes : Fermeture des cotes par  des coutures rabattues Montage à double aiguilleEmballage individuel Vignette en polyamide pour la composition et la taille Couleur : blanche  ou  bleu ciel  (suivant la demande) Taille : à préciser par le client en cas de confirmation du besoinEchantillons pour essaisFiche  technique de l¿article Certificat d¿analyse livré par un laboratoire agrée pour la composition du tissu</v>
          </cell>
          <cell r="D267" t="str">
            <v>PE</v>
          </cell>
          <cell r="E267" t="str">
            <v>522.52216</v>
          </cell>
          <cell r="F267">
            <v>220</v>
          </cell>
          <cell r="G267">
            <v>0</v>
          </cell>
          <cell r="H267">
            <v>0</v>
          </cell>
          <cell r="I267">
            <v>0</v>
          </cell>
          <cell r="J267">
            <v>0</v>
          </cell>
          <cell r="K267">
            <v>8</v>
          </cell>
          <cell r="L267">
            <v>0</v>
          </cell>
        </row>
        <row r="268">
          <cell r="A268" t="str">
            <v>10067.05102</v>
          </cell>
          <cell r="B268" t="str">
            <v>MANCHON COMPENSATEUR</v>
          </cell>
          <cell r="C268" t="str">
            <v>MANCHON COMPENSATEUR EN EPDMPRESSION DE SERVICE: 5BARTEMPERATURE D'UTILISATION: 24 A 50°C BRIDES EN ACIER AU CARBONE GALVANISE PERCAGE  PN10 D'UN COTE ET 150LBS DE L'AUTRE NOMBRE D'ONDE: 1 FLUIDE VEHICULE: EAU DE MER  DN700  LONGUEUR 260MM</v>
          </cell>
          <cell r="D268" t="str">
            <v>PE</v>
          </cell>
          <cell r="E268" t="str">
            <v>522.52207</v>
          </cell>
          <cell r="F268">
            <v>31140</v>
          </cell>
          <cell r="G268">
            <v>0</v>
          </cell>
          <cell r="H268">
            <v>0</v>
          </cell>
          <cell r="I268">
            <v>0</v>
          </cell>
          <cell r="J268">
            <v>0</v>
          </cell>
          <cell r="K268">
            <v>0</v>
          </cell>
          <cell r="L268">
            <v>2</v>
          </cell>
        </row>
        <row r="269">
          <cell r="A269" t="str">
            <v>10078.00373</v>
          </cell>
          <cell r="B269" t="str">
            <v>PULL-OVER</v>
          </cell>
          <cell r="C269" t="str">
            <v>HABILLEMENT  PULL-OVER (HIVER)  POUR CHAOUCH ET CHAUFFEUR DE LA DIRECTION GENERALE  EN LAINE  COL: EN V  MANCHES: LONGUES  COULEUR: BLEU MARINE</v>
          </cell>
          <cell r="D269" t="str">
            <v>PE</v>
          </cell>
          <cell r="E269" t="str">
            <v>522.52216</v>
          </cell>
          <cell r="F269">
            <v>270</v>
          </cell>
          <cell r="G269">
            <v>0</v>
          </cell>
          <cell r="H269">
            <v>0</v>
          </cell>
          <cell r="I269">
            <v>0</v>
          </cell>
          <cell r="J269">
            <v>0</v>
          </cell>
          <cell r="K269">
            <v>6</v>
          </cell>
          <cell r="L269">
            <v>0</v>
          </cell>
        </row>
        <row r="270">
          <cell r="A270" t="str">
            <v>10080.01020</v>
          </cell>
          <cell r="B270" t="str">
            <v>FEUTRE FLUORES COUL ORANG</v>
          </cell>
          <cell r="C270" t="str">
            <v xml:space="preserve">FOURNITURES ET MATERIEL POUR LE BUREAU CRAYONS FEUTRES DE COULEURS FLUORESCENTS GENRE FABER CASTEL COULEUR ORANGE DIAMETRE DE LA POINTE 4,5 MM PLUS OU MOINS 0,5 MM </v>
          </cell>
          <cell r="D270" t="str">
            <v>PE</v>
          </cell>
          <cell r="E270" t="str">
            <v>222.22206</v>
          </cell>
          <cell r="F270">
            <v>3.3308</v>
          </cell>
          <cell r="G270">
            <v>0</v>
          </cell>
          <cell r="H270">
            <v>0</v>
          </cell>
          <cell r="I270">
            <v>0</v>
          </cell>
          <cell r="J270">
            <v>0</v>
          </cell>
          <cell r="K270">
            <v>0</v>
          </cell>
          <cell r="L270">
            <v>0</v>
          </cell>
        </row>
        <row r="271">
          <cell r="A271" t="str">
            <v>10080.01021</v>
          </cell>
          <cell r="B271" t="str">
            <v>FEUTRE FLUORES COUL VERTE</v>
          </cell>
          <cell r="C271" t="str">
            <v xml:space="preserve">FOURNITURES ET MATERIEL POUR LE BUREAU CRAYONS FEUTRES DE COULEURS FLUORESCENTS GENRE FABER CASTEL COULEUR VERTE DIAMETRE DE LA POINTE 4,5 MM PLUS OU MOINS 0,5 MM </v>
          </cell>
          <cell r="D271" t="str">
            <v>PE</v>
          </cell>
          <cell r="E271" t="str">
            <v>222.22206</v>
          </cell>
          <cell r="F271">
            <v>3.2976999999999999</v>
          </cell>
          <cell r="G271">
            <v>0</v>
          </cell>
          <cell r="H271">
            <v>0</v>
          </cell>
          <cell r="I271">
            <v>0</v>
          </cell>
          <cell r="J271">
            <v>0</v>
          </cell>
          <cell r="K271">
            <v>0</v>
          </cell>
          <cell r="L271">
            <v>0</v>
          </cell>
        </row>
        <row r="272">
          <cell r="A272" t="str">
            <v>10079.05008</v>
          </cell>
          <cell r="B272" t="str">
            <v>BOITE SE 6 VERRES A EAU EN CRISTAL SUR PIED</v>
          </cell>
          <cell r="C272" t="str">
            <v>BOITE SE 6 VERRES A EAU EN CRISTAL SUR PIED</v>
          </cell>
          <cell r="D272" t="str">
            <v>PE</v>
          </cell>
          <cell r="E272" t="str">
            <v>222.22203</v>
          </cell>
          <cell r="F272">
            <v>480</v>
          </cell>
          <cell r="G272">
            <v>0</v>
          </cell>
          <cell r="H272">
            <v>0</v>
          </cell>
          <cell r="I272">
            <v>0</v>
          </cell>
          <cell r="J272">
            <v>0</v>
          </cell>
          <cell r="K272">
            <v>0</v>
          </cell>
          <cell r="L272">
            <v>0</v>
          </cell>
        </row>
        <row r="273">
          <cell r="A273" t="str">
            <v>10074.00186</v>
          </cell>
          <cell r="B273" t="str">
            <v>BROSSE LAVE PONT</v>
          </cell>
          <cell r="C273" t="str">
            <v xml:space="preserve">DROGUERIE BROSSE  DESIGNATION : LAVE-PONT LONGUEUR : 22 CM HAUTEUR : DES BRINS 40 MM DIAMETRE : 20 MM COMPOSITION : AVEC 2 TROUS D'EMMANCHEMENT - 5 RANGS - BONNE QUALITE MATIERE : EN CHIENDENT </v>
          </cell>
          <cell r="D273" t="str">
            <v>PE</v>
          </cell>
          <cell r="E273" t="str">
            <v>522.52203</v>
          </cell>
          <cell r="F273">
            <v>13.596</v>
          </cell>
          <cell r="G273">
            <v>0</v>
          </cell>
          <cell r="H273">
            <v>0</v>
          </cell>
          <cell r="I273">
            <v>0</v>
          </cell>
          <cell r="J273">
            <v>0</v>
          </cell>
          <cell r="K273">
            <v>12</v>
          </cell>
          <cell r="L273">
            <v>0</v>
          </cell>
        </row>
        <row r="274">
          <cell r="A274" t="str">
            <v>10074.00190</v>
          </cell>
          <cell r="B274" t="str">
            <v>BROSSE METAL FORM VIOLON</v>
          </cell>
          <cell r="C274" t="str">
            <v xml:space="preserve">DROGUERIE BROSSE  METALLIQUE LONGUEUR : 20 CM HAUTEUR : DE FILS : 30 MM LARGEUR : 5 CM COMPOSITION : 5 RANGS FILS PLATS FORME : VIOLON </v>
          </cell>
          <cell r="D274" t="str">
            <v>PE</v>
          </cell>
          <cell r="E274" t="str">
            <v>522.52203</v>
          </cell>
          <cell r="F274">
            <v>13.2</v>
          </cell>
          <cell r="G274">
            <v>0</v>
          </cell>
          <cell r="H274">
            <v>0</v>
          </cell>
          <cell r="I274">
            <v>0</v>
          </cell>
          <cell r="J274">
            <v>0</v>
          </cell>
          <cell r="K274">
            <v>0</v>
          </cell>
          <cell r="L274">
            <v>0</v>
          </cell>
        </row>
        <row r="275">
          <cell r="A275" t="str">
            <v>10068.01167</v>
          </cell>
          <cell r="B275" t="str">
            <v>BRIDE RONDE DN 50</v>
          </cell>
          <cell r="C275" t="str">
            <v>BRIDE RONDE,SURFACE DE JOINT SURELEVEE,DN50,CLASSE 150LBS,EN ASTM A 105,ANSI B16.5</v>
          </cell>
          <cell r="D275" t="str">
            <v>PE</v>
          </cell>
          <cell r="E275" t="str">
            <v>313.31301</v>
          </cell>
          <cell r="F275">
            <v>110</v>
          </cell>
          <cell r="G275">
            <v>0</v>
          </cell>
          <cell r="H275">
            <v>10</v>
          </cell>
          <cell r="I275">
            <v>0</v>
          </cell>
          <cell r="J275">
            <v>0</v>
          </cell>
          <cell r="K275">
            <v>0</v>
          </cell>
          <cell r="L275">
            <v>0</v>
          </cell>
        </row>
        <row r="276">
          <cell r="A276" t="str">
            <v>10080.00018</v>
          </cell>
          <cell r="B276" t="str">
            <v>CRAYONS H B</v>
          </cell>
          <cell r="C276" t="str">
            <v xml:space="preserve">CRAYONS EN BOIS VERNI MINE NOIRE FORME HEXAGONALE OU RONDE QUALITE SUPERIEURE GRADUATION SERIE HB </v>
          </cell>
          <cell r="D276" t="str">
            <v>PE</v>
          </cell>
          <cell r="E276" t="str">
            <v>222.22206</v>
          </cell>
          <cell r="F276">
            <v>0.5</v>
          </cell>
          <cell r="G276">
            <v>0</v>
          </cell>
          <cell r="H276">
            <v>0</v>
          </cell>
          <cell r="I276">
            <v>0</v>
          </cell>
          <cell r="J276">
            <v>0</v>
          </cell>
          <cell r="K276">
            <v>0</v>
          </cell>
          <cell r="L276">
            <v>0</v>
          </cell>
        </row>
        <row r="277">
          <cell r="A277" t="str">
            <v>10080.00020</v>
          </cell>
          <cell r="B277" t="str">
            <v>CRAYONS H</v>
          </cell>
          <cell r="C277" t="str">
            <v xml:space="preserve">FOURNITURES ET MATERIEL POUR LE BUREAU CRAYONS EN BOIS VERNI MINE NOIRE FORME HEXAGONALE OU RONDE QUALITE SUPERIEURE GENRE LUMOGRAPHE GRADUATION SERIE H </v>
          </cell>
          <cell r="D277" t="str">
            <v>PE</v>
          </cell>
          <cell r="E277" t="str">
            <v>222.22206</v>
          </cell>
          <cell r="F277">
            <v>0.41860000000000003</v>
          </cell>
          <cell r="G277">
            <v>0</v>
          </cell>
          <cell r="H277">
            <v>0</v>
          </cell>
          <cell r="I277">
            <v>0</v>
          </cell>
          <cell r="J277">
            <v>0</v>
          </cell>
          <cell r="K277">
            <v>0</v>
          </cell>
          <cell r="L277">
            <v>0</v>
          </cell>
        </row>
        <row r="278">
          <cell r="A278" t="str">
            <v>10080.01058</v>
          </cell>
          <cell r="B278" t="str">
            <v>MINE DE RECHARGE GRAD.HB</v>
          </cell>
          <cell r="C278" t="str">
            <v xml:space="preserve">MINE DE RECHARGE GENRE EDDING PL 8 EN ETUIS DE 12 MINES COULEUR : NOIR DURETE HB DESTINATION PORTE-MINE GENRE EDDING P DIAMETRE : 0,5 MM LONGUEUR : 60 MM </v>
          </cell>
          <cell r="D278" t="str">
            <v>PE</v>
          </cell>
          <cell r="E278" t="str">
            <v>222.22206</v>
          </cell>
          <cell r="F278">
            <v>2.31</v>
          </cell>
          <cell r="G278">
            <v>0</v>
          </cell>
          <cell r="H278">
            <v>0</v>
          </cell>
          <cell r="I278">
            <v>0</v>
          </cell>
          <cell r="J278">
            <v>0</v>
          </cell>
          <cell r="K278">
            <v>0</v>
          </cell>
          <cell r="L278">
            <v>0</v>
          </cell>
        </row>
        <row r="279">
          <cell r="A279" t="str">
            <v>10081.00794</v>
          </cell>
          <cell r="B279" t="str">
            <v>FILTRE OPTIQUE 17 POUCES</v>
          </cell>
          <cell r="C279" t="str">
            <v xml:space="preserve">FILTRE OPTIQUE POUR ECRAN 17 POUCES </v>
          </cell>
          <cell r="D279" t="str">
            <v>PE</v>
          </cell>
          <cell r="E279" t="str">
            <v>222.22206</v>
          </cell>
          <cell r="F279">
            <v>229.81200000000001</v>
          </cell>
          <cell r="G279">
            <v>0</v>
          </cell>
          <cell r="H279">
            <v>0</v>
          </cell>
          <cell r="I279">
            <v>0</v>
          </cell>
          <cell r="J279">
            <v>0</v>
          </cell>
          <cell r="K279">
            <v>0</v>
          </cell>
          <cell r="L279">
            <v>0</v>
          </cell>
        </row>
        <row r="280">
          <cell r="A280" t="str">
            <v>10068.05353</v>
          </cell>
          <cell r="B280" t="str">
            <v>BRID COLL A SOUDER DN 80</v>
          </cell>
          <cell r="C280" t="str">
            <v>BRIDE A COLERETTE A SOUDER EN ACIER A42 FACE DU JOINT SURELEVEE S/NORME NF.E 29.203PN16 SCHEDULE 80DN80 D.EXT. 200 D.EXT.TUBE 88,9 EP.20 PERCAGE 18 NBR BOULON 8COLERETTE : D.BASE 105MM EP.3,2MM D.JOINT SURELEVE 133MM</v>
          </cell>
          <cell r="D280" t="str">
            <v>PE</v>
          </cell>
          <cell r="E280" t="str">
            <v>313.31301</v>
          </cell>
          <cell r="F280">
            <v>202.5</v>
          </cell>
          <cell r="G280">
            <v>0</v>
          </cell>
          <cell r="H280">
            <v>0</v>
          </cell>
          <cell r="I280">
            <v>0</v>
          </cell>
          <cell r="J280">
            <v>1</v>
          </cell>
          <cell r="K280">
            <v>0</v>
          </cell>
          <cell r="L280">
            <v>1</v>
          </cell>
        </row>
        <row r="281">
          <cell r="A281" t="str">
            <v>10079.05020</v>
          </cell>
          <cell r="B281" t="str">
            <v>BOITE DE 6 VERRES FLUTTES  A CHAMPAGNE EN CRISTAL</v>
          </cell>
          <cell r="C281" t="str">
            <v>BOITE DE 6 VERRES FLUTTES  A CHAMPAGNE EN CRISTAL</v>
          </cell>
          <cell r="D281" t="str">
            <v>PE</v>
          </cell>
          <cell r="E281" t="str">
            <v>222.22203</v>
          </cell>
          <cell r="F281">
            <v>360</v>
          </cell>
          <cell r="G281">
            <v>0</v>
          </cell>
          <cell r="H281">
            <v>0</v>
          </cell>
          <cell r="I281">
            <v>0</v>
          </cell>
          <cell r="J281">
            <v>0</v>
          </cell>
          <cell r="K281">
            <v>0</v>
          </cell>
          <cell r="L281">
            <v>0</v>
          </cell>
        </row>
        <row r="282">
          <cell r="A282" t="str">
            <v>10083.00120</v>
          </cell>
          <cell r="B282" t="str">
            <v>CHEM TIRET 24X30</v>
          </cell>
          <cell r="C282" t="str">
            <v xml:space="preserve">PAPETERIE CHEMISE A TIRETTE  COULEUR : ASSORTIES FORMAT : 24 X 30 QUALITE : CARTE DE LYON </v>
          </cell>
          <cell r="D282" t="str">
            <v>PE</v>
          </cell>
          <cell r="E282" t="str">
            <v>222.22206</v>
          </cell>
          <cell r="F282">
            <v>8.6999999999999993</v>
          </cell>
          <cell r="G282">
            <v>0</v>
          </cell>
          <cell r="H282">
            <v>0</v>
          </cell>
          <cell r="I282">
            <v>35</v>
          </cell>
          <cell r="J282">
            <v>0</v>
          </cell>
          <cell r="K282">
            <v>50</v>
          </cell>
          <cell r="L282">
            <v>0</v>
          </cell>
        </row>
        <row r="283">
          <cell r="A283" t="str">
            <v>10083.00122</v>
          </cell>
          <cell r="B283" t="str">
            <v>CHEM TIRET 24X33</v>
          </cell>
          <cell r="C283" t="str">
            <v xml:space="preserve">PAPETERIE CHEMISE A TIRETTE  COULEUR : ASSORTIES FORMAT : 24 X 33 QUALITE : CARTE DE LYON </v>
          </cell>
          <cell r="D283" t="str">
            <v>PE</v>
          </cell>
          <cell r="E283" t="str">
            <v>222.22206</v>
          </cell>
          <cell r="F283">
            <v>9.36</v>
          </cell>
          <cell r="G283">
            <v>0</v>
          </cell>
          <cell r="H283">
            <v>0</v>
          </cell>
          <cell r="I283">
            <v>0</v>
          </cell>
          <cell r="J283">
            <v>0</v>
          </cell>
          <cell r="K283">
            <v>34</v>
          </cell>
          <cell r="L283">
            <v>0</v>
          </cell>
        </row>
        <row r="284">
          <cell r="A284" t="str">
            <v>10083.00124</v>
          </cell>
          <cell r="B284" t="str">
            <v>CHEM TIRET 27X36</v>
          </cell>
          <cell r="C284" t="str">
            <v xml:space="preserve">PAPETERIE CHEMISE A TIRETTE  COULEUR : ASSORTIES FORMAT : 27 X 36 QUALITE : CARTE DE LYON </v>
          </cell>
          <cell r="D284" t="str">
            <v>PE</v>
          </cell>
          <cell r="E284" t="str">
            <v>222.22206</v>
          </cell>
          <cell r="F284">
            <v>9.36</v>
          </cell>
          <cell r="G284">
            <v>0</v>
          </cell>
          <cell r="H284">
            <v>0</v>
          </cell>
          <cell r="I284">
            <v>0</v>
          </cell>
          <cell r="J284">
            <v>0</v>
          </cell>
          <cell r="K284">
            <v>0</v>
          </cell>
          <cell r="L284">
            <v>0</v>
          </cell>
        </row>
        <row r="285">
          <cell r="A285" t="str">
            <v>10083.00130</v>
          </cell>
          <cell r="B285" t="str">
            <v>CHEMI LYON 24X32</v>
          </cell>
          <cell r="C285" t="str">
            <v xml:space="preserve">PAPETERIE CHEMISE A DOS ONDULE  COULEUR : ASSORTIES FORMAT : 24 X 32 QUALITE : CARTE DE LYON LARGEUR : DOS=15 MM </v>
          </cell>
          <cell r="D285" t="str">
            <v>PE</v>
          </cell>
          <cell r="E285" t="str">
            <v>222.22206</v>
          </cell>
          <cell r="F285">
            <v>2.7027000000000001</v>
          </cell>
          <cell r="G285">
            <v>0</v>
          </cell>
          <cell r="H285">
            <v>2567</v>
          </cell>
          <cell r="I285">
            <v>68</v>
          </cell>
          <cell r="J285">
            <v>300</v>
          </cell>
          <cell r="K285">
            <v>350</v>
          </cell>
          <cell r="L285">
            <v>0</v>
          </cell>
        </row>
        <row r="286">
          <cell r="A286" t="str">
            <v>10083.00110</v>
          </cell>
          <cell r="B286" t="str">
            <v>CHEMI SOUP 24X32</v>
          </cell>
          <cell r="C286" t="str">
            <v xml:space="preserve">CHEMISE ORDINAIRE COULEUR : ASSORTIES FORMAT : 24 X 32 QUALITE : CARTON SOUPLE </v>
          </cell>
          <cell r="D286" t="str">
            <v>PE</v>
          </cell>
          <cell r="E286" t="str">
            <v>222.22206</v>
          </cell>
          <cell r="F286">
            <v>0.33600000000000002</v>
          </cell>
          <cell r="G286">
            <v>0</v>
          </cell>
          <cell r="H286">
            <v>0</v>
          </cell>
          <cell r="I286">
            <v>0</v>
          </cell>
          <cell r="J286">
            <v>0</v>
          </cell>
          <cell r="K286">
            <v>2630</v>
          </cell>
          <cell r="L286">
            <v>0</v>
          </cell>
        </row>
        <row r="287">
          <cell r="A287" t="str">
            <v>10083.00112</v>
          </cell>
          <cell r="B287" t="str">
            <v>CHEMISE CARTONNEE  24X33</v>
          </cell>
          <cell r="C287" t="str">
            <v xml:space="preserve">CHEMISE ORDINAIRE COULEUR : ASSORTIES FORMAT : 24 X 33 QUALITE : CARTON SOUPLE </v>
          </cell>
          <cell r="D287" t="str">
            <v>PE</v>
          </cell>
          <cell r="E287" t="str">
            <v>222.22206</v>
          </cell>
          <cell r="F287">
            <v>0.42</v>
          </cell>
          <cell r="G287">
            <v>0</v>
          </cell>
          <cell r="H287">
            <v>0</v>
          </cell>
          <cell r="I287">
            <v>0</v>
          </cell>
          <cell r="J287">
            <v>0</v>
          </cell>
          <cell r="K287">
            <v>831</v>
          </cell>
          <cell r="L287">
            <v>0</v>
          </cell>
        </row>
        <row r="288">
          <cell r="A288" t="str">
            <v>10068.01168</v>
          </cell>
          <cell r="B288" t="str">
            <v>BRIDE RONDE DN 80</v>
          </cell>
          <cell r="C288" t="str">
            <v>BRIDE RONDE,SURFACE DE JOINT SURELEVEE,DN80,CLASSE 150LBS,EN ASTM A 105,ANSI B16.5</v>
          </cell>
          <cell r="D288" t="str">
            <v>PE</v>
          </cell>
          <cell r="E288" t="str">
            <v>313.31301</v>
          </cell>
          <cell r="F288">
            <v>110</v>
          </cell>
          <cell r="G288">
            <v>0</v>
          </cell>
          <cell r="H288">
            <v>5</v>
          </cell>
          <cell r="I288">
            <v>0</v>
          </cell>
          <cell r="J288">
            <v>0</v>
          </cell>
          <cell r="K288">
            <v>4</v>
          </cell>
          <cell r="L288">
            <v>3</v>
          </cell>
        </row>
        <row r="289">
          <cell r="A289" t="str">
            <v>10080.00243</v>
          </cell>
          <cell r="B289" t="str">
            <v>COLLE BATON UHU STIC 21G</v>
          </cell>
          <cell r="C289" t="str">
            <v xml:space="preserve">COLLE EN BATON GENRE UHU STIC POIDS NET : 21 GRAMMES </v>
          </cell>
          <cell r="D289" t="str">
            <v>PE</v>
          </cell>
          <cell r="E289" t="str">
            <v>222.22206</v>
          </cell>
          <cell r="F289">
            <v>5.8</v>
          </cell>
          <cell r="G289">
            <v>0</v>
          </cell>
          <cell r="H289">
            <v>0</v>
          </cell>
          <cell r="I289">
            <v>0</v>
          </cell>
          <cell r="J289">
            <v>0</v>
          </cell>
          <cell r="K289">
            <v>0</v>
          </cell>
          <cell r="L289">
            <v>0</v>
          </cell>
        </row>
        <row r="290">
          <cell r="A290" t="str">
            <v>10080.00245</v>
          </cell>
          <cell r="B290" t="str">
            <v>TUBE DE COLLE CELLUL 30ML</v>
          </cell>
          <cell r="C290" t="str">
            <v xml:space="preserve">COLLES CELLULOSIQUE TRANSLUCIDE GENRE : UHUCONDITIONNEMENT TUBE DE 30 ML </v>
          </cell>
          <cell r="D290" t="str">
            <v>PE</v>
          </cell>
          <cell r="E290" t="str">
            <v>222.22206</v>
          </cell>
          <cell r="F290">
            <v>3.96</v>
          </cell>
          <cell r="G290">
            <v>0</v>
          </cell>
          <cell r="H290">
            <v>0</v>
          </cell>
          <cell r="I290">
            <v>0</v>
          </cell>
          <cell r="J290">
            <v>0</v>
          </cell>
          <cell r="K290">
            <v>0</v>
          </cell>
          <cell r="L290">
            <v>0</v>
          </cell>
        </row>
        <row r="291">
          <cell r="A291" t="str">
            <v>10068.01169</v>
          </cell>
          <cell r="B291" t="str">
            <v>BRIDE RONDE DN 100</v>
          </cell>
          <cell r="C291" t="str">
            <v>BRIDE RONDE,SURFACE DE JOINT SURELEVEE,DN100,CLASSE 150LBS,EN ASTM A 105,ANSI B16.5</v>
          </cell>
          <cell r="D291" t="str">
            <v>PE</v>
          </cell>
          <cell r="E291" t="str">
            <v>313.31301</v>
          </cell>
          <cell r="F291">
            <v>182</v>
          </cell>
          <cell r="G291">
            <v>0</v>
          </cell>
          <cell r="H291">
            <v>0</v>
          </cell>
          <cell r="I291">
            <v>0</v>
          </cell>
          <cell r="J291">
            <v>0</v>
          </cell>
          <cell r="K291">
            <v>0</v>
          </cell>
          <cell r="L291">
            <v>2</v>
          </cell>
        </row>
        <row r="292">
          <cell r="A292" t="str">
            <v>10080.01430</v>
          </cell>
          <cell r="B292" t="str">
            <v>BINDER CLIP 25 mm</v>
          </cell>
          <cell r="C292" t="str">
            <v>CODE : A04760 OU SIMILAIRE ( BOITE DE 12 unités)</v>
          </cell>
          <cell r="D292" t="str">
            <v>PE</v>
          </cell>
          <cell r="E292" t="str">
            <v>222.22206</v>
          </cell>
          <cell r="F292">
            <v>3.25</v>
          </cell>
          <cell r="G292">
            <v>0</v>
          </cell>
          <cell r="H292">
            <v>0</v>
          </cell>
          <cell r="I292">
            <v>11</v>
          </cell>
          <cell r="J292">
            <v>1</v>
          </cell>
          <cell r="K292">
            <v>3</v>
          </cell>
          <cell r="L292">
            <v>0</v>
          </cell>
        </row>
        <row r="293">
          <cell r="A293" t="str">
            <v>10067.00328</v>
          </cell>
          <cell r="B293" t="str">
            <v>RACCORD EXPRESSE    3/4 P</v>
          </cell>
          <cell r="C293" t="str">
            <v xml:space="preserve">CANALISATION ET ACCESSOIRES ACCESSOIRES DE RACCORDEMENT RACCORDS DESIGNATION : RACCORD EXPRESS ,CANNELE , GENRE SERGOT (FIGURE 0699-12) PRESSION : DE MARCHE:JUSQU'A 10 BARS ORIFICE : POUR TUYAU DIAMETRE INTERIEUR 19 MM (3/4 POUCE) N.B : TUBULURES:DIAM.INTXDIAM.EXT.15X21,LONG.46 MM. </v>
          </cell>
          <cell r="D293" t="str">
            <v>PE</v>
          </cell>
          <cell r="E293" t="str">
            <v>313.31301</v>
          </cell>
          <cell r="F293">
            <v>42.072000000000003</v>
          </cell>
          <cell r="G293">
            <v>0</v>
          </cell>
          <cell r="H293">
            <v>0</v>
          </cell>
          <cell r="I293">
            <v>0</v>
          </cell>
          <cell r="J293">
            <v>0</v>
          </cell>
          <cell r="K293">
            <v>5</v>
          </cell>
          <cell r="L293">
            <v>0</v>
          </cell>
        </row>
        <row r="294">
          <cell r="A294" t="str">
            <v>10080.01431</v>
          </cell>
          <cell r="B294" t="str">
            <v>BINDER CLIP 32 mm</v>
          </cell>
          <cell r="C294" t="str">
            <v>CODE : A04770 OU SIMILAIRE ( BOITE DE 12 unités)</v>
          </cell>
          <cell r="D294" t="str">
            <v>PE</v>
          </cell>
          <cell r="E294" t="str">
            <v>222.22206</v>
          </cell>
          <cell r="F294">
            <v>7.56</v>
          </cell>
          <cell r="G294">
            <v>0</v>
          </cell>
          <cell r="H294">
            <v>0</v>
          </cell>
          <cell r="I294">
            <v>0</v>
          </cell>
          <cell r="J294">
            <v>0</v>
          </cell>
          <cell r="K294">
            <v>0</v>
          </cell>
          <cell r="L294">
            <v>0</v>
          </cell>
        </row>
        <row r="295">
          <cell r="A295" t="str">
            <v>10085.00009</v>
          </cell>
          <cell r="B295" t="str">
            <v>AUTORISATION DE TRAVAIL</v>
          </cell>
          <cell r="C295" t="str">
            <v>AUTORISATION DE TRAVAIL CARNET 50 LIASSES DE 3 FEUILLETS (BLANC, VERT ET ROSE)DETACHABLES, NUMEROTES ET PIQUES COTE GAUCHE AVEC COUVERTURE :  FACE ET DOSFORMAT : 9,5 X 21 CMIMPRESSION : R° NOIRPRESENTATION : PAYSAGE¨PAPIER NCR : -BLANC CB -VERT CBF -ROSE CFSUIVANT MODELE.</v>
          </cell>
          <cell r="D295" t="str">
            <v>PE</v>
          </cell>
          <cell r="E295" t="str">
            <v>222.22206</v>
          </cell>
          <cell r="F295">
            <v>7.48</v>
          </cell>
          <cell r="G295">
            <v>0</v>
          </cell>
          <cell r="H295">
            <v>0</v>
          </cell>
          <cell r="I295">
            <v>0</v>
          </cell>
          <cell r="J295">
            <v>0</v>
          </cell>
          <cell r="K295">
            <v>0</v>
          </cell>
          <cell r="L295">
            <v>0</v>
          </cell>
        </row>
        <row r="296">
          <cell r="A296" t="str">
            <v>10078.03630</v>
          </cell>
          <cell r="B296" t="str">
            <v>CRAVATE BONNE QUALITE</v>
          </cell>
          <cell r="C296" t="str">
            <v xml:space="preserve">HABILLEMENT CRAVATE DE TRES BONNE QUALITE . . , POUR CHAUFFEURS. </v>
          </cell>
          <cell r="D296" t="str">
            <v>PE</v>
          </cell>
          <cell r="E296" t="str">
            <v>522.52216</v>
          </cell>
          <cell r="F296">
            <v>70</v>
          </cell>
          <cell r="G296">
            <v>0</v>
          </cell>
          <cell r="H296">
            <v>0</v>
          </cell>
          <cell r="I296">
            <v>0</v>
          </cell>
          <cell r="J296">
            <v>0</v>
          </cell>
          <cell r="K296">
            <v>4</v>
          </cell>
          <cell r="L296">
            <v>0</v>
          </cell>
        </row>
        <row r="297">
          <cell r="A297" t="str">
            <v>10080.01429</v>
          </cell>
          <cell r="B297" t="str">
            <v>BINDER CLIP 19 mm</v>
          </cell>
          <cell r="C297" t="str">
            <v>CODE : A04759 OU SIMILAIRE ( BOITE DE 12 unités)</v>
          </cell>
          <cell r="D297" t="str">
            <v>PE</v>
          </cell>
          <cell r="E297" t="str">
            <v>222.22206</v>
          </cell>
          <cell r="F297">
            <v>3.6</v>
          </cell>
          <cell r="G297">
            <v>0</v>
          </cell>
          <cell r="H297">
            <v>0</v>
          </cell>
          <cell r="I297">
            <v>0</v>
          </cell>
          <cell r="J297">
            <v>1</v>
          </cell>
          <cell r="K297">
            <v>9</v>
          </cell>
          <cell r="L297">
            <v>0</v>
          </cell>
        </row>
        <row r="298">
          <cell r="A298" t="str">
            <v>10078.03635</v>
          </cell>
          <cell r="B298" t="str">
            <v>PAIR CHOUSSET FIL D'ECOSS</v>
          </cell>
          <cell r="C298" t="str">
            <v xml:space="preserve">HABILLEMENT PAIRE DE CHAUSSETTES (ETE ET HIVER)  QUALITE: TISSU E COTON MELANGE OU FIL D'ECOSSE </v>
          </cell>
          <cell r="D298" t="str">
            <v>PE</v>
          </cell>
          <cell r="E298" t="str">
            <v>522.52216</v>
          </cell>
          <cell r="F298">
            <v>15</v>
          </cell>
          <cell r="G298">
            <v>0</v>
          </cell>
          <cell r="H298">
            <v>0</v>
          </cell>
          <cell r="I298">
            <v>0</v>
          </cell>
          <cell r="J298">
            <v>0</v>
          </cell>
          <cell r="K298">
            <v>0</v>
          </cell>
          <cell r="L298">
            <v>0</v>
          </cell>
        </row>
        <row r="299">
          <cell r="A299" t="str">
            <v>10078.03616</v>
          </cell>
          <cell r="B299" t="str">
            <v>CHEMISE BLEUE ETE/HI EN43</v>
          </cell>
          <cell r="C299" t="str">
            <v xml:space="preserve">HABILLEMENT CHEMISE (ETE ET HIVER) POUR CHAUFFEURS EN COTON POLYESTER QUALITE: TRES BONNE COL: FERME MANCHES: LONGUES COULEUR: BLEUE ENCOLURE: 43 </v>
          </cell>
          <cell r="D299" t="str">
            <v>PE</v>
          </cell>
          <cell r="E299" t="str">
            <v>522.52216</v>
          </cell>
          <cell r="F299">
            <v>80</v>
          </cell>
          <cell r="G299">
            <v>0</v>
          </cell>
          <cell r="H299">
            <v>0</v>
          </cell>
          <cell r="I299">
            <v>0</v>
          </cell>
          <cell r="J299">
            <v>0</v>
          </cell>
          <cell r="K299">
            <v>0</v>
          </cell>
          <cell r="L299">
            <v>0</v>
          </cell>
        </row>
        <row r="300">
          <cell r="A300" t="str">
            <v>10067.00334</v>
          </cell>
          <cell r="B300" t="str">
            <v>RACCOR EXPRES D.1.POUC.MA</v>
          </cell>
          <cell r="C300" t="str">
            <v xml:space="preserve">CANALISATION ET ACCESSOIRES ACCESSOIRES DE RACCORDEMENT RACCORDS DESIGNATION : RACCORDS EXPRESS A GRIFFES EN LAITON AVEC JOINT GENRE : TROUVAY ET CAUVIN T.C EM 26 DIAMETRE : 1 POUCE </v>
          </cell>
          <cell r="D300" t="str">
            <v>PE</v>
          </cell>
          <cell r="E300" t="str">
            <v>313.31301</v>
          </cell>
          <cell r="F300">
            <v>48.96</v>
          </cell>
          <cell r="G300">
            <v>0</v>
          </cell>
          <cell r="H300">
            <v>0</v>
          </cell>
          <cell r="I300">
            <v>0</v>
          </cell>
          <cell r="J300">
            <v>0</v>
          </cell>
          <cell r="K300">
            <v>8</v>
          </cell>
          <cell r="L300">
            <v>0</v>
          </cell>
        </row>
        <row r="301">
          <cell r="A301" t="str">
            <v>10078.03617</v>
          </cell>
          <cell r="B301" t="str">
            <v>CHEMISE BLEUE ETE/HI EN44</v>
          </cell>
          <cell r="C301" t="str">
            <v xml:space="preserve">HABILLEMENT CHEMISE (ETE ET HIVER) POUR CHAUFFEURS EN COTON POLYESTER QUALITE: TRES BONNE COL: FERME MANCHES: LONGUES COULEUR: BLEUE ENCOLURE: 44 </v>
          </cell>
          <cell r="D301" t="str">
            <v>PE</v>
          </cell>
          <cell r="E301" t="str">
            <v>522.52216</v>
          </cell>
          <cell r="F301">
            <v>80</v>
          </cell>
          <cell r="G301">
            <v>0</v>
          </cell>
          <cell r="H301">
            <v>0</v>
          </cell>
          <cell r="I301">
            <v>0</v>
          </cell>
          <cell r="J301">
            <v>0</v>
          </cell>
          <cell r="K301">
            <v>0</v>
          </cell>
          <cell r="L301">
            <v>0</v>
          </cell>
        </row>
        <row r="302">
          <cell r="A302" t="str">
            <v>10067.00335</v>
          </cell>
          <cell r="B302" t="str">
            <v>RACCOR EXPRES D.1.P 1/4 M</v>
          </cell>
          <cell r="C302" t="str">
            <v xml:space="preserve">CANALISATION ET ACCESSOIRES ACCESSOIRES DE RACCORDEMENT RACCORDS DESIGNATION : RACCORD EXPRESS A GRIFFES EN LAITON AVEC JOINT- MALE GENRE : TROUVAY ET CAUVIN EM 33 DIAMETRE : 1 POUCE 1/4 </v>
          </cell>
          <cell r="D302" t="str">
            <v>PE</v>
          </cell>
          <cell r="E302" t="str">
            <v>313.31301</v>
          </cell>
          <cell r="F302">
            <v>87.6</v>
          </cell>
          <cell r="G302">
            <v>0</v>
          </cell>
          <cell r="H302">
            <v>0</v>
          </cell>
          <cell r="I302">
            <v>0</v>
          </cell>
          <cell r="J302">
            <v>0</v>
          </cell>
          <cell r="K302">
            <v>9</v>
          </cell>
          <cell r="L302">
            <v>0</v>
          </cell>
        </row>
        <row r="303">
          <cell r="A303" t="str">
            <v>10080.00491</v>
          </cell>
          <cell r="B303" t="str">
            <v>POST-IT INDEX FLECHE</v>
          </cell>
          <cell r="C303" t="str">
            <v>POST-IT  EN PAQUET DE 96 INDEX FLECHEDIMENSIONS : 12X44MMCOULEURS : ROUGE; VERT; BLEU ET JAUNE</v>
          </cell>
          <cell r="D303" t="str">
            <v>PE</v>
          </cell>
          <cell r="E303" t="str">
            <v>222.22206</v>
          </cell>
          <cell r="F303">
            <v>12.5</v>
          </cell>
          <cell r="G303">
            <v>0</v>
          </cell>
          <cell r="H303">
            <v>0</v>
          </cell>
          <cell r="I303">
            <v>0</v>
          </cell>
          <cell r="J303">
            <v>0</v>
          </cell>
          <cell r="K303">
            <v>0</v>
          </cell>
          <cell r="L303">
            <v>0</v>
          </cell>
        </row>
        <row r="304">
          <cell r="A304" t="str">
            <v>10067.00332</v>
          </cell>
          <cell r="B304" t="str">
            <v>RACCOR EXPRES D.1/2 P.MAL</v>
          </cell>
          <cell r="C304" t="str">
            <v xml:space="preserve">CANALISATION ET ACCESSOIRES ACCESSOIRES DE RACCORDEMENT RACCORDS DESIGNATION : RACCORD EXPRESS A GRIFFES EN LAITON AVEC JOINT "MALE" GENRE : TROUVAY ET CAUVIN DIAMETRE : 1/2 POUCE TC EM 15 </v>
          </cell>
          <cell r="D304" t="str">
            <v>PE</v>
          </cell>
          <cell r="E304" t="str">
            <v>313.31301</v>
          </cell>
          <cell r="F304">
            <v>39.167999999999999</v>
          </cell>
          <cell r="G304">
            <v>0</v>
          </cell>
          <cell r="H304">
            <v>0</v>
          </cell>
          <cell r="I304">
            <v>0</v>
          </cell>
          <cell r="J304">
            <v>0</v>
          </cell>
          <cell r="K304">
            <v>4</v>
          </cell>
          <cell r="L304">
            <v>0</v>
          </cell>
        </row>
        <row r="305">
          <cell r="A305" t="str">
            <v>10080.00489</v>
          </cell>
          <cell r="B305" t="str">
            <v>BLOC FEUIL AUTOCOL 76X127 (POST-IT)</v>
          </cell>
          <cell r="C305" t="str">
            <v xml:space="preserve">BLOC DE FEUILLES AUTOCLLANTES D'UN COTE (POST-IT) FORMAT 76 X 127 MM COULEUR A PRECISER </v>
          </cell>
          <cell r="D305" t="str">
            <v>PE</v>
          </cell>
          <cell r="E305" t="str">
            <v>222.22206</v>
          </cell>
          <cell r="F305">
            <v>5.5</v>
          </cell>
          <cell r="G305">
            <v>0</v>
          </cell>
          <cell r="H305">
            <v>0</v>
          </cell>
          <cell r="I305">
            <v>43</v>
          </cell>
          <cell r="J305">
            <v>24</v>
          </cell>
          <cell r="K305">
            <v>83</v>
          </cell>
          <cell r="L305">
            <v>0</v>
          </cell>
        </row>
        <row r="306">
          <cell r="A306" t="str">
            <v>10067.00333</v>
          </cell>
          <cell r="B306" t="str">
            <v>RACCOR EXPRES D.3/4 P.MAL</v>
          </cell>
          <cell r="C306" t="str">
            <v xml:space="preserve">CANALISATION ET ACCESSOIRES ACCESSOIRES DE RACCORDEMENT RACCORDS DESIGNATION : RACCORD EXPRESS A GRIFFES EN LAITON AVEC JOINT- MALE GENRE : TROUVAY ET CAUVIN EM 20 DIAMETRE : 3/4 POUCE </v>
          </cell>
          <cell r="D306" t="str">
            <v>PE</v>
          </cell>
          <cell r="E306" t="str">
            <v>313.31301</v>
          </cell>
          <cell r="F306">
            <v>42.072000000000003</v>
          </cell>
          <cell r="G306">
            <v>0</v>
          </cell>
          <cell r="H306">
            <v>0</v>
          </cell>
          <cell r="I306">
            <v>0</v>
          </cell>
          <cell r="J306">
            <v>0</v>
          </cell>
          <cell r="K306">
            <v>13</v>
          </cell>
          <cell r="L306">
            <v>0</v>
          </cell>
        </row>
        <row r="307">
          <cell r="A307" t="str">
            <v>10081.00302</v>
          </cell>
          <cell r="B307" t="str">
            <v>GRIL TRA LETR 25</v>
          </cell>
          <cell r="C307" t="str">
            <v xml:space="preserve">FOURNITURES ET MATERIEL POUR LE BUREAU NORMOGRAPHES GRILLE TRACE-LETTRES POUR ECRITURE DROITE HAUTEUR 2,5 MM DESTINATION ECRITURE:MAJUSCULE, MINUSCULE, CHIFFRES COMPOSITION CELLULOID SUR BAGUETTE LAITON CHROME </v>
          </cell>
          <cell r="D307" t="str">
            <v>PE</v>
          </cell>
          <cell r="E307" t="str">
            <v>222.22206</v>
          </cell>
          <cell r="F307">
            <v>58.124000000000002</v>
          </cell>
          <cell r="G307">
            <v>0</v>
          </cell>
          <cell r="H307">
            <v>0</v>
          </cell>
          <cell r="I307">
            <v>0</v>
          </cell>
          <cell r="J307">
            <v>0</v>
          </cell>
          <cell r="K307">
            <v>0</v>
          </cell>
          <cell r="L307">
            <v>0</v>
          </cell>
        </row>
        <row r="308">
          <cell r="A308" t="str">
            <v>10078.02515</v>
          </cell>
          <cell r="B308" t="str">
            <v>BLOUSE BEIGE HIVER TAIL58</v>
          </cell>
          <cell r="C308" t="str">
            <v xml:space="preserve">HABILLEMENT BLOUSE POUR PERSONNEL MASCULIN (HORS-CADRE) HIVER QUALITE: TISSU:TERGAL DE BONNE QUALITE POIDS= :125 GR/M2 FORME DE LA BLOUSE DROITE COL: CHEVALIER MANCHES: LONGUES COULEUR: BEIGE TAILLE: 58 1 POCHE POITRINE SUR LE COTE GAUCHE 1 POCHE DE CHAQUE COTE A OUVERTURE EN BIAIS CONFECTION TRES SOIGNEE FERMETURE SUR LE DEVANT PAR 4 BOUTONS </v>
          </cell>
          <cell r="D308" t="str">
            <v>PE</v>
          </cell>
          <cell r="E308" t="str">
            <v>522.52216</v>
          </cell>
          <cell r="F308">
            <v>107.4</v>
          </cell>
          <cell r="G308">
            <v>0</v>
          </cell>
          <cell r="H308">
            <v>0</v>
          </cell>
          <cell r="I308">
            <v>0</v>
          </cell>
          <cell r="J308">
            <v>0</v>
          </cell>
          <cell r="K308">
            <v>7</v>
          </cell>
          <cell r="L308">
            <v>0</v>
          </cell>
        </row>
        <row r="309">
          <cell r="A309" t="str">
            <v>10073.00173</v>
          </cell>
          <cell r="B309" t="str">
            <v>CHUTES DE TISSU P.ESSUYAG</v>
          </cell>
          <cell r="C309" t="str">
            <v xml:space="preserve">CHUTE DE TISSUS (BONNE QUALITE),NON UTILISE  POUR L'ESSUYAGE </v>
          </cell>
          <cell r="D309" t="str">
            <v>KG</v>
          </cell>
          <cell r="E309" t="str">
            <v>522.52203</v>
          </cell>
          <cell r="F309">
            <v>9</v>
          </cell>
          <cell r="G309">
            <v>0</v>
          </cell>
          <cell r="H309">
            <v>30</v>
          </cell>
          <cell r="I309">
            <v>40</v>
          </cell>
          <cell r="J309">
            <v>150</v>
          </cell>
          <cell r="K309">
            <v>620</v>
          </cell>
          <cell r="L309">
            <v>0</v>
          </cell>
        </row>
        <row r="310">
          <cell r="A310" t="str">
            <v>10080.00252</v>
          </cell>
          <cell r="B310" t="str">
            <v>GOMME DEUX USAGE</v>
          </cell>
          <cell r="C310" t="str">
            <v xml:space="preserve">FOURNITURES ET MATERIEL POUR LE BUREAU GOMMES  FORME RECTANGULAIRE A BISEAUX GENRE MALLAT TRIPLEX 483-20 COULEUR ROUGE ET BLEUE,INTERCALAIRE BLANC DESTINATION POUR CRAYON ET ENCRE (DOUBLE USAGES) </v>
          </cell>
          <cell r="D310" t="str">
            <v>PE</v>
          </cell>
          <cell r="E310" t="str">
            <v>222.22206</v>
          </cell>
          <cell r="F310">
            <v>0.69599999999999995</v>
          </cell>
          <cell r="G310">
            <v>0</v>
          </cell>
          <cell r="H310">
            <v>0</v>
          </cell>
          <cell r="I310">
            <v>0</v>
          </cell>
          <cell r="J310">
            <v>0</v>
          </cell>
          <cell r="K310">
            <v>0</v>
          </cell>
          <cell r="L310">
            <v>0</v>
          </cell>
        </row>
        <row r="311">
          <cell r="A311" t="str">
            <v>10068.01058</v>
          </cell>
          <cell r="B311" t="str">
            <v>TE PE/PE DN : 32</v>
          </cell>
          <cell r="C311" t="str">
            <v>RACCORDS EN LAITON SERIE FORTE POUR TUBE PE80 PN16 (EAU POTABLE)TE PE/PE DN : 32 GENRE LTB France REF : 40130032</v>
          </cell>
          <cell r="D311" t="str">
            <v>PE</v>
          </cell>
          <cell r="E311" t="str">
            <v>313.31301</v>
          </cell>
          <cell r="F311">
            <v>120</v>
          </cell>
          <cell r="G311">
            <v>0</v>
          </cell>
          <cell r="H311">
            <v>0</v>
          </cell>
          <cell r="I311">
            <v>0</v>
          </cell>
          <cell r="J311">
            <v>0</v>
          </cell>
          <cell r="K311">
            <v>0</v>
          </cell>
          <cell r="L311">
            <v>7</v>
          </cell>
        </row>
        <row r="312">
          <cell r="A312" t="str">
            <v>10080.00253</v>
          </cell>
          <cell r="B312" t="str">
            <v>GOMME PLASTIQ. BLANC-BLEU</v>
          </cell>
          <cell r="C312" t="str">
            <v xml:space="preserve">FOURNITURES ET MATERIEL POUR LE BUREAU GOMMES  FORME RECTANGULAIRE: 59 X 19 X 22 MM ENVIRON QUALITE PLASTIQUE BLANC ET BLEU GENRE STAEDTLER 526-28 E MODE DE LIVRAISON EN ETUI PLASTIQUE DESTINATION POUR CRAYON ET ENCRE </v>
          </cell>
          <cell r="D312" t="str">
            <v>PE</v>
          </cell>
          <cell r="E312" t="str">
            <v>222.22206</v>
          </cell>
          <cell r="F312">
            <v>1.712</v>
          </cell>
          <cell r="G312">
            <v>0</v>
          </cell>
          <cell r="H312">
            <v>0</v>
          </cell>
          <cell r="I312">
            <v>0</v>
          </cell>
          <cell r="J312">
            <v>0</v>
          </cell>
          <cell r="K312">
            <v>0</v>
          </cell>
          <cell r="L312">
            <v>0</v>
          </cell>
        </row>
        <row r="313">
          <cell r="A313" t="str">
            <v>10081.00454</v>
          </cell>
          <cell r="B313" t="str">
            <v>FLACON CORRECTINE BLANCHE</v>
          </cell>
          <cell r="C313" t="str">
            <v xml:space="preserve">FOURNITURES ET MATERIEL POUR LE BUREAU . . . DESIGNATION : FLACON DE CORRECTINE BLANCHE AVEC SOLVANT </v>
          </cell>
          <cell r="D313" t="str">
            <v>PE</v>
          </cell>
          <cell r="E313" t="str">
            <v>222.22206</v>
          </cell>
          <cell r="F313">
            <v>7.56</v>
          </cell>
          <cell r="G313">
            <v>0</v>
          </cell>
          <cell r="H313">
            <v>0</v>
          </cell>
          <cell r="I313">
            <v>0</v>
          </cell>
          <cell r="J313">
            <v>0</v>
          </cell>
          <cell r="K313">
            <v>0</v>
          </cell>
          <cell r="L313">
            <v>0</v>
          </cell>
        </row>
        <row r="314">
          <cell r="A314" t="str">
            <v>10080.00246</v>
          </cell>
          <cell r="B314" t="str">
            <v>TUBE DE COLLE CELLUL 50ML</v>
          </cell>
          <cell r="C314" t="str">
            <v xml:space="preserve">COLLES CELLULOSIQUE TRANSLUCIDE GENRE : UHUCONDITIONNEMENT TUBE DE 50 ML </v>
          </cell>
          <cell r="D314" t="str">
            <v>PE</v>
          </cell>
          <cell r="E314" t="str">
            <v>222.22206</v>
          </cell>
          <cell r="F314">
            <v>5.04</v>
          </cell>
          <cell r="G314">
            <v>0</v>
          </cell>
          <cell r="H314">
            <v>0</v>
          </cell>
          <cell r="I314">
            <v>0</v>
          </cell>
          <cell r="J314">
            <v>0</v>
          </cell>
          <cell r="K314">
            <v>0</v>
          </cell>
          <cell r="L314">
            <v>0</v>
          </cell>
        </row>
        <row r="315">
          <cell r="A315" t="str">
            <v>10067.00338</v>
          </cell>
          <cell r="B315" t="str">
            <v>RACCOR EXPRES D.1/2.P.FEM</v>
          </cell>
          <cell r="C315" t="str">
            <v xml:space="preserve">CANALISATION ET ACCESSOIRES ACCESSOIRES DE RACCORDEMENT RACCORDS DESIGNATION : RACCORD EXPRESS A GRIFFES AVEC JOINT, FEMELLE GENRE : TROUVAY ET CAUVIN = EF15 DIAMETRE : 1/2 POUCE MATIERE : EN LAITON </v>
          </cell>
          <cell r="D315" t="str">
            <v>PE</v>
          </cell>
          <cell r="E315" t="str">
            <v>313.31301</v>
          </cell>
          <cell r="F315">
            <v>39.167999999999999</v>
          </cell>
          <cell r="G315">
            <v>0</v>
          </cell>
          <cell r="H315">
            <v>0</v>
          </cell>
          <cell r="I315">
            <v>0</v>
          </cell>
          <cell r="J315">
            <v>0</v>
          </cell>
          <cell r="K315">
            <v>7</v>
          </cell>
          <cell r="L315">
            <v>0</v>
          </cell>
        </row>
        <row r="316">
          <cell r="A316" t="str">
            <v>10067.00339</v>
          </cell>
          <cell r="B316" t="str">
            <v>RACCOR EXPRES D.3/4.P.FEM</v>
          </cell>
          <cell r="C316" t="str">
            <v xml:space="preserve">CANALISATION ET ACCESSOIRES ACCESSOIRES DE RACCORDEMENT RACCORDS DESIGNATION : RACCORD EXPRESS A GRIFFES EN LAITON AVEC JOINT,FEMELLEGENRE : TROUVAY ET CAUVIN DIAMETRE : 3/4 POUCE TC EF 20 </v>
          </cell>
          <cell r="D316" t="str">
            <v>PE</v>
          </cell>
          <cell r="E316" t="str">
            <v>313.31301</v>
          </cell>
          <cell r="F316">
            <v>42.072000000000003</v>
          </cell>
          <cell r="G316">
            <v>0</v>
          </cell>
          <cell r="H316">
            <v>0</v>
          </cell>
          <cell r="I316">
            <v>0</v>
          </cell>
          <cell r="J316">
            <v>0</v>
          </cell>
          <cell r="K316">
            <v>23</v>
          </cell>
          <cell r="L316">
            <v>0</v>
          </cell>
        </row>
        <row r="317">
          <cell r="A317" t="str">
            <v>10067.00340</v>
          </cell>
          <cell r="B317" t="str">
            <v>RACCOR EXPRES D.1.POUC FE</v>
          </cell>
          <cell r="C317" t="str">
            <v xml:space="preserve">CANALISATION ET ACCESSOIRES ACCESSOIRES DE RACCORDEMENT RACCORDS DESIGNATION : RACCORD EXPRESS A GRIFFE AVEC JOINT,FEMELLE GENRE : TROUVAY ET CAUVIN=EF26 DIAMETRE : 1 POUCE MATIERE : EN LAITON </v>
          </cell>
          <cell r="D317" t="str">
            <v>PE</v>
          </cell>
          <cell r="E317" t="str">
            <v>313.31301</v>
          </cell>
          <cell r="F317">
            <v>48.96</v>
          </cell>
          <cell r="G317">
            <v>0</v>
          </cell>
          <cell r="H317">
            <v>0</v>
          </cell>
          <cell r="I317">
            <v>0</v>
          </cell>
          <cell r="J317">
            <v>0</v>
          </cell>
          <cell r="K317">
            <v>29</v>
          </cell>
          <cell r="L317">
            <v>0</v>
          </cell>
        </row>
        <row r="318">
          <cell r="A318" t="str">
            <v>10080.00250</v>
          </cell>
          <cell r="B318" t="str">
            <v>GOMME CRAYON</v>
          </cell>
          <cell r="C318" t="str">
            <v xml:space="preserve">GOMMES FORME RECTANGULAIRE A BISEAUX GENRE MALLAT TRIPLEX 481-20 COULEUR ROUGE-INTERCALAIRE BLANC DESTINATION POUR LE CRAYON </v>
          </cell>
          <cell r="D318" t="str">
            <v>PE</v>
          </cell>
          <cell r="E318" t="str">
            <v>222.22206</v>
          </cell>
          <cell r="F318">
            <v>2.4500000000000002</v>
          </cell>
          <cell r="G318">
            <v>0</v>
          </cell>
          <cell r="H318">
            <v>0</v>
          </cell>
          <cell r="I318">
            <v>0</v>
          </cell>
          <cell r="J318">
            <v>0</v>
          </cell>
          <cell r="K318">
            <v>0</v>
          </cell>
          <cell r="L318">
            <v>0</v>
          </cell>
        </row>
        <row r="319">
          <cell r="A319" t="str">
            <v>10069.00109</v>
          </cell>
          <cell r="B319" t="str">
            <v>CUVE DE TRANSPORT CAPACITE 1000 LITRES</v>
          </cell>
          <cell r="C319" t="str">
            <v>CUVE DE TANRSPORT CAPACITE 1000 LITRESMATRIERE : EN POLYETHELENE HAUTE DENSITEPROTECTION PAR ARMATURE METALLIQUEROBUSTEFORME CUBIQUE DOTE D'UN BOUCHON DE REMPLISSAGEAT VANNE DE VIDANGESUR PALETTE EN PLASTIQUE.</v>
          </cell>
          <cell r="D319" t="str">
            <v>PE</v>
          </cell>
          <cell r="E319" t="str">
            <v>522.52203</v>
          </cell>
          <cell r="F319">
            <v>1000</v>
          </cell>
          <cell r="G319">
            <v>0</v>
          </cell>
          <cell r="H319">
            <v>0</v>
          </cell>
          <cell r="I319">
            <v>0</v>
          </cell>
          <cell r="J319">
            <v>0</v>
          </cell>
          <cell r="K319">
            <v>0</v>
          </cell>
          <cell r="L319">
            <v>0</v>
          </cell>
        </row>
        <row r="320">
          <cell r="A320" t="str">
            <v>10083.00275</v>
          </cell>
          <cell r="B320" t="str">
            <v>CHEMISE STEEL CRYSTAL21MM</v>
          </cell>
          <cell r="C320" t="str">
            <v xml:space="preserve">PAPETERIE CHEMISE "STEEL CRYSTAL" , DOS EN FORME DE U , COLLAGE A CHAUD COULEUR : A PRECISER FORMAT : 21 X 29.7 CM EPAISSEUR : 21 MM </v>
          </cell>
          <cell r="D320" t="str">
            <v>PE</v>
          </cell>
          <cell r="E320" t="str">
            <v>222.22206</v>
          </cell>
          <cell r="F320">
            <v>12.098100000000001</v>
          </cell>
          <cell r="G320">
            <v>0</v>
          </cell>
          <cell r="H320">
            <v>0</v>
          </cell>
          <cell r="I320">
            <v>0</v>
          </cell>
          <cell r="J320">
            <v>0</v>
          </cell>
          <cell r="K320">
            <v>154</v>
          </cell>
          <cell r="L320">
            <v>0</v>
          </cell>
        </row>
        <row r="321">
          <cell r="A321" t="str">
            <v>10083.00280</v>
          </cell>
          <cell r="B321" t="str">
            <v>CHEMISE STEEL CRYSTAL30MM</v>
          </cell>
          <cell r="C321" t="str">
            <v xml:space="preserve">PAPETERIE CHEMISE "STEEL CRYSTAL" , DOS EN FORME DE U , COLLAGE A CHAUD COULEUR : A PRECISER FORMAT : 21 X 29.7 CM EPAISSEUR : 30 MM </v>
          </cell>
          <cell r="D321" t="str">
            <v>PE</v>
          </cell>
          <cell r="E321" t="str">
            <v>222.22206</v>
          </cell>
          <cell r="F321">
            <v>14.2956</v>
          </cell>
          <cell r="G321">
            <v>0</v>
          </cell>
          <cell r="H321">
            <v>0</v>
          </cell>
          <cell r="I321">
            <v>10</v>
          </cell>
          <cell r="J321">
            <v>0</v>
          </cell>
          <cell r="K321">
            <v>216</v>
          </cell>
          <cell r="L321">
            <v>0</v>
          </cell>
        </row>
        <row r="322">
          <cell r="A322" t="str">
            <v>10083.00284</v>
          </cell>
          <cell r="B322" t="str">
            <v>CHEMISE STEEL BOOK  1MM</v>
          </cell>
          <cell r="C322" t="str">
            <v xml:space="preserve">PAPETERIE CHEMISE "STEEL BOOK" . , DOS EN FORME DE U , COLLAGE A CHAUD COULEUR : A PRECISER FORMAT : 21 X 29.7 CM EPAISSEUR : 1 MM </v>
          </cell>
          <cell r="D322" t="str">
            <v>PE</v>
          </cell>
          <cell r="E322" t="str">
            <v>222.22206</v>
          </cell>
          <cell r="F322">
            <v>38.6145</v>
          </cell>
          <cell r="G322">
            <v>0</v>
          </cell>
          <cell r="H322">
            <v>0</v>
          </cell>
          <cell r="I322">
            <v>0</v>
          </cell>
          <cell r="J322">
            <v>0</v>
          </cell>
          <cell r="K322">
            <v>85</v>
          </cell>
          <cell r="L322">
            <v>0</v>
          </cell>
        </row>
        <row r="323">
          <cell r="A323" t="str">
            <v>10083.00289</v>
          </cell>
          <cell r="B323" t="str">
            <v>CHEMISE STEEL BOOK 9MM</v>
          </cell>
          <cell r="C323" t="str">
            <v xml:space="preserve">PAPETERIE CHEMISE "STEEL BOOK" . , DOS EN FORME DE U , COLLAGE A CHAUD COULEUR : A PRECISER FORMAT : 21 X 29,7 CM EPAISSEUR : 9 MM </v>
          </cell>
          <cell r="D323" t="str">
            <v>PE</v>
          </cell>
          <cell r="E323" t="str">
            <v>222.22206</v>
          </cell>
          <cell r="F323">
            <v>39.169499999999999</v>
          </cell>
          <cell r="G323">
            <v>0</v>
          </cell>
          <cell r="H323">
            <v>0</v>
          </cell>
          <cell r="I323">
            <v>0</v>
          </cell>
          <cell r="J323">
            <v>0</v>
          </cell>
          <cell r="K323">
            <v>81</v>
          </cell>
          <cell r="L323">
            <v>0</v>
          </cell>
        </row>
        <row r="324">
          <cell r="A324" t="str">
            <v>10083.00290</v>
          </cell>
          <cell r="B324" t="str">
            <v>CHEMISE STEEL BOOK 12MM</v>
          </cell>
          <cell r="C324" t="str">
            <v xml:space="preserve">PAPETERIE CHEMISE "STEEL BOOK" . , DOS EN FORME DE U , COLLAGE A CHAUD COULEUR : A PRECISER FORMAT : 21 X 29,7 CM EPAISSEUR : 12 MM </v>
          </cell>
          <cell r="D324" t="str">
            <v>PE</v>
          </cell>
          <cell r="E324" t="str">
            <v>222.22206</v>
          </cell>
          <cell r="F324">
            <v>36.75</v>
          </cell>
          <cell r="G324">
            <v>0</v>
          </cell>
          <cell r="H324">
            <v>0</v>
          </cell>
          <cell r="I324">
            <v>0</v>
          </cell>
          <cell r="J324">
            <v>0</v>
          </cell>
          <cell r="K324">
            <v>79</v>
          </cell>
          <cell r="L324">
            <v>0</v>
          </cell>
        </row>
        <row r="325">
          <cell r="A325" t="str">
            <v>10083.00269</v>
          </cell>
          <cell r="B325" t="str">
            <v>CHEMISE STEEL CRYSTAL15MM</v>
          </cell>
          <cell r="C325" t="str">
            <v xml:space="preserve">PAPETERIE CHEMISE "STEEL CRYSTAL" , DOS EN FORME DE U , COLLAGE A CHAUD COULEUR : A PRECISER FORMAT : 21 X 29.7 CM EPAISSEUR : 15 MM </v>
          </cell>
          <cell r="D325" t="str">
            <v>PE</v>
          </cell>
          <cell r="E325" t="str">
            <v>222.22206</v>
          </cell>
          <cell r="F325">
            <v>9.1999999999999993</v>
          </cell>
          <cell r="G325">
            <v>0</v>
          </cell>
          <cell r="H325">
            <v>0</v>
          </cell>
          <cell r="I325">
            <v>0</v>
          </cell>
          <cell r="J325">
            <v>0</v>
          </cell>
          <cell r="K325">
            <v>50</v>
          </cell>
          <cell r="L325">
            <v>0</v>
          </cell>
        </row>
        <row r="326">
          <cell r="A326" t="str">
            <v>10083.00272</v>
          </cell>
          <cell r="B326" t="str">
            <v>CHEMISE STEEL CRYSTAL18MM</v>
          </cell>
          <cell r="C326" t="str">
            <v xml:space="preserve">PAPETERIE CHEMISE "STEEL CRYSTAL" , DOS EN FORME DE U , COLLAGE A CHAUD COULEUR : A PRECISER FORMAT : 21 X 29.7 CM EPAISSEUR : 18 MM </v>
          </cell>
          <cell r="D326" t="str">
            <v>PE</v>
          </cell>
          <cell r="E326" t="str">
            <v>222.22206</v>
          </cell>
          <cell r="F326">
            <v>10.681699999999999</v>
          </cell>
          <cell r="G326">
            <v>0</v>
          </cell>
          <cell r="H326">
            <v>0</v>
          </cell>
          <cell r="I326">
            <v>0</v>
          </cell>
          <cell r="J326">
            <v>0</v>
          </cell>
          <cell r="K326">
            <v>100</v>
          </cell>
          <cell r="L326">
            <v>0</v>
          </cell>
        </row>
        <row r="327">
          <cell r="A327" t="str">
            <v>10067.00354</v>
          </cell>
          <cell r="B327" t="str">
            <v>JONCTION EN APM</v>
          </cell>
          <cell r="C327" t="str">
            <v xml:space="preserve">CANALISATION ET ACCESSOIRES ACCESSOIRES DE ROBINETTERIE POUR INCENDIE JONCTION AUTO ETANCHES ( DSP ET AR ) DESIGNATION : JONCTION EN APM , UNE EXTREMITE DSP 65/70 ET UNE EXTREMITE DSP 40/45 GENRE : EAU ET FEU FIGURE : 50 07 010 </v>
          </cell>
          <cell r="D327" t="str">
            <v>PE</v>
          </cell>
          <cell r="E327" t="str">
            <v>516.51601</v>
          </cell>
          <cell r="F327">
            <v>360</v>
          </cell>
          <cell r="G327">
            <v>0</v>
          </cell>
          <cell r="H327">
            <v>0</v>
          </cell>
          <cell r="I327">
            <v>0</v>
          </cell>
          <cell r="J327">
            <v>0</v>
          </cell>
          <cell r="K327">
            <v>0</v>
          </cell>
          <cell r="L327">
            <v>0</v>
          </cell>
        </row>
        <row r="328">
          <cell r="A328" t="str">
            <v>10067.00364</v>
          </cell>
          <cell r="B328" t="str">
            <v>DIVISION EN APM</v>
          </cell>
          <cell r="C328" t="str">
            <v xml:space="preserve">CANALISATION ET ACCESSOIRES ACCESSOIRES DE ROBINETTERIE POUR INCENDIE DIVISION AUTO ETANCHES AR DESIGNATION : DIVISION EN APM AVEC ROBINET SUR CHAQUE SORTIE , ENTREE DSP 65/70 A VERROU ET 2 SORTIES DSP 40/45 GENRE : EAU ET FEU FIGURE 50 12 130 </v>
          </cell>
          <cell r="D328" t="str">
            <v>PE</v>
          </cell>
          <cell r="E328" t="str">
            <v>516.51601</v>
          </cell>
          <cell r="F328">
            <v>1800</v>
          </cell>
          <cell r="G328">
            <v>0</v>
          </cell>
          <cell r="H328">
            <v>0</v>
          </cell>
          <cell r="I328">
            <v>0</v>
          </cell>
          <cell r="J328">
            <v>0</v>
          </cell>
          <cell r="K328">
            <v>4</v>
          </cell>
          <cell r="L328">
            <v>0</v>
          </cell>
        </row>
        <row r="329">
          <cell r="A329" t="str">
            <v>10079.05158</v>
          </cell>
          <cell r="B329" t="str">
            <v>ASSIETTE A DESSERT PORCELAINE BLANC</v>
          </cell>
          <cell r="C329" t="str">
            <v xml:space="preserve">ASSIETTE A DESSERT EN PORCELAINE-EMAIL BLANC RESISTANT AUX CHOCS DIAMETRE : 20 CM ENVIRON </v>
          </cell>
          <cell r="D329" t="str">
            <v>PE</v>
          </cell>
          <cell r="E329" t="str">
            <v>222.22203</v>
          </cell>
          <cell r="F329">
            <v>14.4</v>
          </cell>
          <cell r="G329">
            <v>0</v>
          </cell>
          <cell r="H329">
            <v>0</v>
          </cell>
          <cell r="I329">
            <v>0</v>
          </cell>
          <cell r="J329">
            <v>0</v>
          </cell>
          <cell r="K329">
            <v>0</v>
          </cell>
          <cell r="L329">
            <v>0</v>
          </cell>
        </row>
        <row r="330">
          <cell r="A330" t="str">
            <v>10083.00291</v>
          </cell>
          <cell r="B330" t="str">
            <v>CHEMISE STEEL BOOK 15MM</v>
          </cell>
          <cell r="C330" t="str">
            <v xml:space="preserve">PAPETERIE CHEMISE "STEEL BOOK" . , DOS EN FORME DE U , COLLAGE A CHAUD COULEUR : A PRECISER FORMAT : 21 X 29,7 CM EPAISSEUR : 15 MM </v>
          </cell>
          <cell r="D330" t="str">
            <v>PE</v>
          </cell>
          <cell r="E330" t="str">
            <v>222.22206</v>
          </cell>
          <cell r="F330">
            <v>38.865499999999997</v>
          </cell>
          <cell r="G330">
            <v>0</v>
          </cell>
          <cell r="H330">
            <v>0</v>
          </cell>
          <cell r="I330">
            <v>0</v>
          </cell>
          <cell r="J330">
            <v>0</v>
          </cell>
          <cell r="K330">
            <v>113</v>
          </cell>
          <cell r="L330">
            <v>0</v>
          </cell>
        </row>
        <row r="331">
          <cell r="A331" t="str">
            <v>10079.05125</v>
          </cell>
          <cell r="B331" t="str">
            <v>BOUILLOIRE ALUMINIUM 4L</v>
          </cell>
          <cell r="C331" t="str">
            <v xml:space="preserve">DIVERS ARTICLES DE CUISINE ET RESTAURATION DIVERS . DESIGNATION : BOUILLOIRE EN ALUMINIUM CONTENANCE : 4 LITRES </v>
          </cell>
          <cell r="D331" t="str">
            <v>PE</v>
          </cell>
          <cell r="E331" t="str">
            <v>222.22203</v>
          </cell>
          <cell r="F331">
            <v>84</v>
          </cell>
          <cell r="G331">
            <v>0</v>
          </cell>
          <cell r="H331">
            <v>0</v>
          </cell>
          <cell r="I331">
            <v>0</v>
          </cell>
          <cell r="J331">
            <v>0</v>
          </cell>
          <cell r="K331">
            <v>0</v>
          </cell>
          <cell r="L331">
            <v>0</v>
          </cell>
        </row>
        <row r="332">
          <cell r="A332" t="str">
            <v>10079.05126</v>
          </cell>
          <cell r="B332" t="str">
            <v>BOUILLOIRE ALLUMINIUM 12L</v>
          </cell>
          <cell r="C332" t="str">
            <v xml:space="preserve">DIVERS ARTICLES DE CUISINE ET RESTAURATION DIVERS . DESIGNATION : BOUILLOIRE EN ALUMINIUM CONTENANCE : 12 LITRES LES OFFRES DOIVENT ETRE ACCOMPAGNEES DES ECHANTILLONS LES OFFRES DOIVENT ETRE ACCOMPAGNEES DES ECHANTILLONS DES ARTICLES PROPOSES POUR CHOIX DU SERVICE DEMANDEUR DES ARTICLES PROPOSES POUR CHOIX DU SERVICE DEMANDEUR </v>
          </cell>
          <cell r="D332" t="str">
            <v>PE</v>
          </cell>
          <cell r="E332" t="str">
            <v>222.22203</v>
          </cell>
          <cell r="F332">
            <v>156</v>
          </cell>
          <cell r="G332">
            <v>0</v>
          </cell>
          <cell r="H332">
            <v>0</v>
          </cell>
          <cell r="I332">
            <v>0</v>
          </cell>
          <cell r="J332">
            <v>0</v>
          </cell>
          <cell r="K332">
            <v>0</v>
          </cell>
          <cell r="L332">
            <v>0</v>
          </cell>
        </row>
        <row r="333">
          <cell r="A333" t="str">
            <v>10079.05131</v>
          </cell>
          <cell r="B333" t="str">
            <v>POT A LAIT EN INOX   1L</v>
          </cell>
          <cell r="C333" t="str">
            <v xml:space="preserve">POT A LAIT MATIERE : INOX CONTENANCE : 1 LITRE </v>
          </cell>
          <cell r="D333" t="str">
            <v>PE</v>
          </cell>
          <cell r="E333" t="str">
            <v>222.22203</v>
          </cell>
          <cell r="F333">
            <v>90</v>
          </cell>
          <cell r="G333">
            <v>0</v>
          </cell>
          <cell r="H333">
            <v>0</v>
          </cell>
          <cell r="I333">
            <v>0</v>
          </cell>
          <cell r="J333">
            <v>0</v>
          </cell>
          <cell r="K333">
            <v>0</v>
          </cell>
          <cell r="L333">
            <v>0</v>
          </cell>
        </row>
        <row r="334">
          <cell r="A334" t="str">
            <v>10079.05119</v>
          </cell>
          <cell r="B334" t="str">
            <v>THEIERES EN INOX 12 VERR.</v>
          </cell>
          <cell r="C334" t="str">
            <v xml:space="preserve">DIVERS ARTICLES DE CUISINE ET RESTAURATION THEIERE EN INOX , GRAND MODELE CAPACITE : 12 VERRES LES OFFRES DOIVENT ETRE ACCOMPAGNEES DES ECHANTILLONS LES OFFRES DOIVENT ETRE ACCOMPAGNEES DES ECHANTILLONS DES ARTICLES PROPOSES POUR CHOIX DU SERVICE DEMANDEUR DES ARTICLES PROPOSES POUR CHOIX DU SERVICE DEMANDEUR </v>
          </cell>
          <cell r="D334" t="str">
            <v>PE</v>
          </cell>
          <cell r="E334" t="str">
            <v>222.22203</v>
          </cell>
          <cell r="F334">
            <v>132</v>
          </cell>
          <cell r="G334">
            <v>0</v>
          </cell>
          <cell r="H334">
            <v>0</v>
          </cell>
          <cell r="I334">
            <v>0</v>
          </cell>
          <cell r="J334">
            <v>0</v>
          </cell>
          <cell r="K334">
            <v>0</v>
          </cell>
          <cell r="L334">
            <v>0</v>
          </cell>
        </row>
        <row r="335">
          <cell r="A335" t="str">
            <v>10080.00032</v>
          </cell>
          <cell r="B335" t="str">
            <v>CRAYON MINE TEND</v>
          </cell>
          <cell r="C335" t="str">
            <v xml:space="preserve">FOURNITURES ET MATERIEL POUR LE BUREAU CRAYONS EN BOIS VERNI MINE NOIRE FORME HEXAGONALE OU RONDE QUALITE ORDINAIRE A MINE TENDRE </v>
          </cell>
          <cell r="D335" t="str">
            <v>PE</v>
          </cell>
          <cell r="E335" t="str">
            <v>222.22206</v>
          </cell>
          <cell r="F335">
            <v>0.29959999999999998</v>
          </cell>
          <cell r="G335">
            <v>0</v>
          </cell>
          <cell r="H335">
            <v>0</v>
          </cell>
          <cell r="I335">
            <v>0</v>
          </cell>
          <cell r="J335">
            <v>0</v>
          </cell>
          <cell r="K335">
            <v>0</v>
          </cell>
          <cell r="L335">
            <v>0</v>
          </cell>
        </row>
        <row r="336">
          <cell r="A336" t="str">
            <v>10076.02830</v>
          </cell>
          <cell r="B336" t="str">
            <v>DENSIMETRE  800-900 G/DM3</v>
          </cell>
          <cell r="C336" t="str">
            <v xml:space="preserve">PRODUITS ET MATERIELS DE LABORATOIRE MATERIELS , , , DENSIMETRE NORMAL GRADUE PAR 1G/DM3 , LONGUEUR 280 MM , AMPLITUDE 100 G/DM3 , ECHELLE EN G+DM3 = 800 - 900 </v>
          </cell>
          <cell r="D336" t="str">
            <v>PE</v>
          </cell>
          <cell r="E336" t="str">
            <v>522.52211</v>
          </cell>
          <cell r="F336">
            <v>60</v>
          </cell>
          <cell r="G336">
            <v>0</v>
          </cell>
          <cell r="H336">
            <v>0</v>
          </cell>
          <cell r="I336">
            <v>0</v>
          </cell>
          <cell r="J336">
            <v>0</v>
          </cell>
          <cell r="K336">
            <v>0</v>
          </cell>
          <cell r="L336">
            <v>0</v>
          </cell>
        </row>
        <row r="337">
          <cell r="A337" t="str">
            <v>10067.05366</v>
          </cell>
          <cell r="B337" t="str">
            <v>MANCHON COMPENSATEUR EN HYPALON</v>
          </cell>
          <cell r="C337" t="str">
            <v>MANCHON COMPENSATEUR EJ1-DN 200-PN20-LONG 150MM TEMP 110°C AVEC BRIDE ACIER GALVANISE PERCEE ANSI 150 LBS AVEC TIRANTS EP 24MM + TIRANTS EP 25MM + 3 TIGES ECROU ET RONDELLE DIAM 16MM EN INOX 316L FLEUIDE VEHICULE H3PO4 A 54%GENRE BURGMANN</v>
          </cell>
          <cell r="D337" t="str">
            <v>PE</v>
          </cell>
          <cell r="E337" t="str">
            <v>522.52207</v>
          </cell>
          <cell r="F337">
            <v>2736</v>
          </cell>
          <cell r="G337">
            <v>0</v>
          </cell>
          <cell r="H337">
            <v>0</v>
          </cell>
          <cell r="I337">
            <v>3</v>
          </cell>
          <cell r="J337">
            <v>1</v>
          </cell>
          <cell r="K337">
            <v>0</v>
          </cell>
          <cell r="L337">
            <v>1</v>
          </cell>
        </row>
        <row r="338">
          <cell r="A338" t="str">
            <v>10080.00144</v>
          </cell>
          <cell r="B338" t="str">
            <v>CRAYON BILLE FINE BLEU</v>
          </cell>
          <cell r="C338" t="str">
            <v xml:space="preserve">FOURNITURES ET MATERIEL POUR LE BUREAU CRAYONS A BILLE POINTE FINE DESIGNATION : STYLO A BILLE POINTE FINE COULEUR BLEUE </v>
          </cell>
          <cell r="D338" t="str">
            <v>PE</v>
          </cell>
          <cell r="E338" t="str">
            <v>222.22206</v>
          </cell>
          <cell r="F338">
            <v>1.2267999999999999</v>
          </cell>
          <cell r="G338">
            <v>0</v>
          </cell>
          <cell r="H338">
            <v>0</v>
          </cell>
          <cell r="I338">
            <v>0</v>
          </cell>
          <cell r="J338">
            <v>1</v>
          </cell>
          <cell r="K338">
            <v>0</v>
          </cell>
          <cell r="L338">
            <v>0</v>
          </cell>
        </row>
        <row r="339">
          <cell r="A339" t="str">
            <v>10067.05367</v>
          </cell>
          <cell r="B339" t="str">
            <v>MANCHON COMPENSATEUR EN HYPALON</v>
          </cell>
          <cell r="C339" t="str">
            <v>MANCHON COMPENSATEUR EJ1-DN 200-PN20-LONG 150MM TEMP 110°C AVEC CHEMISE INT EN INOX 316L BRIDE ACIER GALVANISE EP 24MM PERCEE ANSI 150 LBS + TIRANT EP 25MM + 3TIGES ECROU ET RONDELLE DIAM 24MM EN INOX 316L FLEUIDE VEHICULE PULPE DE PHOSPHATEGENRE BURGMANN</v>
          </cell>
          <cell r="D339" t="str">
            <v>PE</v>
          </cell>
          <cell r="E339" t="str">
            <v>522.52207</v>
          </cell>
          <cell r="F339">
            <v>3934.7332999999999</v>
          </cell>
          <cell r="G339">
            <v>0</v>
          </cell>
          <cell r="H339">
            <v>4</v>
          </cell>
          <cell r="I339">
            <v>0</v>
          </cell>
          <cell r="J339">
            <v>0</v>
          </cell>
          <cell r="K339">
            <v>0</v>
          </cell>
          <cell r="L339">
            <v>8</v>
          </cell>
        </row>
        <row r="340">
          <cell r="A340" t="str">
            <v>10080.00218</v>
          </cell>
          <cell r="B340" t="str">
            <v>TAMP115X7CAO BLE</v>
          </cell>
          <cell r="C340" t="str">
            <v xml:space="preserve">FOURNITURES ET MATERIEL POUR LE BUREAU TAMPON ENCREUR  COULEUR BLEUE FORMAT 115 X 70 DESTINATION POUR CACHET CAOUTCHOUC ENCRE </v>
          </cell>
          <cell r="D340" t="str">
            <v>PE</v>
          </cell>
          <cell r="E340" t="str">
            <v>222.22206</v>
          </cell>
          <cell r="F340">
            <v>4.6257999999999999</v>
          </cell>
          <cell r="G340">
            <v>0</v>
          </cell>
          <cell r="H340">
            <v>0</v>
          </cell>
          <cell r="I340">
            <v>0</v>
          </cell>
          <cell r="J340">
            <v>0</v>
          </cell>
          <cell r="K340">
            <v>0</v>
          </cell>
          <cell r="L340">
            <v>0</v>
          </cell>
        </row>
        <row r="341">
          <cell r="A341" t="str">
            <v>10076.02834</v>
          </cell>
          <cell r="B341" t="str">
            <v>DENSIMETR 1400-1500 G/DM3</v>
          </cell>
          <cell r="C341" t="str">
            <v xml:space="preserve">PRODUITS ET MATERIELS DE LABORATOIRE MATERIELS , , , DENSIMETRE NORMAL GRADUE PAR 1G/DM3 , LONGUEUR 280 MM , AMPLITUDE 100 G/DM3 , ECHELLE EN G/DM3 = 1400 - 1500 </v>
          </cell>
          <cell r="D341" t="str">
            <v>PE</v>
          </cell>
          <cell r="E341" t="str">
            <v>522.52211</v>
          </cell>
          <cell r="F341">
            <v>70</v>
          </cell>
          <cell r="G341">
            <v>0</v>
          </cell>
          <cell r="H341">
            <v>0</v>
          </cell>
          <cell r="I341">
            <v>0</v>
          </cell>
          <cell r="J341">
            <v>0</v>
          </cell>
          <cell r="K341">
            <v>0</v>
          </cell>
          <cell r="L341">
            <v>0</v>
          </cell>
        </row>
        <row r="342">
          <cell r="A342" t="str">
            <v>10067.01390</v>
          </cell>
          <cell r="B342" t="str">
            <v>FLEXIBLE PERFORMER DN 200  6M AVEC BRIDES END-FLEX</v>
          </cell>
          <cell r="C342" t="str">
            <v>FLEXIBLE PERFORMER  CD-EPDM EQUIPE DE DEUS BRIDES END-FLEX PN 10DN 200   /    LONGUEUR 6 METRES</v>
          </cell>
          <cell r="D342" t="str">
            <v>PE</v>
          </cell>
          <cell r="E342" t="str">
            <v>522.52209</v>
          </cell>
          <cell r="F342">
            <v>22857</v>
          </cell>
          <cell r="G342">
            <v>0</v>
          </cell>
          <cell r="H342">
            <v>0</v>
          </cell>
          <cell r="I342">
            <v>0</v>
          </cell>
          <cell r="J342">
            <v>0</v>
          </cell>
          <cell r="K342">
            <v>0</v>
          </cell>
          <cell r="L342">
            <v>0</v>
          </cell>
        </row>
        <row r="343">
          <cell r="A343" t="str">
            <v>10067.01391</v>
          </cell>
          <cell r="B343" t="str">
            <v>FLEXIBLE PERFORMER DN 200  8M AVEC BRIDES END-FLEX</v>
          </cell>
          <cell r="C343" t="str">
            <v>FLEXIBLE PERFORMER  CD-EPDM EQUIPE DE DEUS BRIDES END-FLEX PN 10DN 200   /    LONGUEUR 8 METRES</v>
          </cell>
          <cell r="D343" t="str">
            <v>PE</v>
          </cell>
          <cell r="E343" t="str">
            <v>522.52209</v>
          </cell>
          <cell r="F343">
            <v>26790</v>
          </cell>
          <cell r="G343">
            <v>0</v>
          </cell>
          <cell r="H343">
            <v>0</v>
          </cell>
          <cell r="I343">
            <v>0</v>
          </cell>
          <cell r="J343">
            <v>0</v>
          </cell>
          <cell r="K343">
            <v>0</v>
          </cell>
          <cell r="L343">
            <v>0</v>
          </cell>
        </row>
        <row r="344">
          <cell r="A344" t="str">
            <v>10067.05369</v>
          </cell>
          <cell r="B344" t="str">
            <v>MANCHON COMPENSATEUR EN HYPALON</v>
          </cell>
          <cell r="C344" t="str">
            <v>MANCHON COMPENSATEUR EJ1-DN 250-PN20-LONG 150MM TEMP 133°C AVEC ANNEAU DE RENFORCEMENT POUR LE VIDE EN UB6 BRIDE EN ACIER GALVANISE EP 15MM PERCEE ANSI 150 LBS + TIRANTS EP 15MM + 3TIGES ECROU ET RONDELLE DIAM 16MM EN INOX 316L FLEUIDE VEHICULE CONDENSAT BASSE PRESSIONGENRE BURGMANN</v>
          </cell>
          <cell r="D344" t="str">
            <v>PE</v>
          </cell>
          <cell r="E344" t="str">
            <v>522.52207</v>
          </cell>
          <cell r="F344">
            <v>4160</v>
          </cell>
          <cell r="G344">
            <v>0</v>
          </cell>
          <cell r="H344">
            <v>1</v>
          </cell>
          <cell r="I344">
            <v>0</v>
          </cell>
          <cell r="J344">
            <v>0</v>
          </cell>
          <cell r="K344">
            <v>4</v>
          </cell>
          <cell r="L344">
            <v>2</v>
          </cell>
        </row>
        <row r="345">
          <cell r="A345" t="str">
            <v>10079.06020</v>
          </cell>
          <cell r="B345" t="str">
            <v>POELE A FRIRE DIAM. 25CM</v>
          </cell>
          <cell r="C345" t="str">
            <v xml:space="preserve">DIVERS ARTICLES DE CUISINE ET RESTAURATION POELE , , A FRIRE EN FER FORGE , AVEC 2 ANSES DIAMETRE : 25 CM ENVIRON </v>
          </cell>
          <cell r="D345" t="str">
            <v>PE</v>
          </cell>
          <cell r="E345" t="str">
            <v>222.22203</v>
          </cell>
          <cell r="F345">
            <v>180</v>
          </cell>
          <cell r="G345">
            <v>0</v>
          </cell>
          <cell r="H345">
            <v>0</v>
          </cell>
          <cell r="I345">
            <v>0</v>
          </cell>
          <cell r="J345">
            <v>0</v>
          </cell>
          <cell r="K345">
            <v>0</v>
          </cell>
          <cell r="L345">
            <v>0</v>
          </cell>
        </row>
        <row r="346">
          <cell r="A346" t="str">
            <v>10067.05370</v>
          </cell>
          <cell r="B346" t="str">
            <v>MANCHON COMPENSATEUR EN HYPALON</v>
          </cell>
          <cell r="C346" t="str">
            <v>MANCHON COMPENSATEUR EJ1-DN 300-PN20-LONG 200MM TEMP 110°C AVEC ANNEAU DE RENFORCEMENT POUR LE VIDE EN UB6 BRIDE EN ACIER GALVANISE EP 26MM PERCEE ANSI 150 LBS + TIRANTS EP 25MM + 3TIGES ECROU ET RONDELLE DIAM 24MM EN INOX 316L FLEUIDE VEHICULE GAZ D'ASSAINISSEMENT GENRE BURGMANN</v>
          </cell>
          <cell r="D346" t="str">
            <v>PE</v>
          </cell>
          <cell r="E346" t="str">
            <v>522.52207</v>
          </cell>
          <cell r="F346">
            <v>6048</v>
          </cell>
          <cell r="G346">
            <v>0</v>
          </cell>
          <cell r="H346">
            <v>3</v>
          </cell>
          <cell r="I346">
            <v>0</v>
          </cell>
          <cell r="J346">
            <v>0</v>
          </cell>
          <cell r="K346">
            <v>0</v>
          </cell>
          <cell r="L346">
            <v>1</v>
          </cell>
        </row>
        <row r="347">
          <cell r="A347" t="str">
            <v>10068.01118</v>
          </cell>
          <cell r="B347" t="str">
            <v>BRIDE A FACE SURELEVEE DN 1/2''</v>
          </cell>
          <cell r="C347" t="str">
            <v xml:space="preserve">BRIDE A FACE SURELEVEE  CLASS 150 LBS EN A182-81a  DN 1/2''   </v>
          </cell>
          <cell r="D347" t="str">
            <v>PE</v>
          </cell>
          <cell r="E347" t="str">
            <v>313.31301</v>
          </cell>
          <cell r="F347">
            <v>29.4</v>
          </cell>
          <cell r="G347">
            <v>0</v>
          </cell>
          <cell r="H347">
            <v>2</v>
          </cell>
          <cell r="I347">
            <v>4</v>
          </cell>
          <cell r="J347">
            <v>2</v>
          </cell>
          <cell r="K347">
            <v>4</v>
          </cell>
          <cell r="L347">
            <v>84</v>
          </cell>
        </row>
        <row r="348">
          <cell r="A348" t="str">
            <v>10067.05368</v>
          </cell>
          <cell r="B348" t="str">
            <v>MANCHON COMPENSATEUR EN HYPALON</v>
          </cell>
          <cell r="C348" t="str">
            <v>MANCHON COMPENSATEUR EJ1-DN 250-PN20-LONG 200MM TEMP 110°C AVEC BRIDES EN ACIER GALVANISE EP 26MM PERCEE ANSI 150 LBS AVEC TIRANTS EP 25MM + 3TIGES ECROU ET RONDELLE DIAM 24MM EN INOX 316L FLEUIDE VEHICULE H3PO4 A 54%GENRE BURGMANN</v>
          </cell>
          <cell r="D348" t="str">
            <v>PE</v>
          </cell>
          <cell r="E348" t="str">
            <v>522.52207</v>
          </cell>
          <cell r="F348">
            <v>4640</v>
          </cell>
          <cell r="G348">
            <v>0</v>
          </cell>
          <cell r="H348">
            <v>8</v>
          </cell>
          <cell r="I348">
            <v>1</v>
          </cell>
          <cell r="J348">
            <v>0</v>
          </cell>
          <cell r="K348">
            <v>2</v>
          </cell>
          <cell r="L348">
            <v>0</v>
          </cell>
        </row>
        <row r="349">
          <cell r="A349" t="str">
            <v>10079.05350</v>
          </cell>
          <cell r="B349" t="str">
            <v>PLATEAU GARCON POLYESTER</v>
          </cell>
          <cell r="C349" t="str">
            <v xml:space="preserve">DIVERS ARTICLES DE CUISINE ET RESTAURATION PLATEAUX  , DE GARCON AVEC SURFACE ANTI-DERAPANTE MATIERE : POLYESTER DIMENSIONS : 46 X 35 CM LES OFFRES DOIVENT ETRE ACCOMPAGNEES DES ECHANTILLONS LES OFFRES DOIVENT ETRE ACCOMPAGNEES DES ECHANTILLONS DES ARTICLES PROPOSES POUR CHOIX DU SERVICE DEMANDEUR DES ARTICLES PROPOSES POUR CHOIX DU SERVICE DEMANDEUR </v>
          </cell>
          <cell r="D349" t="str">
            <v>PE</v>
          </cell>
          <cell r="E349" t="str">
            <v>222.22203</v>
          </cell>
          <cell r="F349">
            <v>60</v>
          </cell>
          <cell r="G349">
            <v>0</v>
          </cell>
          <cell r="H349">
            <v>0</v>
          </cell>
          <cell r="I349">
            <v>0</v>
          </cell>
          <cell r="J349">
            <v>0</v>
          </cell>
          <cell r="K349">
            <v>0</v>
          </cell>
          <cell r="L349">
            <v>0</v>
          </cell>
        </row>
        <row r="350">
          <cell r="A350" t="str">
            <v>10067.05374</v>
          </cell>
          <cell r="B350" t="str">
            <v>MANCHON COMPENSATEUR EN HYPALON</v>
          </cell>
          <cell r="C350" t="str">
            <v>MANCHON COMPENSATEUR EJ2-DN 100-PN20-LONG 150MM TEMP 110°C AVEC CHEMISE INTERIEUR EN INOX 316L BRIDE EN ACIER GALVANISE EP20MM PERCEE ANSI 150 LBS + TIRANTS EP 15MM + 2TIGES ECROU ET RONDELLE DIAM 12MM EN INOX 316L FLEUIDE VEHICULE PULPE DE PHOSPHATE GENRE BURGMANN</v>
          </cell>
          <cell r="D350" t="str">
            <v>PE</v>
          </cell>
          <cell r="E350" t="str">
            <v>522.52207</v>
          </cell>
          <cell r="F350">
            <v>3248</v>
          </cell>
          <cell r="G350">
            <v>0</v>
          </cell>
          <cell r="H350">
            <v>2</v>
          </cell>
          <cell r="I350">
            <v>0</v>
          </cell>
          <cell r="J350">
            <v>0</v>
          </cell>
          <cell r="K350">
            <v>0</v>
          </cell>
          <cell r="L350">
            <v>8</v>
          </cell>
        </row>
        <row r="351">
          <cell r="A351" t="str">
            <v>10067.05375</v>
          </cell>
          <cell r="B351" t="str">
            <v>MANCHON COMPENSATEUR EN HYPALON</v>
          </cell>
          <cell r="C351" t="str">
            <v>MANCHON COMPENSATEUR EJ2-DN 150-PN20-LONG 150MM TEMP 110°C BRIDE EN ACIER GALVANISE EP22MM PERCEE ANSI 150 LBS + TIRANTS EP 20MM + 2TIGES ECROU ET RONDELLE DIAM 12MM EN INOX 316L FLEUIDE VEHICULE H3PO4 A 54%GENRE BURGMANN</v>
          </cell>
          <cell r="D351" t="str">
            <v>PE</v>
          </cell>
          <cell r="E351" t="str">
            <v>522.52207</v>
          </cell>
          <cell r="F351">
            <v>2144</v>
          </cell>
          <cell r="G351">
            <v>0</v>
          </cell>
          <cell r="H351">
            <v>6</v>
          </cell>
          <cell r="I351">
            <v>4</v>
          </cell>
          <cell r="J351">
            <v>0</v>
          </cell>
          <cell r="K351">
            <v>0</v>
          </cell>
          <cell r="L351">
            <v>0</v>
          </cell>
        </row>
        <row r="352">
          <cell r="A352" t="str">
            <v>10067.05376</v>
          </cell>
          <cell r="B352" t="str">
            <v>MANCHON COMPENSATEUR EN HYPALON</v>
          </cell>
          <cell r="C352" t="str">
            <v>MANCHON COMPENSATEUR EJ2-DN 150-PN20-LONG 150MM TEMP 110°C AVEC CHEMISE INTERIEURE EN INOX 316L+ BRIDE EN ACIER GALVANISE EP22MM PERCEE ANSI 150 LBS + TIRANTS EP 20MM + 2TIGES ECROU ET RONDELLE DIAM 12MM EN INOX 316L FLEUIDE VEHICULE PULPE DE PHOSPHATE GENRE BURGMANN</v>
          </cell>
          <cell r="D352" t="str">
            <v>PE</v>
          </cell>
          <cell r="E352" t="str">
            <v>522.52207</v>
          </cell>
          <cell r="F352">
            <v>3311.5333000000001</v>
          </cell>
          <cell r="G352">
            <v>0</v>
          </cell>
          <cell r="H352">
            <v>2</v>
          </cell>
          <cell r="I352">
            <v>0</v>
          </cell>
          <cell r="J352">
            <v>0</v>
          </cell>
          <cell r="K352">
            <v>0</v>
          </cell>
          <cell r="L352">
            <v>4</v>
          </cell>
        </row>
        <row r="353">
          <cell r="A353" t="str">
            <v>10067.05377</v>
          </cell>
          <cell r="B353" t="str">
            <v>MANCHON COMPENSATEUR EN HYPALON</v>
          </cell>
          <cell r="C353" t="str">
            <v>MANCHON COMPENSATEUR EJ2-DN 200-PN20-LONG 150MM TEMP 110°C BRIDE EN ACIER GALVANISE EP24MM PERCEE ANSI 150 LBS + TIRANTS EP 25MM + 3TIGES ECROU ET RONDELLE DIAM 24MM EN INOX 316L FLEUIDE VEHICULE H3PO4 A 54%GENRE BURGMANN</v>
          </cell>
          <cell r="D353" t="str">
            <v>PE</v>
          </cell>
          <cell r="E353" t="str">
            <v>522.52207</v>
          </cell>
          <cell r="F353">
            <v>2526</v>
          </cell>
          <cell r="G353">
            <v>1</v>
          </cell>
          <cell r="H353">
            <v>1</v>
          </cell>
          <cell r="I353">
            <v>0</v>
          </cell>
          <cell r="J353">
            <v>1</v>
          </cell>
          <cell r="K353">
            <v>0</v>
          </cell>
          <cell r="L353">
            <v>3</v>
          </cell>
        </row>
        <row r="354">
          <cell r="A354" t="str">
            <v>10080.00102</v>
          </cell>
          <cell r="B354" t="str">
            <v>MINE NOIR H B</v>
          </cell>
          <cell r="C354" t="str">
            <v xml:space="preserve">FOURNITURES ET MATERIEL POUR LE BUREAU ETUI DE 6 MINES  COULEUR NOIRE GRADUATION SERIE HB DIAMETRE 3,25 MM </v>
          </cell>
          <cell r="D354" t="str">
            <v>PE</v>
          </cell>
          <cell r="E354" t="str">
            <v>222.22206</v>
          </cell>
          <cell r="F354">
            <v>2.1360000000000001</v>
          </cell>
          <cell r="G354">
            <v>0</v>
          </cell>
          <cell r="H354">
            <v>0</v>
          </cell>
          <cell r="I354">
            <v>0</v>
          </cell>
          <cell r="J354">
            <v>0</v>
          </cell>
          <cell r="K354">
            <v>0</v>
          </cell>
          <cell r="L354">
            <v>0</v>
          </cell>
        </row>
        <row r="355">
          <cell r="A355" t="str">
            <v>10067.05371</v>
          </cell>
          <cell r="B355" t="str">
            <v>MANCHON COMPENSATEUR EN HYPALON</v>
          </cell>
          <cell r="C355" t="str">
            <v>MANCHON COMPENSATEUR EJ1-DN 450-PN20-LONG 300MM TEMP 110°C AVEC ANNEAU DE RENFORCEMENR POUR LE VIDE EN UB6 BRIDE EN ACIER GALVANISE EP 15MM PERCEE ANSI 150 LBS + TIRANTS EP 15MM + 4TIGES ECROU ET RONDELLE DIAM 16MM EN INOX 316L FLEUIDE VEHICULE H3PO4 A 28%GENRE BURGMANN</v>
          </cell>
          <cell r="D355" t="str">
            <v>PE</v>
          </cell>
          <cell r="E355" t="str">
            <v>522.52207</v>
          </cell>
          <cell r="F355">
            <v>11200</v>
          </cell>
          <cell r="G355">
            <v>0</v>
          </cell>
          <cell r="H355">
            <v>4</v>
          </cell>
          <cell r="I355">
            <v>0</v>
          </cell>
          <cell r="J355">
            <v>1</v>
          </cell>
          <cell r="K355">
            <v>0</v>
          </cell>
          <cell r="L355">
            <v>0</v>
          </cell>
        </row>
        <row r="356">
          <cell r="A356" t="str">
            <v>10067.05372</v>
          </cell>
          <cell r="B356" t="str">
            <v>MANCHON COMPENSATEUR EN HYPALON</v>
          </cell>
          <cell r="C356" t="str">
            <v>MANCHON COMPENSATEUR EJ2-DN 80-PN20-LONG 150MM TEMP 110°C BRIDE EN ACIER GALVANISE EP20MM PERCEE ANSI 150 LBS + TIRANTS EP 15MM + 2TIGES ECROU ET RONDELLE DIAM 12MM EN INOX 316L FLEUIDE VEHICULE H3PO4 A 54%GENRE BURGMANN</v>
          </cell>
          <cell r="D356" t="str">
            <v>PE</v>
          </cell>
          <cell r="E356" t="str">
            <v>522.52207</v>
          </cell>
          <cell r="F356">
            <v>1376</v>
          </cell>
          <cell r="G356">
            <v>0</v>
          </cell>
          <cell r="H356">
            <v>14</v>
          </cell>
          <cell r="I356">
            <v>9</v>
          </cell>
          <cell r="J356">
            <v>3</v>
          </cell>
          <cell r="K356">
            <v>3</v>
          </cell>
          <cell r="L356">
            <v>0</v>
          </cell>
        </row>
        <row r="357">
          <cell r="A357" t="str">
            <v>10067.05373</v>
          </cell>
          <cell r="B357" t="str">
            <v>MANCHON COMPENSATEUR EN HYPALON</v>
          </cell>
          <cell r="C357" t="str">
            <v>MANCHON COMPENSATEUR EJ2-DN 100-PN20-LONG 150MM TEMP 110°C BRIDE EN ACIER GALVANISE EP20MM PERCEE ANSI 150 LBS + TIRANTS EP 15MM + 2TIGES ECROU ET RONDELLE DIAM 16MM EN INOX 316L FLEUIDE VEHICULE H3PO4 A 28%GENRE BURGMANN</v>
          </cell>
          <cell r="D357" t="str">
            <v>PE</v>
          </cell>
          <cell r="E357" t="str">
            <v>522.52207</v>
          </cell>
          <cell r="F357">
            <v>1392</v>
          </cell>
          <cell r="G357">
            <v>0</v>
          </cell>
          <cell r="H357">
            <v>4</v>
          </cell>
          <cell r="I357">
            <v>3</v>
          </cell>
          <cell r="J357">
            <v>0</v>
          </cell>
          <cell r="K357">
            <v>0</v>
          </cell>
          <cell r="L357">
            <v>6</v>
          </cell>
        </row>
        <row r="358">
          <cell r="A358" t="str">
            <v>10082.00841</v>
          </cell>
          <cell r="B358" t="str">
            <v>RAME PAPIER POUR PHTOCOPIEUR</v>
          </cell>
          <cell r="C358" t="str">
            <v>RAME PAPIER POUR PHOTOCOPIEURFORMAT   : A4FORCE      : 84 g/m2COULEUR  : ROSE</v>
          </cell>
          <cell r="D358" t="str">
            <v>PE</v>
          </cell>
          <cell r="E358" t="str">
            <v>222.22206</v>
          </cell>
          <cell r="F358">
            <v>52.2</v>
          </cell>
          <cell r="G358">
            <v>0</v>
          </cell>
          <cell r="H358">
            <v>0</v>
          </cell>
          <cell r="I358">
            <v>0</v>
          </cell>
          <cell r="J358">
            <v>0</v>
          </cell>
          <cell r="K358">
            <v>0</v>
          </cell>
          <cell r="L358">
            <v>0</v>
          </cell>
        </row>
        <row r="359">
          <cell r="A359" t="str">
            <v>10082.00842</v>
          </cell>
          <cell r="B359" t="str">
            <v>RAME PAPIER POUR PHTOCOPIEUR</v>
          </cell>
          <cell r="C359" t="str">
            <v>RAME PAPIER POUR PHOTOCOPIEURFORMAT   : A4FORCE      : 84 g/m2COULEUR  : JAUNE</v>
          </cell>
          <cell r="D359" t="str">
            <v>PE</v>
          </cell>
          <cell r="E359" t="str">
            <v>222.22206</v>
          </cell>
          <cell r="F359">
            <v>50.4</v>
          </cell>
          <cell r="G359">
            <v>0</v>
          </cell>
          <cell r="H359">
            <v>0</v>
          </cell>
          <cell r="I359">
            <v>0</v>
          </cell>
          <cell r="J359">
            <v>0</v>
          </cell>
          <cell r="K359">
            <v>12</v>
          </cell>
          <cell r="L359">
            <v>0</v>
          </cell>
        </row>
        <row r="360">
          <cell r="A360" t="str">
            <v>10078.02603</v>
          </cell>
          <cell r="B360" t="str">
            <v>BLOUSE BLANCHE ANTIACID T44</v>
          </cell>
          <cell r="C360" t="str">
            <v xml:space="preserve">HABILLEMENT BLOUSE ANTI-ACIDE AVEC EMBLEME BRODE EN SOIE ROUGE SUR LE COTE GAUCHE AU NIVEAU DE LA POITRINE QUALITE: TERGAL OU RHOVYL ,POUR HOMME COL: CHEVALIER POCHES: 1POCHE:POITRINE COTE GAUCHE,2POCHES:COTE COULEUR: BLANCHE TAILLE: 44 COUTURE EN FIL ANTI-ACIDE CEINTURE , N.B: SIGLE A PRECISER </v>
          </cell>
          <cell r="D360" t="str">
            <v>PE</v>
          </cell>
          <cell r="E360" t="str">
            <v>522.52216</v>
          </cell>
          <cell r="F360">
            <v>65.108999999999995</v>
          </cell>
          <cell r="G360">
            <v>0</v>
          </cell>
          <cell r="H360">
            <v>0</v>
          </cell>
          <cell r="I360">
            <v>0</v>
          </cell>
          <cell r="J360">
            <v>0</v>
          </cell>
          <cell r="K360">
            <v>0</v>
          </cell>
          <cell r="L360">
            <v>0</v>
          </cell>
        </row>
        <row r="361">
          <cell r="A361" t="str">
            <v>10067.00007</v>
          </cell>
          <cell r="B361" t="str">
            <v>TUYAU D'AROSAGE DIAMETRE INT. 13 MM</v>
          </cell>
          <cell r="C361" t="str">
            <v>TUYAU D'ARROSAGE, EN CAOUTCHOUC ENTOILE, POUR REFOULEMENT ET ARROSAGE D'EAUREVETEMENT EXTERIEUR NOIR / TUBE INTERIEURE NOIR / PRESSION 12 BARS DIAMETRE EXTERIEUR 13 MM</v>
          </cell>
          <cell r="D361" t="str">
            <v>M</v>
          </cell>
          <cell r="E361" t="str">
            <v>522.52203</v>
          </cell>
          <cell r="F361">
            <v>17.5</v>
          </cell>
          <cell r="G361">
            <v>0</v>
          </cell>
          <cell r="H361">
            <v>0</v>
          </cell>
          <cell r="I361">
            <v>100</v>
          </cell>
          <cell r="J361">
            <v>100</v>
          </cell>
          <cell r="K361">
            <v>100</v>
          </cell>
          <cell r="L361">
            <v>100</v>
          </cell>
        </row>
        <row r="362">
          <cell r="A362" t="str">
            <v>10073.00520</v>
          </cell>
          <cell r="B362" t="str">
            <v>SAVON LIQUIDE TEEPOL</v>
          </cell>
          <cell r="C362" t="str">
            <v>SAVON LIQUIDE NON AGRESSIF A DETERGENT FAIBLE , POUR LAVAGE DE CARROSSERIES ET PARQUETS , GENRE = TEEPOL OU EQUIVALENT CONDITIONNEMENT : : A PRECISER PRODUIT DANGEREUX(FICHE DE DONNEES DE SECURITE EST EXIGE LORS DE LA LIVRAISON DU PRODUIT)</v>
          </cell>
          <cell r="D362" t="str">
            <v>L</v>
          </cell>
          <cell r="E362" t="str">
            <v>522.52203</v>
          </cell>
          <cell r="F362">
            <v>6.5697999999999999</v>
          </cell>
          <cell r="G362">
            <v>0</v>
          </cell>
          <cell r="H362">
            <v>0</v>
          </cell>
          <cell r="I362">
            <v>0</v>
          </cell>
          <cell r="J362">
            <v>0</v>
          </cell>
          <cell r="K362">
            <v>0</v>
          </cell>
          <cell r="L362">
            <v>0</v>
          </cell>
        </row>
        <row r="363">
          <cell r="A363" t="str">
            <v>10073.00522</v>
          </cell>
          <cell r="B363" t="str">
            <v>SAVON LIQUIDE PARFUME BACTERICIDE P/MAIN</v>
          </cell>
          <cell r="C363" t="str">
            <v xml:space="preserve">SAVON LIQUIDE PARFUME CONCENTRE  , BACTERICIDE, A DETERGENT FAIBLE , NON AGRESSIF POUR LA PEAU , A EFFET MOUSSANT ET NETTOYANT , POUR LE LAVAGE DES MAINS , PH:NEUTRE GENRE : SULMAIN </v>
          </cell>
          <cell r="D363" t="str">
            <v>L</v>
          </cell>
          <cell r="E363" t="str">
            <v>522.52203</v>
          </cell>
          <cell r="F363">
            <v>10.3264</v>
          </cell>
          <cell r="G363">
            <v>0</v>
          </cell>
          <cell r="H363">
            <v>0</v>
          </cell>
          <cell r="I363">
            <v>0</v>
          </cell>
          <cell r="J363">
            <v>0</v>
          </cell>
          <cell r="K363">
            <v>0</v>
          </cell>
          <cell r="L363">
            <v>0</v>
          </cell>
        </row>
        <row r="364">
          <cell r="A364" t="str">
            <v>10073.00525</v>
          </cell>
          <cell r="B364" t="str">
            <v>SAVONNETTE</v>
          </cell>
          <cell r="C364" t="str">
            <v xml:space="preserve">SAVONNETTE DE TOILETTE PARFUMEE POIDS : 75 GRAMMES ENVIRON </v>
          </cell>
          <cell r="D364" t="str">
            <v>PE</v>
          </cell>
          <cell r="E364" t="str">
            <v>522.52203</v>
          </cell>
          <cell r="F364">
            <v>3.6</v>
          </cell>
          <cell r="G364">
            <v>0</v>
          </cell>
          <cell r="H364">
            <v>0</v>
          </cell>
          <cell r="I364">
            <v>0</v>
          </cell>
          <cell r="J364">
            <v>0</v>
          </cell>
          <cell r="K364">
            <v>0</v>
          </cell>
          <cell r="L364">
            <v>0</v>
          </cell>
        </row>
        <row r="365">
          <cell r="A365" t="str">
            <v>10073.00530</v>
          </cell>
          <cell r="B365" t="str">
            <v>SAVON POUDRE-PAQUET 375G</v>
          </cell>
          <cell r="C365" t="str">
            <v xml:space="preserve">SAVON EN POUDRE "TIDE" OU "OMO" MODE DE LIVRAISON : (PAQUET CARTON DE 375 GRS ENVIRON ) </v>
          </cell>
          <cell r="D365" t="str">
            <v>PE</v>
          </cell>
          <cell r="E365" t="str">
            <v>522.52203</v>
          </cell>
          <cell r="F365">
            <v>7.64</v>
          </cell>
          <cell r="G365">
            <v>0</v>
          </cell>
          <cell r="H365">
            <v>0</v>
          </cell>
          <cell r="I365">
            <v>1125</v>
          </cell>
          <cell r="J365">
            <v>5</v>
          </cell>
          <cell r="K365">
            <v>1431</v>
          </cell>
          <cell r="L365">
            <v>0</v>
          </cell>
        </row>
        <row r="366">
          <cell r="A366" t="str">
            <v>10073.00534</v>
          </cell>
          <cell r="B366" t="str">
            <v>SAVON POUDRE-PAQUET 1450G</v>
          </cell>
          <cell r="C366" t="str">
            <v xml:space="preserve">SAVON EN POUDRE "TIDE" OU "OMO" MODE DE LIVRAISON : (PAQUET CARTON DE 1450 GRS ENVIRON </v>
          </cell>
          <cell r="D366" t="str">
            <v>PE</v>
          </cell>
          <cell r="E366" t="str">
            <v>522.52203</v>
          </cell>
          <cell r="F366">
            <v>34.200000000000003</v>
          </cell>
          <cell r="G366">
            <v>0</v>
          </cell>
          <cell r="H366">
            <v>0</v>
          </cell>
          <cell r="I366">
            <v>0</v>
          </cell>
          <cell r="J366">
            <v>0</v>
          </cell>
          <cell r="K366">
            <v>0</v>
          </cell>
          <cell r="L366">
            <v>0</v>
          </cell>
        </row>
        <row r="367">
          <cell r="A367" t="str">
            <v>10067.05378</v>
          </cell>
          <cell r="B367" t="str">
            <v>MANCHON COMPENSATEUR EN HYPALON</v>
          </cell>
          <cell r="C367" t="str">
            <v>MANCHON COMPENSATEUR EJ2-DN 200-PN20-LONG 150MM TEMP 110°C AVEC CHEMISE INTERIEURE EN INOX 316L BRIDE EN ACIER GALVANISE EP24MM PERCEE ANSI 150 LBS + TIRANTS EP 25MM + 3TIGES ECROU ET RONDELLE DIAM 24MM EN INOX 316L FLEUIDE PULPE DE PHOSPHATEGENRE BURGMANN</v>
          </cell>
          <cell r="D367" t="str">
            <v>PE</v>
          </cell>
          <cell r="E367" t="str">
            <v>522.52207</v>
          </cell>
          <cell r="F367">
            <v>4977.2592999999997</v>
          </cell>
          <cell r="G367">
            <v>0</v>
          </cell>
          <cell r="H367">
            <v>0</v>
          </cell>
          <cell r="I367">
            <v>2</v>
          </cell>
          <cell r="J367">
            <v>0</v>
          </cell>
          <cell r="K367">
            <v>0</v>
          </cell>
          <cell r="L367">
            <v>15</v>
          </cell>
        </row>
        <row r="368">
          <cell r="A368" t="str">
            <v>10067.05379</v>
          </cell>
          <cell r="B368" t="str">
            <v>MANCHON COMPENSATEUR EN HYPALON</v>
          </cell>
          <cell r="C368" t="str">
            <v>MANCHON COMPENSATEUR EJ2-DN 250-PN20-LONG 200MM TEMP 110°C BRIDE EN ACIER GALVANISE EP26MM PERCEE ANSI 150 LBS + TIRANTS EP 25MM + 3TIGES ECROU ET RONDELLE DIAM 24MM EN INOX 316L FLEUIDE VEHICULE H3PO4 A 54%GENRE BURGMANN</v>
          </cell>
          <cell r="D368" t="str">
            <v>PE</v>
          </cell>
          <cell r="E368" t="str">
            <v>522.52207</v>
          </cell>
          <cell r="F368">
            <v>4784</v>
          </cell>
          <cell r="G368">
            <v>0</v>
          </cell>
          <cell r="H368">
            <v>1</v>
          </cell>
          <cell r="I368">
            <v>3</v>
          </cell>
          <cell r="J368">
            <v>0</v>
          </cell>
          <cell r="K368">
            <v>3</v>
          </cell>
          <cell r="L368">
            <v>2</v>
          </cell>
        </row>
        <row r="369">
          <cell r="A369" t="str">
            <v>10078.00503</v>
          </cell>
          <cell r="B369" t="str">
            <v>PAIRE DE CHAUSSETTE  EN COTON POUR ENFANT</v>
          </cell>
          <cell r="C369" t="str">
            <v>PAIRE DE CHAUSSETTE  EN COTON TRS BONNE QUALITE POUR ENFANT DE  7 A 14 ANSCOULEUR NOIR</v>
          </cell>
          <cell r="D369" t="str">
            <v>PE</v>
          </cell>
          <cell r="E369" t="str">
            <v>522.52216</v>
          </cell>
          <cell r="F369">
            <v>40</v>
          </cell>
          <cell r="G369">
            <v>0</v>
          </cell>
          <cell r="H369">
            <v>0</v>
          </cell>
          <cell r="I369">
            <v>0</v>
          </cell>
          <cell r="J369">
            <v>0</v>
          </cell>
          <cell r="K369">
            <v>0</v>
          </cell>
          <cell r="L369">
            <v>0</v>
          </cell>
        </row>
        <row r="370">
          <cell r="A370" t="str">
            <v>10067.04896</v>
          </cell>
          <cell r="B370" t="str">
            <v>MANCHON COMPENSATEUR DN 200 PN 50</v>
          </cell>
          <cell r="C370" t="str">
            <v>MANCHON COMPENSATEUR ''DILATOFLEX''DIAMETRE NOMINAL: 200 LONGUEUR: 150 MMNOMBRE ONDES : 1BRIDE EN CAOUTCHOUC ET CONTRE BRIDES EN ACIER GALVANISE PERCEES PN 50 TEMPERATURE MAXIMALE : 40°CFLUIDE VEHICULE : EAU+PHOSPHATE</v>
          </cell>
          <cell r="D370" t="str">
            <v>PE</v>
          </cell>
          <cell r="E370" t="str">
            <v>522.52207</v>
          </cell>
          <cell r="F370">
            <v>1879</v>
          </cell>
          <cell r="G370">
            <v>0</v>
          </cell>
          <cell r="H370">
            <v>0</v>
          </cell>
          <cell r="I370">
            <v>0</v>
          </cell>
          <cell r="J370">
            <v>0</v>
          </cell>
          <cell r="K370">
            <v>0</v>
          </cell>
          <cell r="L370">
            <v>2</v>
          </cell>
        </row>
        <row r="371">
          <cell r="A371" t="str">
            <v>10073.00031</v>
          </cell>
          <cell r="B371" t="str">
            <v>AJAX AMMONIAQUE BIDON 5LI</v>
          </cell>
          <cell r="C371" t="str">
            <v xml:space="preserve">AJAX AMMONIQUE MODE DE LIVRAISON : EN BIDON DE 5 LITRES </v>
          </cell>
          <cell r="D371" t="str">
            <v>L</v>
          </cell>
          <cell r="E371" t="str">
            <v>222.22201</v>
          </cell>
          <cell r="F371">
            <v>10.9398</v>
          </cell>
          <cell r="G371">
            <v>0</v>
          </cell>
          <cell r="H371">
            <v>0</v>
          </cell>
          <cell r="I371">
            <v>0</v>
          </cell>
          <cell r="J371">
            <v>0</v>
          </cell>
          <cell r="K371">
            <v>0</v>
          </cell>
          <cell r="L371">
            <v>0</v>
          </cell>
        </row>
        <row r="372">
          <cell r="A372" t="str">
            <v>10073.00773</v>
          </cell>
          <cell r="B372" t="str">
            <v>TUBE COLLE ARALDITE 175GR</v>
          </cell>
          <cell r="C372" t="str">
            <v xml:space="preserve">COLLE POUR MOQUETTE TUBE DE COLLE"ARALDITE"DE 175 GRAMMES LIVRE AVEC DURCISSEUR </v>
          </cell>
          <cell r="D372" t="str">
            <v>PE</v>
          </cell>
          <cell r="E372" t="str">
            <v>522.52203</v>
          </cell>
          <cell r="F372">
            <v>50</v>
          </cell>
          <cell r="G372">
            <v>0</v>
          </cell>
          <cell r="H372">
            <v>0</v>
          </cell>
          <cell r="I372">
            <v>0</v>
          </cell>
          <cell r="J372">
            <v>0</v>
          </cell>
          <cell r="K372">
            <v>0</v>
          </cell>
          <cell r="L372">
            <v>0</v>
          </cell>
        </row>
        <row r="373">
          <cell r="A373" t="str">
            <v>10073.00774</v>
          </cell>
          <cell r="B373" t="str">
            <v>TUBE COLLE ARALDITE 200GR</v>
          </cell>
          <cell r="C373" t="str">
            <v>TUBE DE COLLE ARALDITE  AVEC DURCISSEUR (200 GRS) FICHE DE DONNEE DE SECURITE EST EXIGEE LORS DE LA LIVRAISON DU PRODUIT.</v>
          </cell>
          <cell r="D373" t="str">
            <v>PE</v>
          </cell>
          <cell r="E373" t="str">
            <v>522.52203</v>
          </cell>
          <cell r="F373">
            <v>108.5147</v>
          </cell>
          <cell r="G373">
            <v>0</v>
          </cell>
          <cell r="H373">
            <v>0</v>
          </cell>
          <cell r="I373">
            <v>0</v>
          </cell>
          <cell r="J373">
            <v>0</v>
          </cell>
          <cell r="K373">
            <v>0</v>
          </cell>
          <cell r="L373">
            <v>0</v>
          </cell>
        </row>
        <row r="374">
          <cell r="A374" t="str">
            <v>10073.00780</v>
          </cell>
          <cell r="B374" t="str">
            <v>MASTIC RUBSON SILICONE</v>
          </cell>
          <cell r="C374" t="str">
            <v>MASTIC RUBSON SILICONE , ELASTOMERE AUTOVULCANISANT A HAUTES PERFORMANCES CONDITIONNEMENT : CARTOUCHE DE 310 ML COULEUR : , FICHE DE DONNEE DE SECURITE EST EXIGEE LORS DE LA LIVRAISON DU PRODUIT.</v>
          </cell>
          <cell r="D374" t="str">
            <v>PE</v>
          </cell>
          <cell r="E374" t="str">
            <v>522.52203</v>
          </cell>
          <cell r="F374">
            <v>28.6435</v>
          </cell>
          <cell r="G374">
            <v>0</v>
          </cell>
          <cell r="H374">
            <v>0</v>
          </cell>
          <cell r="I374">
            <v>0</v>
          </cell>
          <cell r="J374">
            <v>0</v>
          </cell>
          <cell r="K374">
            <v>0</v>
          </cell>
          <cell r="L374">
            <v>0</v>
          </cell>
        </row>
        <row r="375">
          <cell r="A375" t="str">
            <v>10068.00920</v>
          </cell>
          <cell r="B375" t="str">
            <v>COUDE LR.  90       1/2 P</v>
          </cell>
          <cell r="C375" t="str">
            <v xml:space="preserve">COUDE A 90° LR EN ACIER AU CARBONE FORGESERIE : 3000 SW S/NORME ASTM.105 GR2 DIAMETRE : 1/2 POUCE </v>
          </cell>
          <cell r="D375" t="str">
            <v>PE</v>
          </cell>
          <cell r="E375" t="str">
            <v>313.31301</v>
          </cell>
          <cell r="F375">
            <v>30</v>
          </cell>
          <cell r="G375">
            <v>0</v>
          </cell>
          <cell r="H375">
            <v>2</v>
          </cell>
          <cell r="I375">
            <v>4</v>
          </cell>
          <cell r="J375">
            <v>0</v>
          </cell>
          <cell r="K375">
            <v>4</v>
          </cell>
          <cell r="L375">
            <v>15</v>
          </cell>
        </row>
        <row r="376">
          <cell r="A376" t="str">
            <v>10067.06407</v>
          </cell>
          <cell r="B376" t="str">
            <v>VANNE A BOISSEAU CONIQUE A PASSAGE DIRECT AVEC LEVIER</v>
          </cell>
          <cell r="C376" t="str">
            <v>VANNE A BOISSEAU CONIQUE A PASSAGE DIRECT AVEC LEVIERDN 200 PN20 CLASSE 150 FLUIDE VEHICULE: ACIDE PHOSPHORIQUE 29% ET 54%, BOUILLIE ACIDE PHOSPHORIQUESUIVANT FICHE TECHNIQUE</v>
          </cell>
          <cell r="D376" t="str">
            <v>PE</v>
          </cell>
          <cell r="E376" t="str">
            <v>515.51511</v>
          </cell>
          <cell r="F376">
            <v>40085.385999999999</v>
          </cell>
          <cell r="G376">
            <v>0</v>
          </cell>
          <cell r="H376">
            <v>0</v>
          </cell>
          <cell r="I376">
            <v>0</v>
          </cell>
          <cell r="J376">
            <v>1</v>
          </cell>
          <cell r="K376">
            <v>0</v>
          </cell>
          <cell r="L376">
            <v>0</v>
          </cell>
        </row>
        <row r="377">
          <cell r="A377" t="str">
            <v>10080.01403</v>
          </cell>
          <cell r="B377" t="str">
            <v>STYLO CORRECTEUR BLANC</v>
          </cell>
          <cell r="C377" t="str">
            <v>STYLO CORRECTEUR EN LIQUIDE BLANCHE-GENRE SAPI-METAL POINT</v>
          </cell>
          <cell r="D377" t="str">
            <v>PE</v>
          </cell>
          <cell r="E377" t="str">
            <v>222.22206</v>
          </cell>
          <cell r="F377">
            <v>8.75</v>
          </cell>
          <cell r="G377">
            <v>0</v>
          </cell>
          <cell r="H377">
            <v>0</v>
          </cell>
          <cell r="I377">
            <v>0</v>
          </cell>
          <cell r="J377">
            <v>0</v>
          </cell>
          <cell r="K377">
            <v>0</v>
          </cell>
          <cell r="L377">
            <v>0</v>
          </cell>
        </row>
        <row r="378">
          <cell r="A378" t="str">
            <v>10072.00506</v>
          </cell>
          <cell r="B378" t="str">
            <v>LUNETTE PROTECTION V.VERT</v>
          </cell>
          <cell r="C378" t="str">
            <v xml:space="preserve">LUNETTES POUR EBARBEUR-MEULEUR-SOUDEUR EQUIPE DE VERRES TRIPLEX AUTOGENE COULEUR: VERTE TYPE: 202/2 </v>
          </cell>
          <cell r="D378" t="str">
            <v>PE</v>
          </cell>
          <cell r="E378" t="str">
            <v>522.52216</v>
          </cell>
          <cell r="F378">
            <v>33.6</v>
          </cell>
          <cell r="G378">
            <v>0</v>
          </cell>
          <cell r="H378">
            <v>0</v>
          </cell>
          <cell r="I378">
            <v>0</v>
          </cell>
          <cell r="J378">
            <v>0</v>
          </cell>
          <cell r="K378">
            <v>51</v>
          </cell>
          <cell r="L378">
            <v>0</v>
          </cell>
        </row>
        <row r="379">
          <cell r="A379" t="str">
            <v>10067.06402</v>
          </cell>
          <cell r="B379" t="str">
            <v>VANNE A BOISSEAU CONIQUE A PASSAGE DIRECT AVEC LEVIER</v>
          </cell>
          <cell r="C379" t="str">
            <v>VANNE A BOISSEAU CONIQUE A PASSAGE DIRECT AVEC LEVIERDN 50 PN20 CLASSE 150 FLUIDE VEHICULE: ACIDE PHOSPHORIQUE 29% ET 54%, BOUILLIE ACIDE PHOSPHORIQUESUIVANT FICHE TECHNIQUE</v>
          </cell>
          <cell r="D379" t="str">
            <v>PE</v>
          </cell>
          <cell r="E379" t="str">
            <v>515.51511</v>
          </cell>
          <cell r="F379">
            <v>2724</v>
          </cell>
          <cell r="G379">
            <v>0</v>
          </cell>
          <cell r="H379">
            <v>0</v>
          </cell>
          <cell r="I379">
            <v>0</v>
          </cell>
          <cell r="J379">
            <v>0</v>
          </cell>
          <cell r="K379">
            <v>0</v>
          </cell>
          <cell r="L379">
            <v>0</v>
          </cell>
        </row>
        <row r="380">
          <cell r="A380" t="str">
            <v>10080.01405</v>
          </cell>
          <cell r="B380" t="str">
            <v>TRIEURS BUREAU 12 POSITIONS</v>
          </cell>
          <cell r="C380" t="str">
            <v>DESIGNATION: TRIEURS DE BUREAU 12 DIVISIONS</v>
          </cell>
          <cell r="D380" t="str">
            <v>PE</v>
          </cell>
          <cell r="E380" t="str">
            <v>222.22206</v>
          </cell>
          <cell r="F380">
            <v>46</v>
          </cell>
          <cell r="G380">
            <v>0</v>
          </cell>
          <cell r="H380">
            <v>0</v>
          </cell>
          <cell r="I380">
            <v>0</v>
          </cell>
          <cell r="J380">
            <v>0</v>
          </cell>
          <cell r="K380">
            <v>4</v>
          </cell>
          <cell r="L380">
            <v>0</v>
          </cell>
        </row>
        <row r="381">
          <cell r="A381" t="str">
            <v>10068.01275</v>
          </cell>
          <cell r="B381" t="str">
            <v>COUDE</v>
          </cell>
          <cell r="C381" t="str">
            <v>COUDE EN INOX 316L DN50 SCH 80S</v>
          </cell>
          <cell r="D381" t="str">
            <v>PE</v>
          </cell>
          <cell r="E381" t="str">
            <v>313.31301</v>
          </cell>
          <cell r="F381">
            <v>1473.1652999999999</v>
          </cell>
          <cell r="G381">
            <v>0</v>
          </cell>
          <cell r="H381">
            <v>0</v>
          </cell>
          <cell r="I381">
            <v>0</v>
          </cell>
          <cell r="J381">
            <v>0</v>
          </cell>
          <cell r="K381">
            <v>0</v>
          </cell>
          <cell r="L381">
            <v>2</v>
          </cell>
        </row>
        <row r="382">
          <cell r="A382" t="str">
            <v>10080.01278</v>
          </cell>
          <cell r="B382" t="str">
            <v>CACHET TRODAT REF.4912</v>
          </cell>
          <cell r="C382" t="str">
            <v xml:space="preserve">FOURNITURES ET MATERIEL POUR LE BUREAU CACHET (boitier + gravure)GENRE"TRODAT" OU SIMILAIRE . REFERENCE : 4912 . SUIVANT DESCRIPTIF OU MODELE CI-JOINT </v>
          </cell>
          <cell r="D382" t="str">
            <v>PE</v>
          </cell>
          <cell r="E382" t="str">
            <v>222.22206</v>
          </cell>
          <cell r="F382">
            <v>100</v>
          </cell>
          <cell r="G382">
            <v>0</v>
          </cell>
          <cell r="H382">
            <v>0</v>
          </cell>
          <cell r="I382">
            <v>0</v>
          </cell>
          <cell r="J382">
            <v>0</v>
          </cell>
          <cell r="K382">
            <v>0</v>
          </cell>
          <cell r="L382">
            <v>0</v>
          </cell>
        </row>
        <row r="383">
          <cell r="A383" t="str">
            <v>10068.01215</v>
          </cell>
          <cell r="B383" t="str">
            <v>COUDE A SOUDER SS SOUDURE</v>
          </cell>
          <cell r="C383" t="str">
            <v xml:space="preserve">COUDE A SOUDER A 90° SANS SOUDURE R 2D MATIERE ACIER INOXNORME / NUANCE AFNOR                / Z2 CND 17-13 AISI                    / 316LDIN                     / X2 Cr Ni Mo 18-12UGINE                 / NSM 22 SCREUSOT-LOIRE / ICL 166 BC  DIAMETRE EXTERIEUR = 48,3 MM EPAISSEUR : 3,56 MM </v>
          </cell>
          <cell r="D383" t="str">
            <v>PE</v>
          </cell>
          <cell r="E383" t="str">
            <v>313.31301</v>
          </cell>
          <cell r="F383">
            <v>798</v>
          </cell>
          <cell r="G383">
            <v>0</v>
          </cell>
          <cell r="H383">
            <v>0</v>
          </cell>
          <cell r="I383">
            <v>0</v>
          </cell>
          <cell r="J383">
            <v>16</v>
          </cell>
          <cell r="K383">
            <v>0</v>
          </cell>
          <cell r="L383">
            <v>0</v>
          </cell>
        </row>
        <row r="384">
          <cell r="A384" t="str">
            <v>10081.00772</v>
          </cell>
          <cell r="B384" t="str">
            <v>CD-ROM INSCRIPTIBLE</v>
          </cell>
          <cell r="C384" t="str">
            <v>DISQUE CD-ROM INSCRIPTIBLE, CD R 24 X, 700 MB/80 MIN AVEC POCHETTE DE PROTECTION EN PLASTIQUEN.B: LIVRAISON AVEC POCHETTE EN PLASTIQUE OBLIGATOIRE</v>
          </cell>
          <cell r="D384" t="str">
            <v>PE</v>
          </cell>
          <cell r="E384" t="str">
            <v>222.22206</v>
          </cell>
          <cell r="F384">
            <v>3.36</v>
          </cell>
          <cell r="G384">
            <v>0</v>
          </cell>
          <cell r="H384">
            <v>0</v>
          </cell>
          <cell r="I384">
            <v>0</v>
          </cell>
          <cell r="J384">
            <v>0</v>
          </cell>
          <cell r="K384">
            <v>0</v>
          </cell>
          <cell r="L384">
            <v>0</v>
          </cell>
        </row>
        <row r="385">
          <cell r="A385" t="str">
            <v>10069.00555</v>
          </cell>
          <cell r="B385" t="str">
            <v>RUBAN INOX DE 30,5M T:1/2</v>
          </cell>
          <cell r="C385" t="str">
            <v xml:space="preserve">EMBALLAGE METALLIQUE  RECHANGE POUR APPAREIL A CERCLER  DESIGNATION RUBAN EN ROULEAU DE 30,50 METRES  MATIERE : ACIER INOXYDABLE  TYPE 1/2 POUCE </v>
          </cell>
          <cell r="D385" t="str">
            <v>PE</v>
          </cell>
          <cell r="E385" t="str">
            <v>522.52208</v>
          </cell>
          <cell r="F385">
            <v>654.5</v>
          </cell>
          <cell r="G385">
            <v>0</v>
          </cell>
          <cell r="H385">
            <v>0</v>
          </cell>
          <cell r="I385">
            <v>0</v>
          </cell>
          <cell r="J385">
            <v>0</v>
          </cell>
          <cell r="K385">
            <v>2</v>
          </cell>
          <cell r="L385">
            <v>3</v>
          </cell>
        </row>
        <row r="386">
          <cell r="A386" t="str">
            <v>10069.00550</v>
          </cell>
          <cell r="B386" t="str">
            <v>RUBAN INOX DE 30,5M T:3/8</v>
          </cell>
          <cell r="C386" t="str">
            <v xml:space="preserve">EMBALLAGE METALLIQUE  RECHANGE POUR APPAREIL A CERCLER  DESIGNATION RUBAN EN ROULEAU DE 30,50 METRES  MATIERE : ACIER INOXYDABLE  TYPE 3/8 DE POUCE </v>
          </cell>
          <cell r="D386" t="str">
            <v>PE</v>
          </cell>
          <cell r="E386" t="str">
            <v>522.52208</v>
          </cell>
          <cell r="F386">
            <v>506.2</v>
          </cell>
          <cell r="G386">
            <v>0</v>
          </cell>
          <cell r="H386">
            <v>4</v>
          </cell>
          <cell r="I386">
            <v>0</v>
          </cell>
          <cell r="J386">
            <v>0</v>
          </cell>
          <cell r="K386">
            <v>2</v>
          </cell>
          <cell r="L386">
            <v>0</v>
          </cell>
        </row>
        <row r="387">
          <cell r="A387" t="str">
            <v>10069.00690</v>
          </cell>
          <cell r="B387" t="str">
            <v>ROUL POLYETH 3000MM 300MC</v>
          </cell>
          <cell r="C387" t="str">
            <v xml:space="preserve">EMBALLAGE PLASTIQUE ROULEAU EN POLYETHYLENE TRANSPARENTEN ROULEAU DE 50 METRES LARGEUR 3000 MM EPAISSEUR 300 MICRONS </v>
          </cell>
          <cell r="D387" t="str">
            <v>KG</v>
          </cell>
          <cell r="E387" t="str">
            <v>522.52203</v>
          </cell>
          <cell r="F387">
            <v>34.799999999999997</v>
          </cell>
          <cell r="G387">
            <v>0</v>
          </cell>
          <cell r="H387">
            <v>0</v>
          </cell>
          <cell r="I387">
            <v>0</v>
          </cell>
          <cell r="J387">
            <v>0</v>
          </cell>
          <cell r="K387">
            <v>0</v>
          </cell>
          <cell r="L387">
            <v>0</v>
          </cell>
        </row>
        <row r="388">
          <cell r="A388" t="str">
            <v>10069.00710</v>
          </cell>
          <cell r="B388" t="str">
            <v>ROUL POLYETH 3M EP 1,8 MM</v>
          </cell>
          <cell r="C388" t="str">
            <v xml:space="preserve">EMBALLAGE  EMBALLAGE PLASTIQUE  ROULEAU DE PLASTIQUE  DESIGNATION ROULEAU DE PLASTIQUE  LONGUEUR : 100 METRES  LARGEUR 3 METRES  EPAISSEUR 1,8 MM </v>
          </cell>
          <cell r="D388" t="str">
            <v>KG</v>
          </cell>
          <cell r="E388" t="str">
            <v>522.52203</v>
          </cell>
          <cell r="F388">
            <v>2500</v>
          </cell>
          <cell r="G388">
            <v>0</v>
          </cell>
          <cell r="H388">
            <v>10</v>
          </cell>
          <cell r="I388">
            <v>0</v>
          </cell>
          <cell r="J388">
            <v>0</v>
          </cell>
          <cell r="K388">
            <v>0</v>
          </cell>
          <cell r="L388">
            <v>0</v>
          </cell>
        </row>
        <row r="389">
          <cell r="A389" t="str">
            <v>10080.00180</v>
          </cell>
          <cell r="B389" t="str">
            <v>POCHETTE PLASTIFIEE TRANSPARENTE 21 X 27CM</v>
          </cell>
          <cell r="C389" t="str">
            <v xml:space="preserve">POCHETTES PLASTIFIEES TRANSPARENTES 21 X 27 CMSELON MODELE </v>
          </cell>
          <cell r="D389" t="str">
            <v>PE</v>
          </cell>
          <cell r="E389" t="str">
            <v>222.22206</v>
          </cell>
          <cell r="F389">
            <v>0.54</v>
          </cell>
          <cell r="G389">
            <v>0</v>
          </cell>
          <cell r="H389">
            <v>0</v>
          </cell>
          <cell r="I389">
            <v>0</v>
          </cell>
          <cell r="J389">
            <v>0</v>
          </cell>
          <cell r="K389">
            <v>0</v>
          </cell>
          <cell r="L389">
            <v>0</v>
          </cell>
        </row>
        <row r="390">
          <cell r="A390" t="str">
            <v>10080.01291</v>
          </cell>
          <cell r="B390" t="str">
            <v>COMPOSTEUR DATEUR PRINTER S 827 D</v>
          </cell>
          <cell r="C390" t="str">
            <v>COMPOSTEUR DATEUR PRINTER S 827 DSUIVANT MODELE</v>
          </cell>
          <cell r="D390" t="str">
            <v>PE</v>
          </cell>
          <cell r="E390" t="str">
            <v>222.22206</v>
          </cell>
          <cell r="F390">
            <v>200</v>
          </cell>
          <cell r="G390">
            <v>0</v>
          </cell>
          <cell r="H390">
            <v>0</v>
          </cell>
          <cell r="I390">
            <v>0</v>
          </cell>
          <cell r="J390">
            <v>0</v>
          </cell>
          <cell r="K390">
            <v>0</v>
          </cell>
          <cell r="L390">
            <v>0</v>
          </cell>
        </row>
        <row r="391">
          <cell r="A391" t="str">
            <v>10081.00821</v>
          </cell>
          <cell r="B391" t="str">
            <v>DISQUE DUR EXTERNE  80GO</v>
          </cell>
          <cell r="C391" t="str">
            <v>DISQUE DUR EXTERNE  80GOAVEC SORTIE USB</v>
          </cell>
          <cell r="D391" t="str">
            <v>PE</v>
          </cell>
          <cell r="E391" t="str">
            <v>222.22206</v>
          </cell>
          <cell r="F391">
            <v>840</v>
          </cell>
          <cell r="G391">
            <v>0</v>
          </cell>
          <cell r="H391">
            <v>0</v>
          </cell>
          <cell r="I391">
            <v>0</v>
          </cell>
          <cell r="J391">
            <v>0</v>
          </cell>
          <cell r="K391">
            <v>0</v>
          </cell>
          <cell r="L391">
            <v>0</v>
          </cell>
        </row>
        <row r="392">
          <cell r="A392" t="str">
            <v>10081.05927</v>
          </cell>
          <cell r="B392" t="str">
            <v>CARTOUCHE TONER S050010</v>
          </cell>
          <cell r="C392" t="str">
            <v xml:space="preserve">CARTOUCHE TONER DESTINATION IMPRIMANTE LASER EPSON EPL 5700 REFERENCE S050010 NB: LES CARTOUCHES DOIVENT AVOIR UNE DATE DE PEREMPTION SUPERIEURE A 12 MOIS </v>
          </cell>
          <cell r="D392" t="str">
            <v>PE</v>
          </cell>
          <cell r="E392" t="str">
            <v>222.22206</v>
          </cell>
          <cell r="F392">
            <v>634.56309999999996</v>
          </cell>
          <cell r="G392">
            <v>0</v>
          </cell>
          <cell r="H392">
            <v>0</v>
          </cell>
          <cell r="I392">
            <v>0</v>
          </cell>
          <cell r="J392">
            <v>0</v>
          </cell>
          <cell r="K392">
            <v>0</v>
          </cell>
          <cell r="L392">
            <v>0</v>
          </cell>
        </row>
        <row r="393">
          <cell r="A393" t="str">
            <v>10081.00844</v>
          </cell>
          <cell r="B393" t="str">
            <v>BARRETTE MEMOIRE 256MO(SDRAM)</v>
          </cell>
          <cell r="C393" t="str">
            <v xml:space="preserve">FOURNITURES ET MATERIEL POUR LE BUREAU FOURNITURES DIVERSES . . DESIGNATION : BARRETE MEMOIRE (SDRAM) 256MO - PC 133MHZ </v>
          </cell>
          <cell r="D393" t="str">
            <v>PE</v>
          </cell>
          <cell r="E393" t="str">
            <v>222.22206</v>
          </cell>
          <cell r="F393">
            <v>385.30029999999999</v>
          </cell>
          <cell r="G393">
            <v>0</v>
          </cell>
          <cell r="H393">
            <v>0</v>
          </cell>
          <cell r="I393">
            <v>0</v>
          </cell>
          <cell r="J393">
            <v>0</v>
          </cell>
          <cell r="K393">
            <v>0</v>
          </cell>
          <cell r="L393">
            <v>0</v>
          </cell>
        </row>
        <row r="394">
          <cell r="A394" t="str">
            <v>10069.00585</v>
          </cell>
          <cell r="B394" t="str">
            <v>BOIT 100 AGRAF INOX T:3/8</v>
          </cell>
          <cell r="C394" t="str">
            <v xml:space="preserve">EMBALLAGE METALLIQUE  RECHANGE POUR APPAREIL A CERCLER  DESIGNATION BOITE DE 100 AGRAFFES "BAND-IT"  MATIERE : ACIER INOXYDABLE  TYPE 3/8 DE POUCE </v>
          </cell>
          <cell r="D394" t="str">
            <v>PE</v>
          </cell>
          <cell r="E394" t="str">
            <v>522.52208</v>
          </cell>
          <cell r="F394">
            <v>304.5</v>
          </cell>
          <cell r="G394">
            <v>0</v>
          </cell>
          <cell r="H394">
            <v>2</v>
          </cell>
          <cell r="I394">
            <v>0</v>
          </cell>
          <cell r="J394">
            <v>0</v>
          </cell>
          <cell r="K394">
            <v>2</v>
          </cell>
          <cell r="L394">
            <v>2</v>
          </cell>
        </row>
        <row r="395">
          <cell r="A395" t="str">
            <v>10069.00590</v>
          </cell>
          <cell r="B395" t="str">
            <v>BOIT 100 AGRAF INOX T:1/2</v>
          </cell>
          <cell r="C395" t="str">
            <v xml:space="preserve">EMBALLAGE METALLIQUE  RECHANGE POUR APPAREIL A CERCLER  DESIGNATION BOITE DE 100 AGRAFFES "BAND-IT"  MATIERE : ACIER INOXYDABLE  TYPE 1/2 POUCE </v>
          </cell>
          <cell r="D395" t="str">
            <v>PE</v>
          </cell>
          <cell r="E395" t="str">
            <v>522.52208</v>
          </cell>
          <cell r="F395">
            <v>392.2</v>
          </cell>
          <cell r="G395">
            <v>0</v>
          </cell>
          <cell r="H395">
            <v>2</v>
          </cell>
          <cell r="I395">
            <v>0</v>
          </cell>
          <cell r="J395">
            <v>0</v>
          </cell>
          <cell r="K395">
            <v>2</v>
          </cell>
          <cell r="L395">
            <v>1</v>
          </cell>
        </row>
        <row r="396">
          <cell r="A396" t="str">
            <v>10085.00780</v>
          </cell>
          <cell r="B396" t="str">
            <v>CARNET DE VISITE A INFIRMERIE</v>
          </cell>
          <cell r="C396" t="str">
            <v>BON DE VISITE A L'INFIRMERIE CARNET DE 50 LIASSES DE 3 FEUILLETS  NUMEROTES (BLANC, JAUNE ET ROSE  DONT LES 2 PREMIERES DETACHABLES), PIQUES VERTICALEMENT COTE GAUCHEAVEC COUVERTURE : FACE ET DOS. SUIVANT MODELE IMPRESSION : R°NOIRE FORMAT : 14,8 X 21 CM PRESENTATION : PAYSAGE PAPIER : NCR 56 G/M² : BLANC CB, JAUNE CBF ET ROSE CFNUMEROTATION A LA CHARGE DE L'IMPRIMERIE OCPCOUVERTURE : DOSSIER 240 G/M², COULEUR DISPONIBLE</v>
          </cell>
          <cell r="D396" t="str">
            <v>PE</v>
          </cell>
          <cell r="E396" t="str">
            <v>222.22206</v>
          </cell>
          <cell r="F396">
            <v>23.6907</v>
          </cell>
          <cell r="G396">
            <v>0</v>
          </cell>
          <cell r="H396">
            <v>0</v>
          </cell>
          <cell r="I396">
            <v>0</v>
          </cell>
          <cell r="J396">
            <v>0</v>
          </cell>
          <cell r="K396">
            <v>0</v>
          </cell>
          <cell r="L396">
            <v>0</v>
          </cell>
        </row>
        <row r="397">
          <cell r="A397" t="str">
            <v>10081.00002</v>
          </cell>
          <cell r="B397" t="str">
            <v>DOUBLE DECIMETRE</v>
          </cell>
          <cell r="C397" t="str">
            <v xml:space="preserve">FOURNITURES ET MATERIEL POUR LE BUREAU REGLES EN PLEXIGLAS  DESIGNATION : DOUBLE DECIMETRE PLAT FORME A 2 BISEAUX TRANSPARENTS DIVISES EN MM </v>
          </cell>
          <cell r="D397" t="str">
            <v>PE</v>
          </cell>
          <cell r="E397" t="str">
            <v>222.22206</v>
          </cell>
          <cell r="F397">
            <v>0.3745</v>
          </cell>
          <cell r="G397">
            <v>0</v>
          </cell>
          <cell r="H397">
            <v>0</v>
          </cell>
          <cell r="I397">
            <v>0</v>
          </cell>
          <cell r="J397">
            <v>0</v>
          </cell>
          <cell r="K397">
            <v>40</v>
          </cell>
          <cell r="L397">
            <v>0</v>
          </cell>
        </row>
        <row r="398">
          <cell r="A398" t="str">
            <v>10081.00003</v>
          </cell>
          <cell r="B398" t="str">
            <v>TRIPLE DECIMETRE</v>
          </cell>
          <cell r="C398" t="str">
            <v>REGLES EN PLEXIGLAS TRIPLE DECIMETRE PLAT FORME A 2 BISEAUX TRANSPARENTS:1 DIVISE EN MM,1 DIVISE=1/2MM</v>
          </cell>
          <cell r="D398" t="str">
            <v>PE</v>
          </cell>
          <cell r="E398" t="str">
            <v>222.22206</v>
          </cell>
          <cell r="F398">
            <v>1.306</v>
          </cell>
          <cell r="G398">
            <v>0</v>
          </cell>
          <cell r="H398">
            <v>0</v>
          </cell>
          <cell r="I398">
            <v>0</v>
          </cell>
          <cell r="J398">
            <v>0</v>
          </cell>
          <cell r="K398">
            <v>109</v>
          </cell>
          <cell r="L398">
            <v>0</v>
          </cell>
        </row>
        <row r="399">
          <cell r="A399" t="str">
            <v>10080.00089</v>
          </cell>
          <cell r="B399" t="str">
            <v>MINES NOIRES 2 H</v>
          </cell>
          <cell r="C399" t="str">
            <v xml:space="preserve">FOURNITURES ET MATERIEL POUR LE BUREAU ETUI DE 6 MINES  COULEUR NOIRE GRADUATION SERIE 2 H DIAMETRE 2 MM </v>
          </cell>
          <cell r="D399" t="str">
            <v>PE</v>
          </cell>
          <cell r="E399" t="str">
            <v>222.22206</v>
          </cell>
          <cell r="F399">
            <v>2.1360000000000001</v>
          </cell>
          <cell r="G399">
            <v>0</v>
          </cell>
          <cell r="H399">
            <v>0</v>
          </cell>
          <cell r="I399">
            <v>0</v>
          </cell>
          <cell r="J399">
            <v>0</v>
          </cell>
          <cell r="K399">
            <v>0</v>
          </cell>
          <cell r="L399">
            <v>0</v>
          </cell>
        </row>
        <row r="400">
          <cell r="A400" t="str">
            <v>10080.00090</v>
          </cell>
          <cell r="B400" t="str">
            <v>MINES NOIRES 3 H</v>
          </cell>
          <cell r="C400" t="str">
            <v xml:space="preserve">FOURNITURES ET MATERIEL POUR LE BUREAU ETUI DE 6 MINES  COULEUR NOIRE GRADUATION SERIE 3 H DIAMETRE 2 MM </v>
          </cell>
          <cell r="D400" t="str">
            <v>PE</v>
          </cell>
          <cell r="E400" t="str">
            <v>222.22206</v>
          </cell>
          <cell r="F400">
            <v>2.1360000000000001</v>
          </cell>
          <cell r="G400">
            <v>0</v>
          </cell>
          <cell r="H400">
            <v>0</v>
          </cell>
          <cell r="I400">
            <v>0</v>
          </cell>
          <cell r="J400">
            <v>0</v>
          </cell>
          <cell r="K400">
            <v>0</v>
          </cell>
          <cell r="L400">
            <v>0</v>
          </cell>
        </row>
        <row r="401">
          <cell r="A401" t="str">
            <v>10081.00409</v>
          </cell>
          <cell r="B401" t="str">
            <v>RUBAN CORRECTEUR AP 15</v>
          </cell>
          <cell r="C401" t="str">
            <v xml:space="preserve">FOURNITURES ET MATERIEL POUR LE BUREAU RUBANS . . DESIGNATION : RUBAN CORRECTEUR PAR RECOUVREMENT , POUR RUBAN MULTTIFRAPPE REF- AP15 , POUR MACHINE A ECRIRE ELECTRONIQUE CANON AP 200 </v>
          </cell>
          <cell r="D401" t="str">
            <v>PE</v>
          </cell>
          <cell r="E401" t="str">
            <v>222.22206</v>
          </cell>
          <cell r="F401">
            <v>4.8499999999999996</v>
          </cell>
          <cell r="G401">
            <v>0</v>
          </cell>
          <cell r="H401">
            <v>0</v>
          </cell>
          <cell r="I401">
            <v>0</v>
          </cell>
          <cell r="J401">
            <v>0</v>
          </cell>
          <cell r="K401">
            <v>0</v>
          </cell>
          <cell r="L401">
            <v>0</v>
          </cell>
        </row>
        <row r="402">
          <cell r="A402" t="str">
            <v>10080.00086</v>
          </cell>
          <cell r="B402" t="str">
            <v>MINES NOIRES H B</v>
          </cell>
          <cell r="C402" t="str">
            <v xml:space="preserve">FOURNITURES ET MATERIEL POUR LE BUREAU ETUI DE 6 MINES  COULEUR NOIRE GRADUATION SERIE H B DIAMETRE 2 MM </v>
          </cell>
          <cell r="D402" t="str">
            <v>PE</v>
          </cell>
          <cell r="E402" t="str">
            <v>222.22206</v>
          </cell>
          <cell r="F402">
            <v>4.8499999999999996</v>
          </cell>
          <cell r="G402">
            <v>0</v>
          </cell>
          <cell r="H402">
            <v>0</v>
          </cell>
          <cell r="I402">
            <v>0</v>
          </cell>
          <cell r="J402">
            <v>0</v>
          </cell>
          <cell r="K402">
            <v>1</v>
          </cell>
          <cell r="L402">
            <v>0</v>
          </cell>
        </row>
        <row r="403">
          <cell r="A403" t="str">
            <v>10083.00141</v>
          </cell>
          <cell r="B403" t="str">
            <v>CHEMISE A RABAT 24X32</v>
          </cell>
          <cell r="C403" t="str">
            <v xml:space="preserve">CHEMISE A RABATS AVEC ELASTIQUE CARTE DE LYON- COULEURS ASSORTIES DESTINATION CLASSEMENT FORMAT : 24X32 CM TYPE : PETIT MODELE LARGEUR : DU DOS:3,5CM LONGUEUR : DE L'ELASTIQUE:52CM </v>
          </cell>
          <cell r="D403" t="str">
            <v>PE</v>
          </cell>
          <cell r="E403" t="str">
            <v>222.22206</v>
          </cell>
          <cell r="F403">
            <v>4.6837</v>
          </cell>
          <cell r="G403">
            <v>0</v>
          </cell>
          <cell r="H403">
            <v>0</v>
          </cell>
          <cell r="I403">
            <v>2</v>
          </cell>
          <cell r="J403">
            <v>0</v>
          </cell>
          <cell r="K403">
            <v>36</v>
          </cell>
          <cell r="L403">
            <v>0</v>
          </cell>
        </row>
        <row r="404">
          <cell r="A404" t="str">
            <v>10083.00142</v>
          </cell>
          <cell r="B404" t="str">
            <v>CHEMISE A RABAT 28X33</v>
          </cell>
          <cell r="C404" t="str">
            <v xml:space="preserve">PAPETERIE CHEMISE A RABATS  DESIGNATION : CHEMISE A RABATS AVEC ELASTIQUE , CARTE DE LYON - COULEURS ASSORTIES DESTINATION CLASSEMENT FORMAT : 28X33CM TYPE : GRAND MODELE LARGEUR : DU DOS:9CM LONGUEUR : DE L'ELASTIQUE:70CM </v>
          </cell>
          <cell r="D404" t="str">
            <v>PE</v>
          </cell>
          <cell r="E404" t="str">
            <v>222.22206</v>
          </cell>
          <cell r="F404">
            <v>4.2</v>
          </cell>
          <cell r="G404">
            <v>0</v>
          </cell>
          <cell r="H404">
            <v>0</v>
          </cell>
          <cell r="I404">
            <v>0</v>
          </cell>
          <cell r="J404">
            <v>0</v>
          </cell>
          <cell r="K404">
            <v>86</v>
          </cell>
          <cell r="L404">
            <v>0</v>
          </cell>
        </row>
        <row r="405">
          <cell r="A405" t="str">
            <v>10083.00150</v>
          </cell>
          <cell r="B405" t="str">
            <v>CHEMISE A SANGLE 24X32 CM</v>
          </cell>
          <cell r="C405" t="str">
            <v xml:space="preserve">PAPETERIE CHEMISE A SANGLE  FORMAT : 24 X 32 - A DOS EXTENSIBLE COMPOSITION : CARTON FORT RECOUVERT DE TOILE BEIGE-SERRAGE AVEC , BOUCLE </v>
          </cell>
          <cell r="D405" t="str">
            <v>PE</v>
          </cell>
          <cell r="E405" t="str">
            <v>222.22206</v>
          </cell>
          <cell r="F405">
            <v>8.3879999999999999</v>
          </cell>
          <cell r="G405">
            <v>0</v>
          </cell>
          <cell r="H405">
            <v>0</v>
          </cell>
          <cell r="I405">
            <v>0</v>
          </cell>
          <cell r="J405">
            <v>0</v>
          </cell>
          <cell r="K405">
            <v>127</v>
          </cell>
          <cell r="L405">
            <v>0</v>
          </cell>
        </row>
        <row r="406">
          <cell r="A406" t="str">
            <v>10083.00151</v>
          </cell>
          <cell r="B406" t="str">
            <v>CHEMISE A SANGLE 33 X 44</v>
          </cell>
          <cell r="C406" t="str">
            <v xml:space="preserve">PAPETERIE CHEMISE A SANGLE  FORMAT : 33 X 44 - A DOS EXTENSIBLE COMPOSITION : CARTON FORT RECOUVERT DE TOILE BEIGE-SERRAGE AVEC , BOUCLE </v>
          </cell>
          <cell r="D406" t="str">
            <v>PE</v>
          </cell>
          <cell r="E406" t="str">
            <v>222.22206</v>
          </cell>
          <cell r="F406">
            <v>25.2</v>
          </cell>
          <cell r="G406">
            <v>0</v>
          </cell>
          <cell r="H406">
            <v>0</v>
          </cell>
          <cell r="I406">
            <v>0</v>
          </cell>
          <cell r="J406">
            <v>0</v>
          </cell>
          <cell r="K406">
            <v>165</v>
          </cell>
          <cell r="L406">
            <v>0</v>
          </cell>
        </row>
        <row r="407">
          <cell r="A407" t="str">
            <v>10083.00132</v>
          </cell>
          <cell r="B407" t="str">
            <v>CHEMI LYON 26X36</v>
          </cell>
          <cell r="C407" t="str">
            <v xml:space="preserve">PAPETERIE CHEMISE A DOS ONDULE  COULEUR : ASSORTIES FORMAT : 26 X 36 QUALITE : CARTE DE LYON LARGEUR : DOS:15 MM </v>
          </cell>
          <cell r="D407" t="str">
            <v>PE</v>
          </cell>
          <cell r="E407" t="str">
            <v>222.22206</v>
          </cell>
          <cell r="F407">
            <v>2.9315000000000002</v>
          </cell>
          <cell r="G407">
            <v>0</v>
          </cell>
          <cell r="H407">
            <v>0</v>
          </cell>
          <cell r="I407">
            <v>311</v>
          </cell>
          <cell r="J407">
            <v>10</v>
          </cell>
          <cell r="K407">
            <v>200</v>
          </cell>
          <cell r="L407">
            <v>0</v>
          </cell>
        </row>
        <row r="408">
          <cell r="A408" t="str">
            <v>10083.00140</v>
          </cell>
          <cell r="B408" t="str">
            <v>CHEMISE A RABA 26X36</v>
          </cell>
          <cell r="C408" t="str">
            <v xml:space="preserve">CHEMISE A RABATS COULEUR : ASSORTIES FORMAT : 26 X 36 QUALITE : CARTE DE LYON </v>
          </cell>
          <cell r="D408" t="str">
            <v>PE</v>
          </cell>
          <cell r="E408" t="str">
            <v>222.22206</v>
          </cell>
          <cell r="F408">
            <v>5.4</v>
          </cell>
          <cell r="G408">
            <v>0</v>
          </cell>
          <cell r="H408">
            <v>0</v>
          </cell>
          <cell r="I408">
            <v>0</v>
          </cell>
          <cell r="J408">
            <v>0</v>
          </cell>
          <cell r="K408">
            <v>55</v>
          </cell>
          <cell r="L408">
            <v>0</v>
          </cell>
        </row>
        <row r="409">
          <cell r="A409" t="str">
            <v>10073.00069</v>
          </cell>
          <cell r="B409" t="str">
            <v>INSECTICIDE EN BOMBE  465 GRS</v>
          </cell>
          <cell r="C409" t="str">
            <v>INSECTICIDE EN BOMBE DE 465 GRAMMES ENVIRON FICHE DE DONNEE DE SECURITE EST EXIGEE LORS DE LA LIVRAISON DU PRODUIT.</v>
          </cell>
          <cell r="D409" t="str">
            <v>PE</v>
          </cell>
          <cell r="E409" t="str">
            <v>522.52203</v>
          </cell>
          <cell r="F409">
            <v>17.195699999999999</v>
          </cell>
          <cell r="G409">
            <v>0</v>
          </cell>
          <cell r="H409">
            <v>0</v>
          </cell>
          <cell r="I409">
            <v>0</v>
          </cell>
          <cell r="J409">
            <v>0</v>
          </cell>
          <cell r="K409">
            <v>0</v>
          </cell>
          <cell r="L409">
            <v>0</v>
          </cell>
        </row>
        <row r="410">
          <cell r="A410" t="str">
            <v>10073.00070</v>
          </cell>
          <cell r="B410" t="str">
            <v>INSECTICIDE EN BOMBE  600 GRS</v>
          </cell>
          <cell r="C410" t="str">
            <v xml:space="preserve">INSECTICIDE EN BOMBE  CONTENANCE :600 GRS ENVIRON           GENRE  :    AEROSOL; BAYGON; MORTEIN  </v>
          </cell>
          <cell r="D410" t="str">
            <v>PE</v>
          </cell>
          <cell r="E410" t="str">
            <v>522.52203</v>
          </cell>
          <cell r="F410">
            <v>33</v>
          </cell>
          <cell r="G410">
            <v>0</v>
          </cell>
          <cell r="H410">
            <v>0</v>
          </cell>
          <cell r="I410">
            <v>0</v>
          </cell>
          <cell r="J410">
            <v>0</v>
          </cell>
          <cell r="K410">
            <v>0</v>
          </cell>
          <cell r="L410">
            <v>0</v>
          </cell>
        </row>
        <row r="411">
          <cell r="A411" t="str">
            <v>10080.00119</v>
          </cell>
          <cell r="B411" t="str">
            <v>PORTE MINE POLYMER HB 0,5</v>
          </cell>
          <cell r="C411" t="str">
            <v xml:space="preserve">FOURNITURES ET MATERIEL POUR LE BUREAU . . . DESIGNATION : PORTE-MINES POUR MINE POLYMER H.B. , EN BOITE INDIVIDUELLE DIAMETRE 0,5MM </v>
          </cell>
          <cell r="D411" t="str">
            <v>PE</v>
          </cell>
          <cell r="E411" t="str">
            <v>222.22206</v>
          </cell>
          <cell r="F411">
            <v>9.42</v>
          </cell>
          <cell r="G411">
            <v>0</v>
          </cell>
          <cell r="H411">
            <v>0</v>
          </cell>
          <cell r="I411">
            <v>0</v>
          </cell>
          <cell r="J411">
            <v>0</v>
          </cell>
          <cell r="K411">
            <v>0</v>
          </cell>
          <cell r="L411">
            <v>0</v>
          </cell>
        </row>
        <row r="412">
          <cell r="A412" t="str">
            <v>10080.00120</v>
          </cell>
          <cell r="B412" t="str">
            <v>PORTE MINES</v>
          </cell>
          <cell r="C412" t="str">
            <v xml:space="preserve">FOURNITURES ET MATERIEL POUR LE BUREAU PORTE-MINES,HEXAGONAL,AVEC AGRAFE  DESTINATION POUR MINE DE 120 MM DE LONG ET 2 MM DE DIAMETRE COMPOSITION AVEC TAILLE MINE ET GOMME </v>
          </cell>
          <cell r="D412" t="str">
            <v>PE</v>
          </cell>
          <cell r="E412" t="str">
            <v>222.22206</v>
          </cell>
          <cell r="F412">
            <v>8.7786000000000008</v>
          </cell>
          <cell r="G412">
            <v>0</v>
          </cell>
          <cell r="H412">
            <v>0</v>
          </cell>
          <cell r="I412">
            <v>0</v>
          </cell>
          <cell r="J412">
            <v>0</v>
          </cell>
          <cell r="K412">
            <v>0</v>
          </cell>
          <cell r="L412">
            <v>0</v>
          </cell>
        </row>
        <row r="413">
          <cell r="A413" t="str">
            <v>10083.00180</v>
          </cell>
          <cell r="B413" t="str">
            <v>CHEMISE P/CLASSEUR 21X31</v>
          </cell>
          <cell r="C413" t="str">
            <v xml:space="preserve">CHEMISE EN PLASTIQUE TRANSPARENT POUR CLASSEURS MULTIBROCHES FORMAT : 21 X 31 CM GENRE : EXCEL OU ESSELETE </v>
          </cell>
          <cell r="D413" t="str">
            <v>PE</v>
          </cell>
          <cell r="E413" t="str">
            <v>222.22206</v>
          </cell>
          <cell r="F413">
            <v>1.55</v>
          </cell>
          <cell r="G413">
            <v>0</v>
          </cell>
          <cell r="H413">
            <v>0</v>
          </cell>
          <cell r="I413">
            <v>0</v>
          </cell>
          <cell r="J413">
            <v>0</v>
          </cell>
          <cell r="K413">
            <v>0</v>
          </cell>
          <cell r="L413">
            <v>0</v>
          </cell>
        </row>
        <row r="414">
          <cell r="A414" t="str">
            <v>10084.00130</v>
          </cell>
          <cell r="B414" t="str">
            <v>ROULETTE METRIQ.RUBAN 10M</v>
          </cell>
          <cell r="C414" t="str">
            <v xml:space="preserve">TOPOGRAPHIE ET GEODESIE ROULETTES METRIQUES POUR PRISE DE MESURE AU VOISINAGE DES CONDUCTEURS NUS SOUS TENSION  DESIGNATION AVEC RUBAN EN MATIERE ISOLANTE,DEPOURVU D'ELEMENTS - METALLIQUE- IMPERMEABLE ET IRRETRECISSABLE- - GRADUE EN CENTIMETRES SUR LES 2 FACES-CHIFFRE DES - DECIMETRES EN NOIR- CHIFFRES DES METRES EN ROUGE - BOITIER METALLIQUE RECOUVERT DE CUIR,AVEC MANIVELLE - EN LAITON,PLIANTE,RENTRANTE. LARGEUR 16 MM. LONGUEUR DU RUBAN 10 METRES </v>
          </cell>
          <cell r="D414" t="str">
            <v>PE</v>
          </cell>
          <cell r="E414" t="str">
            <v>522.52203</v>
          </cell>
          <cell r="F414">
            <v>918</v>
          </cell>
          <cell r="G414">
            <v>0</v>
          </cell>
          <cell r="H414">
            <v>3</v>
          </cell>
          <cell r="I414">
            <v>11</v>
          </cell>
          <cell r="J414">
            <v>0</v>
          </cell>
          <cell r="K414">
            <v>0</v>
          </cell>
          <cell r="L414">
            <v>0</v>
          </cell>
        </row>
        <row r="415">
          <cell r="A415" t="str">
            <v>10084.00132</v>
          </cell>
          <cell r="B415" t="str">
            <v>ROULETTE METRIQ.RUBAN 20M</v>
          </cell>
          <cell r="C415" t="str">
            <v xml:space="preserve">TOPOGRAPHIE ET GEODESIE ROULETTES METRIQUES POUR PRISE DE MESURE AU VOISINAGE DES CONDUCTEURS NUS SOUS TENSION  DESIGNATION AVEC RUBAN EN MATIERE ISOLANTE,DEPOURVU D'ELEMENTS - METALLIQUE-IMPERMEABLE ET IRRETRECISSABLE- - GRADUE EN CENTIMETRES SUR LES 2 FACES-CHIFFRE DES - DECIMETRES EN NOIR-CHIFFRES DES METRES EN ROUGE - BOITIER METALLIQUE RECOUVERT DE CUIR,AVEC MANIVELLE - EN LAITON,PLIANTE,RENTRANTE. LARGEUR 16 MM. LONGUEUR DU RUBAN 20 METRES </v>
          </cell>
          <cell r="D415" t="str">
            <v>PE</v>
          </cell>
          <cell r="E415" t="str">
            <v>522.52203</v>
          </cell>
          <cell r="F415">
            <v>1296</v>
          </cell>
          <cell r="G415">
            <v>0</v>
          </cell>
          <cell r="H415">
            <v>0</v>
          </cell>
          <cell r="I415">
            <v>0</v>
          </cell>
          <cell r="J415">
            <v>3</v>
          </cell>
          <cell r="K415">
            <v>2</v>
          </cell>
          <cell r="L415">
            <v>0</v>
          </cell>
        </row>
        <row r="416">
          <cell r="A416" t="str">
            <v>10084.00204</v>
          </cell>
          <cell r="B416" t="str">
            <v>ROULETTE RUB ACI</v>
          </cell>
          <cell r="C416" t="str">
            <v xml:space="preserve">DIVERS INSTRUMENTS DE CONTROLES ET MESURES ROULETTE METRIQUE A RUBAN ACIER DESIGNATION DE 13 MM DE LARGEUR,DIVISIONS GRAVEES SUR TOUTE LA , LONGUEUR,CHIFFRE TOUS LES CM,DIVISIONS EN MM - BOITIER, METALLIQUE RECOUVERT DE CUIR,MANIVELLE LAITON,PLIANTE , RENTRANTE - LONGUEUR 20 METRES </v>
          </cell>
          <cell r="D416" t="str">
            <v>PE</v>
          </cell>
          <cell r="E416" t="str">
            <v>221.22105</v>
          </cell>
          <cell r="F416">
            <v>1944</v>
          </cell>
          <cell r="G416">
            <v>0</v>
          </cell>
          <cell r="H416">
            <v>0</v>
          </cell>
          <cell r="I416">
            <v>0</v>
          </cell>
          <cell r="J416">
            <v>0</v>
          </cell>
          <cell r="K416">
            <v>1</v>
          </cell>
          <cell r="L416">
            <v>0</v>
          </cell>
        </row>
        <row r="417">
          <cell r="A417" t="str">
            <v>10080.00274</v>
          </cell>
          <cell r="B417" t="str">
            <v>PERFORATEUR MR 70/80 6MM</v>
          </cell>
          <cell r="C417" t="str">
            <v xml:space="preserve">PERFORATEUR, MODELE RENFORCE, ECARTEMENT : 70/80 MM, PERFORANT 6 MM </v>
          </cell>
          <cell r="D417" t="str">
            <v>PE</v>
          </cell>
          <cell r="E417" t="str">
            <v>222.22206</v>
          </cell>
          <cell r="F417">
            <v>82.910399999999996</v>
          </cell>
          <cell r="G417">
            <v>0</v>
          </cell>
          <cell r="H417">
            <v>0</v>
          </cell>
          <cell r="I417">
            <v>0</v>
          </cell>
          <cell r="J417">
            <v>0</v>
          </cell>
          <cell r="K417">
            <v>91</v>
          </cell>
          <cell r="L417">
            <v>0</v>
          </cell>
        </row>
        <row r="418">
          <cell r="A418" t="str">
            <v>10080.00280</v>
          </cell>
          <cell r="B418" t="str">
            <v>AGRAFEUSE BUREAU</v>
          </cell>
          <cell r="C418" t="str">
            <v>AGRAFEUSES DE BUREAU A BRAS EXTENSIBLE (JAKY LONG OU ESSELETE 1300) COMPOSITION POUR AGRAFES DE 23/6; 23/8; 23/10; 23/13; 23/15 ET 23/17MM</v>
          </cell>
          <cell r="D418" t="str">
            <v>PE</v>
          </cell>
          <cell r="E418" t="str">
            <v>222.22206</v>
          </cell>
          <cell r="F418">
            <v>194.72730000000001</v>
          </cell>
          <cell r="G418">
            <v>0</v>
          </cell>
          <cell r="H418">
            <v>0</v>
          </cell>
          <cell r="I418">
            <v>0</v>
          </cell>
          <cell r="J418">
            <v>0</v>
          </cell>
          <cell r="K418">
            <v>42</v>
          </cell>
          <cell r="L418">
            <v>0</v>
          </cell>
        </row>
        <row r="419">
          <cell r="A419" t="str">
            <v>10075.01904</v>
          </cell>
          <cell r="B419" t="str">
            <v>PEINTURE SYNTHETIQUE FINI</v>
          </cell>
          <cell r="C419" t="str">
            <v xml:space="preserve">PEINTURE - VITRERIE PEINTURE POUR CARROSSERIE PEINTURE SYNTHETIQUE  FINITION , CONDITIONNEMENT 1 KG COULEUR RAL 1013 (BLANC PERLE) GENRE SADVEL:CARGO CHIMICOLOR:LUXAUTO PRODEC:G2 OU G+ </v>
          </cell>
          <cell r="D419" t="str">
            <v>KG</v>
          </cell>
          <cell r="E419" t="str">
            <v>522.52203</v>
          </cell>
          <cell r="F419">
            <v>28.583500000000001</v>
          </cell>
          <cell r="G419">
            <v>0</v>
          </cell>
          <cell r="H419">
            <v>0</v>
          </cell>
          <cell r="I419">
            <v>0</v>
          </cell>
          <cell r="J419">
            <v>0</v>
          </cell>
          <cell r="K419">
            <v>0</v>
          </cell>
          <cell r="L419">
            <v>0</v>
          </cell>
        </row>
        <row r="420">
          <cell r="A420" t="str">
            <v>10080.00121</v>
          </cell>
          <cell r="B420" t="str">
            <v>PORTE MINES</v>
          </cell>
          <cell r="C420" t="str">
            <v xml:space="preserve">FOURNITURES ET MATERIEL POUR LE BUREAU PORTE-MINES,HEXAGONAL,AVEC AGRAFE  DESTINATION POUR MINE DE 90 MM DE LONG ET 2 MM DE DIAMETRE COMPOSITION AVEC TAILLE-MINE ET GOMME </v>
          </cell>
          <cell r="D420" t="str">
            <v>PE</v>
          </cell>
          <cell r="E420" t="str">
            <v>222.22206</v>
          </cell>
          <cell r="F420">
            <v>7.1879999999999997</v>
          </cell>
          <cell r="G420">
            <v>0</v>
          </cell>
          <cell r="H420">
            <v>0</v>
          </cell>
          <cell r="I420">
            <v>0</v>
          </cell>
          <cell r="J420">
            <v>0</v>
          </cell>
          <cell r="K420">
            <v>0</v>
          </cell>
          <cell r="L420">
            <v>0</v>
          </cell>
        </row>
        <row r="421">
          <cell r="A421" t="str">
            <v>10075.01910</v>
          </cell>
          <cell r="B421" t="str">
            <v>PEINTURE SYNTHETIQUE FINI</v>
          </cell>
          <cell r="C421" t="str">
            <v xml:space="preserve">PEINTURE - VITRERIE PEINTURE POUR CARROSSERIE PEINTURE SYNTHETIQUE  FINITION , CONDITIONNEMENT 1 KG COULEUR RAL 1023 (JAUNE TRAFIC) GENRE SADVEL:CARGO CHIMICOLOR:LUXAUTO PRODEC:G2 OU G+ </v>
          </cell>
          <cell r="D421" t="str">
            <v>KG</v>
          </cell>
          <cell r="E421" t="str">
            <v>522.52203</v>
          </cell>
          <cell r="F421">
            <v>28.6281</v>
          </cell>
          <cell r="G421">
            <v>0</v>
          </cell>
          <cell r="H421">
            <v>0</v>
          </cell>
          <cell r="I421">
            <v>0</v>
          </cell>
          <cell r="J421">
            <v>0</v>
          </cell>
          <cell r="K421">
            <v>0</v>
          </cell>
          <cell r="L421">
            <v>0</v>
          </cell>
        </row>
        <row r="422">
          <cell r="A422" t="str">
            <v>10073.00148</v>
          </cell>
          <cell r="B422" t="str">
            <v>ACETONE INDUSTRIEL 99,5%</v>
          </cell>
          <cell r="C422" t="str">
            <v xml:space="preserve">ACETONE INDUSTRIEL ; PURETE 99,5 POUR CENT COULEUR SUIVANT ASTMD 1209 : 5 MAXI                    DENSITE :   A 20 DEGRE C = 0,970 A 0,792 KG/L                ,     TENEUR EN EAU = 0,3 POUR CENT                          ,     COURBE DE DISTILLATION : 55,8 DEGRE A 56,6 DEGRE       ,     UTILISATION : TRAVAUX DE RESINE ET DE PLASTIQUE OU     ,     COMME SOLVANT                                          </v>
          </cell>
          <cell r="D422" t="str">
            <v>L</v>
          </cell>
          <cell r="E422" t="str">
            <v>522.52203</v>
          </cell>
          <cell r="F422">
            <v>16</v>
          </cell>
          <cell r="G422">
            <v>0</v>
          </cell>
          <cell r="H422">
            <v>0</v>
          </cell>
          <cell r="I422">
            <v>0</v>
          </cell>
          <cell r="J422">
            <v>0</v>
          </cell>
          <cell r="K422">
            <v>3</v>
          </cell>
          <cell r="L422">
            <v>0</v>
          </cell>
        </row>
        <row r="423">
          <cell r="A423" t="str">
            <v>10073.00148</v>
          </cell>
          <cell r="B423" t="str">
            <v>ACETONE INDUSTRIEL 99,5%</v>
          </cell>
          <cell r="C423" t="str">
            <v xml:space="preserve">ACETONE INDUSTRIEL ; PURETE 99,5 POUR CENT COULEUR SUIVANT ASTMD 1209 : 5 MAXI                    DENSITE :   A 20 DEGRE C = 0,970 A 0,792 KG/L                ,     TENEUR EN EAU = 0,3 POUR CENT                          ,     COURBE DE DISTILLATION : 55,8 DEGRE A 56,6 DEGRE       ,     UTILISATION : TRAVAUX DE RESINE ET DE PLASTIQUE OU     ,     COMME SOLVANT                                          </v>
          </cell>
          <cell r="D423" t="str">
            <v>L</v>
          </cell>
          <cell r="E423" t="str">
            <v>522.52203</v>
          </cell>
          <cell r="F423">
            <v>16</v>
          </cell>
          <cell r="G423">
            <v>0</v>
          </cell>
          <cell r="H423">
            <v>0</v>
          </cell>
          <cell r="I423">
            <v>0</v>
          </cell>
          <cell r="J423">
            <v>0</v>
          </cell>
          <cell r="K423">
            <v>215</v>
          </cell>
          <cell r="L423">
            <v>0</v>
          </cell>
        </row>
        <row r="424">
          <cell r="A424" t="str">
            <v>10073.00170</v>
          </cell>
          <cell r="B424" t="str">
            <v>CHAMOISINE 40X50 CM ENVIR</v>
          </cell>
          <cell r="C424" t="str">
            <v xml:space="preserve">CHAMOISINE POUR BUREAU DIMENSIONS : 40 X 50 CM ENVIRON </v>
          </cell>
          <cell r="D424" t="str">
            <v>PE</v>
          </cell>
          <cell r="E424" t="str">
            <v>522.52203</v>
          </cell>
          <cell r="F424">
            <v>4.2</v>
          </cell>
          <cell r="G424">
            <v>0</v>
          </cell>
          <cell r="H424">
            <v>0</v>
          </cell>
          <cell r="I424">
            <v>0</v>
          </cell>
          <cell r="J424">
            <v>0</v>
          </cell>
          <cell r="K424">
            <v>0</v>
          </cell>
          <cell r="L424">
            <v>0</v>
          </cell>
        </row>
        <row r="425">
          <cell r="A425" t="str">
            <v>10079.00050</v>
          </cell>
          <cell r="B425" t="str">
            <v>POUBELLE EN POLYTHYLENE A 2 ROUE</v>
          </cell>
          <cell r="C425" t="str">
            <v xml:space="preserve">POUBELLE EN POLYTHYLENE A 2 ROUECAPACITE : 240 LITRES COULEUR STANDARD : A PRECISER </v>
          </cell>
          <cell r="D425" t="str">
            <v>PE</v>
          </cell>
          <cell r="E425" t="str">
            <v>522.52203</v>
          </cell>
          <cell r="F425">
            <v>600</v>
          </cell>
          <cell r="G425">
            <v>0</v>
          </cell>
          <cell r="H425">
            <v>0</v>
          </cell>
          <cell r="I425">
            <v>0</v>
          </cell>
          <cell r="J425">
            <v>0</v>
          </cell>
          <cell r="K425">
            <v>0</v>
          </cell>
          <cell r="L425">
            <v>0</v>
          </cell>
        </row>
        <row r="426">
          <cell r="A426" t="str">
            <v>10073.00171</v>
          </cell>
          <cell r="B426" t="str">
            <v>CHAMOISINE 40X80 CM EN 6</v>
          </cell>
          <cell r="C426" t="str">
            <v xml:space="preserve">CHAMOISINE DIMENSIONS : 40X80CM EN PAQUET DE 6 PIECES </v>
          </cell>
          <cell r="D426" t="str">
            <v>PE</v>
          </cell>
          <cell r="E426" t="str">
            <v>522.52203</v>
          </cell>
          <cell r="F426">
            <v>6.1302000000000003</v>
          </cell>
          <cell r="G426">
            <v>0</v>
          </cell>
          <cell r="H426">
            <v>0</v>
          </cell>
          <cell r="I426">
            <v>0</v>
          </cell>
          <cell r="J426">
            <v>0</v>
          </cell>
          <cell r="K426">
            <v>0</v>
          </cell>
          <cell r="L426">
            <v>0</v>
          </cell>
        </row>
        <row r="427">
          <cell r="A427" t="str">
            <v>10080.00272</v>
          </cell>
          <cell r="B427" t="str">
            <v>PERFORATEUR A 3 TROUS LEVIER</v>
          </cell>
          <cell r="C427" t="str">
            <v xml:space="preserve">PERFORATEURS A 3 TROUS ECARTEMENT= 70 ET 80 MM </v>
          </cell>
          <cell r="D427" t="str">
            <v>PE</v>
          </cell>
          <cell r="E427" t="str">
            <v>222.22206</v>
          </cell>
          <cell r="F427">
            <v>34.32</v>
          </cell>
          <cell r="G427">
            <v>0</v>
          </cell>
          <cell r="H427">
            <v>0</v>
          </cell>
          <cell r="I427">
            <v>0</v>
          </cell>
          <cell r="J427">
            <v>0</v>
          </cell>
          <cell r="K427">
            <v>0</v>
          </cell>
          <cell r="L427">
            <v>0</v>
          </cell>
        </row>
        <row r="428">
          <cell r="A428" t="str">
            <v>10083.00214</v>
          </cell>
          <cell r="B428" t="str">
            <v>BOIT ARCHIVE CART EXCEL</v>
          </cell>
          <cell r="C428" t="str">
            <v xml:space="preserve">SAC ARCHIVE DESIGNATION : BOITE A ARCHIVER EN CARTON FERMETURE RABATABLE, 2 POSITIONS DE RANGEMENT GENRE : EXCEL DIMENSIONS : 345X225X85 </v>
          </cell>
          <cell r="D428" t="str">
            <v>PE</v>
          </cell>
          <cell r="E428" t="str">
            <v>222.22206</v>
          </cell>
          <cell r="F428">
            <v>2.9418000000000002</v>
          </cell>
          <cell r="G428">
            <v>0</v>
          </cell>
          <cell r="H428">
            <v>0</v>
          </cell>
          <cell r="I428">
            <v>0</v>
          </cell>
          <cell r="J428">
            <v>0</v>
          </cell>
          <cell r="K428">
            <v>1295</v>
          </cell>
          <cell r="L428">
            <v>0</v>
          </cell>
        </row>
        <row r="429">
          <cell r="A429" t="str">
            <v>10074.00126</v>
          </cell>
          <cell r="B429" t="str">
            <v>PINCEAU PLA 24MM</v>
          </cell>
          <cell r="C429" t="str">
            <v xml:space="preserve">DROGUERIE PINCEAUX A FILET TYPES PLATS QUALITE : SUPERIEUR POUR FILEURS LARGEUR : 24 MM COMPOSITION : VIROLE FER BLANC - DOUBLE SERTISSAGE MATIERE : EN POILS </v>
          </cell>
          <cell r="D429" t="str">
            <v>PE</v>
          </cell>
          <cell r="E429" t="str">
            <v>522.52203</v>
          </cell>
          <cell r="F429">
            <v>13.032</v>
          </cell>
          <cell r="G429">
            <v>0</v>
          </cell>
          <cell r="H429">
            <v>0</v>
          </cell>
          <cell r="I429">
            <v>0</v>
          </cell>
          <cell r="J429">
            <v>0</v>
          </cell>
          <cell r="K429">
            <v>0</v>
          </cell>
          <cell r="L429">
            <v>0</v>
          </cell>
        </row>
        <row r="430">
          <cell r="A430" t="str">
            <v>10083.00215</v>
          </cell>
          <cell r="B430" t="str">
            <v>DOSSIER SUSP ENTRAXE 330</v>
          </cell>
          <cell r="C430" t="str">
            <v xml:space="preserve">PAPETERIE DOSSIERS SUSPENDUS  COULEUR : = DESTINATION POUR BAC COMPOSITION : EN PAPIER"KRAFT" A GLISSIERE DE 300 MM ENVIRON A LECT , HORIZONTALE AVEC PLANCHE ET RODOIDE- ENTRAXE 330 MM HAUTEUR : 250 MM </v>
          </cell>
          <cell r="D430" t="str">
            <v>PE</v>
          </cell>
          <cell r="E430" t="str">
            <v>222.22206</v>
          </cell>
          <cell r="F430">
            <v>4.8388</v>
          </cell>
          <cell r="G430">
            <v>0</v>
          </cell>
          <cell r="H430">
            <v>0</v>
          </cell>
          <cell r="I430">
            <v>0</v>
          </cell>
          <cell r="J430">
            <v>0</v>
          </cell>
          <cell r="K430">
            <v>480</v>
          </cell>
          <cell r="L430">
            <v>0</v>
          </cell>
        </row>
        <row r="431">
          <cell r="A431" t="str">
            <v>10083.00216</v>
          </cell>
          <cell r="B431" t="str">
            <v>DOSSIER SUSPENDU 250/380</v>
          </cell>
          <cell r="C431" t="str">
            <v xml:space="preserve">PAPETERIE DOSSIERS SUSPENDUS  COULEUR : A PRECISER EVENTUELLEMENT DESTINATION POUR BAC COMPOSITION : EN PAPIER "KRAFT" A GLISSIERE:DE 300 MM ENVIRON A LECT, HORIZONTALE AVEC PLANCHE ET RODOIDE- ENTRAXE 380 MM HAUTEUR : 250 MM </v>
          </cell>
          <cell r="D431" t="str">
            <v>PE</v>
          </cell>
          <cell r="E431" t="str">
            <v>222.22206</v>
          </cell>
          <cell r="F431">
            <v>5.3376999999999999</v>
          </cell>
          <cell r="G431">
            <v>0</v>
          </cell>
          <cell r="H431">
            <v>0</v>
          </cell>
          <cell r="I431">
            <v>0</v>
          </cell>
          <cell r="J431">
            <v>0</v>
          </cell>
          <cell r="K431">
            <v>1340</v>
          </cell>
          <cell r="L431">
            <v>0</v>
          </cell>
        </row>
        <row r="432">
          <cell r="A432" t="str">
            <v>10067.07619</v>
          </cell>
          <cell r="B432" t="str">
            <v>VANNE A OPERCULE DN 100 CALSS 150</v>
          </cell>
          <cell r="C432" t="str">
            <v>VANNE A OPERCULE DN 100 CALSS 150 ENCOMBREMENT: 229 MM CORPS: ASTM A352 LCCFLUIDE VEHICULE : AMMONIACSUIVANT FICHE TECHNIQUE</v>
          </cell>
          <cell r="D432" t="str">
            <v>PE</v>
          </cell>
          <cell r="E432" t="str">
            <v>515.51511</v>
          </cell>
          <cell r="F432">
            <v>9241</v>
          </cell>
          <cell r="G432">
            <v>0</v>
          </cell>
          <cell r="H432">
            <v>0</v>
          </cell>
          <cell r="I432">
            <v>0</v>
          </cell>
          <cell r="J432">
            <v>0</v>
          </cell>
          <cell r="K432">
            <v>0</v>
          </cell>
          <cell r="L432">
            <v>0</v>
          </cell>
        </row>
        <row r="433">
          <cell r="A433" t="str">
            <v>10080.00493</v>
          </cell>
          <cell r="B433" t="str">
            <v>BLOC DE FEUILLES AUTOCOLLANTES</v>
          </cell>
          <cell r="C433" t="str">
            <v>BLOC DE FEUILLES AUTOCLLANTES D'UN COTE (POST-IT)FORMAT ET COULEUR :  A PRECISER</v>
          </cell>
          <cell r="D433" t="str">
            <v>PE</v>
          </cell>
          <cell r="E433" t="str">
            <v>222.22206</v>
          </cell>
          <cell r="F433">
            <v>5.7812999999999999</v>
          </cell>
          <cell r="G433">
            <v>0</v>
          </cell>
          <cell r="H433">
            <v>188</v>
          </cell>
          <cell r="I433">
            <v>17</v>
          </cell>
          <cell r="J433">
            <v>58</v>
          </cell>
          <cell r="K433">
            <v>12</v>
          </cell>
          <cell r="L433">
            <v>0</v>
          </cell>
        </row>
        <row r="434">
          <cell r="A434" t="str">
            <v>10079.05355</v>
          </cell>
          <cell r="B434" t="str">
            <v>PLATEAU LIBRE SERVICE</v>
          </cell>
          <cell r="C434" t="str">
            <v xml:space="preserve">DIVERS ARTICLES DE CUISINE ET RESTAURATION PLATEAUX  , LIBRE SERVICE MATIERE : POLYESTER DIMENSIONS : 60 X 40 CM </v>
          </cell>
          <cell r="D434" t="str">
            <v>PE</v>
          </cell>
          <cell r="E434" t="str">
            <v>222.22203</v>
          </cell>
          <cell r="F434">
            <v>78</v>
          </cell>
          <cell r="G434">
            <v>0</v>
          </cell>
          <cell r="H434">
            <v>0</v>
          </cell>
          <cell r="I434">
            <v>0</v>
          </cell>
          <cell r="J434">
            <v>0</v>
          </cell>
          <cell r="K434">
            <v>0</v>
          </cell>
          <cell r="L434">
            <v>0</v>
          </cell>
        </row>
        <row r="435">
          <cell r="A435" t="str">
            <v>10075.01920</v>
          </cell>
          <cell r="B435" t="str">
            <v>PEINTURE SYNTHETIQUE FINI</v>
          </cell>
          <cell r="C435" t="str">
            <v xml:space="preserve">PEINTURE - VITRERIE PEINTURE POUR CARROSSERIE PEINTURE SYNTHETIQUE  FINITION , CONDITIONNEMENT 1 KG COULEUR RAL 3020 (ROUGE TRAFIC) SUIVANT FICHE TECHNIQUE CI-JOINTE. , GENRE SADVEL:CARGO CHIMICOLOR:LUXAUTO PRODEC:G2 OU G+ </v>
          </cell>
          <cell r="D435" t="str">
            <v>KG</v>
          </cell>
          <cell r="E435" t="str">
            <v>522.52203</v>
          </cell>
          <cell r="F435">
            <v>28.6281</v>
          </cell>
          <cell r="G435">
            <v>0</v>
          </cell>
          <cell r="H435">
            <v>0</v>
          </cell>
          <cell r="I435">
            <v>0</v>
          </cell>
          <cell r="J435">
            <v>0</v>
          </cell>
          <cell r="K435">
            <v>0</v>
          </cell>
          <cell r="L435">
            <v>0</v>
          </cell>
        </row>
        <row r="436">
          <cell r="A436" t="str">
            <v>10078.02885</v>
          </cell>
          <cell r="B436" t="str">
            <v>CHEMISE ETE ENCOLURE 52</v>
          </cell>
          <cell r="C436" t="str">
            <v xml:space="preserve">CHEMISE POUR ETE QUALITE : TISSU LEGER POLYVISCOSE REF.1818 COL : OUVERT RENFORCE A L'INTERIEUR MANCHES : COURTES, AVEC EPAULETTES COULEUR : BLEU CIEL ENCOLURE : 52 2 POCHES AVEC RABATS N.B: LE MACAR OCP SERA FOURNI EVENTUELLEMENT AUX FOURNISSEURS RETENUS POUR IMPRESSION SUR LES CHEMISESLES OFFRES DOIVENT ETRE ACCOMPAGNEES D'UN ECHANTILLONPOUR CHOIX POUR CHOIX </v>
          </cell>
          <cell r="D436" t="str">
            <v>PE</v>
          </cell>
          <cell r="E436" t="str">
            <v>522.52216</v>
          </cell>
          <cell r="F436">
            <v>200</v>
          </cell>
          <cell r="G436">
            <v>0</v>
          </cell>
          <cell r="H436">
            <v>0</v>
          </cell>
          <cell r="I436">
            <v>0</v>
          </cell>
          <cell r="J436">
            <v>0</v>
          </cell>
          <cell r="K436">
            <v>0</v>
          </cell>
          <cell r="L436">
            <v>0</v>
          </cell>
        </row>
        <row r="437">
          <cell r="A437" t="str">
            <v>10085.00893</v>
          </cell>
          <cell r="B437" t="str">
            <v>FEUILLE DE SOINS PRESCRIPTIONS MEDICALES</v>
          </cell>
          <cell r="C437" t="str">
            <v>FEUILLE DE SOINS ET DE PRESCRIPTIONS MEDICALESNATURE  : IMPRIME SIMPLE NUMEROTE AVEC TALON DETACHABLE COTE GAUCHEIMPRESSION : R°V° VERTE (NUMEROTATION EN ENCRE NOIRE) PAPIER : BLANC SUPERIEUR 80GR/M² FORMAT : 21 X 30 CM (DONT TALON DETACHABLE A GAUCHE DE 7 CM) PRESENTATION : PAYSAGEMODELE A REPRODUIRE ET SERIE DE NUMEROTATION : FOURNIS PAR SDG/PH/DI</v>
          </cell>
          <cell r="D437" t="str">
            <v>PE</v>
          </cell>
          <cell r="E437" t="str">
            <v>222.22206</v>
          </cell>
          <cell r="F437">
            <v>0.28489999999999999</v>
          </cell>
          <cell r="G437">
            <v>0</v>
          </cell>
          <cell r="H437">
            <v>0</v>
          </cell>
          <cell r="I437">
            <v>0</v>
          </cell>
          <cell r="J437">
            <v>0</v>
          </cell>
          <cell r="K437">
            <v>0</v>
          </cell>
          <cell r="L437">
            <v>0</v>
          </cell>
        </row>
        <row r="438">
          <cell r="A438" t="str">
            <v>10085.00894</v>
          </cell>
          <cell r="B438" t="str">
            <v>FEUILLE DE SOINS ET PROTHESE DENTAIRES</v>
          </cell>
          <cell r="C438" t="str">
            <v>FEUILLE DE SOINS ET PROTHESE DENTAIRESNATURE  : IMPRIME SIMPLE NUMEROTE AVEC TALON DETACHABLE COTE GAUCHEIMPRESSION : R°V° VERTE PAPIER : BLANC SUPERIEUR 80GR/M² FORMAT : 21 X 30 CM (DONT TALON DETACHABLE A GAUCHE DE 7 CM) PRESENTATION : PAYSAGEMODELE A REPRODUIRE ET SERIE DE NUMEROTATION : FOURNIS PAR SDG/PH/DI</v>
          </cell>
          <cell r="D438" t="str">
            <v>PE</v>
          </cell>
          <cell r="E438" t="str">
            <v>222.22206</v>
          </cell>
          <cell r="F438">
            <v>0.48139999999999999</v>
          </cell>
          <cell r="G438">
            <v>0</v>
          </cell>
          <cell r="H438">
            <v>0</v>
          </cell>
          <cell r="I438">
            <v>0</v>
          </cell>
          <cell r="J438">
            <v>0</v>
          </cell>
          <cell r="K438">
            <v>0</v>
          </cell>
          <cell r="L438">
            <v>0</v>
          </cell>
        </row>
        <row r="439">
          <cell r="A439" t="str">
            <v>10080.00292</v>
          </cell>
          <cell r="B439" t="str">
            <v>BOITE 1000 AGRAFES  6 MM</v>
          </cell>
          <cell r="C439" t="str">
            <v xml:space="preserve">BOITE DE 1000 AGRAFES ANTI-ROUILLE DE 6 MM </v>
          </cell>
          <cell r="D439" t="str">
            <v>PE</v>
          </cell>
          <cell r="E439" t="str">
            <v>222.22206</v>
          </cell>
          <cell r="F439">
            <v>6.1</v>
          </cell>
          <cell r="G439">
            <v>0</v>
          </cell>
          <cell r="H439">
            <v>0</v>
          </cell>
          <cell r="I439">
            <v>0</v>
          </cell>
          <cell r="J439">
            <v>0</v>
          </cell>
          <cell r="K439">
            <v>0</v>
          </cell>
          <cell r="L439">
            <v>0</v>
          </cell>
        </row>
        <row r="440">
          <cell r="A440" t="str">
            <v>10080.00294</v>
          </cell>
          <cell r="B440" t="str">
            <v>BOITE 1000 AGRAFES  BB</v>
          </cell>
          <cell r="C440" t="str">
            <v xml:space="preserve">FOURNITURES ET MATERIEL POUR LE BUREAU AGRAFES . . DESIGNATION : BOITE DE 1000 AGRAFES ANTI-ROUILLE "BB" </v>
          </cell>
          <cell r="D440" t="str">
            <v>PE</v>
          </cell>
          <cell r="E440" t="str">
            <v>222.22206</v>
          </cell>
          <cell r="F440">
            <v>2.3395999999999999</v>
          </cell>
          <cell r="G440">
            <v>0</v>
          </cell>
          <cell r="H440">
            <v>195</v>
          </cell>
          <cell r="I440">
            <v>21</v>
          </cell>
          <cell r="J440">
            <v>38</v>
          </cell>
          <cell r="K440">
            <v>76</v>
          </cell>
          <cell r="L440">
            <v>0</v>
          </cell>
        </row>
        <row r="441">
          <cell r="A441" t="str">
            <v>10080.00295</v>
          </cell>
          <cell r="B441" t="str">
            <v>BOITE 1000 AGRAFES 17MM</v>
          </cell>
          <cell r="C441" t="str">
            <v xml:space="preserve">FOURNITURES ET MATERIEL POUR LE BUREAU AGRAFES . . DESIGNATION : BOITE DE 1000 AGRAFES ANTI-ROUILLE DE 17 MM </v>
          </cell>
          <cell r="D441" t="str">
            <v>PE</v>
          </cell>
          <cell r="E441" t="str">
            <v>222.22206</v>
          </cell>
          <cell r="F441">
            <v>11.2835</v>
          </cell>
          <cell r="G441">
            <v>0</v>
          </cell>
          <cell r="H441">
            <v>101</v>
          </cell>
          <cell r="I441">
            <v>0</v>
          </cell>
          <cell r="J441">
            <v>10</v>
          </cell>
          <cell r="K441">
            <v>0</v>
          </cell>
          <cell r="L441">
            <v>0</v>
          </cell>
        </row>
        <row r="442">
          <cell r="A442" t="str">
            <v>10073.00264</v>
          </cell>
          <cell r="B442" t="str">
            <v>BOMBE AIR WICK 1/4 L</v>
          </cell>
          <cell r="C442" t="str">
            <v>BOMBE DESODORISANTE "AIR WICK" CONTENANCE : 1/4 DE LITRE MODE DE LIVRAISON : A LA DEMANDE PRODUIT DANGEREUX(FICHE DE DONNEES DE SECURITE EST EXIGE LORS DE LA LIVRAISON DU PRODUIT)</v>
          </cell>
          <cell r="D442" t="str">
            <v>PE</v>
          </cell>
          <cell r="E442" t="str">
            <v>522.52203</v>
          </cell>
          <cell r="F442">
            <v>18.434799999999999</v>
          </cell>
          <cell r="G442">
            <v>0</v>
          </cell>
          <cell r="H442">
            <v>0</v>
          </cell>
          <cell r="I442">
            <v>0</v>
          </cell>
          <cell r="J442">
            <v>0</v>
          </cell>
          <cell r="K442">
            <v>0</v>
          </cell>
          <cell r="L442">
            <v>0</v>
          </cell>
        </row>
        <row r="443">
          <cell r="A443" t="str">
            <v>10080.00282</v>
          </cell>
          <cell r="B443" t="str">
            <v>AGRAF JAKYNEUF68</v>
          </cell>
          <cell r="C443" t="str">
            <v xml:space="preserve">FOURNITURES ET MATERIEL POUR LE BUREAU AGRAFEUSES . . GENRE JAKY NEUF,NICKELEE DESTINATION POUR AGRAFES DE 6 ET 8 MM </v>
          </cell>
          <cell r="D443" t="str">
            <v>PE</v>
          </cell>
          <cell r="E443" t="str">
            <v>222.22206</v>
          </cell>
          <cell r="F443">
            <v>122.9636</v>
          </cell>
          <cell r="G443">
            <v>0</v>
          </cell>
          <cell r="H443">
            <v>0</v>
          </cell>
          <cell r="I443">
            <v>0</v>
          </cell>
          <cell r="J443">
            <v>0</v>
          </cell>
          <cell r="K443">
            <v>0</v>
          </cell>
          <cell r="L443">
            <v>0</v>
          </cell>
        </row>
        <row r="444">
          <cell r="A444" t="str">
            <v>10073.00266</v>
          </cell>
          <cell r="B444" t="str">
            <v>EAU DE JAVEL ACE BOUTEILLE 1L</v>
          </cell>
          <cell r="C444" t="str">
            <v xml:space="preserve">EAU DE JAVEL A 12ª,5 BEAUME , MARQUE : ACE EN BOUTEILLE DE 1 LITRE </v>
          </cell>
          <cell r="D444" t="str">
            <v>PE</v>
          </cell>
          <cell r="E444" t="str">
            <v>222.22201</v>
          </cell>
          <cell r="F444">
            <v>5.31</v>
          </cell>
          <cell r="G444">
            <v>0</v>
          </cell>
          <cell r="H444">
            <v>0</v>
          </cell>
          <cell r="I444">
            <v>0</v>
          </cell>
          <cell r="J444">
            <v>0</v>
          </cell>
          <cell r="K444">
            <v>0</v>
          </cell>
          <cell r="L444">
            <v>0</v>
          </cell>
        </row>
        <row r="445">
          <cell r="A445" t="str">
            <v>10076.00165</v>
          </cell>
          <cell r="B445" t="str">
            <v>THERMOMETRE D'AMBIANCE  -10°C A +50°C</v>
          </cell>
          <cell r="C445" t="str">
            <v>THERMOMETRE D'AMBIANCE MURAL SUR PLANCHETTEECHELLE: -10°C  A  +50°CGENRE PROLABO  REF: 01 383.054</v>
          </cell>
          <cell r="D445" t="str">
            <v>PE</v>
          </cell>
          <cell r="E445" t="str">
            <v>522.52211</v>
          </cell>
          <cell r="F445">
            <v>58</v>
          </cell>
          <cell r="G445">
            <v>0</v>
          </cell>
          <cell r="H445">
            <v>0</v>
          </cell>
          <cell r="I445">
            <v>0</v>
          </cell>
          <cell r="J445">
            <v>0</v>
          </cell>
          <cell r="K445">
            <v>0</v>
          </cell>
          <cell r="L445">
            <v>0</v>
          </cell>
        </row>
        <row r="446">
          <cell r="A446" t="str">
            <v>10080.00284</v>
          </cell>
          <cell r="B446" t="str">
            <v>PINCE AGRAFEUSE</v>
          </cell>
          <cell r="C446" t="str">
            <v xml:space="preserve">PINCE AGRAFEUSEGENRE BEBE-CLIP DESTINATION POUR AGRAFES BEBE OUVERTURE UTILE= 20 MM </v>
          </cell>
          <cell r="D446" t="str">
            <v>PE</v>
          </cell>
          <cell r="E446" t="str">
            <v>222.22206</v>
          </cell>
          <cell r="F446">
            <v>27</v>
          </cell>
          <cell r="G446">
            <v>0</v>
          </cell>
          <cell r="H446">
            <v>0</v>
          </cell>
          <cell r="I446">
            <v>0</v>
          </cell>
          <cell r="J446">
            <v>0</v>
          </cell>
          <cell r="K446">
            <v>0</v>
          </cell>
          <cell r="L446">
            <v>0</v>
          </cell>
        </row>
        <row r="447">
          <cell r="A447" t="str">
            <v>10080.00288</v>
          </cell>
          <cell r="B447" t="str">
            <v>DESAGRAFEUSE DE BUREAU</v>
          </cell>
          <cell r="C447" t="str">
            <v xml:space="preserve">FOURNITURES ET MATERIEL POUR LE BUREAU . . . DESIGNATION : DESAGRAFEUSE DESTINATION POUR AGRAFES BEBE ET JAKY </v>
          </cell>
          <cell r="D447" t="str">
            <v>PE</v>
          </cell>
          <cell r="E447" t="str">
            <v>222.22206</v>
          </cell>
          <cell r="F447">
            <v>1.9583999999999999</v>
          </cell>
          <cell r="G447">
            <v>0</v>
          </cell>
          <cell r="H447">
            <v>0</v>
          </cell>
          <cell r="I447">
            <v>0</v>
          </cell>
          <cell r="J447">
            <v>0</v>
          </cell>
          <cell r="K447">
            <v>48</v>
          </cell>
          <cell r="L447">
            <v>0</v>
          </cell>
        </row>
        <row r="448">
          <cell r="A448" t="str">
            <v>10074.00142</v>
          </cell>
          <cell r="B448" t="str">
            <v>PINCEAUX RONDS 4</v>
          </cell>
          <cell r="C448" t="str">
            <v xml:space="preserve">DROGUERIE PINCEAUX A FILET TYPES RONDS QUALITE : SUPERIEUR POUR FILEURS DIAMETRE : 4 MM COMPOSITION : VIROLE FER BLANC - DOUBLE SERTISSAGE MATIERE : EN POILS </v>
          </cell>
          <cell r="D448" t="str">
            <v>PE</v>
          </cell>
          <cell r="E448" t="str">
            <v>522.52203</v>
          </cell>
          <cell r="F448">
            <v>6.36</v>
          </cell>
          <cell r="G448">
            <v>0</v>
          </cell>
          <cell r="H448">
            <v>0</v>
          </cell>
          <cell r="I448">
            <v>0</v>
          </cell>
          <cell r="J448">
            <v>0</v>
          </cell>
          <cell r="K448">
            <v>8</v>
          </cell>
          <cell r="L448">
            <v>0</v>
          </cell>
        </row>
        <row r="449">
          <cell r="A449" t="str">
            <v>10080.00289</v>
          </cell>
          <cell r="B449" t="str">
            <v>BOITE 1000 AGRAFES 10 MM</v>
          </cell>
          <cell r="C449" t="str">
            <v xml:space="preserve">FOURNITURES ET MATERIEL POUR LE BUREAU AGRAFES . . DESIGNATION : BOITE DE 1000 AGRAFES ANTI-ROUILLE DE 10 MM </v>
          </cell>
          <cell r="D449" t="str">
            <v>PE</v>
          </cell>
          <cell r="E449" t="str">
            <v>222.22206</v>
          </cell>
          <cell r="F449">
            <v>16.2</v>
          </cell>
          <cell r="G449">
            <v>0</v>
          </cell>
          <cell r="H449">
            <v>88</v>
          </cell>
          <cell r="I449">
            <v>15</v>
          </cell>
          <cell r="J449">
            <v>14</v>
          </cell>
          <cell r="K449">
            <v>10</v>
          </cell>
          <cell r="L449">
            <v>0</v>
          </cell>
        </row>
        <row r="450">
          <cell r="A450" t="str">
            <v>10074.00148</v>
          </cell>
          <cell r="B450" t="str">
            <v>PINCEAU RON 10MM</v>
          </cell>
          <cell r="C450" t="str">
            <v xml:space="preserve">DROGUERIE PINCEAUX A FILET TYPES RONDS QUALITE : SUPERIEUR POUR FILEURS DIAMETRE : 10 MM COMPOSITION : VIROLE FER BLANC - DOUBLE SERTISSAGE MATIERE : EN POILS </v>
          </cell>
          <cell r="D450" t="str">
            <v>PE</v>
          </cell>
          <cell r="E450" t="str">
            <v>522.52203</v>
          </cell>
          <cell r="F450">
            <v>9.0530000000000008</v>
          </cell>
          <cell r="G450">
            <v>0</v>
          </cell>
          <cell r="H450">
            <v>0</v>
          </cell>
          <cell r="I450">
            <v>0</v>
          </cell>
          <cell r="J450">
            <v>0</v>
          </cell>
          <cell r="K450">
            <v>0</v>
          </cell>
          <cell r="L450">
            <v>0</v>
          </cell>
        </row>
        <row r="451">
          <cell r="A451" t="str">
            <v>10080.00290</v>
          </cell>
          <cell r="B451" t="str">
            <v>BOITE 1000 AGRAFES  8 MM</v>
          </cell>
          <cell r="C451" t="str">
            <v xml:space="preserve">FOURNITURES ET MATERIEL POUR LE BUREAU AGRAFES . . DESIGNATION : BOITE DE 1000 AGRAFES ANT-ROUILLE DE 8 MM </v>
          </cell>
          <cell r="D451" t="str">
            <v>PE</v>
          </cell>
          <cell r="E451" t="str">
            <v>222.22206</v>
          </cell>
          <cell r="F451">
            <v>7.6242999999999999</v>
          </cell>
          <cell r="G451">
            <v>0</v>
          </cell>
          <cell r="H451">
            <v>0</v>
          </cell>
          <cell r="I451">
            <v>0</v>
          </cell>
          <cell r="J451">
            <v>0</v>
          </cell>
          <cell r="K451">
            <v>0</v>
          </cell>
          <cell r="L451">
            <v>0</v>
          </cell>
        </row>
        <row r="452">
          <cell r="A452" t="str">
            <v>10068.00750</v>
          </cell>
          <cell r="B452" t="str">
            <v>MANCHON SW</v>
          </cell>
          <cell r="C452" t="str">
            <v>MANCHON SW MATIERE ACIER ALLIE S.3000 A 182 F11DN 40</v>
          </cell>
          <cell r="D452" t="str">
            <v>PE</v>
          </cell>
          <cell r="E452" t="str">
            <v>313.31301</v>
          </cell>
          <cell r="F452">
            <v>56</v>
          </cell>
          <cell r="G452">
            <v>0</v>
          </cell>
          <cell r="H452">
            <v>0</v>
          </cell>
          <cell r="I452">
            <v>0</v>
          </cell>
          <cell r="J452">
            <v>6</v>
          </cell>
          <cell r="K452">
            <v>0</v>
          </cell>
          <cell r="L452">
            <v>0</v>
          </cell>
        </row>
        <row r="453">
          <cell r="A453" t="str">
            <v>10082.00928</v>
          </cell>
          <cell r="B453" t="str">
            <v>FEUILLE CARTONNEE A4</v>
          </cell>
          <cell r="C453" t="str">
            <v>FEUILLE CARTONNEE FORMAT : 21 X 29,7 (A4)COULEUR A PRECISER</v>
          </cell>
          <cell r="D453" t="str">
            <v>PE</v>
          </cell>
          <cell r="E453" t="str">
            <v>222.22206</v>
          </cell>
          <cell r="F453">
            <v>0.42</v>
          </cell>
          <cell r="G453">
            <v>0</v>
          </cell>
          <cell r="H453">
            <v>0</v>
          </cell>
          <cell r="I453">
            <v>0</v>
          </cell>
          <cell r="J453">
            <v>0</v>
          </cell>
          <cell r="K453">
            <v>0</v>
          </cell>
          <cell r="L453">
            <v>0</v>
          </cell>
        </row>
        <row r="454">
          <cell r="A454" t="str">
            <v>10067.05160</v>
          </cell>
          <cell r="B454" t="str">
            <v>MANCHON COMPENSATEUR</v>
          </cell>
          <cell r="C454" t="str">
            <v>MANCHON COMPENSATEUR DN1500 PN10 LONGUEUR 480MM TEMPERATURE D'UTILISATION : 110° NOMBRE D'ONDE : 2 EQUIPE DE DEUX ANNEAUX DE RENFORCEMENT POUR LE VIDE EN INOX UB6 BRIDES EN ACIER GALVANISE EPAISSEUR 25MM PERCE AINSI 150LBS ENTRAXE 1759 FLUIDE VEHICULE H3PO4 GAZ D'ASSAINISSEMENT</v>
          </cell>
          <cell r="D454" t="str">
            <v>PE</v>
          </cell>
          <cell r="E454" t="str">
            <v>522.52207</v>
          </cell>
          <cell r="F454">
            <v>52672.385999999999</v>
          </cell>
          <cell r="G454">
            <v>0</v>
          </cell>
          <cell r="H454">
            <v>3</v>
          </cell>
          <cell r="I454">
            <v>1</v>
          </cell>
          <cell r="J454">
            <v>0</v>
          </cell>
          <cell r="K454">
            <v>1</v>
          </cell>
          <cell r="L454">
            <v>0</v>
          </cell>
        </row>
        <row r="455">
          <cell r="A455" t="str">
            <v>10068.00755</v>
          </cell>
          <cell r="B455" t="str">
            <v>MANCHON SW</v>
          </cell>
          <cell r="C455" t="str">
            <v>MANCHON SW MATIERE ACIER ALLIE S.3000 A 182 F11DN 50</v>
          </cell>
          <cell r="D455" t="str">
            <v>PE</v>
          </cell>
          <cell r="E455" t="str">
            <v>313.31301</v>
          </cell>
          <cell r="F455">
            <v>320</v>
          </cell>
          <cell r="G455">
            <v>0</v>
          </cell>
          <cell r="H455">
            <v>0</v>
          </cell>
          <cell r="I455">
            <v>0</v>
          </cell>
          <cell r="J455">
            <v>4</v>
          </cell>
          <cell r="K455">
            <v>0</v>
          </cell>
          <cell r="L455">
            <v>0</v>
          </cell>
        </row>
        <row r="456">
          <cell r="A456" t="str">
            <v>10081.00823</v>
          </cell>
          <cell r="B456" t="str">
            <v>DISQUE DUR 120GO EXTERNE  USB 2,5 POUCE</v>
          </cell>
          <cell r="C456" t="str">
            <v>DISQUE DUR EXTERNE USB CAPACITE : 120 GO</v>
          </cell>
          <cell r="D456" t="str">
            <v>PE</v>
          </cell>
          <cell r="E456" t="str">
            <v>222.22206</v>
          </cell>
          <cell r="F456">
            <v>920</v>
          </cell>
          <cell r="G456">
            <v>0</v>
          </cell>
          <cell r="H456">
            <v>0</v>
          </cell>
          <cell r="I456">
            <v>0</v>
          </cell>
          <cell r="J456">
            <v>0</v>
          </cell>
          <cell r="K456">
            <v>0</v>
          </cell>
          <cell r="L456">
            <v>0</v>
          </cell>
        </row>
        <row r="457">
          <cell r="A457" t="str">
            <v>10068.00756</v>
          </cell>
          <cell r="B457" t="str">
            <v>MANCHON SW</v>
          </cell>
          <cell r="C457" t="str">
            <v>MANCHON SW MATIERE ACIER ALLIE S.3000 A 105 SCH 80DN 15</v>
          </cell>
          <cell r="D457" t="str">
            <v>PE</v>
          </cell>
          <cell r="E457" t="str">
            <v>313.31301</v>
          </cell>
          <cell r="F457">
            <v>25</v>
          </cell>
          <cell r="G457">
            <v>10</v>
          </cell>
          <cell r="H457">
            <v>0</v>
          </cell>
          <cell r="I457">
            <v>0</v>
          </cell>
          <cell r="J457">
            <v>0</v>
          </cell>
          <cell r="K457">
            <v>0</v>
          </cell>
          <cell r="L457">
            <v>29</v>
          </cell>
        </row>
        <row r="458">
          <cell r="A458" t="str">
            <v>10068.00757</v>
          </cell>
          <cell r="B458" t="str">
            <v>MANCHON SW</v>
          </cell>
          <cell r="C458" t="str">
            <v>MANCHON SW MATIERE ACIER ALLIE S.3000 A 105 SCH 80DN 20</v>
          </cell>
          <cell r="D458" t="str">
            <v>PE</v>
          </cell>
          <cell r="E458" t="str">
            <v>313.31301</v>
          </cell>
          <cell r="F458">
            <v>27</v>
          </cell>
          <cell r="G458">
            <v>10</v>
          </cell>
          <cell r="H458">
            <v>0</v>
          </cell>
          <cell r="I458">
            <v>0</v>
          </cell>
          <cell r="J458">
            <v>0</v>
          </cell>
          <cell r="K458">
            <v>0</v>
          </cell>
          <cell r="L458">
            <v>20</v>
          </cell>
        </row>
        <row r="459">
          <cell r="A459" t="str">
            <v>10068.00758</v>
          </cell>
          <cell r="B459" t="str">
            <v>MANCHON SW</v>
          </cell>
          <cell r="C459" t="str">
            <v>MANCHON SW MATIERE ACIER ALLIE S.3000 A 105 SCH 80DN 25</v>
          </cell>
          <cell r="D459" t="str">
            <v>PE</v>
          </cell>
          <cell r="E459" t="str">
            <v>313.31301</v>
          </cell>
          <cell r="F459">
            <v>37.058799999999998</v>
          </cell>
          <cell r="G459">
            <v>0</v>
          </cell>
          <cell r="H459">
            <v>0</v>
          </cell>
          <cell r="I459">
            <v>0</v>
          </cell>
          <cell r="J459">
            <v>0</v>
          </cell>
          <cell r="K459">
            <v>0</v>
          </cell>
          <cell r="L459">
            <v>17</v>
          </cell>
        </row>
        <row r="460">
          <cell r="A460" t="str">
            <v>10068.00759</v>
          </cell>
          <cell r="B460" t="str">
            <v>MANCHON SW</v>
          </cell>
          <cell r="C460" t="str">
            <v>MANCHON SW MATIERE ACIER ALLIE S.3000 A 105 SCH 80DN 50</v>
          </cell>
          <cell r="D460" t="str">
            <v>PE</v>
          </cell>
          <cell r="E460" t="str">
            <v>313.31301</v>
          </cell>
          <cell r="F460">
            <v>60</v>
          </cell>
          <cell r="G460">
            <v>0</v>
          </cell>
          <cell r="H460">
            <v>0</v>
          </cell>
          <cell r="I460">
            <v>0</v>
          </cell>
          <cell r="J460">
            <v>0</v>
          </cell>
          <cell r="K460">
            <v>0</v>
          </cell>
          <cell r="L460">
            <v>10</v>
          </cell>
        </row>
        <row r="461">
          <cell r="A461" t="str">
            <v>10077.00058</v>
          </cell>
          <cell r="B461" t="str">
            <v>TOILE PLASTIQUE SYNTHETIQUE LARGEUR =1,50M</v>
          </cell>
          <cell r="C461" t="str">
            <v xml:space="preserve">TOILE EN PLASTIQUE SYNTHETIQUE COULEUR : VERTE OU JAUNE (A PRECISER) LARGEUR : 1,50 METRE </v>
          </cell>
          <cell r="D461" t="str">
            <v>M</v>
          </cell>
          <cell r="E461" t="str">
            <v>522.52208</v>
          </cell>
          <cell r="F461">
            <v>44</v>
          </cell>
          <cell r="G461">
            <v>0</v>
          </cell>
          <cell r="H461">
            <v>0</v>
          </cell>
          <cell r="I461">
            <v>0</v>
          </cell>
          <cell r="J461">
            <v>0</v>
          </cell>
          <cell r="K461">
            <v>0</v>
          </cell>
          <cell r="L461">
            <v>0</v>
          </cell>
        </row>
        <row r="462">
          <cell r="A462" t="str">
            <v>10079.05141</v>
          </cell>
          <cell r="B462" t="str">
            <v>CRUCHON ISOLANT THERMOS</v>
          </cell>
          <cell r="C462" t="str">
            <v xml:space="preserve">CRUCHON ISOLANT POUR LIQUIDE EN ACIER INOX (THERMOS) CONTENANCE : 1 L HAUTEUR : 270 MM DIAMETRE : 135 MM </v>
          </cell>
          <cell r="D462" t="str">
            <v>PE</v>
          </cell>
          <cell r="E462" t="str">
            <v>222.22203</v>
          </cell>
          <cell r="F462">
            <v>168</v>
          </cell>
          <cell r="G462">
            <v>0</v>
          </cell>
          <cell r="H462">
            <v>0</v>
          </cell>
          <cell r="I462">
            <v>0</v>
          </cell>
          <cell r="J462">
            <v>0</v>
          </cell>
          <cell r="K462">
            <v>0</v>
          </cell>
          <cell r="L462">
            <v>0</v>
          </cell>
        </row>
        <row r="463">
          <cell r="A463" t="str">
            <v>10081.00811</v>
          </cell>
          <cell r="B463" t="str">
            <v>BARRETTE MEMOIRE 1GO DDR 266MHZ</v>
          </cell>
          <cell r="C463" t="str">
            <v>BARRETTE MEMOIRE TYPE : DDR CAPACITE : 1GO VITESSE    : 266MHZ</v>
          </cell>
          <cell r="D463" t="str">
            <v>PE</v>
          </cell>
          <cell r="E463" t="str">
            <v>222.22206</v>
          </cell>
          <cell r="F463">
            <v>658.79989999999998</v>
          </cell>
          <cell r="G463">
            <v>0</v>
          </cell>
          <cell r="H463">
            <v>0</v>
          </cell>
          <cell r="I463">
            <v>0</v>
          </cell>
          <cell r="J463">
            <v>0</v>
          </cell>
          <cell r="K463">
            <v>0</v>
          </cell>
          <cell r="L463">
            <v>0</v>
          </cell>
        </row>
        <row r="464">
          <cell r="A464" t="str">
            <v>10067.00620</v>
          </cell>
          <cell r="B464" t="str">
            <v>CLAPET ANTI RETOUR A BATTANT</v>
          </cell>
          <cell r="C464" t="str">
            <v>CLAPET ANTI RETOUR A BATTANTMATIERE: CORPS, CLAPET ET BOUCHON EN INOX 316LETANCHEITE EN EPDMSERIE PN10DIAMETRE INT DN80 DIAMETRE EXT 144MMECARTEMENT 20MMRACCORDEMENT ENTRE BRIDESFLUIDE VEHICULE: EAU TRAITE</v>
          </cell>
          <cell r="D464" t="str">
            <v>PE</v>
          </cell>
          <cell r="E464" t="str">
            <v>515.51511</v>
          </cell>
          <cell r="F464">
            <v>1518.05</v>
          </cell>
          <cell r="G464">
            <v>0</v>
          </cell>
          <cell r="H464">
            <v>0</v>
          </cell>
          <cell r="I464">
            <v>0</v>
          </cell>
          <cell r="J464">
            <v>1</v>
          </cell>
          <cell r="K464">
            <v>0</v>
          </cell>
          <cell r="L464">
            <v>0</v>
          </cell>
        </row>
        <row r="465">
          <cell r="A465" t="str">
            <v>10081.00781</v>
          </cell>
          <cell r="B465" t="str">
            <v>GRAVEUR INTERNE DVD-CD</v>
          </cell>
          <cell r="C465" t="str">
            <v>GRAVEUR INTERNE DVD-CD</v>
          </cell>
          <cell r="D465" t="str">
            <v>PE</v>
          </cell>
          <cell r="E465" t="str">
            <v>222.22206</v>
          </cell>
          <cell r="F465">
            <v>275.21449999999999</v>
          </cell>
          <cell r="G465">
            <v>0</v>
          </cell>
          <cell r="H465">
            <v>0</v>
          </cell>
          <cell r="I465">
            <v>0</v>
          </cell>
          <cell r="J465">
            <v>0</v>
          </cell>
          <cell r="K465">
            <v>0</v>
          </cell>
          <cell r="L465">
            <v>0</v>
          </cell>
        </row>
        <row r="466">
          <cell r="A466" t="str">
            <v>10069.00765</v>
          </cell>
          <cell r="B466" t="str">
            <v>SAC EN POLYET 1100X750X50</v>
          </cell>
          <cell r="C466" t="str">
            <v xml:space="preserve">EMBALLAGE  EMBALLAGE PLASTIQUE  SAC .  DESIGNATION SAC EN POLYETHYLENE  DIMENSIONS : 1100 X 750 MM  EPAISSEUR 150 MICRONS  UTILISATION ECHANTILLON DE PHOSPHATE </v>
          </cell>
          <cell r="D466" t="str">
            <v>PE</v>
          </cell>
          <cell r="E466" t="str">
            <v>522.52203</v>
          </cell>
          <cell r="F466">
            <v>7.5</v>
          </cell>
          <cell r="G466">
            <v>0</v>
          </cell>
          <cell r="H466">
            <v>500</v>
          </cell>
          <cell r="I466">
            <v>0</v>
          </cell>
          <cell r="J466">
            <v>0</v>
          </cell>
          <cell r="K466">
            <v>0</v>
          </cell>
          <cell r="L466">
            <v>0</v>
          </cell>
        </row>
        <row r="467">
          <cell r="A467" t="str">
            <v>10067.00621</v>
          </cell>
          <cell r="B467" t="str">
            <v>CLAPET ANTI RETOUR A BATTANT</v>
          </cell>
          <cell r="C467" t="str">
            <v>CLAPET ANTI RETOUR A BATTANTMATIERE: CORPS, CLAPET ET BOUCHON EN INOX 316LETANCHEITE EN EPDMSERIE PN10DIAMETRE INT DN150 DIAMETRE EXT 220MMECARTEMENT 26MMRACCORDEMENT ENTRE BRIDESFLUIDE VEHICULE: EAU TRAITE</v>
          </cell>
          <cell r="D467" t="str">
            <v>PE</v>
          </cell>
          <cell r="E467" t="str">
            <v>515.51511</v>
          </cell>
          <cell r="F467">
            <v>3500</v>
          </cell>
          <cell r="G467">
            <v>0</v>
          </cell>
          <cell r="H467">
            <v>0</v>
          </cell>
          <cell r="I467">
            <v>0</v>
          </cell>
          <cell r="J467">
            <v>0</v>
          </cell>
          <cell r="K467">
            <v>1</v>
          </cell>
          <cell r="L467">
            <v>0</v>
          </cell>
        </row>
        <row r="468">
          <cell r="A468" t="str">
            <v>10067.00622</v>
          </cell>
          <cell r="B468" t="str">
            <v>CLAPET ANTI RETOUR A BATTANT</v>
          </cell>
          <cell r="C468" t="str">
            <v>CLAPET ANTI RETOUR A BATTANTMATIERE: CORPS, CLAPET ET BOUCHON EN INOX 316LETANCHEITE EN EPDMSERIE PN10DIAMETRE INT DN200 DIAMETRE EXT 275MMECARTEMENT 34MMRACCORDEMENT ENTRE BRIDESFLUIDE VEHICULE: EAU TRAITE</v>
          </cell>
          <cell r="D468" t="str">
            <v>PE</v>
          </cell>
          <cell r="E468" t="str">
            <v>515.51511</v>
          </cell>
          <cell r="F468">
            <v>5573</v>
          </cell>
          <cell r="G468">
            <v>0</v>
          </cell>
          <cell r="H468">
            <v>0</v>
          </cell>
          <cell r="I468">
            <v>0</v>
          </cell>
          <cell r="J468">
            <v>0</v>
          </cell>
          <cell r="K468">
            <v>0</v>
          </cell>
          <cell r="L468">
            <v>1</v>
          </cell>
        </row>
        <row r="469">
          <cell r="A469" t="str">
            <v>10067.00623</v>
          </cell>
          <cell r="B469" t="str">
            <v>CLAPET ANTI RETOUR A BATTANT</v>
          </cell>
          <cell r="C469" t="str">
            <v>CLAPET ANTI RETOUR A BATTANTMATIERE: CORPS, CLAPET ET BOUCHON EN INOX 316LETANCHEITE EN EPDMSERIE PN10DIAMETRE INT DN250 DIAMETRE EXT 325MMECARTEMENT 37MMRACCORDEMENT ENTRE BRIDESFLUIDE VEHICULE: EAU TRAITE</v>
          </cell>
          <cell r="D469" t="str">
            <v>PE</v>
          </cell>
          <cell r="E469" t="str">
            <v>515.51511</v>
          </cell>
          <cell r="F469">
            <v>7672.5</v>
          </cell>
          <cell r="G469">
            <v>0</v>
          </cell>
          <cell r="H469">
            <v>0</v>
          </cell>
          <cell r="I469">
            <v>0</v>
          </cell>
          <cell r="J469">
            <v>0</v>
          </cell>
          <cell r="K469">
            <v>0</v>
          </cell>
          <cell r="L469">
            <v>2</v>
          </cell>
        </row>
        <row r="470">
          <cell r="A470" t="str">
            <v>10067.00624</v>
          </cell>
          <cell r="B470" t="str">
            <v>CLAPET ANTI RETOUR A BATTANT</v>
          </cell>
          <cell r="C470" t="str">
            <v>CLAPET ANTI RETOUR A BATTANTMATIERE: CORPS, CLAPET ET BOUCHON EN INOX 316LETANCHEITE EN EPDMSERIE PN10DIAMETRE INT DN80 DIAMETRE EXT 133MMECARTEMENT 20MMRACCORDEMENT ENTRE BRIDESFLUIDE VEHICULE: EAU TRAITE</v>
          </cell>
          <cell r="D470" t="str">
            <v>PE</v>
          </cell>
          <cell r="E470" t="str">
            <v>515.51511</v>
          </cell>
          <cell r="F470">
            <v>1330</v>
          </cell>
          <cell r="G470">
            <v>0</v>
          </cell>
          <cell r="H470">
            <v>2</v>
          </cell>
          <cell r="I470">
            <v>0</v>
          </cell>
          <cell r="J470">
            <v>0</v>
          </cell>
          <cell r="K470">
            <v>0</v>
          </cell>
          <cell r="L470">
            <v>9</v>
          </cell>
        </row>
        <row r="471">
          <cell r="A471" t="str">
            <v>10079.05225</v>
          </cell>
          <cell r="B471" t="str">
            <v>PLAT OVAL INOX 96,5X34 CM</v>
          </cell>
          <cell r="C471" t="str">
            <v xml:space="preserve">DIVERS ARTICLES DE CUISINE ET RESTAURATION PLATS OVALE , A SERVIR MATIERE : INOX DIMENSIONS : 96,5 X 34 CM LES OFFRES DOIVENT ETRE ACCOMPAGNEES DES ECHANTILLONS LES OFFRES DOIVENT ETRE ACCOMPAGNEES DES ECHANTILLONS DES ARTICLES PROPOSES POUR CHOIX DU SERVICE DEMANDEUR DES ARTICLES PROPOSES POUR CHOIX DU SERVICE DEMANDEUR </v>
          </cell>
          <cell r="D471" t="str">
            <v>PE</v>
          </cell>
          <cell r="E471" t="str">
            <v>222.22203</v>
          </cell>
          <cell r="F471">
            <v>308.30180000000001</v>
          </cell>
          <cell r="G471">
            <v>0</v>
          </cell>
          <cell r="H471">
            <v>0</v>
          </cell>
          <cell r="I471">
            <v>0</v>
          </cell>
          <cell r="J471">
            <v>0</v>
          </cell>
          <cell r="K471">
            <v>0</v>
          </cell>
          <cell r="L471">
            <v>0</v>
          </cell>
        </row>
        <row r="472">
          <cell r="A472" t="str">
            <v>10080.00140</v>
          </cell>
          <cell r="B472" t="str">
            <v>CRAYON BILL STANDARD BLEU</v>
          </cell>
          <cell r="C472" t="str">
            <v xml:space="preserve">FOURNITURES ET MATERIEL POUR LE BUREAU CRAYONS A BILLE POINTE STANDARD DESIGNATION : STYLO A BILLE POINTE STANDARD COULEUR BLEUE </v>
          </cell>
          <cell r="D472" t="str">
            <v>PE</v>
          </cell>
          <cell r="E472" t="str">
            <v>222.22206</v>
          </cell>
          <cell r="F472">
            <v>0.93779999999999997</v>
          </cell>
          <cell r="G472">
            <v>0</v>
          </cell>
          <cell r="H472">
            <v>0</v>
          </cell>
          <cell r="I472">
            <v>0</v>
          </cell>
          <cell r="J472">
            <v>0</v>
          </cell>
          <cell r="K472">
            <v>5</v>
          </cell>
          <cell r="L472">
            <v>0</v>
          </cell>
        </row>
        <row r="473">
          <cell r="A473" t="str">
            <v>10080.00141</v>
          </cell>
          <cell r="B473" t="str">
            <v>CRAYON BILL STANDAR ROUGE</v>
          </cell>
          <cell r="C473" t="str">
            <v xml:space="preserve">FOURNITURES ET MATERIEL POUR LE BUREAU CRAYONS A BILLE POINTE STANDARD DESIGNATION : STYLO A BILLE POINTE STANDARD COULEUR ROUGE </v>
          </cell>
          <cell r="D473" t="str">
            <v>PE</v>
          </cell>
          <cell r="E473" t="str">
            <v>222.22206</v>
          </cell>
          <cell r="F473">
            <v>0.92269999999999996</v>
          </cell>
          <cell r="G473">
            <v>0</v>
          </cell>
          <cell r="H473">
            <v>0</v>
          </cell>
          <cell r="I473">
            <v>0</v>
          </cell>
          <cell r="J473">
            <v>0</v>
          </cell>
          <cell r="K473">
            <v>0</v>
          </cell>
          <cell r="L473">
            <v>0</v>
          </cell>
        </row>
        <row r="474">
          <cell r="A474" t="str">
            <v>10080.00142</v>
          </cell>
          <cell r="B474" t="str">
            <v>CRAYON BILLE STAND NOIR</v>
          </cell>
          <cell r="C474" t="str">
            <v xml:space="preserve">FOURNITURES ET MATERIEL POUR LE BUREAU CRAYONS A BILLE POINTE STANDARD DESIGNATION : STYLO A BILLE POINTE STANDARD COULEUR NOIRE </v>
          </cell>
          <cell r="D474" t="str">
            <v>PE</v>
          </cell>
          <cell r="E474" t="str">
            <v>222.22206</v>
          </cell>
          <cell r="F474">
            <v>0.93959999999999999</v>
          </cell>
          <cell r="G474">
            <v>0</v>
          </cell>
          <cell r="H474">
            <v>0</v>
          </cell>
          <cell r="I474">
            <v>0</v>
          </cell>
          <cell r="J474">
            <v>0</v>
          </cell>
          <cell r="K474">
            <v>70</v>
          </cell>
          <cell r="L474">
            <v>0</v>
          </cell>
        </row>
        <row r="475">
          <cell r="A475" t="str">
            <v>10080.00143</v>
          </cell>
          <cell r="B475" t="str">
            <v>CRAYON BILLE STAND VERT</v>
          </cell>
          <cell r="C475" t="str">
            <v xml:space="preserve">FOURNITURES ET MATERIEL POUR LE BUREAU CRAYONS A BILLE POINTE STANDARD DESIGNATION : STYLO A BILLE POINTE STANDARD COULEUR VERTE </v>
          </cell>
          <cell r="D475" t="str">
            <v>PE</v>
          </cell>
          <cell r="E475" t="str">
            <v>222.22206</v>
          </cell>
          <cell r="F475">
            <v>0.92820000000000003</v>
          </cell>
          <cell r="G475">
            <v>0</v>
          </cell>
          <cell r="H475">
            <v>0</v>
          </cell>
          <cell r="I475">
            <v>203</v>
          </cell>
          <cell r="J475">
            <v>137</v>
          </cell>
          <cell r="K475">
            <v>143</v>
          </cell>
          <cell r="L475">
            <v>0</v>
          </cell>
        </row>
        <row r="476">
          <cell r="A476" t="str">
            <v>10068.01138</v>
          </cell>
          <cell r="B476" t="str">
            <v>BRIDE ASOUDER SW DN 20</v>
          </cell>
          <cell r="C476" t="str">
            <v>BRIDE A SOUDER SW,SURFACE DE JOINT SOULEVEE,DN20 CLASSE 150LBS,EN ASTM A-105,SCHEDULE 80,ANSI B16.5</v>
          </cell>
          <cell r="D476" t="str">
            <v>PE</v>
          </cell>
          <cell r="E476" t="str">
            <v>313.31301</v>
          </cell>
          <cell r="F476">
            <v>34.700000000000003</v>
          </cell>
          <cell r="G476">
            <v>0</v>
          </cell>
          <cell r="H476">
            <v>0</v>
          </cell>
          <cell r="I476">
            <v>0</v>
          </cell>
          <cell r="J476">
            <v>0</v>
          </cell>
          <cell r="K476">
            <v>0</v>
          </cell>
          <cell r="L476">
            <v>78</v>
          </cell>
        </row>
        <row r="477">
          <cell r="A477" t="str">
            <v>10079.00164</v>
          </cell>
          <cell r="B477" t="str">
            <v>SERVIETTE ESSUIE-MAINS</v>
          </cell>
          <cell r="C477" t="str">
            <v xml:space="preserve">DIVERS . . . DESIGNATION SERVIETTE ESSUIE-MAINS LONGUEUR 0,90 METRE LARGEUR 0,60 METRE QUALITE FIL ET COTON COULEUR CREME </v>
          </cell>
          <cell r="D477" t="str">
            <v>PE</v>
          </cell>
          <cell r="E477" t="str">
            <v>223.22302</v>
          </cell>
          <cell r="F477">
            <v>22.513100000000001</v>
          </cell>
          <cell r="G477">
            <v>0</v>
          </cell>
          <cell r="H477">
            <v>0</v>
          </cell>
          <cell r="I477">
            <v>0</v>
          </cell>
          <cell r="J477">
            <v>0</v>
          </cell>
          <cell r="K477">
            <v>0</v>
          </cell>
          <cell r="L477">
            <v>0</v>
          </cell>
        </row>
        <row r="478">
          <cell r="A478" t="str">
            <v>10068.01139</v>
          </cell>
          <cell r="B478" t="str">
            <v>BRIDE ASOUDER SW DN 25</v>
          </cell>
          <cell r="C478" t="str">
            <v>BRIDE A SOUDER SW,SURFACE DE JOINT SOULEVEE,DN25 CLASSE 150LBS,EN ASTM A-105,SCHEDULE 80,ANSI B16.5</v>
          </cell>
          <cell r="D478" t="str">
            <v>PE</v>
          </cell>
          <cell r="E478" t="str">
            <v>313.31301</v>
          </cell>
          <cell r="F478">
            <v>38.9</v>
          </cell>
          <cell r="G478">
            <v>0</v>
          </cell>
          <cell r="H478">
            <v>0</v>
          </cell>
          <cell r="I478">
            <v>0</v>
          </cell>
          <cell r="J478">
            <v>2</v>
          </cell>
          <cell r="K478">
            <v>0</v>
          </cell>
          <cell r="L478">
            <v>42</v>
          </cell>
        </row>
        <row r="479">
          <cell r="A479" t="str">
            <v>10073.00500</v>
          </cell>
          <cell r="B479" t="str">
            <v>SAVON DE MARSEILLE</v>
          </cell>
          <cell r="C479" t="str">
            <v>SAVON BLANC DIT "DE MARSEILLE" EN MORCEAUNB: LES OFFRES DOIVENT ETRE ACCOMPAGNES PAR DES ECHANTILLONS.</v>
          </cell>
          <cell r="D479" t="str">
            <v>KG</v>
          </cell>
          <cell r="E479" t="str">
            <v>522.52203</v>
          </cell>
          <cell r="F479">
            <v>17.013000000000002</v>
          </cell>
          <cell r="G479">
            <v>0</v>
          </cell>
          <cell r="H479">
            <v>0</v>
          </cell>
          <cell r="I479">
            <v>527</v>
          </cell>
          <cell r="J479">
            <v>0</v>
          </cell>
          <cell r="K479">
            <v>1896</v>
          </cell>
          <cell r="L479">
            <v>0</v>
          </cell>
        </row>
        <row r="480">
          <cell r="A480" t="str">
            <v>10068.01140</v>
          </cell>
          <cell r="B480" t="str">
            <v>BRIDE ASOUDER SW DN 40</v>
          </cell>
          <cell r="C480" t="str">
            <v>BRIDE A SOUDER SW,SURFACE DE JOINT SOULEVEE,DN40 CLASSE 150LBS,EN ASTM A-105,SCHEDULE 80,ANSI B16.5</v>
          </cell>
          <cell r="D480" t="str">
            <v>PE</v>
          </cell>
          <cell r="E480" t="str">
            <v>313.31301</v>
          </cell>
          <cell r="F480">
            <v>250.77780000000001</v>
          </cell>
          <cell r="G480">
            <v>0</v>
          </cell>
          <cell r="H480">
            <v>0</v>
          </cell>
          <cell r="I480">
            <v>0</v>
          </cell>
          <cell r="J480">
            <v>10</v>
          </cell>
          <cell r="K480">
            <v>4</v>
          </cell>
          <cell r="L480">
            <v>14</v>
          </cell>
        </row>
        <row r="481">
          <cell r="A481" t="str">
            <v>10068.01141</v>
          </cell>
          <cell r="B481" t="str">
            <v>BRIDE ASOUDER SW DN 50</v>
          </cell>
          <cell r="C481" t="str">
            <v>BRIDE A SOUDER SW,SURFACE DE JOINT SOULEVEE,DN50 CLASSE 150LBS,EN ASTM A-105,SCHEDULE 80,ANSI B16.5</v>
          </cell>
          <cell r="D481" t="str">
            <v>PE</v>
          </cell>
          <cell r="E481" t="str">
            <v>313.31301</v>
          </cell>
          <cell r="F481">
            <v>74.599999999999994</v>
          </cell>
          <cell r="G481">
            <v>0</v>
          </cell>
          <cell r="H481">
            <v>0</v>
          </cell>
          <cell r="I481">
            <v>0</v>
          </cell>
          <cell r="J481">
            <v>2</v>
          </cell>
          <cell r="K481">
            <v>12</v>
          </cell>
          <cell r="L481">
            <v>23</v>
          </cell>
        </row>
        <row r="482">
          <cell r="A482" t="str">
            <v>10067.00146</v>
          </cell>
          <cell r="B482" t="str">
            <v>TUYAU EN CAOUTCHOUC BRIDE</v>
          </cell>
          <cell r="C482" t="str">
            <v>TUYAU EN CAOUTCHOUC DIAM.INT 250MM LONG 2.955 METRES  BRIDES A CHAQUE EXTREMITE : UNE TOURNANTE ET L'AUTRE FIXE  RAYON DE COURBURE : 2000MM  TYPE PERFORMER AD10 H  GENRE : KLEBER     BRIDES: TYPE END FLEXPRODUIT VEHECULE : PULPE DE PHOSPHATE / PN10 / PRESSION D'ECLATEMENT : 30BARS / TEMPERATURE: - 30 A 70°C</v>
          </cell>
          <cell r="D482" t="str">
            <v>PE</v>
          </cell>
          <cell r="E482" t="str">
            <v>522.52203</v>
          </cell>
          <cell r="F482">
            <v>8870</v>
          </cell>
          <cell r="G482">
            <v>0</v>
          </cell>
          <cell r="H482">
            <v>0</v>
          </cell>
          <cell r="I482">
            <v>0</v>
          </cell>
          <cell r="J482">
            <v>10</v>
          </cell>
          <cell r="K482">
            <v>0</v>
          </cell>
          <cell r="L482">
            <v>0</v>
          </cell>
        </row>
        <row r="483">
          <cell r="A483" t="str">
            <v>10068.03783</v>
          </cell>
          <cell r="B483" t="str">
            <v>BRIDE WNF150LBS A105DN200</v>
          </cell>
          <cell r="C483" t="str">
            <v>BRIDE EN ACIER WNF150LBSMATIERE : A105DN 200 MM</v>
          </cell>
          <cell r="D483" t="str">
            <v>PE</v>
          </cell>
          <cell r="E483" t="str">
            <v>313.31301</v>
          </cell>
          <cell r="F483">
            <v>413</v>
          </cell>
          <cell r="G483">
            <v>0</v>
          </cell>
          <cell r="H483">
            <v>0</v>
          </cell>
          <cell r="I483">
            <v>0</v>
          </cell>
          <cell r="J483">
            <v>2</v>
          </cell>
          <cell r="K483">
            <v>0</v>
          </cell>
          <cell r="L483">
            <v>0</v>
          </cell>
        </row>
        <row r="484">
          <cell r="A484" t="str">
            <v>10080.00228</v>
          </cell>
          <cell r="B484" t="str">
            <v>ENCRE P/COMPOSTEUR NOIR</v>
          </cell>
          <cell r="C484" t="str">
            <v xml:space="preserve">FOURNITURES ET MATERIEL POUR LE BUREAU ENCRE  DESIGNATION : TUBE D'ENCRE A TAMPON DE 20 ML GENRE PELIKAN COULEUR NOIRE DESTINATION POUR FEUTRE PRE-ENCRES DU COMPOSTEUR </v>
          </cell>
          <cell r="D484" t="str">
            <v>PE</v>
          </cell>
          <cell r="E484" t="str">
            <v>222.22206</v>
          </cell>
          <cell r="F484">
            <v>19.8</v>
          </cell>
          <cell r="G484">
            <v>0</v>
          </cell>
          <cell r="H484">
            <v>0</v>
          </cell>
          <cell r="I484">
            <v>0</v>
          </cell>
          <cell r="J484">
            <v>0</v>
          </cell>
          <cell r="K484">
            <v>17</v>
          </cell>
          <cell r="L484">
            <v>0</v>
          </cell>
        </row>
        <row r="485">
          <cell r="A485" t="str">
            <v>10068.01151</v>
          </cell>
          <cell r="B485" t="str">
            <v>BRIDE TOURNANTE DN 200</v>
          </cell>
          <cell r="C485" t="str">
            <v>BRIDE TOURNANTE,SURFACE DE JOINT SURELEVEE,DN200 CLASSE 150LBS,EN ASTM A 105,ANSI B16.5</v>
          </cell>
          <cell r="D485" t="str">
            <v>PE</v>
          </cell>
          <cell r="E485" t="str">
            <v>313.31301</v>
          </cell>
          <cell r="F485">
            <v>583</v>
          </cell>
          <cell r="G485">
            <v>0</v>
          </cell>
          <cell r="H485">
            <v>0</v>
          </cell>
          <cell r="I485">
            <v>0</v>
          </cell>
          <cell r="J485">
            <v>0</v>
          </cell>
          <cell r="K485">
            <v>0</v>
          </cell>
          <cell r="L485">
            <v>1</v>
          </cell>
        </row>
        <row r="486">
          <cell r="A486" t="str">
            <v>10068.01159</v>
          </cell>
          <cell r="B486" t="str">
            <v>BRIDE TOURNANTE DN 80</v>
          </cell>
          <cell r="C486" t="str">
            <v>BRIDE TOURNANTE,SURFACE DE JOINT PLATE,DN80,CLASSE 150LBS,EN ASTM A 105,ANSI B16.5</v>
          </cell>
          <cell r="D486" t="str">
            <v>PE</v>
          </cell>
          <cell r="E486" t="str">
            <v>313.31301</v>
          </cell>
          <cell r="F486">
            <v>152.30000000000001</v>
          </cell>
          <cell r="G486">
            <v>0</v>
          </cell>
          <cell r="H486">
            <v>4</v>
          </cell>
          <cell r="I486">
            <v>0</v>
          </cell>
          <cell r="J486">
            <v>2</v>
          </cell>
          <cell r="K486">
            <v>0</v>
          </cell>
          <cell r="L486">
            <v>14</v>
          </cell>
        </row>
        <row r="487">
          <cell r="A487" t="str">
            <v>10068.01160</v>
          </cell>
          <cell r="B487" t="str">
            <v>BRIDE TOURNANTE DN 100</v>
          </cell>
          <cell r="C487" t="str">
            <v>BRIDE TOURNANTE,SURFACE DE JOINT PLATE,DN100,CLASSE 150LBS,EN ASTM A 105,ANSI B16.5</v>
          </cell>
          <cell r="D487" t="str">
            <v>PE</v>
          </cell>
          <cell r="E487" t="str">
            <v>313.31301</v>
          </cell>
          <cell r="F487">
            <v>236.3</v>
          </cell>
          <cell r="G487">
            <v>0</v>
          </cell>
          <cell r="H487">
            <v>0</v>
          </cell>
          <cell r="I487">
            <v>0</v>
          </cell>
          <cell r="J487">
            <v>0</v>
          </cell>
          <cell r="K487">
            <v>0</v>
          </cell>
          <cell r="L487">
            <v>16</v>
          </cell>
        </row>
        <row r="488">
          <cell r="A488" t="str">
            <v>10067.00449</v>
          </cell>
          <cell r="B488" t="str">
            <v>CLAPET ANTI-RETOUR A BATTANT</v>
          </cell>
          <cell r="C488" t="str">
            <v>CLAPET ANTI-RETOUR A BATTANTEN INOX 316L TYPE CS50 DN:50 PN:10S/FICHE TECHNIQUE</v>
          </cell>
          <cell r="D488" t="str">
            <v>PE</v>
          </cell>
          <cell r="E488" t="str">
            <v>515.51511</v>
          </cell>
          <cell r="F488">
            <v>1701.1670999999999</v>
          </cell>
          <cell r="G488">
            <v>0</v>
          </cell>
          <cell r="H488">
            <v>0</v>
          </cell>
          <cell r="I488">
            <v>0</v>
          </cell>
          <cell r="J488">
            <v>0</v>
          </cell>
          <cell r="K488">
            <v>0</v>
          </cell>
          <cell r="L488">
            <v>0</v>
          </cell>
        </row>
        <row r="489">
          <cell r="A489" t="str">
            <v>10073.00360</v>
          </cell>
          <cell r="B489" t="str">
            <v>BLOC DESODORISANT P/CUVETTE WC</v>
          </cell>
          <cell r="C489" t="str">
            <v xml:space="preserve">BLOC DESODORISANT P/CUVETTE WCGENRE SCRATCH  - DEONET  OU AUTRE </v>
          </cell>
          <cell r="D489" t="str">
            <v>PE</v>
          </cell>
          <cell r="E489" t="str">
            <v>522.52203</v>
          </cell>
          <cell r="F489">
            <v>19.5</v>
          </cell>
          <cell r="G489">
            <v>0</v>
          </cell>
          <cell r="H489">
            <v>0</v>
          </cell>
          <cell r="I489">
            <v>0</v>
          </cell>
          <cell r="J489">
            <v>0</v>
          </cell>
          <cell r="K489">
            <v>5</v>
          </cell>
          <cell r="L489">
            <v>0</v>
          </cell>
        </row>
        <row r="490">
          <cell r="A490" t="str">
            <v>10067.00261</v>
          </cell>
          <cell r="B490" t="str">
            <v>VANNE A BOISSEAU CONIQUE DN 150 CLASSE 150</v>
          </cell>
          <cell r="C490" t="str">
            <v>VANNE A BOISSEAU CONIQUE BRIDEE AVEC REDUCTEURCLASSE:150 R.F.BRIDEE EN 310SSCHAPEAU BOULONNECORPS , SIEGE INTEGRESBIOSSEAU CONIQUE : ( CK20 EQUIVALENT DE 310SS )TIGE: 310SSSIEGE INTEGRALBRIDE PRESSE ETOUPE CF8M &amp; PRESSE ETOUPE EN 316SSCHAPEAU BOULONNE A193 B8 INOXGARNITURE EN PTFEEXTREMITES A BRIDES ASME B16.5 FACE A FACE DIMENSIONS : ASME B16.10PRESSION  TEMPERATURE : ASME B16.34DN 150 CLASSE 150SUIVANT FICHE TECHNIQUE   N.B: ( LA VANNE DOIT-ETRE ETIQUETEE AVEC PLAQUE SIGNALETIQUE, CODE PRODUIT , RAPPORTS D'ESSAIS DES PROPRIETES CHIMIQUES ET PHYSI</v>
          </cell>
          <cell r="D490" t="str">
            <v>PE</v>
          </cell>
          <cell r="E490" t="str">
            <v>515.51511</v>
          </cell>
          <cell r="F490">
            <v>15766.975</v>
          </cell>
          <cell r="G490">
            <v>0</v>
          </cell>
          <cell r="H490">
            <v>1</v>
          </cell>
          <cell r="I490">
            <v>0</v>
          </cell>
          <cell r="J490">
            <v>0</v>
          </cell>
          <cell r="K490">
            <v>0</v>
          </cell>
          <cell r="L490">
            <v>0</v>
          </cell>
        </row>
        <row r="491">
          <cell r="A491" t="str">
            <v>10079.03050</v>
          </cell>
          <cell r="B491" t="str">
            <v>TISSU ANTI ACIDE PLASTIFIE</v>
          </cell>
          <cell r="C491" t="str">
            <v xml:space="preserve">TISSU ANTI-ACIDE PLASTIFIE , LARGEUR MINIMAL : 150 CM , POUR CONFECTION DES CACHES BRIDE </v>
          </cell>
          <cell r="D491" t="str">
            <v>M2</v>
          </cell>
          <cell r="E491" t="str">
            <v>314.31402</v>
          </cell>
          <cell r="F491">
            <v>51.6</v>
          </cell>
          <cell r="G491">
            <v>0</v>
          </cell>
          <cell r="H491">
            <v>0</v>
          </cell>
          <cell r="I491">
            <v>0</v>
          </cell>
          <cell r="J491">
            <v>0</v>
          </cell>
          <cell r="K491">
            <v>0</v>
          </cell>
          <cell r="L491">
            <v>0</v>
          </cell>
        </row>
        <row r="492">
          <cell r="A492" t="str">
            <v>10067.05104</v>
          </cell>
          <cell r="B492" t="str">
            <v>MANCHON COMPENSATEUR</v>
          </cell>
          <cell r="C492" t="str">
            <v>MANCHON COMPENSATEUR EN CAOUTCHOUC NON EQUIPE DE TIRANTS POUR REPRISE DES EFFORTS  DUS A LA PRESSIONCAPFLEX TYPE TEC -10  MATIERE EPDM BRIDES EN ACIER AU CARBONE GALVANISEPERCAGE : - R(150#)= 20 TROUS DIAM 32 MM                   - L(PN16)= 20 TROUS DIAM 33 MMPRESSION : 5,7 BARSTEMPERATURE : 22 °CDN 500 LONGUEUR 265 MM</v>
          </cell>
          <cell r="D492" t="str">
            <v>PE</v>
          </cell>
          <cell r="E492" t="str">
            <v>522.52207</v>
          </cell>
          <cell r="F492">
            <v>15442</v>
          </cell>
          <cell r="G492">
            <v>0</v>
          </cell>
          <cell r="H492">
            <v>0</v>
          </cell>
          <cell r="I492">
            <v>2</v>
          </cell>
          <cell r="J492">
            <v>0</v>
          </cell>
          <cell r="K492">
            <v>0</v>
          </cell>
          <cell r="L492">
            <v>3</v>
          </cell>
        </row>
        <row r="493">
          <cell r="A493" t="str">
            <v>10073.01054</v>
          </cell>
          <cell r="B493" t="str">
            <v>SAVON LIQUIDE NATUREL</v>
          </cell>
          <cell r="C493" t="str">
            <v>SAVON LIQUIDE NATURELGENRE: TAOUS ANTIBACTERIEN HYDRATEPROTECION DES MAINSCONDITIONNEMENT: A PRECISERNB: DATE DE FABRICATION NE DOIT PAS DEPASSER DEUX MOIS AU MAXIMUM A LA DATE DE LIVRAISON.</v>
          </cell>
          <cell r="D493" t="str">
            <v>PE</v>
          </cell>
          <cell r="E493" t="str">
            <v>522.52203</v>
          </cell>
          <cell r="F493">
            <v>18.149999999999999</v>
          </cell>
          <cell r="G493">
            <v>0</v>
          </cell>
          <cell r="H493">
            <v>36</v>
          </cell>
          <cell r="I493">
            <v>0</v>
          </cell>
          <cell r="J493">
            <v>0</v>
          </cell>
          <cell r="K493">
            <v>0</v>
          </cell>
          <cell r="L493">
            <v>0</v>
          </cell>
        </row>
        <row r="494">
          <cell r="A494" t="str">
            <v>10080.00466</v>
          </cell>
          <cell r="B494" t="str">
            <v>PANIER A COURRIER A 3 TIROIRS</v>
          </cell>
          <cell r="C494" t="str">
            <v>PANIER A COURRIER EN PLASTIQUEA 3 TIROIRS</v>
          </cell>
          <cell r="D494" t="str">
            <v>PE</v>
          </cell>
          <cell r="E494" t="str">
            <v>222.22206</v>
          </cell>
          <cell r="F494">
            <v>324</v>
          </cell>
          <cell r="G494">
            <v>0</v>
          </cell>
          <cell r="H494">
            <v>0</v>
          </cell>
          <cell r="I494">
            <v>0</v>
          </cell>
          <cell r="J494">
            <v>0</v>
          </cell>
          <cell r="K494">
            <v>0</v>
          </cell>
          <cell r="L494">
            <v>0</v>
          </cell>
        </row>
        <row r="495">
          <cell r="A495" t="str">
            <v>10080.00467</v>
          </cell>
          <cell r="B495" t="str">
            <v>PANIER A COURRIER A 4 TIROIRS</v>
          </cell>
          <cell r="C495" t="str">
            <v>PANIER A COURRIER EN PLASTIQUEA 4 TIROIRS</v>
          </cell>
          <cell r="D495" t="str">
            <v>PE</v>
          </cell>
          <cell r="E495" t="str">
            <v>222.22206</v>
          </cell>
          <cell r="F495">
            <v>345</v>
          </cell>
          <cell r="G495">
            <v>0</v>
          </cell>
          <cell r="H495">
            <v>0</v>
          </cell>
          <cell r="I495">
            <v>0</v>
          </cell>
          <cell r="J495">
            <v>0</v>
          </cell>
          <cell r="K495">
            <v>0</v>
          </cell>
          <cell r="L495">
            <v>0</v>
          </cell>
        </row>
        <row r="496">
          <cell r="A496" t="str">
            <v>10067.01674</v>
          </cell>
          <cell r="B496" t="str">
            <v>VANNE A BOISSEAU SPHERIQUE DN50</v>
          </cell>
          <cell r="C496" t="str">
            <v>VANNE A BOISSEAU SPHERIQUE DN50AVEC BRIDES SUIVANT LA NORME ANSI B 16-5 CLASSE 150VOLANT MANUELLEENCOMBREMENT: 180CORPS+BOISSEAU+TIGE EN ALLOY20 CN-7MSIEGE+JOINTS DE CORPS ET D'AXE EN PTFESUIVANT FICHE TECHNIQUE</v>
          </cell>
          <cell r="D496" t="str">
            <v>PE</v>
          </cell>
          <cell r="E496" t="str">
            <v>515.51511</v>
          </cell>
          <cell r="F496">
            <v>4741</v>
          </cell>
          <cell r="G496">
            <v>0</v>
          </cell>
          <cell r="H496">
            <v>0</v>
          </cell>
          <cell r="I496">
            <v>0</v>
          </cell>
          <cell r="J496">
            <v>0</v>
          </cell>
          <cell r="K496">
            <v>0</v>
          </cell>
          <cell r="L496">
            <v>1</v>
          </cell>
        </row>
        <row r="497">
          <cell r="A497" t="str">
            <v>10079.05802</v>
          </cell>
          <cell r="B497" t="str">
            <v>CUILLERE A CAFE ORDINAIRE</v>
          </cell>
          <cell r="C497" t="str">
            <v xml:space="preserve">DIVERS ARTICLES DE CUISINE ET RESTAURATION CUILLERES  , A CAFE ORDINAIRE MATIERE : INOX LONGUEUR : 14 CM ENVIRON </v>
          </cell>
          <cell r="D497" t="str">
            <v>PE</v>
          </cell>
          <cell r="E497" t="str">
            <v>222.22203</v>
          </cell>
          <cell r="F497">
            <v>1.4263999999999999</v>
          </cell>
          <cell r="G497">
            <v>0</v>
          </cell>
          <cell r="H497">
            <v>0</v>
          </cell>
          <cell r="I497">
            <v>0</v>
          </cell>
          <cell r="J497">
            <v>0</v>
          </cell>
          <cell r="K497">
            <v>0</v>
          </cell>
          <cell r="L497">
            <v>0</v>
          </cell>
        </row>
        <row r="498">
          <cell r="A498" t="str">
            <v>10079.05950</v>
          </cell>
          <cell r="B498" t="str">
            <v>CASSEROLE INOX DIA:240MM</v>
          </cell>
          <cell r="C498" t="str">
            <v xml:space="preserve">DIVERS ARTICLES DE CUISINE ET RESTAURATION CASSEROLE EN INOX , (18-10) A QUEUE TRIPLE FOND DIAMETRE : 240 MM </v>
          </cell>
          <cell r="D498" t="str">
            <v>PE</v>
          </cell>
          <cell r="E498" t="str">
            <v>222.22203</v>
          </cell>
          <cell r="F498">
            <v>840</v>
          </cell>
          <cell r="G498">
            <v>0</v>
          </cell>
          <cell r="H498">
            <v>0</v>
          </cell>
          <cell r="I498">
            <v>0</v>
          </cell>
          <cell r="J498">
            <v>0</v>
          </cell>
          <cell r="K498">
            <v>0</v>
          </cell>
          <cell r="L498">
            <v>0</v>
          </cell>
        </row>
        <row r="499">
          <cell r="A499" t="str">
            <v>10080.00147</v>
          </cell>
          <cell r="B499" t="str">
            <v>CRAYON BILLE FINE ROUGE</v>
          </cell>
          <cell r="C499" t="str">
            <v xml:space="preserve">FOURNITURES ET MATERIEL POUR LE BUREAU CRAYONS A BILLE POINTE FINE DESIGNATION : STYLO A BILLE POINTE FINE COULEUR ROUGE </v>
          </cell>
          <cell r="D499" t="str">
            <v>PE</v>
          </cell>
          <cell r="E499" t="str">
            <v>222.22206</v>
          </cell>
          <cell r="F499">
            <v>1.1234999999999999</v>
          </cell>
          <cell r="G499">
            <v>0</v>
          </cell>
          <cell r="H499">
            <v>0</v>
          </cell>
          <cell r="I499">
            <v>0</v>
          </cell>
          <cell r="J499">
            <v>0</v>
          </cell>
          <cell r="K499">
            <v>0</v>
          </cell>
          <cell r="L499">
            <v>0</v>
          </cell>
        </row>
        <row r="500">
          <cell r="A500" t="str">
            <v>10080.00148</v>
          </cell>
          <cell r="B500" t="str">
            <v>CRAYON BILLE FINE NOIR</v>
          </cell>
          <cell r="C500" t="str">
            <v xml:space="preserve">FOURNITURES ET MATERIEL POUR LE BUREAU CRAYONS A BILLE POINTE FINE DESIGNATION : STYLO A BILLE POINTE FINE COULEUR NOIRE </v>
          </cell>
          <cell r="D500" t="str">
            <v>PE</v>
          </cell>
          <cell r="E500" t="str">
            <v>222.22206</v>
          </cell>
          <cell r="F500">
            <v>1.1655</v>
          </cell>
          <cell r="G500">
            <v>0</v>
          </cell>
          <cell r="H500">
            <v>0</v>
          </cell>
          <cell r="I500">
            <v>0</v>
          </cell>
          <cell r="J500">
            <v>51</v>
          </cell>
          <cell r="K500">
            <v>699</v>
          </cell>
          <cell r="L500">
            <v>0</v>
          </cell>
        </row>
        <row r="501">
          <cell r="A501" t="str">
            <v>10080.00149</v>
          </cell>
          <cell r="B501" t="str">
            <v>CRAYON BILLE FINE VERT</v>
          </cell>
          <cell r="C501" t="str">
            <v xml:space="preserve">FOURNITURES ET MATERIEL POUR LE BUREAU CRAYONS A BILLE POINTE FINE DESIGNATION : STYLO A BILLE POINTE FINE COULEUR VERTE </v>
          </cell>
          <cell r="D501" t="str">
            <v>PE</v>
          </cell>
          <cell r="E501" t="str">
            <v>222.22206</v>
          </cell>
          <cell r="F501">
            <v>1.1234999999999999</v>
          </cell>
          <cell r="G501">
            <v>0</v>
          </cell>
          <cell r="H501">
            <v>0</v>
          </cell>
          <cell r="I501">
            <v>0</v>
          </cell>
          <cell r="J501">
            <v>0</v>
          </cell>
          <cell r="K501">
            <v>115</v>
          </cell>
          <cell r="L501">
            <v>0</v>
          </cell>
        </row>
        <row r="502">
          <cell r="A502" t="str">
            <v>10080.00208</v>
          </cell>
          <cell r="B502" t="str">
            <v>ENCR TAMP GRAS B</v>
          </cell>
          <cell r="C502" t="str">
            <v xml:space="preserve">FOURNITURES ET MATERIEL POUR LE BUREAU ENCRE  COULEUR BLEUE MODE DE LIVRAISON EN FLACON DE 33 CC ENVIRON DESTINATION POUR TAMPON GRASSE ET TIMBRE EN CUIVRE </v>
          </cell>
          <cell r="D502" t="str">
            <v>PE</v>
          </cell>
          <cell r="E502" t="str">
            <v>222.22206</v>
          </cell>
          <cell r="F502">
            <v>2.976</v>
          </cell>
          <cell r="G502">
            <v>0</v>
          </cell>
          <cell r="H502">
            <v>0</v>
          </cell>
          <cell r="I502">
            <v>0</v>
          </cell>
          <cell r="J502">
            <v>0</v>
          </cell>
          <cell r="K502">
            <v>33</v>
          </cell>
          <cell r="L502">
            <v>0</v>
          </cell>
        </row>
        <row r="503">
          <cell r="A503" t="str">
            <v>10080.00211</v>
          </cell>
          <cell r="B503" t="str">
            <v>TAMPONS ENCREURS</v>
          </cell>
          <cell r="C503" t="str">
            <v xml:space="preserve">FOURNITURES ET MATERIEL POUR LE BUREAU TAMPON ENCREUR  COULEUR VIOLETTE FORMAT 95 X 60 DESTINATION POUR CACHET EN CAOUTCHOUC ENCRE </v>
          </cell>
          <cell r="D503" t="str">
            <v>PE</v>
          </cell>
          <cell r="E503" t="str">
            <v>222.22206</v>
          </cell>
          <cell r="F503">
            <v>3</v>
          </cell>
          <cell r="G503">
            <v>0</v>
          </cell>
          <cell r="H503">
            <v>0</v>
          </cell>
          <cell r="I503">
            <v>0</v>
          </cell>
          <cell r="J503">
            <v>0</v>
          </cell>
          <cell r="K503">
            <v>44</v>
          </cell>
          <cell r="L503">
            <v>0</v>
          </cell>
        </row>
        <row r="504">
          <cell r="A504" t="str">
            <v>10080.00212</v>
          </cell>
          <cell r="B504" t="str">
            <v>TAMPON ENCRE SEC</v>
          </cell>
          <cell r="C504" t="str">
            <v xml:space="preserve">FOURNITURES ET MATERIEL POUR LE BUREAU TAMPON ENCREUR  COULEUR ROUGE FORMAT 95 X 60 DESTINATION POUR CACHET EN CAOUTCHOUC ENCRE </v>
          </cell>
          <cell r="D504" t="str">
            <v>PE</v>
          </cell>
          <cell r="E504" t="str">
            <v>222.22206</v>
          </cell>
          <cell r="F504">
            <v>4.5</v>
          </cell>
          <cell r="G504">
            <v>0</v>
          </cell>
          <cell r="H504">
            <v>0</v>
          </cell>
          <cell r="I504">
            <v>0</v>
          </cell>
          <cell r="J504">
            <v>0</v>
          </cell>
          <cell r="K504">
            <v>9</v>
          </cell>
          <cell r="L504">
            <v>0</v>
          </cell>
        </row>
        <row r="505">
          <cell r="A505" t="str">
            <v>10079.05800</v>
          </cell>
          <cell r="B505" t="str">
            <v>CUILLERE CAFE INOX 18/10</v>
          </cell>
          <cell r="C505" t="str">
            <v xml:space="preserve">CUILLERES A CAFEEN INOX 18/10    </v>
          </cell>
          <cell r="D505" t="str">
            <v>PE</v>
          </cell>
          <cell r="E505" t="str">
            <v>222.22203</v>
          </cell>
          <cell r="F505">
            <v>5.4</v>
          </cell>
          <cell r="G505">
            <v>0</v>
          </cell>
          <cell r="H505">
            <v>0</v>
          </cell>
          <cell r="I505">
            <v>0</v>
          </cell>
          <cell r="J505">
            <v>0</v>
          </cell>
          <cell r="K505">
            <v>0</v>
          </cell>
          <cell r="L505">
            <v>0</v>
          </cell>
        </row>
        <row r="506">
          <cell r="A506" t="str">
            <v>10080.00202</v>
          </cell>
          <cell r="B506" t="str">
            <v>ENCR TAMP OMNITI</v>
          </cell>
          <cell r="C506" t="str">
            <v xml:space="preserve">FOURNITURES ET MATERIEL POUR LE BUREAU ENCRE  COULEUR ROUGE MODE DE LIVRAISON EN FLACON DE 30 MILLILITRES DESTINATION POUR TAMPON SANS HUILE ET TIMBRE EN CAOUTCHOUC </v>
          </cell>
          <cell r="D506" t="str">
            <v>PE</v>
          </cell>
          <cell r="E506" t="str">
            <v>222.22206</v>
          </cell>
          <cell r="F506">
            <v>2.976</v>
          </cell>
          <cell r="G506">
            <v>0</v>
          </cell>
          <cell r="H506">
            <v>0</v>
          </cell>
          <cell r="I506">
            <v>0</v>
          </cell>
          <cell r="J506">
            <v>0</v>
          </cell>
          <cell r="K506">
            <v>33</v>
          </cell>
          <cell r="L506">
            <v>0</v>
          </cell>
        </row>
        <row r="507">
          <cell r="A507" t="str">
            <v>10080.00203</v>
          </cell>
          <cell r="B507" t="str">
            <v>ENCR TIMBRE BLEU</v>
          </cell>
          <cell r="C507" t="str">
            <v xml:space="preserve">FOURNITURES ET MATERIEL POUR LE BUREAU ENCRE  COULEUR BLEUE MODE DE LIVRAISON EN FLACON DE 30 MILLILITRES DESTINATION POUR TAMPON SANS HUILE ET TIMBRE EN CAOUTCHOUC </v>
          </cell>
          <cell r="D507" t="str">
            <v>PE</v>
          </cell>
          <cell r="E507" t="str">
            <v>222.22206</v>
          </cell>
          <cell r="F507">
            <v>2.976</v>
          </cell>
          <cell r="G507">
            <v>0</v>
          </cell>
          <cell r="H507">
            <v>0</v>
          </cell>
          <cell r="I507">
            <v>0</v>
          </cell>
          <cell r="J507">
            <v>0</v>
          </cell>
          <cell r="K507">
            <v>76</v>
          </cell>
          <cell r="L507">
            <v>0</v>
          </cell>
        </row>
        <row r="508">
          <cell r="A508" t="str">
            <v>10080.00204</v>
          </cell>
          <cell r="B508" t="str">
            <v>ENCR TIMBRE NOIR</v>
          </cell>
          <cell r="C508" t="str">
            <v xml:space="preserve">FOURNITURES ET MATERIEL POUR LE BUREAU ENCRE  COULEUR NOIRE MODE DE LIVRAISON EN FLACON DE 30 MILLILITRES DESTINATION POUR TAMPON SANS HUILE ET TIMBRE EN CAOUTCHOUC </v>
          </cell>
          <cell r="D508" t="str">
            <v>PE</v>
          </cell>
          <cell r="E508" t="str">
            <v>222.22206</v>
          </cell>
          <cell r="F508">
            <v>2.976</v>
          </cell>
          <cell r="G508">
            <v>0</v>
          </cell>
          <cell r="H508">
            <v>0</v>
          </cell>
          <cell r="I508">
            <v>0</v>
          </cell>
          <cell r="J508">
            <v>0</v>
          </cell>
          <cell r="K508">
            <v>89</v>
          </cell>
          <cell r="L508">
            <v>0</v>
          </cell>
        </row>
        <row r="509">
          <cell r="A509" t="str">
            <v>10067.00750</v>
          </cell>
          <cell r="B509" t="str">
            <v>HOUSSE DE PROTECTION POUR COMPENSATEUR</v>
          </cell>
          <cell r="C509" t="str">
            <v>HOUSSE DE PROTECTION POUR COMPENSATEUR DN80 PN10 A 16ENCOMBREMENT DILATO 300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09" t="str">
            <v>PE</v>
          </cell>
          <cell r="E509" t="str">
            <v>522.52207</v>
          </cell>
          <cell r="F509">
            <v>520</v>
          </cell>
          <cell r="G509">
            <v>0</v>
          </cell>
          <cell r="H509">
            <v>0</v>
          </cell>
          <cell r="I509">
            <v>2</v>
          </cell>
          <cell r="J509">
            <v>0</v>
          </cell>
          <cell r="K509">
            <v>0</v>
          </cell>
          <cell r="L509">
            <v>0</v>
          </cell>
        </row>
        <row r="510">
          <cell r="A510" t="str">
            <v>10067.00753</v>
          </cell>
          <cell r="B510" t="str">
            <v>HOUSSE DE PROTECTION POUR COMPENSATEUR</v>
          </cell>
          <cell r="C510" t="str">
            <v>HOUSSE DE PROTECTION POUR COMPENSATEUR DN100 PN10 A 16ENCOMBREMENT DILATO 350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10" t="str">
            <v>PE</v>
          </cell>
          <cell r="E510" t="str">
            <v>522.52207</v>
          </cell>
          <cell r="F510">
            <v>550</v>
          </cell>
          <cell r="G510">
            <v>0</v>
          </cell>
          <cell r="H510">
            <v>0</v>
          </cell>
          <cell r="I510">
            <v>1</v>
          </cell>
          <cell r="J510">
            <v>6</v>
          </cell>
          <cell r="K510">
            <v>10</v>
          </cell>
          <cell r="L510">
            <v>0</v>
          </cell>
        </row>
        <row r="511">
          <cell r="A511" t="str">
            <v>10067.00754</v>
          </cell>
          <cell r="B511" t="str">
            <v>HOUSSE DE PROTECTION POUR COMPENSATEUR</v>
          </cell>
          <cell r="C511" t="str">
            <v>HOUSSE DE PROTECTION POUR COMPENSATEUR DN100 PN10 A 16ENCOMBREMENT DILATO 350 - ENCOMBREMENT CACHE 400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11" t="str">
            <v>PE</v>
          </cell>
          <cell r="E511" t="str">
            <v>522.52207</v>
          </cell>
          <cell r="F511">
            <v>6045.6</v>
          </cell>
          <cell r="G511">
            <v>0</v>
          </cell>
          <cell r="H511">
            <v>0</v>
          </cell>
          <cell r="I511">
            <v>0</v>
          </cell>
          <cell r="J511">
            <v>0</v>
          </cell>
          <cell r="K511">
            <v>0</v>
          </cell>
          <cell r="L511">
            <v>0</v>
          </cell>
        </row>
        <row r="512">
          <cell r="A512" t="str">
            <v>10067.00781</v>
          </cell>
          <cell r="B512" t="str">
            <v>HOUSSE DE PROTECTION POUR COMPENSATEUR</v>
          </cell>
          <cell r="C512" t="str">
            <v>HOUSSE DE PROTECTION POUR COMPENSATEUR DN300 PN10 A 16ENCOMBREMENT DILATO 450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12" t="str">
            <v>PE</v>
          </cell>
          <cell r="E512" t="str">
            <v>522.52207</v>
          </cell>
          <cell r="F512">
            <v>1150</v>
          </cell>
          <cell r="G512">
            <v>0</v>
          </cell>
          <cell r="H512">
            <v>0</v>
          </cell>
          <cell r="I512">
            <v>4</v>
          </cell>
          <cell r="J512">
            <v>0</v>
          </cell>
          <cell r="K512">
            <v>0</v>
          </cell>
          <cell r="L512">
            <v>0</v>
          </cell>
        </row>
        <row r="513">
          <cell r="A513" t="str">
            <v>10079.01041</v>
          </cell>
          <cell r="B513" t="str">
            <v>PORTRAIT SM LE ROI MED VI</v>
          </cell>
          <cell r="C513" t="str">
            <v xml:space="preserve">DIVERS ARTICLES DE PAVOISEMENT . . DESIGNATION : PORTRAIT DE SA MAJESTE LE ROI MOHAMED VI , AVEC CADRE DORE DE LUX , ANTI-PLUIE ET ANTI-SOLEIL DIMENSIONS : 0,60 X 0,80 M </v>
          </cell>
          <cell r="D513" t="str">
            <v>PE</v>
          </cell>
          <cell r="E513" t="str">
            <v>222.22206</v>
          </cell>
          <cell r="F513">
            <v>480</v>
          </cell>
          <cell r="G513">
            <v>0</v>
          </cell>
          <cell r="H513">
            <v>0</v>
          </cell>
          <cell r="I513">
            <v>0</v>
          </cell>
          <cell r="J513">
            <v>0</v>
          </cell>
          <cell r="K513">
            <v>10</v>
          </cell>
          <cell r="L513">
            <v>0</v>
          </cell>
        </row>
        <row r="514">
          <cell r="A514" t="str">
            <v>10067.00782</v>
          </cell>
          <cell r="B514" t="str">
            <v>HOUSSE DE PROTECTION POUR COMPENSATEUR</v>
          </cell>
          <cell r="C514" t="str">
            <v>HOUSSE DE PROTECTION POUR COMPENSATEUR DN450 PN10 A 16ENCOMBREMENT DILATO 600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14" t="str">
            <v>PE</v>
          </cell>
          <cell r="E514" t="str">
            <v>522.52207</v>
          </cell>
          <cell r="F514">
            <v>1790</v>
          </cell>
          <cell r="G514">
            <v>0</v>
          </cell>
          <cell r="H514">
            <v>0</v>
          </cell>
          <cell r="I514">
            <v>0</v>
          </cell>
          <cell r="J514">
            <v>1</v>
          </cell>
          <cell r="K514">
            <v>5</v>
          </cell>
          <cell r="L514">
            <v>0</v>
          </cell>
        </row>
        <row r="515">
          <cell r="A515" t="str">
            <v>10079.01045</v>
          </cell>
          <cell r="B515" t="str">
            <v>PORTRAIT SM LE ROI MED VI</v>
          </cell>
          <cell r="C515" t="str">
            <v xml:space="preserve">DIVERS ARTICLES DE PAVOISEMENT . . DESIGNATION : PORTRAIT DE SA MAJESTE LE ROI MOHAMED VI , AVEC CADRE DORE DE LUX , ANTI-PLUIE ET ANTI-SOLEIL DIMENSIONS : 1,10 X 1,80 M </v>
          </cell>
          <cell r="D515" t="str">
            <v>PE</v>
          </cell>
          <cell r="E515" t="str">
            <v>222.22206</v>
          </cell>
          <cell r="F515">
            <v>3000</v>
          </cell>
          <cell r="G515">
            <v>0</v>
          </cell>
          <cell r="H515">
            <v>0</v>
          </cell>
          <cell r="I515">
            <v>0</v>
          </cell>
          <cell r="J515">
            <v>0</v>
          </cell>
          <cell r="K515">
            <v>2</v>
          </cell>
          <cell r="L515">
            <v>0</v>
          </cell>
        </row>
        <row r="516">
          <cell r="A516" t="str">
            <v>10067.00755</v>
          </cell>
          <cell r="B516" t="str">
            <v>HOUSSE DE PROTECTION POUR COMPENSATEUR</v>
          </cell>
          <cell r="C516" t="str">
            <v>HOUSSE DE PROTECTION POUR COMPENSATEUR DN100 PN10 A 16ENCOMBREMENT DILATO 300 - ENCOMBREMENT CACHE 350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16" t="str">
            <v>PE</v>
          </cell>
          <cell r="E516" t="str">
            <v>522.52207</v>
          </cell>
          <cell r="F516">
            <v>5496</v>
          </cell>
          <cell r="G516">
            <v>0</v>
          </cell>
          <cell r="H516">
            <v>0</v>
          </cell>
          <cell r="I516">
            <v>0</v>
          </cell>
          <cell r="J516">
            <v>0</v>
          </cell>
          <cell r="K516">
            <v>0</v>
          </cell>
          <cell r="L516">
            <v>0</v>
          </cell>
        </row>
        <row r="517">
          <cell r="A517" t="str">
            <v>10079.02000</v>
          </cell>
          <cell r="B517" t="str">
            <v>CENDRIER DE BUREAU</v>
          </cell>
          <cell r="C517" t="str">
            <v>DIVERS ARTICLE DE MENAGE CENDRIER DE BUREAU MATIERE VERRE N.B DES ECHANTILLONS DOIVENT ACCOMPAGNER OFFRES POUR CHOIX</v>
          </cell>
          <cell r="D517" t="str">
            <v>PE</v>
          </cell>
          <cell r="E517" t="str">
            <v>222.22203</v>
          </cell>
          <cell r="F517">
            <v>16.8</v>
          </cell>
          <cell r="G517">
            <v>0</v>
          </cell>
          <cell r="H517">
            <v>0</v>
          </cell>
          <cell r="I517">
            <v>0</v>
          </cell>
          <cell r="J517">
            <v>0</v>
          </cell>
          <cell r="K517">
            <v>0</v>
          </cell>
          <cell r="L517">
            <v>0</v>
          </cell>
        </row>
        <row r="518">
          <cell r="A518" t="str">
            <v>10067.00759</v>
          </cell>
          <cell r="B518" t="str">
            <v>HOUSSE DE PROTECTION POUR COMPENSATEUR</v>
          </cell>
          <cell r="C518" t="str">
            <v>HOUSSE DE PROTECTION POUR COMPENSATEUR DN150 PN10 A 16ENCOMBREMENT DILATO 350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18" t="str">
            <v>PE</v>
          </cell>
          <cell r="E518" t="str">
            <v>522.52207</v>
          </cell>
          <cell r="F518">
            <v>695</v>
          </cell>
          <cell r="G518">
            <v>0</v>
          </cell>
          <cell r="H518">
            <v>0</v>
          </cell>
          <cell r="I518">
            <v>0</v>
          </cell>
          <cell r="J518">
            <v>0</v>
          </cell>
          <cell r="K518">
            <v>4</v>
          </cell>
          <cell r="L518">
            <v>0</v>
          </cell>
        </row>
        <row r="519">
          <cell r="A519" t="str">
            <v>10078.00305</v>
          </cell>
          <cell r="B519" t="str">
            <v>COSTUME CHAOUCH ET GARDIEN  ETE</v>
          </cell>
          <cell r="C519" t="str">
            <v xml:space="preserve">HABILLEMENT COSTUME POUR CHAOUCH ET GARDIEN COMPRENANT 1 VAREUSE ET 2 PANTALONS DROITS ETE QUALITE: TISSU BEIGE.2PANTALONS DROITS 2POCHES LATERALES ET UNE, POCHE ARRIERE. UNE VAREUSE , COL OUVERT.FENDUE A L'ARRIERE AU BAS DU DOS.AVEC SUR , LE COL 2 ECUSSONS AMOVIBLES ATTRIBUT BILINGUE OCP/DES , BORDES OR SUR MEME TOILE.5GROS BOUTONS DORES POUR , LA FERMETURE.3PETITS BOUTONS DORES POUR CHAQUE MANCHE , 4POCHES PLAQUEES-2GRANDES ET 2PETITES- , AVEC RABAT BOUTONNANT SUR PETIT BOUTON DORE. , UNE POCHE INTERIEURE , CONFECTION SUR MESURE </v>
          </cell>
          <cell r="D519" t="str">
            <v>PE</v>
          </cell>
          <cell r="E519" t="str">
            <v>522.52216</v>
          </cell>
          <cell r="F519">
            <v>600</v>
          </cell>
          <cell r="G519">
            <v>0</v>
          </cell>
          <cell r="H519">
            <v>0</v>
          </cell>
          <cell r="I519">
            <v>0</v>
          </cell>
          <cell r="J519">
            <v>0</v>
          </cell>
          <cell r="K519">
            <v>0</v>
          </cell>
          <cell r="L519">
            <v>0</v>
          </cell>
        </row>
        <row r="520">
          <cell r="A520" t="str">
            <v>10067.00766</v>
          </cell>
          <cell r="B520" t="str">
            <v>HOUSSE DE PROTECTION POUR COMPENSATEUR</v>
          </cell>
          <cell r="C520" t="str">
            <v>HOUSSE DE PROTECTION POUR COMPENSATEUR DN200 PN10 A 16ENCOMBREMENT DILATO 400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20" t="str">
            <v>PE</v>
          </cell>
          <cell r="E520" t="str">
            <v>522.52207</v>
          </cell>
          <cell r="F520">
            <v>890</v>
          </cell>
          <cell r="G520">
            <v>0</v>
          </cell>
          <cell r="H520">
            <v>0</v>
          </cell>
          <cell r="I520">
            <v>0</v>
          </cell>
          <cell r="J520">
            <v>0</v>
          </cell>
          <cell r="K520">
            <v>4</v>
          </cell>
          <cell r="L520">
            <v>0</v>
          </cell>
        </row>
        <row r="521">
          <cell r="A521" t="str">
            <v>10067.00779</v>
          </cell>
          <cell r="B521" t="str">
            <v>HOUSSE DE PROTECTION POUR COMPENSATEUR</v>
          </cell>
          <cell r="C521" t="str">
            <v>HOUSSE DE PROTECTION POUR COMPENSATEUR DN250 PN10 A 16 ENCOMBREMENT DILATO 550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21" t="str">
            <v>PE</v>
          </cell>
          <cell r="E521" t="str">
            <v>522.52207</v>
          </cell>
          <cell r="F521">
            <v>1300</v>
          </cell>
          <cell r="G521">
            <v>0</v>
          </cell>
          <cell r="H521">
            <v>0</v>
          </cell>
          <cell r="I521">
            <v>5</v>
          </cell>
          <cell r="J521">
            <v>0</v>
          </cell>
          <cell r="K521">
            <v>0</v>
          </cell>
          <cell r="L521">
            <v>0</v>
          </cell>
        </row>
        <row r="522">
          <cell r="A522" t="str">
            <v>10067.00783</v>
          </cell>
          <cell r="B522" t="str">
            <v>HOUSSE DE PROTECTION POUR COMPENSATEUR</v>
          </cell>
          <cell r="C522" t="str">
            <v>HOUSSE DE PROTECTION POUR COMPENSATEUR DN700 PN10 A 16  ENCOMBREMENT DILATO 650 - ENCOMBREMENT CACHE 700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22" t="str">
            <v>PE</v>
          </cell>
          <cell r="E522" t="str">
            <v>522.52207</v>
          </cell>
          <cell r="F522">
            <v>17880</v>
          </cell>
          <cell r="G522">
            <v>0</v>
          </cell>
          <cell r="H522">
            <v>0</v>
          </cell>
          <cell r="I522">
            <v>0</v>
          </cell>
          <cell r="J522">
            <v>0</v>
          </cell>
          <cell r="K522">
            <v>0</v>
          </cell>
          <cell r="L522">
            <v>0</v>
          </cell>
        </row>
        <row r="523">
          <cell r="A523" t="str">
            <v>10080.01342</v>
          </cell>
          <cell r="B523" t="str">
            <v>RUBAN ADHESIF PVC</v>
          </cell>
          <cell r="C523" t="str">
            <v>RUBAN ADHESIF PVC ADHESIVITE IMMEDIATE ET DURABLE RESISTANCE MECANIQUE ELEVEE                                            DEROULEMENT SILENCIEUXAPPLICATION FACILE     COULEUR A PRECISER    LARGEUR : 12 MM         LONGUEUR : 66 M     QUALITE : 35 MICRONS                              COLIS DE 12</v>
          </cell>
          <cell r="D523" t="str">
            <v>PE</v>
          </cell>
          <cell r="E523" t="str">
            <v>222.22206</v>
          </cell>
          <cell r="F523">
            <v>5.0999999999999996</v>
          </cell>
          <cell r="G523">
            <v>0</v>
          </cell>
          <cell r="H523">
            <v>0</v>
          </cell>
          <cell r="I523">
            <v>2</v>
          </cell>
          <cell r="J523">
            <v>3</v>
          </cell>
          <cell r="K523">
            <v>10</v>
          </cell>
          <cell r="L523">
            <v>0</v>
          </cell>
        </row>
        <row r="524">
          <cell r="A524" t="str">
            <v>10067.05045</v>
          </cell>
          <cell r="B524" t="str">
            <v>MANCHON COMPENSATEUR EN HYPALON</v>
          </cell>
          <cell r="C524" t="str">
            <v>TYPE EJ1, DN 50, PN 16, LONG 130/135, TEMP 110°C, BRIDE ACIER GALVANISEPERCE AINSI 150 LBS, EP 20MM + TIRANT EP 15MM + 2TIGES AVEC ECROUS ET RONDELLESDIA = 16MM EN INOX 316L, FLUIDE VEHICULE H3P04 A 28% GENRE BURGMANN</v>
          </cell>
          <cell r="D524" t="str">
            <v>PE</v>
          </cell>
          <cell r="E524" t="str">
            <v>522.52207</v>
          </cell>
          <cell r="F524">
            <v>1776</v>
          </cell>
          <cell r="G524">
            <v>0</v>
          </cell>
          <cell r="H524">
            <v>0</v>
          </cell>
          <cell r="I524">
            <v>1</v>
          </cell>
          <cell r="J524">
            <v>0</v>
          </cell>
          <cell r="K524">
            <v>0</v>
          </cell>
          <cell r="L524">
            <v>2</v>
          </cell>
        </row>
        <row r="525">
          <cell r="A525" t="str">
            <v>10067.05046</v>
          </cell>
          <cell r="B525" t="str">
            <v>MANCHON COMPENSATEUR EN HYPALON</v>
          </cell>
          <cell r="C525" t="str">
            <v>TYPE EJ1, DN 500, PN 16, LONG 205, TEMP 110°C, BRIDE ACIER GALVANISEPERCE AINSI 150 LBS, EP 20MM + TIRANT EP 15MM + 2TIGES AVEC ECROUS ET RONDELLESDIA = 16MM EN INOX 316L, FLUIDE VEHICULE EAU DE MER, GENRE BURGMANN</v>
          </cell>
          <cell r="D525" t="str">
            <v>PE</v>
          </cell>
          <cell r="E525" t="str">
            <v>522.52207</v>
          </cell>
          <cell r="F525">
            <v>27810.5455</v>
          </cell>
          <cell r="G525">
            <v>0</v>
          </cell>
          <cell r="H525">
            <v>0</v>
          </cell>
          <cell r="I525">
            <v>1</v>
          </cell>
          <cell r="J525">
            <v>0</v>
          </cell>
          <cell r="K525">
            <v>0</v>
          </cell>
          <cell r="L525">
            <v>4</v>
          </cell>
        </row>
        <row r="526">
          <cell r="A526" t="str">
            <v>10078.02520</v>
          </cell>
          <cell r="B526" t="str">
            <v>BLOUSE GRISE</v>
          </cell>
          <cell r="C526" t="str">
            <v>BLOUSE GRISE- MELANGE 65% COTON, 35%  POLYESTER - SERGE  250 G/M2- COL TRANSFORMABLE- 1POCHE POITRINE COTE GAUCHE- 1 POCHE POITRINE INTERIEURE COTE DROIT- 2 POCHES BASSES- FERMETURE PAR 4 BOUTONS EN PLASTIQUE CACHES- MANCHES LONGUES DROITES OU RAGLAN AVEC OURLETS PIQUES , LONGUEUR 63 CM SOUS LE BRAS- 2 PASSES MAINS A GRIPPERS- MONTAGE DOUBLE AIGUILLE- LONGUEUR TOTALE DE 100 CM- PERSONNALISE AVEC BRODERIE PORTANT LE LOGO OCP QUI SERA FOURNI PAR LE CLIENT- ETIQUETTE DE TAILLE- COULEUR GRISE OU SABLEE - BANDES FLUORESCENTES BLANCHES 3M AU DOS - TAILLE : A PRECISER PAR LE CLIENT- 10 ECHANTILLONS POUR ESSAIS- FICHE  TECHNIQUE DE L'ARTICLE - CERTIFICAT D'ANALYSE LIVRE PAR UN LABORATOIRE AGREE POUR LA COMPOSITION DU TISSU</v>
          </cell>
          <cell r="D526" t="str">
            <v>PE</v>
          </cell>
          <cell r="E526" t="str">
            <v>522.52216</v>
          </cell>
          <cell r="F526">
            <v>86.9</v>
          </cell>
          <cell r="G526">
            <v>0</v>
          </cell>
          <cell r="H526">
            <v>0</v>
          </cell>
          <cell r="I526">
            <v>0</v>
          </cell>
          <cell r="J526">
            <v>0</v>
          </cell>
          <cell r="K526">
            <v>0</v>
          </cell>
          <cell r="L526">
            <v>0</v>
          </cell>
        </row>
        <row r="527">
          <cell r="A527" t="str">
            <v>10078.00306</v>
          </cell>
          <cell r="B527" t="str">
            <v>COSTUME CHAOUCH ET GARDIEN  HIVER</v>
          </cell>
          <cell r="C527" t="str">
            <v xml:space="preserve">HABILLEMENT COSTUME POUR CHAOUCH ET GARDIEN COMPRENANT 1 VAREUSE ET 2 PANTALONS DROITS HIVER QUALITE: TISSU BLEU MARINE DRAP.2PANTALONS DROITS 2POCHES , LATERALES ET 1POCHE ARRIERE. UNE VAREUSE , COL OUVERT.FENDUE A L'ARRIERE AU BAS DU DOS.AVEC SUR , LE COL 2 ECUSSONS AMOVIBLES ATTRIBUT BILINGUE OCP/DES , BORDES OR SUR MEME TOILE.5GROS BOUTONS DORES POUR , LA FERMETURE.3PETITS BOUTONS DORES POUR CHAQUE MANCHE., 4POCHES PLAQUEES-2GRANDES ET 2PETITES- , AVEC RABAT BOUTONNANT SUR PETIT BOUTON DORE. , UNE POCHE INTERIEURE. , CONFECTION SUR MESURE. , PLUS 1GILET AVEC 6PETITS BOUTONS DORES POUR FERMETURE , ET 2 POCHES. </v>
          </cell>
          <cell r="D527" t="str">
            <v>PE</v>
          </cell>
          <cell r="E527" t="str">
            <v>522.52216</v>
          </cell>
          <cell r="F527">
            <v>650</v>
          </cell>
          <cell r="G527">
            <v>0</v>
          </cell>
          <cell r="H527">
            <v>0</v>
          </cell>
          <cell r="I527">
            <v>0</v>
          </cell>
          <cell r="J527">
            <v>0</v>
          </cell>
          <cell r="K527">
            <v>0</v>
          </cell>
          <cell r="L527">
            <v>0</v>
          </cell>
        </row>
        <row r="528">
          <cell r="A528" t="str">
            <v>10068.05140</v>
          </cell>
          <cell r="B528" t="str">
            <v>BRIDE PLATE NOIRE 25  16</v>
          </cell>
          <cell r="C528" t="str">
            <v>BRIDE PLATE NOIRE A SOUDER EN ACIER A 37  S/NORME : NF.E 29.203DN 25 MM    PN 16 BARS</v>
          </cell>
          <cell r="D528" t="str">
            <v>PE</v>
          </cell>
          <cell r="E528" t="str">
            <v>313.31301</v>
          </cell>
          <cell r="F528">
            <v>19.600000000000001</v>
          </cell>
          <cell r="G528">
            <v>0</v>
          </cell>
          <cell r="H528">
            <v>0</v>
          </cell>
          <cell r="I528">
            <v>0</v>
          </cell>
          <cell r="J528">
            <v>0</v>
          </cell>
          <cell r="K528">
            <v>0</v>
          </cell>
          <cell r="L528">
            <v>15</v>
          </cell>
        </row>
        <row r="529">
          <cell r="A529" t="str">
            <v>10078.00405</v>
          </cell>
          <cell r="B529" t="str">
            <v>COSTUME DE VILLE POUR ETE</v>
          </cell>
          <cell r="C529" t="str">
            <v xml:space="preserve">HABILLEMENT COSTUME DE VILLE D'ETE,COMPRENANT VESTE ET PANTALON POUR CHAUFFEUR DE LA DIRECTION GENERALE CONFECTION SUR MESURE </v>
          </cell>
          <cell r="D529" t="str">
            <v>PE</v>
          </cell>
          <cell r="E529" t="str">
            <v>522.52216</v>
          </cell>
          <cell r="F529">
            <v>1000</v>
          </cell>
          <cell r="G529">
            <v>0</v>
          </cell>
          <cell r="H529">
            <v>0</v>
          </cell>
          <cell r="I529">
            <v>0</v>
          </cell>
          <cell r="J529">
            <v>0</v>
          </cell>
          <cell r="K529">
            <v>0</v>
          </cell>
          <cell r="L529">
            <v>0</v>
          </cell>
        </row>
        <row r="530">
          <cell r="A530" t="str">
            <v>10078.00406</v>
          </cell>
          <cell r="B530" t="str">
            <v>COSTUME DE VILLE POUR HIVER</v>
          </cell>
          <cell r="C530" t="str">
            <v xml:space="preserve">HABILLEMENT COSTUME DE VILLE D'HIVER,COMPRENANT VESTE PANTALON POUR CHAUFFEUR DE LA DIRECTION GENERALE  CONFECTION SUR MESURE </v>
          </cell>
          <cell r="D530" t="str">
            <v>PE</v>
          </cell>
          <cell r="E530" t="str">
            <v>522.52216</v>
          </cell>
          <cell r="F530">
            <v>1100</v>
          </cell>
          <cell r="G530">
            <v>0</v>
          </cell>
          <cell r="H530">
            <v>0</v>
          </cell>
          <cell r="I530">
            <v>0</v>
          </cell>
          <cell r="J530">
            <v>0</v>
          </cell>
          <cell r="K530">
            <v>0</v>
          </cell>
          <cell r="L530">
            <v>0</v>
          </cell>
        </row>
        <row r="531">
          <cell r="A531" t="str">
            <v>10076.02791</v>
          </cell>
          <cell r="B531" t="str">
            <v>THERMOMETRE A MERCURE -20 à +110°C</v>
          </cell>
          <cell r="C531" t="str">
            <v>THERMOMETRE A MERCUREGRADUATION: -20 à +110°C</v>
          </cell>
          <cell r="D531" t="str">
            <v>PE</v>
          </cell>
          <cell r="E531" t="str">
            <v>522.52211</v>
          </cell>
          <cell r="F531">
            <v>40</v>
          </cell>
          <cell r="G531">
            <v>0</v>
          </cell>
          <cell r="H531">
            <v>0</v>
          </cell>
          <cell r="I531">
            <v>0</v>
          </cell>
          <cell r="J531">
            <v>0</v>
          </cell>
          <cell r="K531">
            <v>0</v>
          </cell>
          <cell r="L531">
            <v>0</v>
          </cell>
        </row>
        <row r="532">
          <cell r="A532" t="str">
            <v>10073.00368</v>
          </cell>
          <cell r="B532" t="str">
            <v>PAPIER HYGIENIQUE NON PARFUME</v>
          </cell>
          <cell r="C532" t="str">
            <v xml:space="preserve">ROULEAU DE PAPIER HYGIENIQUE DOUX NON PARFUME , EN OUATE DE CELLULOSE PREMIER CHOIX , DEUX PLIS - DETACHABLES POIDS ˜ 72 GRS / ROULEAU COULEUR : BLANCHE </v>
          </cell>
          <cell r="D532" t="str">
            <v>PE</v>
          </cell>
          <cell r="E532" t="str">
            <v>522.52203</v>
          </cell>
          <cell r="F532">
            <v>3.4937999999999998</v>
          </cell>
          <cell r="G532">
            <v>0</v>
          </cell>
          <cell r="H532">
            <v>0</v>
          </cell>
          <cell r="I532">
            <v>0</v>
          </cell>
          <cell r="J532">
            <v>0</v>
          </cell>
          <cell r="K532">
            <v>0</v>
          </cell>
          <cell r="L532">
            <v>0</v>
          </cell>
        </row>
        <row r="533">
          <cell r="A533" t="str">
            <v>10068.05143</v>
          </cell>
          <cell r="B533" t="str">
            <v>BRIDE PLATE NOIRE 80  16</v>
          </cell>
          <cell r="C533" t="str">
            <v>BRIDE PLATE NOIRE A SOUDER EN ACIER A 37  S/NORME : NF.E 29.203DN 80 MM    PN 16 BARS</v>
          </cell>
          <cell r="D533" t="str">
            <v>PE</v>
          </cell>
          <cell r="E533" t="str">
            <v>313.31301</v>
          </cell>
          <cell r="F533">
            <v>78.400000000000006</v>
          </cell>
          <cell r="G533">
            <v>0</v>
          </cell>
          <cell r="H533">
            <v>0</v>
          </cell>
          <cell r="I533">
            <v>0</v>
          </cell>
          <cell r="J533">
            <v>1</v>
          </cell>
          <cell r="K533">
            <v>2</v>
          </cell>
          <cell r="L533">
            <v>0</v>
          </cell>
        </row>
        <row r="534">
          <cell r="A534" t="str">
            <v>10073.00370</v>
          </cell>
          <cell r="B534" t="str">
            <v>PAPIER HYGIENIQUE</v>
          </cell>
          <cell r="C534" t="str">
            <v xml:space="preserve">ROULEAU DE PAPIER HYGIENIQUE NON PARFUME EN PAPIER CREPE DEUX PLIS - DETACHABLES POIDS : 120 GRS + OU - 10 GRS COULEUR : ROSE </v>
          </cell>
          <cell r="D534" t="str">
            <v>PE</v>
          </cell>
          <cell r="E534" t="str">
            <v>522.52203</v>
          </cell>
          <cell r="F534">
            <v>2.0219</v>
          </cell>
          <cell r="G534">
            <v>0</v>
          </cell>
          <cell r="H534">
            <v>0</v>
          </cell>
          <cell r="I534">
            <v>0</v>
          </cell>
          <cell r="J534">
            <v>0</v>
          </cell>
          <cell r="K534">
            <v>0</v>
          </cell>
          <cell r="L534">
            <v>0</v>
          </cell>
        </row>
        <row r="535">
          <cell r="A535" t="str">
            <v>10073.00377</v>
          </cell>
          <cell r="B535" t="str">
            <v>PEAUX DE CHAMOIS</v>
          </cell>
          <cell r="C535" t="str">
            <v xml:space="preserve">PEAUX DE CHAMOIS DIMENSIONS : 55 X 40 CM </v>
          </cell>
          <cell r="D535" t="str">
            <v>PE</v>
          </cell>
          <cell r="E535" t="str">
            <v>522.52203</v>
          </cell>
          <cell r="F535">
            <v>25</v>
          </cell>
          <cell r="G535">
            <v>0</v>
          </cell>
          <cell r="H535">
            <v>30</v>
          </cell>
          <cell r="I535">
            <v>0</v>
          </cell>
          <cell r="J535">
            <v>0</v>
          </cell>
          <cell r="K535">
            <v>0</v>
          </cell>
          <cell r="L535">
            <v>0</v>
          </cell>
        </row>
        <row r="536">
          <cell r="A536" t="str">
            <v>10068.05145</v>
          </cell>
          <cell r="B536" t="str">
            <v>BRIDE PLATE NOIRE 150 16</v>
          </cell>
          <cell r="C536" t="str">
            <v>BRIDE PLATE NOIRE A SOUDER EN ACIER A 37  S/NORME : NF.E 29.203DN 150 MM    PN 16 BARS</v>
          </cell>
          <cell r="D536" t="str">
            <v>PE</v>
          </cell>
          <cell r="E536" t="str">
            <v>313.31301</v>
          </cell>
          <cell r="F536">
            <v>135</v>
          </cell>
          <cell r="G536">
            <v>15</v>
          </cell>
          <cell r="H536">
            <v>7</v>
          </cell>
          <cell r="I536">
            <v>12</v>
          </cell>
          <cell r="J536">
            <v>4</v>
          </cell>
          <cell r="K536">
            <v>0</v>
          </cell>
          <cell r="L536">
            <v>12</v>
          </cell>
        </row>
        <row r="537">
          <cell r="A537" t="str">
            <v>10079.05036</v>
          </cell>
          <cell r="B537" t="str">
            <v>PETITE TASSE+S/TASSE LAVAZZA</v>
          </cell>
          <cell r="C537" t="str">
            <v>PETITE TASSE A CAFE AVEC SOUS-TASSEPOUR CAFETIERE LAVAZZA</v>
          </cell>
          <cell r="D537" t="str">
            <v>PE</v>
          </cell>
          <cell r="E537" t="str">
            <v>222.22203</v>
          </cell>
          <cell r="F537">
            <v>10.8</v>
          </cell>
          <cell r="G537">
            <v>0</v>
          </cell>
          <cell r="H537">
            <v>0</v>
          </cell>
          <cell r="I537">
            <v>0</v>
          </cell>
          <cell r="J537">
            <v>0</v>
          </cell>
          <cell r="K537">
            <v>0</v>
          </cell>
          <cell r="L537">
            <v>0</v>
          </cell>
        </row>
        <row r="538">
          <cell r="A538" t="str">
            <v>10079.05037</v>
          </cell>
          <cell r="B538" t="str">
            <v>GRANDE TASSE+S/TASSE LAVAZZA</v>
          </cell>
          <cell r="C538" t="str">
            <v>GRANDE TASSE A CAFE AVEC SOUS-TASSEPOUR CAFETIERE LAVAZZA</v>
          </cell>
          <cell r="D538" t="str">
            <v>PE</v>
          </cell>
          <cell r="E538" t="str">
            <v>222.22203</v>
          </cell>
          <cell r="F538">
            <v>18</v>
          </cell>
          <cell r="G538">
            <v>0</v>
          </cell>
          <cell r="H538">
            <v>0</v>
          </cell>
          <cell r="I538">
            <v>0</v>
          </cell>
          <cell r="J538">
            <v>0</v>
          </cell>
          <cell r="K538">
            <v>0</v>
          </cell>
          <cell r="L538">
            <v>0</v>
          </cell>
        </row>
        <row r="539">
          <cell r="A539" t="str">
            <v>10068.05150</v>
          </cell>
          <cell r="B539" t="str">
            <v>BRIDE PLATE DN200 PN 10</v>
          </cell>
          <cell r="C539" t="str">
            <v>BRIDE PLATE NOIRE A SOUDER EN ACIER A 37  S/NORME : NF.E 29.203DN 200 MM    PN 10 BARS</v>
          </cell>
          <cell r="D539" t="str">
            <v>PE</v>
          </cell>
          <cell r="E539" t="str">
            <v>313.31301</v>
          </cell>
          <cell r="F539">
            <v>176.596</v>
          </cell>
          <cell r="G539">
            <v>0</v>
          </cell>
          <cell r="H539">
            <v>0</v>
          </cell>
          <cell r="I539">
            <v>0</v>
          </cell>
          <cell r="J539">
            <v>0</v>
          </cell>
          <cell r="K539">
            <v>0</v>
          </cell>
          <cell r="L539">
            <v>0</v>
          </cell>
        </row>
        <row r="540">
          <cell r="A540" t="str">
            <v>10068.08405</v>
          </cell>
          <cell r="B540" t="str">
            <v>BRIDE TOURNANTE EN INOX 304L DN25</v>
          </cell>
          <cell r="C540" t="str">
            <v>BRIDE TOURNANTE INOX AISI 304L NORME EN 1092-1 TYPE 02A DIN 2642 DN25</v>
          </cell>
          <cell r="D540" t="str">
            <v>PE</v>
          </cell>
          <cell r="E540" t="str">
            <v>313.31301</v>
          </cell>
          <cell r="F540">
            <v>130.95949999999999</v>
          </cell>
          <cell r="G540">
            <v>0</v>
          </cell>
          <cell r="H540">
            <v>0</v>
          </cell>
          <cell r="I540">
            <v>0</v>
          </cell>
          <cell r="J540">
            <v>0</v>
          </cell>
          <cell r="K540">
            <v>0</v>
          </cell>
          <cell r="L540">
            <v>6</v>
          </cell>
        </row>
        <row r="541">
          <cell r="A541" t="str">
            <v>10072.01141</v>
          </cell>
          <cell r="B541" t="str">
            <v>COMBINAISON ANTI ACIDE</v>
          </cell>
          <cell r="C541" t="str">
            <v xml:space="preserve">ARTICLES DE PROTECTION ET DE SECURITE TENUE ANTI-ACIDE  DESIGNATION COMBINAISON D'INTERVENTION FORME DU COL: CHEVALIERE POCHES: AUCUNE POCHE FERMETURE: A GLISSIERE ETANCHE TAILLE: MOYENNE COUTURE: SOUDEE MATIERE: EN TISSU ENDUIT D PVC DES 2 FACES RESISTANT A L'ACIDE , SULFURIQUE A 98 P/CENT , BAS DE MANCHES DROIT , SERRAGE ELASTIQUE AUX POIGNETS , ELASTIQUE DE SERRAGE A LA TAILLE , PATTES DE REGLAGE AUX JAMBES , AUCUNE OUVERTURE </v>
          </cell>
          <cell r="D541" t="str">
            <v>PE</v>
          </cell>
          <cell r="E541" t="str">
            <v>522.52216</v>
          </cell>
          <cell r="F541">
            <v>957.47649999999999</v>
          </cell>
          <cell r="G541">
            <v>0</v>
          </cell>
          <cell r="H541">
            <v>0</v>
          </cell>
          <cell r="I541">
            <v>0</v>
          </cell>
          <cell r="J541">
            <v>0</v>
          </cell>
          <cell r="K541">
            <v>0</v>
          </cell>
          <cell r="L541">
            <v>0</v>
          </cell>
        </row>
        <row r="542">
          <cell r="A542" t="str">
            <v>10072.01142</v>
          </cell>
          <cell r="B542" t="str">
            <v>COMBINAISON ANTI ACIDE</v>
          </cell>
          <cell r="C542" t="str">
            <v xml:space="preserve">ARTICLES DE PROTECTION ET DE SECURITE TENUE ANTI-ACIDE  DESIGNATION COMBINAISON D'INTERVENTION FORME DU COL: CHEVALIERE POCHES: AUCUNE POCHE FERMETURE: A GLISSIERE ETANCHE TAILLE: GRANDE COUTURE: SOUDEE MATIERE: EN TISSU ENDUIT D PVC DES 2 FACES RESISTANT A L'ACIDE , SULFURIQUE A 98 P/CENT , BAS DE MANCHES DROIT , SERRAGE ELASTIQUE AUX POIGNETS , ELASTIQUE DE SERRAGE A LA TAILLE , PATTES DE REGLAGE AUX JAMBES , AUCUNE OUVERTURE </v>
          </cell>
          <cell r="D542" t="str">
            <v>PE</v>
          </cell>
          <cell r="E542" t="str">
            <v>522.52216</v>
          </cell>
          <cell r="F542">
            <v>995.84649999999999</v>
          </cell>
          <cell r="G542">
            <v>0</v>
          </cell>
          <cell r="H542">
            <v>0</v>
          </cell>
          <cell r="I542">
            <v>0</v>
          </cell>
          <cell r="J542">
            <v>0</v>
          </cell>
          <cell r="K542">
            <v>0</v>
          </cell>
          <cell r="L542">
            <v>0</v>
          </cell>
        </row>
        <row r="543">
          <cell r="A543" t="str">
            <v>10068.00929</v>
          </cell>
          <cell r="B543" t="str">
            <v>COUDE A 90° DN 50</v>
          </cell>
          <cell r="C543" t="str">
            <v>COUDE A 90° EN ACIER GALVANISE A 105 SERIE 3000 2"   TARAUDAGE SUIVANT ANSI B 1.20.1   DN 50</v>
          </cell>
          <cell r="D543" t="str">
            <v>PE</v>
          </cell>
          <cell r="E543" t="str">
            <v>313.31301</v>
          </cell>
          <cell r="F543">
            <v>150</v>
          </cell>
          <cell r="G543">
            <v>5</v>
          </cell>
          <cell r="H543">
            <v>0</v>
          </cell>
          <cell r="I543">
            <v>0</v>
          </cell>
          <cell r="J543">
            <v>0</v>
          </cell>
          <cell r="K543">
            <v>0</v>
          </cell>
          <cell r="L543">
            <v>0</v>
          </cell>
        </row>
        <row r="544">
          <cell r="A544" t="str">
            <v>10079.05006</v>
          </cell>
          <cell r="B544" t="str">
            <v>VERRE A EAU FOND TAILLE</v>
          </cell>
          <cell r="C544" t="str">
            <v xml:space="preserve">DIVERS ARTICLES DE CUISINE ET RESTAURATION VERRES A EAU , FOND TAILLE , RESISTANT AUX CHOCS HAUTEUR : 90 MM ENVIRON LES OFFRES DOIVENT ETRE ACCOMPAGNEES DES ECHANTILLONS LES OFFRES DOIVENT ETRE ACCOMPAGNEES DES ECHANTILLONS DES ARTICLES PROPOSES POUR CHOIX DU SERVICE DEMANDEUR DES ARTICLES PROPOSES POUR CHOIX DU SERVICE DEMANDEUR </v>
          </cell>
          <cell r="D544" t="str">
            <v>PE</v>
          </cell>
          <cell r="E544" t="str">
            <v>222.22203</v>
          </cell>
          <cell r="F544">
            <v>10.8</v>
          </cell>
          <cell r="G544">
            <v>0</v>
          </cell>
          <cell r="H544">
            <v>0</v>
          </cell>
          <cell r="I544">
            <v>0</v>
          </cell>
          <cell r="J544">
            <v>0</v>
          </cell>
          <cell r="K544">
            <v>0</v>
          </cell>
          <cell r="L544">
            <v>0</v>
          </cell>
        </row>
        <row r="545">
          <cell r="A545" t="str">
            <v>10079.05003</v>
          </cell>
          <cell r="B545" t="str">
            <v>VERRE EAU GIGOGNE Nª5 22C</v>
          </cell>
          <cell r="C545" t="str">
            <v xml:space="preserve">DIVERS ARTICLES DE CUISINE ET RESTAURATION VERRES A EAU NUMERO : 5 GENRE : DURALEX TYPE : GIGOGNE CONTENANCE : 22CL </v>
          </cell>
          <cell r="D545" t="str">
            <v>PE</v>
          </cell>
          <cell r="E545" t="str">
            <v>222.22203</v>
          </cell>
          <cell r="F545">
            <v>9.5822000000000003</v>
          </cell>
          <cell r="G545">
            <v>0</v>
          </cell>
          <cell r="H545">
            <v>0</v>
          </cell>
          <cell r="I545">
            <v>0</v>
          </cell>
          <cell r="J545">
            <v>0</v>
          </cell>
          <cell r="K545">
            <v>0</v>
          </cell>
          <cell r="L545">
            <v>0</v>
          </cell>
        </row>
        <row r="546">
          <cell r="A546" t="str">
            <v>10079.05013</v>
          </cell>
          <cell r="B546" t="str">
            <v>VERRE A THE 1ER CHOIX</v>
          </cell>
          <cell r="C546" t="str">
            <v xml:space="preserve">VERRES A THE EN VERRE TAILLE QUALITE : PREMIER CHOIX </v>
          </cell>
          <cell r="D546" t="str">
            <v>PE</v>
          </cell>
          <cell r="E546" t="str">
            <v>222.22203</v>
          </cell>
          <cell r="F546">
            <v>6</v>
          </cell>
          <cell r="G546">
            <v>0</v>
          </cell>
          <cell r="H546">
            <v>0</v>
          </cell>
          <cell r="I546">
            <v>0</v>
          </cell>
          <cell r="J546">
            <v>0</v>
          </cell>
          <cell r="K546">
            <v>0</v>
          </cell>
          <cell r="L546">
            <v>0</v>
          </cell>
        </row>
        <row r="547">
          <cell r="A547" t="str">
            <v>10080.00213</v>
          </cell>
          <cell r="B547" t="str">
            <v>TAMP95X6CAOU BLE</v>
          </cell>
          <cell r="C547" t="str">
            <v xml:space="preserve">FOURNITURES ET MATERIEL POUR LE BUREAU TAMPON ENCREUR  COULEUR BLEUE FORMAT 95 X 60 DESTINATION POUR CACHET EN CAOUTCHOUC ENCRE </v>
          </cell>
          <cell r="D547" t="str">
            <v>PE</v>
          </cell>
          <cell r="E547" t="str">
            <v>222.22206</v>
          </cell>
          <cell r="F547">
            <v>4.5</v>
          </cell>
          <cell r="G547">
            <v>0</v>
          </cell>
          <cell r="H547">
            <v>0</v>
          </cell>
          <cell r="I547">
            <v>0</v>
          </cell>
          <cell r="J547">
            <v>0</v>
          </cell>
          <cell r="K547">
            <v>0</v>
          </cell>
          <cell r="L547">
            <v>0</v>
          </cell>
        </row>
        <row r="548">
          <cell r="A548" t="str">
            <v>10080.00214</v>
          </cell>
          <cell r="B548" t="str">
            <v>TAMP95X6CAOU NOI</v>
          </cell>
          <cell r="C548" t="str">
            <v xml:space="preserve">FOURNITURES ET MATERIEL POUR LE BUREAU TAMPON ENCREUR  COULEUR NOIRE FORMAT 95 X 60 DESTINATION POUR CACHET EN CAOUTCHOUC ENCRE </v>
          </cell>
          <cell r="D548" t="str">
            <v>PE</v>
          </cell>
          <cell r="E548" t="str">
            <v>222.22206</v>
          </cell>
          <cell r="F548">
            <v>4.5</v>
          </cell>
          <cell r="G548">
            <v>0</v>
          </cell>
          <cell r="H548">
            <v>0</v>
          </cell>
          <cell r="I548">
            <v>0</v>
          </cell>
          <cell r="J548">
            <v>0</v>
          </cell>
          <cell r="K548">
            <v>18</v>
          </cell>
          <cell r="L548">
            <v>0</v>
          </cell>
        </row>
        <row r="549">
          <cell r="A549" t="str">
            <v>10080.00216</v>
          </cell>
          <cell r="B549" t="str">
            <v>TAMP115X7CAO VIO</v>
          </cell>
          <cell r="C549" t="str">
            <v xml:space="preserve">FOURNITURES ET MATERIEL POUR LE BUREAU TAMPON ENCREUR  COULEUR VIOLETTE FORMAT 115 X 70 DESTINATION POUR CACHET CAOUTCHOUC ENCRE </v>
          </cell>
          <cell r="D549" t="str">
            <v>PE</v>
          </cell>
          <cell r="E549" t="str">
            <v>222.22206</v>
          </cell>
          <cell r="F549">
            <v>4.5</v>
          </cell>
          <cell r="G549">
            <v>0</v>
          </cell>
          <cell r="H549">
            <v>0</v>
          </cell>
          <cell r="I549">
            <v>0</v>
          </cell>
          <cell r="J549">
            <v>0</v>
          </cell>
          <cell r="K549">
            <v>0</v>
          </cell>
          <cell r="L549">
            <v>0</v>
          </cell>
        </row>
        <row r="550">
          <cell r="A550" t="str">
            <v>10073.00398</v>
          </cell>
          <cell r="B550" t="str">
            <v>AJAX VITRE</v>
          </cell>
          <cell r="C550" t="str">
            <v>AJAX VITRE OU SIMILAIRE EN BOUTEILLE DE 1 L PRODUIT DANGEREUX(FICHE DE DONNEES DE SECURITE EST EXIGE LORS DE LA LIVRAISON DU PRODUIT)</v>
          </cell>
          <cell r="D550" t="str">
            <v>L</v>
          </cell>
          <cell r="E550" t="str">
            <v>222.22201</v>
          </cell>
          <cell r="F550">
            <v>11.0108</v>
          </cell>
          <cell r="G550">
            <v>0</v>
          </cell>
          <cell r="H550">
            <v>0</v>
          </cell>
          <cell r="I550">
            <v>0</v>
          </cell>
          <cell r="J550">
            <v>0</v>
          </cell>
          <cell r="K550">
            <v>0</v>
          </cell>
          <cell r="L550">
            <v>0</v>
          </cell>
        </row>
        <row r="551">
          <cell r="A551" t="str">
            <v>10080.00217</v>
          </cell>
          <cell r="B551" t="str">
            <v>TAMP115X7CAO ROU</v>
          </cell>
          <cell r="C551" t="str">
            <v xml:space="preserve">FOURNITURES ET MATERIEL POUR LE BUREAU TAMPON ENCREUR  COULEUR ROUGE FORMAT 115 X 70 DESTINATION POUR CACHET CAOUTCHOUC ENCRE </v>
          </cell>
          <cell r="D551" t="str">
            <v>PE</v>
          </cell>
          <cell r="E551" t="str">
            <v>222.22206</v>
          </cell>
          <cell r="F551">
            <v>4.5</v>
          </cell>
          <cell r="G551">
            <v>0</v>
          </cell>
          <cell r="H551">
            <v>0</v>
          </cell>
          <cell r="I551">
            <v>0</v>
          </cell>
          <cell r="J551">
            <v>0</v>
          </cell>
          <cell r="K551">
            <v>0</v>
          </cell>
          <cell r="L551">
            <v>0</v>
          </cell>
        </row>
        <row r="552">
          <cell r="A552" t="str">
            <v>10079.05075</v>
          </cell>
          <cell r="B552" t="str">
            <v>CARAFE A EAU  VERRE 1/2L</v>
          </cell>
          <cell r="C552" t="str">
            <v xml:space="preserve">DIVERS ARTICLES DE CUISINE ET RESTAURATION CARAFE A EAU  MATIERE : VERRE CONTENANCE : 1/2 LITRE LES OFFRES DOIVENT ETRE ACCOMPAGNEES DES ECHANTILLONS LES OFFRES DOIVENT ETRE ACCOMPAGNEES DES ECHANTILLONS DES ARTICLES PROPOSES POUR CHOIX DU SERVICE DEMANDEUR DES ARTICLES PROPOSES POUR CHOIX DU SERVICE DEMANDEUR </v>
          </cell>
          <cell r="D552" t="str">
            <v>PE</v>
          </cell>
          <cell r="E552" t="str">
            <v>222.22203</v>
          </cell>
          <cell r="F552">
            <v>21.6</v>
          </cell>
          <cell r="G552">
            <v>0</v>
          </cell>
          <cell r="H552">
            <v>0</v>
          </cell>
          <cell r="I552">
            <v>0</v>
          </cell>
          <cell r="J552">
            <v>0</v>
          </cell>
          <cell r="K552">
            <v>0</v>
          </cell>
          <cell r="L552">
            <v>0</v>
          </cell>
        </row>
        <row r="553">
          <cell r="A553" t="str">
            <v>10067.06404</v>
          </cell>
          <cell r="B553" t="str">
            <v>VANNE A BOISSEAU CONIQUE A PASSAGE DIRECT AVEC LEVIER</v>
          </cell>
          <cell r="C553" t="str">
            <v xml:space="preserve">VANNE A BOISSEAU CONIQUE A PASSAGE DIRECT AVEC LEVIERDN 25 CLASSE 150FLUIDE VEHICULE: ACIDE SULFURIQUESUIVANT FICHE TECHNIQUE </v>
          </cell>
          <cell r="D553" t="str">
            <v>PE</v>
          </cell>
          <cell r="E553" t="str">
            <v>515.51511</v>
          </cell>
          <cell r="F553">
            <v>1282</v>
          </cell>
          <cell r="G553">
            <v>0</v>
          </cell>
          <cell r="H553">
            <v>1</v>
          </cell>
          <cell r="I553">
            <v>0</v>
          </cell>
          <cell r="J553">
            <v>0</v>
          </cell>
          <cell r="K553">
            <v>0</v>
          </cell>
          <cell r="L553">
            <v>1</v>
          </cell>
        </row>
        <row r="554">
          <cell r="A554" t="str">
            <v>10079.05076</v>
          </cell>
          <cell r="B554" t="str">
            <v>CARAFE A EAU  VERRE   1L</v>
          </cell>
          <cell r="C554" t="str">
            <v xml:space="preserve">DIVERS ARTICLES DE CUISINE ET RESTAURATION CARAFE A EAU  MATIERE : VERRE CONTENANCE : 1 LITRE </v>
          </cell>
          <cell r="D554" t="str">
            <v>PE</v>
          </cell>
          <cell r="E554" t="str">
            <v>222.22203</v>
          </cell>
          <cell r="F554">
            <v>30</v>
          </cell>
          <cell r="G554">
            <v>0</v>
          </cell>
          <cell r="H554">
            <v>0</v>
          </cell>
          <cell r="I554">
            <v>0</v>
          </cell>
          <cell r="J554">
            <v>0</v>
          </cell>
          <cell r="K554">
            <v>0</v>
          </cell>
          <cell r="L554">
            <v>0</v>
          </cell>
        </row>
        <row r="555">
          <cell r="A555" t="str">
            <v>10079.05102</v>
          </cell>
          <cell r="B555" t="str">
            <v>SOUS TASSE EN PORCELAINE</v>
          </cell>
          <cell r="C555" t="str">
            <v xml:space="preserve">DIVERS ARTICLES DE CUISINE ET RESTAURATION SOUS TASSE POUR TASSE A CAFE MATIERE : PORCELAINE BLANC LES OFFRES DOIVENT ETRE ACCOMPAGNEES DES ECHANTILLONS LES OFFRES DOIVENT ETRE ACCOMPAGNEES DES ECHANTILLONS DES ARTICLES PROPOSES POUR CHOIX DU SERVICE DEMANDEUR DES ARTICLES PROPOSES POUR CHOIX DU SERVICE DEMANDEUR </v>
          </cell>
          <cell r="D555" t="str">
            <v>PE</v>
          </cell>
          <cell r="E555" t="str">
            <v>222.22203</v>
          </cell>
          <cell r="F555">
            <v>6.1894999999999998</v>
          </cell>
          <cell r="G555">
            <v>0</v>
          </cell>
          <cell r="H555">
            <v>0</v>
          </cell>
          <cell r="I555">
            <v>0</v>
          </cell>
          <cell r="J555">
            <v>0</v>
          </cell>
          <cell r="K555">
            <v>0</v>
          </cell>
          <cell r="L555">
            <v>0</v>
          </cell>
        </row>
        <row r="556">
          <cell r="A556" t="str">
            <v>10078.03557</v>
          </cell>
          <cell r="B556" t="str">
            <v>CHEMISE BLEUE ETE HI EN42</v>
          </cell>
          <cell r="C556" t="str">
            <v xml:space="preserve">HABILLEMENT CHEMISE (ETE ET HIVER) POUR CHAOUCH ET CHAUFFEUR DE LA DIRECTION GENERALE EN TERGAL COL: FERME MANCHES: LONGUES COULEUR: BLEU ENCOLURE: 42 </v>
          </cell>
          <cell r="D556" t="str">
            <v>PE</v>
          </cell>
          <cell r="E556" t="str">
            <v>522.52216</v>
          </cell>
          <cell r="F556">
            <v>65.52</v>
          </cell>
          <cell r="G556">
            <v>0</v>
          </cell>
          <cell r="H556">
            <v>0</v>
          </cell>
          <cell r="I556">
            <v>0</v>
          </cell>
          <cell r="J556">
            <v>0</v>
          </cell>
          <cell r="K556">
            <v>0</v>
          </cell>
          <cell r="L556">
            <v>0</v>
          </cell>
        </row>
        <row r="557">
          <cell r="A557" t="str">
            <v>10078.03558</v>
          </cell>
          <cell r="B557" t="str">
            <v>CHEMISE BLEUE ETE HI EN43</v>
          </cell>
          <cell r="C557" t="str">
            <v xml:space="preserve">HABILLEMENT CHEMISE (ETE ET HIVER) POUR CHAOUCH ET CHAUFFEUR DE LA DIRECTION GENERALE EN TERGAL COL: FERME MANCHES: LONGUES COULEUR: BLEU ENCOLURE: 43 </v>
          </cell>
          <cell r="D557" t="str">
            <v>PE</v>
          </cell>
          <cell r="E557" t="str">
            <v>522.52216</v>
          </cell>
          <cell r="F557">
            <v>65.52</v>
          </cell>
          <cell r="G557">
            <v>0</v>
          </cell>
          <cell r="H557">
            <v>0</v>
          </cell>
          <cell r="I557">
            <v>0</v>
          </cell>
          <cell r="J557">
            <v>0</v>
          </cell>
          <cell r="K557">
            <v>0</v>
          </cell>
          <cell r="L557">
            <v>0</v>
          </cell>
        </row>
        <row r="558">
          <cell r="A558" t="str">
            <v>10067.00752</v>
          </cell>
          <cell r="B558" t="str">
            <v>HOUSSE DE PROTECTION POUR COMPENSATEUR</v>
          </cell>
          <cell r="C558" t="str">
            <v>HOUSSE DE PROTECTION POUR COMPENSATEUR DN80 PN10 A 16ENCOMBREMENT DILATO 350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58" t="str">
            <v>PE</v>
          </cell>
          <cell r="E558" t="str">
            <v>522.52207</v>
          </cell>
          <cell r="F558">
            <v>550</v>
          </cell>
          <cell r="G558">
            <v>0</v>
          </cell>
          <cell r="H558">
            <v>0</v>
          </cell>
          <cell r="I558">
            <v>0</v>
          </cell>
          <cell r="J558">
            <v>0</v>
          </cell>
          <cell r="K558">
            <v>4</v>
          </cell>
          <cell r="L558">
            <v>0</v>
          </cell>
        </row>
        <row r="559">
          <cell r="A559" t="str">
            <v>10078.03559</v>
          </cell>
          <cell r="B559" t="str">
            <v>CHEMISE BLEUE ETE HI EN44</v>
          </cell>
          <cell r="C559" t="str">
            <v xml:space="preserve">HABILLEMENT CHEMISE (ETE ET HIVER) POUR CHAOUCH ET CHAUFFEUR DE LA DIRECTION GENERALE EN TERGAL COL: FERME MANCHES: LONGUES COULEUR: BLEU ENCOLURE: 44 </v>
          </cell>
          <cell r="D559" t="str">
            <v>PE</v>
          </cell>
          <cell r="E559" t="str">
            <v>522.52216</v>
          </cell>
          <cell r="F559">
            <v>65.52</v>
          </cell>
          <cell r="G559">
            <v>0</v>
          </cell>
          <cell r="H559">
            <v>0</v>
          </cell>
          <cell r="I559">
            <v>0</v>
          </cell>
          <cell r="J559">
            <v>0</v>
          </cell>
          <cell r="K559">
            <v>0</v>
          </cell>
          <cell r="L559">
            <v>0</v>
          </cell>
        </row>
        <row r="560">
          <cell r="A560" t="str">
            <v>10079.05101</v>
          </cell>
          <cell r="B560" t="str">
            <v>TASSE A CAFE EN PORCELAIN</v>
          </cell>
          <cell r="C560" t="str">
            <v xml:space="preserve">DIVERS ARTICLES DE CUISINE ET RESTAURATION TASSE A CAFE MATIERE : PORCELAINE BLANC </v>
          </cell>
          <cell r="D560" t="str">
            <v>PE</v>
          </cell>
          <cell r="E560" t="str">
            <v>222.22203</v>
          </cell>
          <cell r="F560">
            <v>7.4273999999999996</v>
          </cell>
          <cell r="G560">
            <v>0</v>
          </cell>
          <cell r="H560">
            <v>0</v>
          </cell>
          <cell r="I560">
            <v>0</v>
          </cell>
          <cell r="J560">
            <v>0</v>
          </cell>
          <cell r="K560">
            <v>0</v>
          </cell>
          <cell r="L560">
            <v>0</v>
          </cell>
        </row>
        <row r="561">
          <cell r="A561" t="str">
            <v>10067.00756</v>
          </cell>
          <cell r="B561" t="str">
            <v>HOUSSE DE PROTECTION POUR COMPENSATEUR</v>
          </cell>
          <cell r="C561" t="str">
            <v>HOUSSE DE PROTECTION POUR COMPENSATEUR DN150 PN10 A 16ENCOMBREMENT DILATO 300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61" t="str">
            <v>PE</v>
          </cell>
          <cell r="E561" t="str">
            <v>522.52207</v>
          </cell>
          <cell r="F561">
            <v>690</v>
          </cell>
          <cell r="G561">
            <v>0</v>
          </cell>
          <cell r="H561">
            <v>0</v>
          </cell>
          <cell r="I561">
            <v>0</v>
          </cell>
          <cell r="J561">
            <v>0</v>
          </cell>
          <cell r="K561">
            <v>0</v>
          </cell>
          <cell r="L561">
            <v>0</v>
          </cell>
        </row>
        <row r="562">
          <cell r="A562" t="str">
            <v>10079.05111</v>
          </cell>
          <cell r="B562" t="str">
            <v>THEIERES ARGENT 5 VERRES</v>
          </cell>
          <cell r="C562" t="str">
            <v xml:space="preserve">DIVERS ARTICLES DE CUISINE ET RESTAURATION THEIERE EN ARGENT , MODELE MOYEN CAPACITE : 5 VERRES </v>
          </cell>
          <cell r="D562" t="str">
            <v>PE</v>
          </cell>
          <cell r="E562" t="str">
            <v>222.22203</v>
          </cell>
          <cell r="F562">
            <v>78</v>
          </cell>
          <cell r="G562">
            <v>0</v>
          </cell>
          <cell r="H562">
            <v>0</v>
          </cell>
          <cell r="I562">
            <v>0</v>
          </cell>
          <cell r="J562">
            <v>0</v>
          </cell>
          <cell r="K562">
            <v>0</v>
          </cell>
          <cell r="L562">
            <v>0</v>
          </cell>
        </row>
        <row r="563">
          <cell r="A563" t="str">
            <v>10078.03592</v>
          </cell>
          <cell r="B563" t="str">
            <v>PULL OVER L BLE MARIN T M</v>
          </cell>
          <cell r="C563" t="str">
            <v xml:space="preserve">HABILLEMENT PULL-OVER (HIVER) POUR CHAOUCH ET CHAUFFEUR DE LA DIRECTION GENERALE EN LAINE COL: EN V MANCHES: LONGUES COULEUR: BLEU MARINE TAILLE: MOYENNE </v>
          </cell>
          <cell r="D563" t="str">
            <v>PE</v>
          </cell>
          <cell r="E563" t="str">
            <v>522.52216</v>
          </cell>
          <cell r="F563">
            <v>72</v>
          </cell>
          <cell r="G563">
            <v>0</v>
          </cell>
          <cell r="H563">
            <v>0</v>
          </cell>
          <cell r="I563">
            <v>0</v>
          </cell>
          <cell r="J563">
            <v>0</v>
          </cell>
          <cell r="K563">
            <v>0</v>
          </cell>
          <cell r="L563">
            <v>0</v>
          </cell>
        </row>
        <row r="564">
          <cell r="A564" t="str">
            <v>10067.00757</v>
          </cell>
          <cell r="B564" t="str">
            <v>HOUSSE DE PROTECTION POUR COMPENSATEUR</v>
          </cell>
          <cell r="C564" t="str">
            <v>HOUSSE DE PROTECTION POUR COMPENSATEUR DN150 PN10 A 16ENCOMBREMENT DILATO 450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564" t="str">
            <v>PE</v>
          </cell>
          <cell r="E564" t="str">
            <v>522.52207</v>
          </cell>
          <cell r="F564">
            <v>890</v>
          </cell>
          <cell r="G564">
            <v>0</v>
          </cell>
          <cell r="H564">
            <v>0</v>
          </cell>
          <cell r="I564">
            <v>0</v>
          </cell>
          <cell r="J564">
            <v>2</v>
          </cell>
          <cell r="K564">
            <v>0</v>
          </cell>
          <cell r="L564">
            <v>0</v>
          </cell>
        </row>
        <row r="565">
          <cell r="A565" t="str">
            <v>10080.00188</v>
          </cell>
          <cell r="B565" t="str">
            <v>ENCRE ROUGE</v>
          </cell>
          <cell r="C565" t="str">
            <v xml:space="preserve">FOURNITURES ET MATERIEL POUR LE BUREAU ENCRE  COULEUR ROUGE MODE DE LIVRAISON EN FLACON DE 30 MILLILITRES DESTINATION POUR STYLOGRAPHE </v>
          </cell>
          <cell r="D565" t="str">
            <v>PE</v>
          </cell>
          <cell r="E565" t="str">
            <v>222.22206</v>
          </cell>
          <cell r="F565">
            <v>2.976</v>
          </cell>
          <cell r="G565">
            <v>0</v>
          </cell>
          <cell r="H565">
            <v>0</v>
          </cell>
          <cell r="I565">
            <v>0</v>
          </cell>
          <cell r="J565">
            <v>0</v>
          </cell>
          <cell r="K565">
            <v>47</v>
          </cell>
          <cell r="L565">
            <v>0</v>
          </cell>
        </row>
        <row r="566">
          <cell r="A566" t="str">
            <v>10080.00190</v>
          </cell>
          <cell r="B566" t="str">
            <v>ENCRE DUPLICA</v>
          </cell>
          <cell r="C566" t="str">
            <v xml:space="preserve">FOURNITURES ET MATERIEL POUR LE BUREAU ENCRE  COULEUR VIOLETTE MODE DE LIVRAISON EN FLACON DE 20 CC ENVIRON DESTINATION POUR ENREGISTREUR </v>
          </cell>
          <cell r="D566" t="str">
            <v>PE</v>
          </cell>
          <cell r="E566" t="str">
            <v>222.22206</v>
          </cell>
          <cell r="F566">
            <v>2.976</v>
          </cell>
          <cell r="G566">
            <v>0</v>
          </cell>
          <cell r="H566">
            <v>0</v>
          </cell>
          <cell r="I566">
            <v>0</v>
          </cell>
          <cell r="J566">
            <v>0</v>
          </cell>
          <cell r="K566">
            <v>35</v>
          </cell>
          <cell r="L566">
            <v>0</v>
          </cell>
        </row>
        <row r="567">
          <cell r="A567" t="str">
            <v>10073.00462</v>
          </cell>
          <cell r="B567" t="str">
            <v>PRODUIT DESINFECTANT EN BIDON DE 1L</v>
          </cell>
          <cell r="C567" t="str">
            <v>DESINFECTANT-PARFUME : LAVANDE MODE DE LIVRAISON : (EN BIDON DE 1 LITRE ) , SANICROIX PRODUIT DANGEREUX(FICHE DE DONNEES DE SECURITE EST EXIGE LORS DE LA LIVRAISON DU PRODUIT)</v>
          </cell>
          <cell r="D567" t="str">
            <v>L</v>
          </cell>
          <cell r="E567" t="str">
            <v>222.22201</v>
          </cell>
          <cell r="F567">
            <v>6.2942999999999998</v>
          </cell>
          <cell r="G567">
            <v>0</v>
          </cell>
          <cell r="H567">
            <v>0</v>
          </cell>
          <cell r="I567">
            <v>0</v>
          </cell>
          <cell r="J567">
            <v>0</v>
          </cell>
          <cell r="K567">
            <v>0</v>
          </cell>
          <cell r="L567">
            <v>0</v>
          </cell>
        </row>
        <row r="568">
          <cell r="A568" t="str">
            <v>10079.00040</v>
          </cell>
          <cell r="B568" t="str">
            <v>SEAU EN CAOUTCHOUC</v>
          </cell>
          <cell r="C568" t="str">
            <v xml:space="preserve">DIVERS . . . DESIGNATION SEAU , RESISTANT A L'EAU TRES CHAUDE (DESTINE AU"HAMMAM") , ANSE EN METAL GALVANISE DE DIAMETRE=8MM (ENVIRON) DIAMETRE A L'OUVERTURE:270MM , PROFONDEUR:260MM MATIERE EN CAOUTCHOUC CONTENANT 12 LITRES (ENVIRON) </v>
          </cell>
          <cell r="D568" t="str">
            <v>PE</v>
          </cell>
          <cell r="E568" t="str">
            <v>522.52203</v>
          </cell>
          <cell r="F568">
            <v>24</v>
          </cell>
          <cell r="G568">
            <v>0</v>
          </cell>
          <cell r="H568">
            <v>0</v>
          </cell>
          <cell r="I568">
            <v>0</v>
          </cell>
          <cell r="J568">
            <v>0</v>
          </cell>
          <cell r="K568">
            <v>0</v>
          </cell>
          <cell r="L568">
            <v>0</v>
          </cell>
        </row>
        <row r="569">
          <cell r="A569" t="str">
            <v>10072.00530</v>
          </cell>
          <cell r="B569" t="str">
            <v>LUNETTES POUR ME</v>
          </cell>
          <cell r="C569" t="str">
            <v xml:space="preserve">ARTICLES DE PROTECTION ET DE SECURITE LUNETTES POUR MEULEUR  , MONTURE ALUMINIUM A EVENTS LATERAUX, BORDES DE VELOURS, ATTACHES ELASTIQUES BLANC BISEAUTES DE53MM DE DIAMETRE, ET DE 3 A 3,5 MM D'EPAISSEUR </v>
          </cell>
          <cell r="D569" t="str">
            <v>PE</v>
          </cell>
          <cell r="E569" t="str">
            <v>522.52216</v>
          </cell>
          <cell r="F569">
            <v>33.6</v>
          </cell>
          <cell r="G569">
            <v>0</v>
          </cell>
          <cell r="H569">
            <v>0</v>
          </cell>
          <cell r="I569">
            <v>0</v>
          </cell>
          <cell r="J569">
            <v>0</v>
          </cell>
          <cell r="K569">
            <v>97</v>
          </cell>
          <cell r="L569">
            <v>0</v>
          </cell>
        </row>
        <row r="570">
          <cell r="A570" t="str">
            <v>10072.00538</v>
          </cell>
          <cell r="B570" t="str">
            <v>CARTOUCHE FILTRANTE</v>
          </cell>
          <cell r="C570" t="str">
            <v xml:space="preserve">ARTICLES DE PROTECTION ET DE SECURITE CARTOUCHE FILTRANTE POUR DEMI MASQUE REFRENCE : 761 MARQUE CLIMAX UTILISATION : VAPEUR ORGANIQUE , MODELE : 760 REFERENCE : A1 </v>
          </cell>
          <cell r="D570" t="str">
            <v>PE</v>
          </cell>
          <cell r="E570" t="str">
            <v>522.52216</v>
          </cell>
          <cell r="F570">
            <v>34.606000000000002</v>
          </cell>
          <cell r="G570">
            <v>0</v>
          </cell>
          <cell r="H570">
            <v>0</v>
          </cell>
          <cell r="I570">
            <v>0</v>
          </cell>
          <cell r="J570">
            <v>0</v>
          </cell>
          <cell r="K570">
            <v>0</v>
          </cell>
          <cell r="L570">
            <v>0</v>
          </cell>
        </row>
        <row r="571">
          <cell r="A571" t="str">
            <v>10078.03601</v>
          </cell>
          <cell r="B571" t="str">
            <v>CHEMISE BLANCH ENCOL 38</v>
          </cell>
          <cell r="C571" t="str">
            <v xml:space="preserve">HABILLEMENT CHEMISE (ETE ET HIVER) POUR CHAUFFEURS EN COTON POLYESTER QUALITE: TRES BONNE COL: FERME MANCHES: LONGUES COULEUR: BLANCHE ENCOLURE: 38 </v>
          </cell>
          <cell r="D571" t="str">
            <v>PE</v>
          </cell>
          <cell r="E571" t="str">
            <v>522.52216</v>
          </cell>
          <cell r="F571">
            <v>80</v>
          </cell>
          <cell r="G571">
            <v>0</v>
          </cell>
          <cell r="H571">
            <v>0</v>
          </cell>
          <cell r="I571">
            <v>0</v>
          </cell>
          <cell r="J571">
            <v>0</v>
          </cell>
          <cell r="K571">
            <v>0</v>
          </cell>
          <cell r="L571">
            <v>0</v>
          </cell>
        </row>
        <row r="572">
          <cell r="A572" t="str">
            <v>10078.03605</v>
          </cell>
          <cell r="B572" t="str">
            <v>CHEMISE BLANCH ENCOL 42</v>
          </cell>
          <cell r="C572" t="str">
            <v xml:space="preserve">HABILLEMENT CHEMISE (ETE ET HIVER) POUR CHAUFFEURS EN COTON POLYESTER QUALITE: TRES BONNE COL: FERME MANCHES: LONGUES COULEUR: BLANCHE ENCOLURE: 42 </v>
          </cell>
          <cell r="D572" t="str">
            <v>PE</v>
          </cell>
          <cell r="E572" t="str">
            <v>522.52216</v>
          </cell>
          <cell r="F572">
            <v>65.52</v>
          </cell>
          <cell r="G572">
            <v>0</v>
          </cell>
          <cell r="H572">
            <v>0</v>
          </cell>
          <cell r="I572">
            <v>0</v>
          </cell>
          <cell r="J572">
            <v>0</v>
          </cell>
          <cell r="K572">
            <v>0</v>
          </cell>
          <cell r="L572">
            <v>0</v>
          </cell>
        </row>
        <row r="573">
          <cell r="A573" t="str">
            <v>10078.03594</v>
          </cell>
          <cell r="B573" t="str">
            <v>PULL OVER L BLE MARIN T G</v>
          </cell>
          <cell r="C573" t="str">
            <v xml:space="preserve">HABILLEMENT PULL-OVER (HIVER) POUR CHAOUCH ET CHAUFFEUR DE LA DIRECTION GENERALE EN LAINE COL: EN V MANCHES: LONGUES COULEUR: BLEU MARINE TAILLE: GRANDE </v>
          </cell>
          <cell r="D573" t="str">
            <v>PE</v>
          </cell>
          <cell r="E573" t="str">
            <v>522.52216</v>
          </cell>
          <cell r="F573">
            <v>72</v>
          </cell>
          <cell r="G573">
            <v>0</v>
          </cell>
          <cell r="H573">
            <v>0</v>
          </cell>
          <cell r="I573">
            <v>0</v>
          </cell>
          <cell r="J573">
            <v>0</v>
          </cell>
          <cell r="K573">
            <v>0</v>
          </cell>
          <cell r="L573">
            <v>0</v>
          </cell>
        </row>
        <row r="574">
          <cell r="A574" t="str">
            <v>10082.00483</v>
          </cell>
          <cell r="B574" t="str">
            <v>FEUI TRAN POLY SAN BA B C</v>
          </cell>
          <cell r="C574" t="str">
            <v xml:space="preserve">PAPETERIE FEUILLES TRANSPARENTES POUR MACHINE A PHOTOCOPIER ET POUR RETRO PROJECTEUR  , EN POLYESTER SANS BANDE BLANCHE SUR LE COTE FORMAT : 21 X 29,7 CM </v>
          </cell>
          <cell r="D574" t="str">
            <v>PE</v>
          </cell>
          <cell r="E574" t="str">
            <v>222.22206</v>
          </cell>
          <cell r="F574">
            <v>0.78</v>
          </cell>
          <cell r="G574">
            <v>0</v>
          </cell>
          <cell r="H574">
            <v>0</v>
          </cell>
          <cell r="I574">
            <v>0</v>
          </cell>
          <cell r="J574">
            <v>0</v>
          </cell>
          <cell r="K574">
            <v>481</v>
          </cell>
          <cell r="L574">
            <v>0</v>
          </cell>
        </row>
        <row r="575">
          <cell r="A575" t="str">
            <v>10078.02512</v>
          </cell>
          <cell r="B575" t="str">
            <v>BLOUSE BEIGE HIVER TAIL52</v>
          </cell>
          <cell r="C575" t="str">
            <v xml:space="preserve">HABILLEMENT BLOUSE POUR PERSONNEL MASCULIN (HORS-CADRE) HIVER QUALITE: TISSU:TERGAL DE BONNE QUALITE POIDS= 125 GR/M2 FORME DE LA BLOUSE DROITE COL: CHEVALIER MANCHES: LONGUES COULEUR: BEIGE TAILLE: 52 1 POCHE POITRINE SUR LE COTE GAUCHE 1 POCHE DE CHAQUE COTE A OUVRTURE EN BIAIS CONFECTION TRES SOIGNEE FERMETURE SUR LE DEVANT PAR 4 BOUTONS </v>
          </cell>
          <cell r="D575" t="str">
            <v>PE</v>
          </cell>
          <cell r="E575" t="str">
            <v>522.52216</v>
          </cell>
          <cell r="F575">
            <v>107.4</v>
          </cell>
          <cell r="G575">
            <v>0</v>
          </cell>
          <cell r="H575">
            <v>0</v>
          </cell>
          <cell r="I575">
            <v>0</v>
          </cell>
          <cell r="J575">
            <v>0</v>
          </cell>
          <cell r="K575">
            <v>0</v>
          </cell>
          <cell r="L575">
            <v>0</v>
          </cell>
        </row>
        <row r="576">
          <cell r="A576" t="str">
            <v>10078.02504</v>
          </cell>
          <cell r="B576" t="str">
            <v>BLOUSE BEIGE ETE TAILLE52</v>
          </cell>
          <cell r="C576" t="str">
            <v xml:space="preserve">HABILLEMENT BLOUSE POUR PERSONNEL MASCULIN (HORS-CADRE) ETE QUALITE: TISSU:TERGAL DE BONNE QUALITE POIDS= :125 GR/M2 FORME DE LA BLOUSE DROITE COL: CHEVALIER MANCHES: LONGUES COULEUR: BEIGE TAILLE: 52 1 POCHE POITRINE SUR LE COTE GAUCHE 1 POCHE DE CHAQUE COTE A OUVERTURE EN BIAIS CONFECTION TRES SOIGNEE FERMETURE SUR LE DEVANT PAR 4 BOUTONS </v>
          </cell>
          <cell r="D576" t="str">
            <v>PE</v>
          </cell>
          <cell r="E576" t="str">
            <v>522.52216</v>
          </cell>
          <cell r="F576">
            <v>99.3</v>
          </cell>
          <cell r="G576">
            <v>0</v>
          </cell>
          <cell r="H576">
            <v>0</v>
          </cell>
          <cell r="I576">
            <v>0</v>
          </cell>
          <cell r="J576">
            <v>0</v>
          </cell>
          <cell r="K576">
            <v>0</v>
          </cell>
          <cell r="L576">
            <v>0</v>
          </cell>
        </row>
        <row r="577">
          <cell r="A577" t="str">
            <v>10078.02506</v>
          </cell>
          <cell r="B577" t="str">
            <v>BLOUSE BEIGE ETE TAILLE56</v>
          </cell>
          <cell r="C577" t="str">
            <v xml:space="preserve">HABILLEMENT BLOUSE POUR PERSONNEL MASCULIN (HORS-CADRE) ETE QUALITE: TISSU : TERGAL DE BONNE QUALITE POIDS= 125 GR/M2 FORME DE LA BLOUSE DROITE COL: CHEVALIER MANCHES: LONGUES COULEUR: BEIGE TAILLE: 56 1 POCHE POITRINE SUR LE COTE GAUCHE 1 POCHE DE CHAQUE COTE A OUVERTURE EN BIAIS CONFECTION TRES SOIGNEE FERMETURE SUR LE DEVANT PAR 4 BOUTONS </v>
          </cell>
          <cell r="D577" t="str">
            <v>PE</v>
          </cell>
          <cell r="E577" t="str">
            <v>522.52216</v>
          </cell>
          <cell r="F577">
            <v>85.3506</v>
          </cell>
          <cell r="G577">
            <v>0</v>
          </cell>
          <cell r="H577">
            <v>0</v>
          </cell>
          <cell r="I577">
            <v>0</v>
          </cell>
          <cell r="J577">
            <v>0</v>
          </cell>
          <cell r="K577">
            <v>0</v>
          </cell>
          <cell r="L577">
            <v>0</v>
          </cell>
        </row>
        <row r="578">
          <cell r="A578" t="str">
            <v>10078.02507</v>
          </cell>
          <cell r="B578" t="str">
            <v>BLOUSE BEIGE ETE TAILLE58</v>
          </cell>
          <cell r="C578" t="str">
            <v xml:space="preserve">HABILLEMENT BLOUSE POUR PERSONNEL MASCULIN (HORS-CADRE) ETE QUALITE: TISSU:TERGAL DE BONNE QUALITE POIDS= :125 GR/M2 FORME DE LA BLOUSE DROITE COL: CHEVALIER MANCHES: LONGUES COULEUR: BEIGE TAILLE: 58 1 POCHE POITRINE SUR LE COTE GAUCHE 1 POCHE DE CHAQUE COTE A OUVERTURE EN BIAIS CONFECTION TRES SOIGNEE FERMETURE SUR LE DEVANT PAR 4 BOUTONS </v>
          </cell>
          <cell r="D578" t="str">
            <v>PE</v>
          </cell>
          <cell r="E578" t="str">
            <v>522.52216</v>
          </cell>
          <cell r="F578">
            <v>97.254499999999993</v>
          </cell>
          <cell r="G578">
            <v>0</v>
          </cell>
          <cell r="H578">
            <v>0</v>
          </cell>
          <cell r="I578">
            <v>0</v>
          </cell>
          <cell r="J578">
            <v>0</v>
          </cell>
          <cell r="K578">
            <v>5</v>
          </cell>
          <cell r="L578">
            <v>0</v>
          </cell>
        </row>
        <row r="579">
          <cell r="A579" t="str">
            <v>10068.08429</v>
          </cell>
          <cell r="B579" t="str">
            <v>TE EGAL UB6 DN100</v>
          </cell>
          <cell r="C579" t="str">
            <v>TE EGAL UB6 - 904L SANS SOUDURE SCH 10S 114,3 X 3,05 DN100</v>
          </cell>
          <cell r="D579" t="str">
            <v>PE</v>
          </cell>
          <cell r="E579" t="str">
            <v>313.31301</v>
          </cell>
          <cell r="F579">
            <v>5852.6265000000003</v>
          </cell>
          <cell r="G579">
            <v>0</v>
          </cell>
          <cell r="H579">
            <v>0</v>
          </cell>
          <cell r="I579">
            <v>0</v>
          </cell>
          <cell r="J579">
            <v>0</v>
          </cell>
          <cell r="K579">
            <v>0</v>
          </cell>
          <cell r="L579">
            <v>2</v>
          </cell>
        </row>
        <row r="580">
          <cell r="A580" t="str">
            <v>10078.03611</v>
          </cell>
          <cell r="B580" t="str">
            <v>CHEMISE BLEUE ETE/HI EN38</v>
          </cell>
          <cell r="C580" t="str">
            <v xml:space="preserve">HABILLEMENT CHEMISE (ETE ET HIVER) POUR CHAUFFEURS EN COTON POLYESTER QUALITE: TRES BONNE COL: FERME MANCHES: LONGUES COULEUR: BLEUE ENCOLURE: 38 </v>
          </cell>
          <cell r="D580" t="str">
            <v>PE</v>
          </cell>
          <cell r="E580" t="str">
            <v>522.52216</v>
          </cell>
          <cell r="F580">
            <v>80</v>
          </cell>
          <cell r="G580">
            <v>0</v>
          </cell>
          <cell r="H580">
            <v>0</v>
          </cell>
          <cell r="I580">
            <v>0</v>
          </cell>
          <cell r="J580">
            <v>0</v>
          </cell>
          <cell r="K580">
            <v>0</v>
          </cell>
          <cell r="L580">
            <v>0</v>
          </cell>
        </row>
        <row r="581">
          <cell r="A581" t="str">
            <v>10080.00260</v>
          </cell>
          <cell r="B581" t="str">
            <v>DEVIDOIR RUBA 12</v>
          </cell>
          <cell r="C581" t="str">
            <v xml:space="preserve">FOURNITURES ET MATERIEL POUR LE BUREAU . . . DESIGNATION : DEVIDOIRS SCOTCH EN PLASTIQUE,COUPOIR EN METAL LARGEUR DU RUBAN = 12 MM DESTINATION POUR RUBAN ADHESIF DE 20 METRES DE LONG </v>
          </cell>
          <cell r="D581" t="str">
            <v>PE</v>
          </cell>
          <cell r="E581" t="str">
            <v>222.22206</v>
          </cell>
          <cell r="F581">
            <v>25</v>
          </cell>
          <cell r="G581">
            <v>0</v>
          </cell>
          <cell r="H581">
            <v>0</v>
          </cell>
          <cell r="I581">
            <v>1</v>
          </cell>
          <cell r="J581">
            <v>0</v>
          </cell>
          <cell r="K581">
            <v>0</v>
          </cell>
          <cell r="L581">
            <v>0</v>
          </cell>
        </row>
        <row r="582">
          <cell r="A582" t="str">
            <v>10080.00262</v>
          </cell>
          <cell r="B582" t="str">
            <v>DEVIDOIR RUBA 19</v>
          </cell>
          <cell r="C582" t="str">
            <v xml:space="preserve">FOURNITURES ET MATERIEL POUR LE BUREAU . . . DESIGNATION : DEVIDOIRS SCOTCH EN PLASTIQUE,COUPOIR EN METAL LARGEUR DU RUBAN = 19 MM DESTINATION POUR RUBAN ADHESIF DE 20 METRES DE LONG </v>
          </cell>
          <cell r="D582" t="str">
            <v>PE</v>
          </cell>
          <cell r="E582" t="str">
            <v>222.22206</v>
          </cell>
          <cell r="F582">
            <v>7.85</v>
          </cell>
          <cell r="G582">
            <v>0</v>
          </cell>
          <cell r="H582">
            <v>67</v>
          </cell>
          <cell r="I582">
            <v>5</v>
          </cell>
          <cell r="J582">
            <v>6</v>
          </cell>
          <cell r="K582">
            <v>38</v>
          </cell>
          <cell r="L582">
            <v>0</v>
          </cell>
        </row>
        <row r="583">
          <cell r="A583" t="str">
            <v>10080.00256</v>
          </cell>
          <cell r="B583" t="str">
            <v>GOMME PLASTIQ. BLANC</v>
          </cell>
          <cell r="C583" t="str">
            <v xml:space="preserve">FOURNITURES ET MATERIEL POUR LE BUREAU GOMMES  FORME RECTANGULAIRE AVEC GAINE:65 X 23 X 12 MM ENVIRON QUALITE PLASTIQUE BLANC GENRE STAEDTLER 526-50 DESTINATION POUR LE DESSIN </v>
          </cell>
          <cell r="D583" t="str">
            <v>PE</v>
          </cell>
          <cell r="E583" t="str">
            <v>222.22206</v>
          </cell>
          <cell r="F583">
            <v>0.95199999999999996</v>
          </cell>
          <cell r="G583">
            <v>0</v>
          </cell>
          <cell r="H583">
            <v>0</v>
          </cell>
          <cell r="I583">
            <v>0</v>
          </cell>
          <cell r="J583">
            <v>0</v>
          </cell>
          <cell r="K583">
            <v>0</v>
          </cell>
          <cell r="L583">
            <v>0</v>
          </cell>
        </row>
        <row r="584">
          <cell r="A584" t="str">
            <v>10078.03606</v>
          </cell>
          <cell r="B584" t="str">
            <v>CHEMISE BLANCH ENCOL 43</v>
          </cell>
          <cell r="C584" t="str">
            <v xml:space="preserve">HABILLEMENT CHEMISE (ETE ET HIVER) POUR CHAUFFEURS EN COTON POLYESTER QUALITE: TRES BONNE COL: FERME MANCHES: LONGUES COULEUR: BLANCHE ENCOLURE: 43 </v>
          </cell>
          <cell r="D584" t="str">
            <v>PE</v>
          </cell>
          <cell r="E584" t="str">
            <v>522.52216</v>
          </cell>
          <cell r="F584">
            <v>80</v>
          </cell>
          <cell r="G584">
            <v>0</v>
          </cell>
          <cell r="H584">
            <v>0</v>
          </cell>
          <cell r="I584">
            <v>0</v>
          </cell>
          <cell r="J584">
            <v>0</v>
          </cell>
          <cell r="K584">
            <v>0</v>
          </cell>
          <cell r="L584">
            <v>0</v>
          </cell>
        </row>
        <row r="585">
          <cell r="A585" t="str">
            <v>10078.03607</v>
          </cell>
          <cell r="B585" t="str">
            <v>CHEMISE BLANCH ENCOL 44</v>
          </cell>
          <cell r="C585" t="str">
            <v xml:space="preserve">HABILLEMENT CHEMISE (ETE ET HIVER) POUR CHAUFFEURS EN COTON POLYESTER QUALITE: TRES BONNE COL: FERME MANCHES: LONGUES COULEUR: BLANCHE ENCOLURE: 44 </v>
          </cell>
          <cell r="D585" t="str">
            <v>PE</v>
          </cell>
          <cell r="E585" t="str">
            <v>522.52216</v>
          </cell>
          <cell r="F585">
            <v>81.644999999999996</v>
          </cell>
          <cell r="G585">
            <v>0</v>
          </cell>
          <cell r="H585">
            <v>0</v>
          </cell>
          <cell r="I585">
            <v>0</v>
          </cell>
          <cell r="J585">
            <v>0</v>
          </cell>
          <cell r="K585">
            <v>0</v>
          </cell>
          <cell r="L585">
            <v>0</v>
          </cell>
        </row>
        <row r="586">
          <cell r="A586" t="str">
            <v>10080.00270</v>
          </cell>
          <cell r="B586" t="str">
            <v>PERFORATEUR A 2 TROUS 70MM</v>
          </cell>
          <cell r="C586" t="str">
            <v xml:space="preserve">PERFORATEURS A 2 TROUS ECARTEMENT= 70 MM </v>
          </cell>
          <cell r="D586" t="str">
            <v>PE</v>
          </cell>
          <cell r="E586" t="str">
            <v>222.22206</v>
          </cell>
          <cell r="F586">
            <v>11.52</v>
          </cell>
          <cell r="G586">
            <v>0</v>
          </cell>
          <cell r="H586">
            <v>0</v>
          </cell>
          <cell r="I586">
            <v>0</v>
          </cell>
          <cell r="J586">
            <v>0</v>
          </cell>
          <cell r="K586">
            <v>0</v>
          </cell>
          <cell r="L586">
            <v>0</v>
          </cell>
        </row>
        <row r="587">
          <cell r="A587" t="str">
            <v>10080.00271</v>
          </cell>
          <cell r="B587" t="str">
            <v>PERFORATEUR A 2 TROUS 80MM</v>
          </cell>
          <cell r="C587" t="str">
            <v xml:space="preserve">PERFORATEURS A 2 TROUS ECARTEMENT= 80 MM </v>
          </cell>
          <cell r="D587" t="str">
            <v>PE</v>
          </cell>
          <cell r="E587" t="str">
            <v>222.22206</v>
          </cell>
          <cell r="F587">
            <v>11.52</v>
          </cell>
          <cell r="G587">
            <v>0</v>
          </cell>
          <cell r="H587">
            <v>0</v>
          </cell>
          <cell r="I587">
            <v>0</v>
          </cell>
          <cell r="J587">
            <v>0</v>
          </cell>
          <cell r="K587">
            <v>1</v>
          </cell>
          <cell r="L587">
            <v>0</v>
          </cell>
        </row>
        <row r="588">
          <cell r="A588" t="str">
            <v>10080.00339</v>
          </cell>
          <cell r="B588" t="str">
            <v>BOITE TROMBONE PLASTIFIE</v>
          </cell>
          <cell r="C588" t="str">
            <v xml:space="preserve">FOURNITURES ET MATERIEL POUR LE BUREAU AGRAFES DESIGNATION : BOITE DE 100 "ATTACHES" TRAMBONE PLASTIFIE LONGUEUR : 32 MM ENVIRON </v>
          </cell>
          <cell r="D588" t="str">
            <v>PE</v>
          </cell>
          <cell r="E588" t="str">
            <v>222.22206</v>
          </cell>
          <cell r="F588">
            <v>1.8308</v>
          </cell>
          <cell r="G588">
            <v>0</v>
          </cell>
          <cell r="H588">
            <v>0</v>
          </cell>
          <cell r="I588">
            <v>79</v>
          </cell>
          <cell r="J588">
            <v>49</v>
          </cell>
          <cell r="K588">
            <v>102</v>
          </cell>
          <cell r="L588">
            <v>0</v>
          </cell>
        </row>
        <row r="589">
          <cell r="A589" t="str">
            <v>10080.00266</v>
          </cell>
          <cell r="B589" t="str">
            <v>RUBAN ADHE LAR 1</v>
          </cell>
          <cell r="C589" t="str">
            <v xml:space="preserve">FOURNITURES ET MATERIEL POUR LE BUREAU RUBANS ADHESIF  QUALITE CELLULOSIQUE TRANSPARENT LARGEUR 19 MM MODE DE LIVRAISON EN ROULEAU DE 20 METRES DE LONG </v>
          </cell>
          <cell r="D589" t="str">
            <v>PE</v>
          </cell>
          <cell r="E589" t="str">
            <v>222.22206</v>
          </cell>
          <cell r="F589">
            <v>1.7459</v>
          </cell>
          <cell r="G589">
            <v>0</v>
          </cell>
          <cell r="H589">
            <v>0</v>
          </cell>
          <cell r="I589">
            <v>0</v>
          </cell>
          <cell r="J589">
            <v>0</v>
          </cell>
          <cell r="K589">
            <v>0</v>
          </cell>
          <cell r="L589">
            <v>0</v>
          </cell>
        </row>
        <row r="590">
          <cell r="A590" t="str">
            <v>10080.00269</v>
          </cell>
          <cell r="B590" t="str">
            <v>SCOTCH MASKING TAPE</v>
          </cell>
          <cell r="C590" t="str">
            <v xml:space="preserve">RUBANS ADHESIF DESIGNATION : ROULEAU DE SCOTCH MASKING TAPE LONGUEUR 66 METRES LARGEUR 25 MM </v>
          </cell>
          <cell r="D590" t="str">
            <v>PE</v>
          </cell>
          <cell r="E590" t="str">
            <v>222.22206</v>
          </cell>
          <cell r="F590">
            <v>10.14</v>
          </cell>
          <cell r="G590">
            <v>0</v>
          </cell>
          <cell r="H590">
            <v>0</v>
          </cell>
          <cell r="I590">
            <v>0</v>
          </cell>
          <cell r="J590">
            <v>0</v>
          </cell>
          <cell r="K590">
            <v>0</v>
          </cell>
          <cell r="L590">
            <v>0</v>
          </cell>
        </row>
        <row r="591">
          <cell r="A591" t="str">
            <v>10082.00839</v>
          </cell>
          <cell r="B591" t="str">
            <v>RAME 500 FEUIL. 21X29,7CM</v>
          </cell>
          <cell r="C591" t="str">
            <v xml:space="preserve">RAME DE 500 FEUILLES DE PAPIER FORCE : 80G/M2 COULEUR : BLANCHE FORMAT : 21 X 29,7 CM QUALITE : EXTRA-BLANC OPACITE 85 A 90 % SENS DE FABRICATION LONGITUDINAL HUMIDITE 4 A 6 % </v>
          </cell>
          <cell r="D591" t="str">
            <v>PE</v>
          </cell>
          <cell r="E591" t="str">
            <v>222.22206</v>
          </cell>
          <cell r="F591">
            <v>32.8735</v>
          </cell>
          <cell r="G591">
            <v>11</v>
          </cell>
          <cell r="H591">
            <v>89</v>
          </cell>
          <cell r="I591">
            <v>101</v>
          </cell>
          <cell r="J591">
            <v>195</v>
          </cell>
          <cell r="K591">
            <v>432</v>
          </cell>
          <cell r="L591">
            <v>22</v>
          </cell>
        </row>
        <row r="592">
          <cell r="A592" t="str">
            <v>10082.00839</v>
          </cell>
          <cell r="B592" t="str">
            <v>RAME 500 FEUIL. 21X29,7CM</v>
          </cell>
          <cell r="C592" t="str">
            <v xml:space="preserve">RAME DE 500 FEUILLES DE PAPIER FORCE : 80G/M2 COULEUR : BLANCHE FORMAT : 21 X 29,7 CM QUALITE : EXTRA-BLANC OPACITE 85 A 90 % SENS DE FABRICATION LONGITUDINAL HUMIDITE 4 A 6 % </v>
          </cell>
          <cell r="D592" t="str">
            <v>PE</v>
          </cell>
          <cell r="E592" t="str">
            <v>222.22206</v>
          </cell>
          <cell r="F592">
            <v>32.8735</v>
          </cell>
          <cell r="G592">
            <v>0</v>
          </cell>
          <cell r="H592">
            <v>0</v>
          </cell>
          <cell r="I592">
            <v>0</v>
          </cell>
          <cell r="J592">
            <v>0</v>
          </cell>
          <cell r="K592">
            <v>0</v>
          </cell>
          <cell r="L592">
            <v>0</v>
          </cell>
        </row>
        <row r="593">
          <cell r="A593" t="str">
            <v>10078.02514</v>
          </cell>
          <cell r="B593" t="str">
            <v>BLOUSE BEIGE HIVER TAIL56</v>
          </cell>
          <cell r="C593" t="str">
            <v xml:space="preserve">HABILLEMENT BLOUSE POUR PERSONNEL MASCULIN (HORS-CADRE) HIVER QUALITE: TISS:TERGAL DE BONNE QUALITE POIDS= 125 GR/M2 FORME DE LA BLOUSE DROITE COL: CHEVALIER MANCHES: LONGUES COULEUR: BEIGE TAILLE: 56 1 POCHE POITRINE SUR LE COTE GAUCHE 1 POCHE DE CHAQUE COTE A OUVERTURE EN BIAIS CONFECTION TRES SOIGNEE FERMETURE SUR LE DEVANT PAR 4 BOUTONS </v>
          </cell>
          <cell r="D593" t="str">
            <v>PE</v>
          </cell>
          <cell r="E593" t="str">
            <v>522.52216</v>
          </cell>
          <cell r="F593">
            <v>107.4</v>
          </cell>
          <cell r="G593">
            <v>0</v>
          </cell>
          <cell r="H593">
            <v>0</v>
          </cell>
          <cell r="I593">
            <v>0</v>
          </cell>
          <cell r="J593">
            <v>0</v>
          </cell>
          <cell r="K593">
            <v>0</v>
          </cell>
          <cell r="L593">
            <v>0</v>
          </cell>
        </row>
        <row r="594">
          <cell r="A594" t="str">
            <v>10068.08442</v>
          </cell>
          <cell r="B594" t="str">
            <v>TE EGAL UB6 DN50</v>
          </cell>
          <cell r="C594" t="str">
            <v>TE EGAL UB6 - 904L SANS SOUDURE SCH 40S  60.3 x 3.91 DN50</v>
          </cell>
          <cell r="D594" t="str">
            <v>PE</v>
          </cell>
          <cell r="E594" t="str">
            <v>313.31301</v>
          </cell>
          <cell r="F594">
            <v>1652.7733000000001</v>
          </cell>
          <cell r="G594">
            <v>0</v>
          </cell>
          <cell r="H594">
            <v>0</v>
          </cell>
          <cell r="I594">
            <v>0</v>
          </cell>
          <cell r="J594">
            <v>0</v>
          </cell>
          <cell r="K594">
            <v>0</v>
          </cell>
          <cell r="L594">
            <v>2</v>
          </cell>
        </row>
        <row r="595">
          <cell r="A595" t="str">
            <v>10074.00206</v>
          </cell>
          <cell r="B595" t="str">
            <v>BALAI SEMELLE EN COCO</v>
          </cell>
          <cell r="C595" t="str">
            <v xml:space="preserve">BALAIS SEMELLES EN COCO QUALITE : BONNE , BOIS DROIT DROUILLE RONDE LONGUEUR : 30 CM , LIVRES SANS MANCHE, RANGS 5 LONG. 30 CM COMPOSITION : SEMELLES EN COCO,BONNE QUALITE BOIS DROIT DROUILLE , RONDE,LIVRES SANS MANCHE,RANGS 5 </v>
          </cell>
          <cell r="D595" t="str">
            <v>PE</v>
          </cell>
          <cell r="E595" t="str">
            <v>522.52203</v>
          </cell>
          <cell r="F595">
            <v>6.3897000000000004</v>
          </cell>
          <cell r="G595">
            <v>0</v>
          </cell>
          <cell r="H595">
            <v>0</v>
          </cell>
          <cell r="I595">
            <v>0</v>
          </cell>
          <cell r="J595">
            <v>0</v>
          </cell>
          <cell r="K595">
            <v>0</v>
          </cell>
          <cell r="L595">
            <v>0</v>
          </cell>
        </row>
        <row r="596">
          <cell r="A596" t="str">
            <v>10069.00201</v>
          </cell>
          <cell r="B596" t="str">
            <v>BIG BAG EN POLYOLEFINS</v>
          </cell>
          <cell r="C596" t="str">
            <v>BIG BAG CONTENEUR SOUPLE EN POLYOLEFINS TISSE (PE ET PP)POUR CONDITIONNEMENT DU PHOSPHATEDOTES DE 4 SANGLES POUR MANUTENTIONLONGEUR: 900 MM LARGEUR: 900 MM HAUTEUR: 1000 MMDOUBLURE COL BOUTEILLE DIAMETRE: 500 MM HAUTEUR: 500 MMCAPACITE: 1500 KGCOULEUR: BLANC</v>
          </cell>
          <cell r="D596" t="str">
            <v>PE</v>
          </cell>
          <cell r="E596" t="str">
            <v>522.52215</v>
          </cell>
          <cell r="F596">
            <v>95</v>
          </cell>
          <cell r="G596">
            <v>0</v>
          </cell>
          <cell r="H596">
            <v>0</v>
          </cell>
          <cell r="I596">
            <v>0</v>
          </cell>
          <cell r="J596">
            <v>0</v>
          </cell>
          <cell r="K596">
            <v>0</v>
          </cell>
          <cell r="L596">
            <v>270</v>
          </cell>
        </row>
        <row r="597">
          <cell r="A597" t="str">
            <v>10074.00210</v>
          </cell>
          <cell r="B597" t="str">
            <v>BAL PAILL DE RIZ</v>
          </cell>
          <cell r="C597" t="str">
            <v xml:space="preserve">DROGUERIE BALAIS  DESIGNATION : BALAIS PAILLE DE RIZ FORME : PLATE 4 FILS AVEC MANCHE </v>
          </cell>
          <cell r="D597" t="str">
            <v>PE</v>
          </cell>
          <cell r="E597" t="str">
            <v>522.52203</v>
          </cell>
          <cell r="F597">
            <v>41.809899999999999</v>
          </cell>
          <cell r="G597">
            <v>0</v>
          </cell>
          <cell r="H597">
            <v>0</v>
          </cell>
          <cell r="I597">
            <v>0</v>
          </cell>
          <cell r="J597">
            <v>0</v>
          </cell>
          <cell r="K597">
            <v>5</v>
          </cell>
          <cell r="L597">
            <v>0</v>
          </cell>
        </row>
        <row r="598">
          <cell r="A598" t="str">
            <v>10074.00210</v>
          </cell>
          <cell r="B598" t="str">
            <v>BAL PAILL DE RIZ</v>
          </cell>
          <cell r="C598" t="str">
            <v xml:space="preserve">DROGUERIE BALAIS  DESIGNATION : BALAIS PAILLE DE RIZ FORME : PLATE 4 FILS AVEC MANCHE </v>
          </cell>
          <cell r="D598" t="str">
            <v>PE</v>
          </cell>
          <cell r="E598" t="str">
            <v>522.52203</v>
          </cell>
          <cell r="F598">
            <v>41.809899999999999</v>
          </cell>
          <cell r="G598">
            <v>0</v>
          </cell>
          <cell r="H598">
            <v>0</v>
          </cell>
          <cell r="I598">
            <v>0</v>
          </cell>
          <cell r="J598">
            <v>0</v>
          </cell>
          <cell r="K598">
            <v>60</v>
          </cell>
          <cell r="L598">
            <v>0</v>
          </cell>
        </row>
        <row r="599">
          <cell r="A599" t="str">
            <v>10074.00216</v>
          </cell>
          <cell r="B599" t="str">
            <v>BALAI ES-SOL CAOUTCH+MANC</v>
          </cell>
          <cell r="C599" t="str">
            <v xml:space="preserve">BALAI  ESSUIE-SOL EN CAOUTCHOUC AVEC MANCHE </v>
          </cell>
          <cell r="D599" t="str">
            <v>PE</v>
          </cell>
          <cell r="E599" t="str">
            <v>522.52203</v>
          </cell>
          <cell r="F599">
            <v>12.8233</v>
          </cell>
          <cell r="G599">
            <v>0</v>
          </cell>
          <cell r="H599">
            <v>0</v>
          </cell>
          <cell r="I599">
            <v>0</v>
          </cell>
          <cell r="J599">
            <v>0</v>
          </cell>
          <cell r="K599">
            <v>0</v>
          </cell>
          <cell r="L599">
            <v>0</v>
          </cell>
        </row>
        <row r="600">
          <cell r="A600" t="str">
            <v>10074.00212</v>
          </cell>
          <cell r="B600" t="str">
            <v>BAL CANTONNIE 30</v>
          </cell>
          <cell r="C600" t="str">
            <v xml:space="preserve">DROGUERIE BALAIS  DESTINATION : POUR CANTONNIER,BONNE QUALITE A 2 TROUS D'EMMANCHEMENTLONGUEUR : 30 CM DIAMETRE : 25 MM MATIERE : EN PIASSAVA - LIVRE SANS MANCHE - 5 RANGS </v>
          </cell>
          <cell r="D600" t="str">
            <v>PE</v>
          </cell>
          <cell r="E600" t="str">
            <v>522.52203</v>
          </cell>
          <cell r="F600">
            <v>26.507999999999999</v>
          </cell>
          <cell r="G600">
            <v>0</v>
          </cell>
          <cell r="H600">
            <v>0</v>
          </cell>
          <cell r="I600">
            <v>0</v>
          </cell>
          <cell r="J600">
            <v>0</v>
          </cell>
          <cell r="K600">
            <v>0</v>
          </cell>
          <cell r="L600">
            <v>0</v>
          </cell>
        </row>
        <row r="601">
          <cell r="A601" t="str">
            <v>10074.00212</v>
          </cell>
          <cell r="B601" t="str">
            <v>BAL CANTONNIE 30</v>
          </cell>
          <cell r="C601" t="str">
            <v xml:space="preserve">DROGUERIE BALAIS  DESTINATION : POUR CANTONNIER,BONNE QUALITE A 2 TROUS D'EMMANCHEMENTLONGUEUR : 30 CM DIAMETRE : 25 MM MATIERE : EN PIASSAVA - LIVRE SANS MANCHE - 5 RANGS </v>
          </cell>
          <cell r="D601" t="str">
            <v>PE</v>
          </cell>
          <cell r="E601" t="str">
            <v>522.52203</v>
          </cell>
          <cell r="F601">
            <v>26.507999999999999</v>
          </cell>
          <cell r="G601">
            <v>0</v>
          </cell>
          <cell r="H601">
            <v>0</v>
          </cell>
          <cell r="I601">
            <v>0</v>
          </cell>
          <cell r="J601">
            <v>0</v>
          </cell>
          <cell r="K601">
            <v>0</v>
          </cell>
          <cell r="L601">
            <v>0</v>
          </cell>
        </row>
        <row r="602">
          <cell r="A602" t="str">
            <v>10068.05628</v>
          </cell>
          <cell r="B602" t="str">
            <v>BRIDE PLATE A SOUD.DN150</v>
          </cell>
          <cell r="C602" t="str">
            <v xml:space="preserve">BRIDES PLATE A SOUDER EN ACIER INOX 316LPRESSION NOMINALE 10   DIAMETRE NOMINAL 150 </v>
          </cell>
          <cell r="D602" t="str">
            <v>PE</v>
          </cell>
          <cell r="E602" t="str">
            <v>313.31301</v>
          </cell>
          <cell r="F602">
            <v>656.6</v>
          </cell>
          <cell r="G602">
            <v>0</v>
          </cell>
          <cell r="H602">
            <v>0</v>
          </cell>
          <cell r="I602">
            <v>0</v>
          </cell>
          <cell r="J602">
            <v>0</v>
          </cell>
          <cell r="K602">
            <v>0</v>
          </cell>
          <cell r="L602">
            <v>0</v>
          </cell>
        </row>
        <row r="603">
          <cell r="A603" t="str">
            <v>10073.00373</v>
          </cell>
          <cell r="B603" t="str">
            <v>PAPIER MOUCHOIR EN OUATE PARFUME</v>
          </cell>
          <cell r="C603" t="str">
            <v>PAPIER MOUCHOIR EN OUATE PARFUME EN PAQUET DE 120GENRE KLEENEX  OU LOTUS</v>
          </cell>
          <cell r="D603" t="str">
            <v>PE</v>
          </cell>
          <cell r="E603" t="str">
            <v>522.52203</v>
          </cell>
          <cell r="F603">
            <v>7.3074000000000003</v>
          </cell>
          <cell r="G603">
            <v>0</v>
          </cell>
          <cell r="H603">
            <v>0</v>
          </cell>
          <cell r="I603">
            <v>0</v>
          </cell>
          <cell r="J603">
            <v>0</v>
          </cell>
          <cell r="K603">
            <v>0</v>
          </cell>
          <cell r="L603">
            <v>0</v>
          </cell>
        </row>
        <row r="604">
          <cell r="A604" t="str">
            <v>10076.06340</v>
          </cell>
          <cell r="B604" t="str">
            <v>DENSIMETR 1000-1100 G/DM3</v>
          </cell>
          <cell r="C604" t="str">
            <v xml:space="preserve">PRODUITS ET MATERIELS DE LABORATOIRE DENSIMETRE NORMAUX GRADUES PAR 1G/DM3 LONGUEUR 280 MM AMPLITUDE 100G/DM3 , ECHELLE EN G/DM3 1000 - 1100 </v>
          </cell>
          <cell r="D604" t="str">
            <v>PE</v>
          </cell>
          <cell r="E604" t="str">
            <v>522.52211</v>
          </cell>
          <cell r="F604">
            <v>60</v>
          </cell>
          <cell r="G604">
            <v>0</v>
          </cell>
          <cell r="H604">
            <v>0</v>
          </cell>
          <cell r="I604">
            <v>0</v>
          </cell>
          <cell r="J604">
            <v>0</v>
          </cell>
          <cell r="K604">
            <v>0</v>
          </cell>
          <cell r="L604">
            <v>0</v>
          </cell>
        </row>
        <row r="605">
          <cell r="A605" t="str">
            <v>10068.05638</v>
          </cell>
          <cell r="B605" t="str">
            <v>BRIDE TOURNANTE DN50</v>
          </cell>
          <cell r="C605" t="str">
            <v xml:space="preserve">BRIDE TOURNANTE EN ACIER DOUXDIAMETRE NOMINAL 50  </v>
          </cell>
          <cell r="D605" t="str">
            <v>PE</v>
          </cell>
          <cell r="E605" t="str">
            <v>313.31301</v>
          </cell>
          <cell r="F605">
            <v>44.1</v>
          </cell>
          <cell r="G605">
            <v>2</v>
          </cell>
          <cell r="H605">
            <v>2</v>
          </cell>
          <cell r="I605">
            <v>0</v>
          </cell>
          <cell r="J605">
            <v>0</v>
          </cell>
          <cell r="K605">
            <v>0</v>
          </cell>
          <cell r="L605">
            <v>7</v>
          </cell>
        </row>
        <row r="606">
          <cell r="A606" t="str">
            <v>10068.05639</v>
          </cell>
          <cell r="B606" t="str">
            <v>BRIDE TOURNANTE DN100</v>
          </cell>
          <cell r="C606" t="str">
            <v xml:space="preserve">BRIDE TOURNANTE EN ACIER DOUXDIAMETRE NOMINAL  100  </v>
          </cell>
          <cell r="D606" t="str">
            <v>PE</v>
          </cell>
          <cell r="E606" t="str">
            <v>313.31301</v>
          </cell>
          <cell r="F606">
            <v>73.5</v>
          </cell>
          <cell r="G606">
            <v>0</v>
          </cell>
          <cell r="H606">
            <v>0</v>
          </cell>
          <cell r="I606">
            <v>0</v>
          </cell>
          <cell r="J606">
            <v>4</v>
          </cell>
          <cell r="K606">
            <v>0</v>
          </cell>
          <cell r="L606">
            <v>3</v>
          </cell>
        </row>
        <row r="607">
          <cell r="A607" t="str">
            <v>10078.06280</v>
          </cell>
          <cell r="B607" t="str">
            <v>P.CHAUSS.BON.QUALITE P.41 NOIRE</v>
          </cell>
          <cell r="C607" t="str">
            <v xml:space="preserve">PAIRE DE CHAUSSURES BASSES A OEILLETS ET LACETS QUALITE: TRES BONNE COULEUR: NOIRE TIGE ET DOUBLURE : EN CUIR SEMELLE EN CUIR TALON EN CUIR RECOUVERT DE CAOUTCHOUC ANTIDERAPANT POINTURE : 41 </v>
          </cell>
          <cell r="D607" t="str">
            <v>PE</v>
          </cell>
          <cell r="E607" t="str">
            <v>522.52216</v>
          </cell>
          <cell r="F607">
            <v>300</v>
          </cell>
          <cell r="G607">
            <v>0</v>
          </cell>
          <cell r="H607">
            <v>0</v>
          </cell>
          <cell r="I607">
            <v>0</v>
          </cell>
          <cell r="J607">
            <v>0</v>
          </cell>
          <cell r="K607">
            <v>0</v>
          </cell>
          <cell r="L607">
            <v>0</v>
          </cell>
        </row>
        <row r="608">
          <cell r="A608" t="str">
            <v>10078.06281</v>
          </cell>
          <cell r="B608" t="str">
            <v>P.CHAUSS.BON.QUALITE P.42 NOIRE</v>
          </cell>
          <cell r="C608" t="str">
            <v xml:space="preserve">PAIRE DE CHAUSSURES BASSES A OEILLETS ET LACETS QUALITE: TRES BONNE COULEUR: NOIRE TIGE ET DOUBLURE : EN CUIR SEMELLE EN CUIR TALON EN CUIR RECOUVERT DE CAOUTCHOUC ANTIDERAPANT POINTURE : 42 </v>
          </cell>
          <cell r="D608" t="str">
            <v>PE</v>
          </cell>
          <cell r="E608" t="str">
            <v>522.52216</v>
          </cell>
          <cell r="F608">
            <v>288</v>
          </cell>
          <cell r="G608">
            <v>0</v>
          </cell>
          <cell r="H608">
            <v>0</v>
          </cell>
          <cell r="I608">
            <v>0</v>
          </cell>
          <cell r="J608">
            <v>0</v>
          </cell>
          <cell r="K608">
            <v>0</v>
          </cell>
          <cell r="L608">
            <v>0</v>
          </cell>
        </row>
        <row r="609">
          <cell r="A609" t="str">
            <v>10067.00768</v>
          </cell>
          <cell r="B609" t="str">
            <v>HOUSSE DE PROTECTION POUR COMPENSATEUR</v>
          </cell>
          <cell r="C609" t="str">
            <v>HOUSSE DE PROTECTION POUR COMPENSATEUR DN200 PN10 A 16ENCOMBREMENT DILATO 350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09" t="str">
            <v>PE</v>
          </cell>
          <cell r="E609" t="str">
            <v>522.52207</v>
          </cell>
          <cell r="F609">
            <v>890</v>
          </cell>
          <cell r="G609">
            <v>0</v>
          </cell>
          <cell r="H609">
            <v>0</v>
          </cell>
          <cell r="I609">
            <v>0</v>
          </cell>
          <cell r="J609">
            <v>7</v>
          </cell>
          <cell r="K609">
            <v>0</v>
          </cell>
          <cell r="L609">
            <v>0</v>
          </cell>
        </row>
        <row r="610">
          <cell r="A610" t="str">
            <v>10067.00769</v>
          </cell>
          <cell r="B610" t="str">
            <v>HOUSSE DE PROTECTION POUR COMPENSATEUR</v>
          </cell>
          <cell r="C610" t="str">
            <v>HOUSSE DE PROTECTION POUR COMPENSATEUR DN200 PN10 A 16ENCOMBREMENT DILATO 450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0" t="str">
            <v>PE</v>
          </cell>
          <cell r="E610" t="str">
            <v>522.52207</v>
          </cell>
          <cell r="F610">
            <v>980</v>
          </cell>
          <cell r="G610">
            <v>0</v>
          </cell>
          <cell r="H610">
            <v>0</v>
          </cell>
          <cell r="I610">
            <v>0</v>
          </cell>
          <cell r="J610">
            <v>0</v>
          </cell>
          <cell r="K610">
            <v>4</v>
          </cell>
          <cell r="L610">
            <v>0</v>
          </cell>
        </row>
        <row r="611">
          <cell r="A611" t="str">
            <v>10067.00777</v>
          </cell>
          <cell r="B611" t="str">
            <v>HOUSSE DE PROTECTION POUR COMPENSATEUR</v>
          </cell>
          <cell r="C611" t="str">
            <v>HOUSSE DE PROTECTION POUR COMPENSATEUR DN250 PN10 A 16ENCOMBREMENT DILATO 350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1" t="str">
            <v>PE</v>
          </cell>
          <cell r="E611" t="str">
            <v>522.52207</v>
          </cell>
          <cell r="F611">
            <v>998</v>
          </cell>
          <cell r="G611">
            <v>0</v>
          </cell>
          <cell r="H611">
            <v>0</v>
          </cell>
          <cell r="I611">
            <v>1</v>
          </cell>
          <cell r="J611">
            <v>0</v>
          </cell>
          <cell r="K611">
            <v>0</v>
          </cell>
          <cell r="L611">
            <v>0</v>
          </cell>
        </row>
        <row r="612">
          <cell r="A612" t="str">
            <v>10067.00778</v>
          </cell>
          <cell r="B612" t="str">
            <v>HOUSSE DE PROTECTION POUR COMPENSATEUR</v>
          </cell>
          <cell r="C612" t="str">
            <v>HOUSSE DE PROTECTION POUR COMPENSATEUR DN250 PN10 A 16ENCOMBREMENT DILATO 450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2" t="str">
            <v>PE</v>
          </cell>
          <cell r="E612" t="str">
            <v>522.52207</v>
          </cell>
          <cell r="F612">
            <v>1000</v>
          </cell>
          <cell r="G612">
            <v>0</v>
          </cell>
          <cell r="H612">
            <v>0</v>
          </cell>
          <cell r="I612">
            <v>0</v>
          </cell>
          <cell r="J612">
            <v>4</v>
          </cell>
          <cell r="K612">
            <v>0</v>
          </cell>
          <cell r="L612">
            <v>0</v>
          </cell>
        </row>
        <row r="613">
          <cell r="A613" t="str">
            <v>10067.00758</v>
          </cell>
          <cell r="B613" t="str">
            <v>HOUSSE DE PROTECTION POUR COMPENSATEUR</v>
          </cell>
          <cell r="C613" t="str">
            <v>HOUSSE DE PROTECTION POUR COMPENSATEUR DN150 PN10 A 16ENCOMBREMENT DILATO 400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3" t="str">
            <v>PE</v>
          </cell>
          <cell r="E613" t="str">
            <v>522.52207</v>
          </cell>
          <cell r="F613">
            <v>841.23</v>
          </cell>
          <cell r="G613">
            <v>0</v>
          </cell>
          <cell r="H613">
            <v>0</v>
          </cell>
          <cell r="I613">
            <v>0</v>
          </cell>
          <cell r="J613">
            <v>0</v>
          </cell>
          <cell r="K613">
            <v>4</v>
          </cell>
          <cell r="L613">
            <v>0</v>
          </cell>
        </row>
        <row r="614">
          <cell r="A614" t="str">
            <v>10067.00767</v>
          </cell>
          <cell r="B614" t="str">
            <v>HOUSSE DE PROTECTION POUR COMPENSATEUR</v>
          </cell>
          <cell r="C614" t="str">
            <v>HOUSSE DE PROTECTION POUR COMPENSATEUR DN200 PN10 A 16ENCOMBREMENT DILATO 500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4" t="str">
            <v>PE</v>
          </cell>
          <cell r="E614" t="str">
            <v>522.52207</v>
          </cell>
          <cell r="F614">
            <v>1100</v>
          </cell>
          <cell r="G614">
            <v>0</v>
          </cell>
          <cell r="H614">
            <v>0</v>
          </cell>
          <cell r="I614">
            <v>0</v>
          </cell>
          <cell r="J614">
            <v>1</v>
          </cell>
          <cell r="K614">
            <v>0</v>
          </cell>
          <cell r="L614">
            <v>0</v>
          </cell>
        </row>
        <row r="615">
          <cell r="A615" t="str">
            <v>10073.00068</v>
          </cell>
          <cell r="B615" t="str">
            <v>INSECTICIDE EN BOMBE PARFUME GRAND MODEL</v>
          </cell>
          <cell r="C615" t="str">
            <v xml:space="preserve">INSECTICIDE PARFUME EN BOMBE, GRAND MODELE , GENRE LEON OU EQUIVALENT </v>
          </cell>
          <cell r="D615" t="str">
            <v>PE</v>
          </cell>
          <cell r="E615" t="str">
            <v>522.52203</v>
          </cell>
          <cell r="F615">
            <v>34.5</v>
          </cell>
          <cell r="G615">
            <v>0</v>
          </cell>
          <cell r="H615">
            <v>0</v>
          </cell>
          <cell r="I615">
            <v>0</v>
          </cell>
          <cell r="J615">
            <v>0</v>
          </cell>
          <cell r="K615">
            <v>0</v>
          </cell>
          <cell r="L615">
            <v>0</v>
          </cell>
        </row>
        <row r="616">
          <cell r="A616" t="str">
            <v>10067.00786</v>
          </cell>
          <cell r="B616" t="str">
            <v>HOUSSE DE PROTECTION POUR COMPENSATEUR</v>
          </cell>
          <cell r="C616" t="str">
            <v>HOUSSE DE PROTECTION POUR COMPENSATEUR DN1400 PN10 A 16ENCOMBREMENT DILATO 650 - ENCOMBREMENT CACHE 700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6" t="str">
            <v>PE</v>
          </cell>
          <cell r="E616" t="str">
            <v>522.52207</v>
          </cell>
          <cell r="F616">
            <v>30300</v>
          </cell>
          <cell r="G616">
            <v>0</v>
          </cell>
          <cell r="H616">
            <v>0</v>
          </cell>
          <cell r="I616">
            <v>0</v>
          </cell>
          <cell r="J616">
            <v>0</v>
          </cell>
          <cell r="K616">
            <v>0</v>
          </cell>
          <cell r="L616">
            <v>0</v>
          </cell>
        </row>
        <row r="617">
          <cell r="A617" t="str">
            <v>10067.00784</v>
          </cell>
          <cell r="B617" t="str">
            <v>HOUSSE DE PROTECTION POUR COMPENSATEUR</v>
          </cell>
          <cell r="C617" t="str">
            <v>HOUSSE DE PROTECTION POUR COMPENSATEUR DN700 PN10 A 16ENCOMBREMENT DILATO 550 - ENCOMBREMENT CACHE 600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7" t="str">
            <v>PE</v>
          </cell>
          <cell r="E617" t="str">
            <v>522.52207</v>
          </cell>
          <cell r="F617">
            <v>17988</v>
          </cell>
          <cell r="G617">
            <v>0</v>
          </cell>
          <cell r="H617">
            <v>0</v>
          </cell>
          <cell r="I617">
            <v>0</v>
          </cell>
          <cell r="J617">
            <v>0</v>
          </cell>
          <cell r="K617">
            <v>0</v>
          </cell>
          <cell r="L617">
            <v>0</v>
          </cell>
        </row>
        <row r="618">
          <cell r="A618" t="str">
            <v>10067.00785</v>
          </cell>
          <cell r="B618" t="str">
            <v>HOUSSE DE PROTECTION POUR COMPENSATEUR</v>
          </cell>
          <cell r="C618" t="str">
            <v>HOUSSE DE PROTECTION POUR COMPENSATEUR DN1200 PN10 A 16ENCOMBREMENT DILATO 450 CARACTERISTIQUE DES FLUIDES : - EN MARCHE : ACIDE PHOSPHORIQUE 54 A 58% (P2O5) 5% DE SULFATE (H2SO4) 200ppm DE CHLORE   TAUX DE SOLIDE 5% ET 1% DE FLUOR - EN LAVAGE : EAU FILTREE 400ppm DE CHLORE ET 5% D'ACIDE SULFURIQUE  - PRESSION DE SEVICE : 10 BARS   - DEPRESSION : VIDE 40 A 80 TORRES   - TEMPERATURE DE SERVICE : DE 110 °C</v>
          </cell>
          <cell r="D618" t="str">
            <v>PE</v>
          </cell>
          <cell r="E618" t="str">
            <v>522.52207</v>
          </cell>
          <cell r="F618">
            <v>4209.3900000000003</v>
          </cell>
          <cell r="G618">
            <v>0</v>
          </cell>
          <cell r="H618">
            <v>0</v>
          </cell>
          <cell r="I618">
            <v>2</v>
          </cell>
          <cell r="J618">
            <v>0</v>
          </cell>
          <cell r="K618">
            <v>0</v>
          </cell>
          <cell r="L618">
            <v>0</v>
          </cell>
        </row>
        <row r="619">
          <cell r="A619" t="str">
            <v>10076.06704</v>
          </cell>
          <cell r="B619" t="str">
            <v>THERMOMETRE A MERCURE</v>
          </cell>
          <cell r="C619" t="str">
            <v xml:space="preserve">PRODUITS ET MATERIELS DE LABORATOIRE MATERIELS , , , THERMOMETRE A COLONNE DE MERCURE , GRADUATIONS ET INSCRIPTIONS EN COULEUR NOIR INDELEBILE GRADUATIONS 0 + 100 DEGRES C GRADUATIONS 0 + 100 DEGRES C </v>
          </cell>
          <cell r="D619" t="str">
            <v>PE</v>
          </cell>
          <cell r="E619" t="str">
            <v>522.52211</v>
          </cell>
          <cell r="F619">
            <v>45</v>
          </cell>
          <cell r="G619">
            <v>0</v>
          </cell>
          <cell r="H619">
            <v>0</v>
          </cell>
          <cell r="I619">
            <v>0</v>
          </cell>
          <cell r="J619">
            <v>0</v>
          </cell>
          <cell r="K619">
            <v>0</v>
          </cell>
          <cell r="L619">
            <v>0</v>
          </cell>
        </row>
        <row r="620">
          <cell r="A620" t="str">
            <v>10067.00068</v>
          </cell>
          <cell r="B620" t="str">
            <v>TUYAU FLEX-A BRIDES DN 50</v>
          </cell>
          <cell r="C620" t="str">
            <v xml:space="preserve">TUYAU FLEXIBLE A BRIDES AVEC ARMATURE EN ACIER NOYE PRESSION : DE SERVICE 12 BARS, PRESSION NOMINALE:16 BARS DESTINATION : POUR ACIDE PHOSPHORIQUE 28% A 54%-P2O5 DIAMETRE : NOMINAL:50 MM LONGUEUR : 10 METRES TYPE : PERFORMER TEMPERATURE 80 DEG.C </v>
          </cell>
          <cell r="D620" t="str">
            <v>PE</v>
          </cell>
          <cell r="E620" t="str">
            <v>522.52209</v>
          </cell>
          <cell r="F620">
            <v>6912</v>
          </cell>
          <cell r="G620">
            <v>0</v>
          </cell>
          <cell r="H620">
            <v>0</v>
          </cell>
          <cell r="I620">
            <v>0</v>
          </cell>
          <cell r="J620">
            <v>0</v>
          </cell>
          <cell r="K620">
            <v>62</v>
          </cell>
          <cell r="L620">
            <v>0</v>
          </cell>
        </row>
        <row r="621">
          <cell r="A621" t="str">
            <v>10067.00116</v>
          </cell>
          <cell r="B621" t="str">
            <v>TUYAU DCI REFOULEM DIAM45</v>
          </cell>
          <cell r="C621" t="str">
            <v xml:space="preserve">TUYAU CAOUTCHOUC INCENDIE,DE REFOULEMENT SOUPLE SEC TR 10 QUALITE : ENVELOPPE TEXTILE SYNTHETIQUE DOUBLURE INTERNE CAOUTCH, SYNTHETIQUE,REVETEMENT EXT.DE PROTECTION C/C SYNTHET.S/NORME : NF.S 61.112,SEPTEMBRE 1975 - GENRE : EAU ET FEU DIAMETRE : INTERIEUR 45 MM LONGUEUR : 20 METRES COMPRENANT : RACCORD DSP/APM </v>
          </cell>
          <cell r="D621" t="str">
            <v>PE</v>
          </cell>
          <cell r="E621" t="str">
            <v>516.51601</v>
          </cell>
          <cell r="F621">
            <v>658.56</v>
          </cell>
          <cell r="G621">
            <v>0</v>
          </cell>
          <cell r="H621">
            <v>0</v>
          </cell>
          <cell r="I621">
            <v>0</v>
          </cell>
          <cell r="J621">
            <v>0</v>
          </cell>
          <cell r="K621">
            <v>0</v>
          </cell>
          <cell r="L621">
            <v>0</v>
          </cell>
        </row>
        <row r="622">
          <cell r="A622" t="str">
            <v>10067.00117</v>
          </cell>
          <cell r="B622" t="str">
            <v>TUYAU DCI REFOULEM DIAM70</v>
          </cell>
          <cell r="C622" t="str">
            <v xml:space="preserve">TUYAU CAOUTCHOUC INCENDIE,DE REFOULEMENT SOUPLE SEC TR 10 QUALITE : ENVELOPPE TEXTILE SYNTHETIQUE,DOUBLURE INTERNE CAOUTCH, SYNTHETIQUE,REVETEMENT EXT.DE PROTECTION C/C SYNTHET.S/NORME : NF.S 61.112,SEPTEMBRE 1975 - GENRE : EAU ET FEU DIAMETRE : INTERIEUR 70 MM LONGUEUR : 20 METRES COMPRENANT : RACCORD DSP/APM </v>
          </cell>
          <cell r="D622" t="str">
            <v>PE</v>
          </cell>
          <cell r="E622" t="str">
            <v>516.51601</v>
          </cell>
          <cell r="F622">
            <v>1020</v>
          </cell>
          <cell r="G622">
            <v>0</v>
          </cell>
          <cell r="H622">
            <v>0</v>
          </cell>
          <cell r="I622">
            <v>0</v>
          </cell>
          <cell r="J622">
            <v>0</v>
          </cell>
          <cell r="K622">
            <v>0</v>
          </cell>
          <cell r="L622">
            <v>0</v>
          </cell>
        </row>
        <row r="623">
          <cell r="A623" t="str">
            <v>10067.01838</v>
          </cell>
          <cell r="B623" t="str">
            <v>VANNE A PASSAGE DIRECT</v>
          </cell>
          <cell r="C623" t="str">
            <v>VANNE A PASSAGE DIRECT  DN 100 SERIE 150 GENRE GEZER CORPS EN ACIER A216WCB  OBTURATEUR:WCB410 SIEGE: A105410 RACCORDEMENT A BRIDE  ECART: 228,6mm</v>
          </cell>
          <cell r="D623" t="str">
            <v>PE</v>
          </cell>
          <cell r="E623" t="str">
            <v>515.51511</v>
          </cell>
          <cell r="F623">
            <v>956</v>
          </cell>
          <cell r="G623">
            <v>1</v>
          </cell>
          <cell r="H623">
            <v>1</v>
          </cell>
          <cell r="I623">
            <v>0</v>
          </cell>
          <cell r="J623">
            <v>0</v>
          </cell>
          <cell r="K623">
            <v>0</v>
          </cell>
          <cell r="L623">
            <v>0</v>
          </cell>
        </row>
        <row r="624">
          <cell r="A624" t="str">
            <v>10068.01320</v>
          </cell>
          <cell r="B624" t="str">
            <v>TE EGAL INOX 26,9X2</v>
          </cell>
          <cell r="C624" t="str">
            <v xml:space="preserve">TE EGAL A SOUDER EN ACIER INOX 316L NORME/NUANCEAFNOR               /Z2 CND 17-13 DIN                     /X2 CR NI MO 18-12UGINE                /NSM 22 SCREUSOT LOIRE/ICL 166 BC  DIAMETRE : 26,9 MM EPAISSEUR : 2 MM </v>
          </cell>
          <cell r="D624" t="str">
            <v>PE</v>
          </cell>
          <cell r="E624" t="str">
            <v>313.31301</v>
          </cell>
          <cell r="F624">
            <v>60.98</v>
          </cell>
          <cell r="G624">
            <v>0</v>
          </cell>
          <cell r="H624">
            <v>0</v>
          </cell>
          <cell r="I624">
            <v>0</v>
          </cell>
          <cell r="J624">
            <v>0</v>
          </cell>
          <cell r="K624">
            <v>0</v>
          </cell>
          <cell r="L624">
            <v>5</v>
          </cell>
        </row>
        <row r="625">
          <cell r="A625" t="str">
            <v>10073.00650</v>
          </cell>
          <cell r="B625" t="str">
            <v>WASSINGUE DOUBLE 60X120CM</v>
          </cell>
          <cell r="C625" t="str">
            <v xml:space="preserve">WASSINGUES DOUBLES DE 60 X 120 CM </v>
          </cell>
          <cell r="D625" t="str">
            <v>PE</v>
          </cell>
          <cell r="E625" t="str">
            <v>522.52203</v>
          </cell>
          <cell r="F625">
            <v>7.8074000000000003</v>
          </cell>
          <cell r="G625">
            <v>0</v>
          </cell>
          <cell r="H625">
            <v>25</v>
          </cell>
          <cell r="I625">
            <v>0</v>
          </cell>
          <cell r="J625">
            <v>0</v>
          </cell>
          <cell r="K625">
            <v>0</v>
          </cell>
          <cell r="L625">
            <v>0</v>
          </cell>
        </row>
        <row r="626">
          <cell r="A626" t="str">
            <v>10068.01233</v>
          </cell>
          <cell r="B626" t="str">
            <v>COUDE A 90° 316L DN25</v>
          </cell>
          <cell r="C626" t="str">
            <v>COUDE A 90° LR A SOUDER SANS SOUDURE SCHEDULE 40SNORME / NUANCEAFNOR               / Z2 CND 17-13 DIN                     / X2 CR NI MO 18-12 UGINE                 / NSM 22 SCREUSOT-LOIRE / ICL 166 BCDN 1 POUCE D.EXT.33,4 MM EPAISSEUR : 3,5 MM</v>
          </cell>
          <cell r="D626" t="str">
            <v>PE</v>
          </cell>
          <cell r="E626" t="str">
            <v>313.31301</v>
          </cell>
          <cell r="F626">
            <v>59.47</v>
          </cell>
          <cell r="G626">
            <v>0</v>
          </cell>
          <cell r="H626">
            <v>0</v>
          </cell>
          <cell r="I626">
            <v>0</v>
          </cell>
          <cell r="J626">
            <v>0</v>
          </cell>
          <cell r="K626">
            <v>8</v>
          </cell>
          <cell r="L626">
            <v>9</v>
          </cell>
        </row>
        <row r="627">
          <cell r="A627" t="str">
            <v>10068.01235</v>
          </cell>
          <cell r="B627" t="str">
            <v>COUDE 90° 316L DN40</v>
          </cell>
          <cell r="C627" t="str">
            <v>COUDE A 90° LR A SOUDER SANS SOUDURE SCHEDULE 40SNORME / NUANCEAFNOR               / Z2 CND 17-13 DIN                     / X2 CR NI MO 18-12 UGINE                 / NSM 22 SCREUSOT-LOIRE / ICL 166 BCDN 1 POUCE 1/2 D.EXT.48,2 MM EPAISSEUR : 3,8 MM</v>
          </cell>
          <cell r="D627" t="str">
            <v>PE</v>
          </cell>
          <cell r="E627" t="str">
            <v>313.31301</v>
          </cell>
          <cell r="F627">
            <v>175</v>
          </cell>
          <cell r="G627">
            <v>0</v>
          </cell>
          <cell r="H627">
            <v>0</v>
          </cell>
          <cell r="I627">
            <v>0</v>
          </cell>
          <cell r="J627">
            <v>10</v>
          </cell>
          <cell r="K627">
            <v>1</v>
          </cell>
          <cell r="L627">
            <v>1</v>
          </cell>
        </row>
        <row r="628">
          <cell r="A628" t="str">
            <v>10067.05362</v>
          </cell>
          <cell r="B628" t="str">
            <v>MANCHON COMPENSATEUR EN  HYPALON</v>
          </cell>
          <cell r="C628" t="str">
            <v>MANCHON COMPENSATEUR EN  HYPALONTYPE EJ1 DN100 PN 20 LONG/150MM TEMPERATURE 110°C BRIDES ACIER GALVANISE PERCEEANSI 150 LBS EPAISSEUR 20MM +TIRANT EP15MM +2 TIGES AVEC ECROU ET RONDELLE DAIMETRE 16MM EN INOX 316L FLUIDE VEHICULE BOUE H3PO4 A 54% GENRE BURGMANN</v>
          </cell>
          <cell r="D628" t="str">
            <v>PE</v>
          </cell>
          <cell r="E628" t="str">
            <v>522.52207</v>
          </cell>
          <cell r="F628">
            <v>1434.6667</v>
          </cell>
          <cell r="G628">
            <v>0</v>
          </cell>
          <cell r="H628">
            <v>4</v>
          </cell>
          <cell r="I628">
            <v>6</v>
          </cell>
          <cell r="J628">
            <v>0</v>
          </cell>
          <cell r="K628">
            <v>3</v>
          </cell>
          <cell r="L628">
            <v>8</v>
          </cell>
        </row>
        <row r="629">
          <cell r="A629" t="str">
            <v>10067.05363</v>
          </cell>
          <cell r="B629" t="str">
            <v>MANCHON COMPENSATEUR EN  HYPALON</v>
          </cell>
          <cell r="C629" t="str">
            <v>MANCHON COMPENSATEUR EN  HYPALONTYPE EJ1 DN100 PN 20 LONG/150MM TEMPERATURE 110°C AVEC ANNEAU DE RENFORCEMENT POUR LE VIDE EN UB6 ET CHEMISE INTERIEURE INOX 316LBRIDES ACIER GALVANISE PERCEE ANSI 150 LBS EPAISSEUR 20MM +TIRANT EP15MM +2 TIGES AVEC ECROU ET RONDELLE EN ACIER INOX 316L  FLUIDE VEHICULE PULPE DE PHOSPHATE GENRE BURGMANN</v>
          </cell>
          <cell r="D629" t="str">
            <v>PE</v>
          </cell>
          <cell r="E629" t="str">
            <v>522.52207</v>
          </cell>
          <cell r="F629">
            <v>2762.8571000000002</v>
          </cell>
          <cell r="G629">
            <v>0</v>
          </cell>
          <cell r="H629">
            <v>0</v>
          </cell>
          <cell r="I629">
            <v>5</v>
          </cell>
          <cell r="J629">
            <v>2</v>
          </cell>
          <cell r="K629">
            <v>0</v>
          </cell>
          <cell r="L629">
            <v>7</v>
          </cell>
        </row>
        <row r="630">
          <cell r="A630" t="str">
            <v>10067.05364</v>
          </cell>
          <cell r="B630" t="str">
            <v>MANCHON COMPENSATEUR EN  HYPALON</v>
          </cell>
          <cell r="C630" t="str">
            <v>MANCHON COMPENSATEUR EN  HYPALONYPE EJ1 DN150 PN 20 LONG/150MM TEMPERATURE 110°CBRIDE ACIER GALVANISE EP 22MM PERCEE ANSI 150LBS+TIRANTS EP 20MM+2TIGES ECROU ET RONDELLE DIAM 16MM EN INOX 316L FLUIDE VEHICULE H3P04 A 54%</v>
          </cell>
          <cell r="D630" t="str">
            <v>PE</v>
          </cell>
          <cell r="E630" t="str">
            <v>522.52207</v>
          </cell>
          <cell r="F630">
            <v>1694</v>
          </cell>
          <cell r="G630">
            <v>0</v>
          </cell>
          <cell r="H630">
            <v>1</v>
          </cell>
          <cell r="I630">
            <v>4</v>
          </cell>
          <cell r="J630">
            <v>3</v>
          </cell>
          <cell r="K630">
            <v>0</v>
          </cell>
          <cell r="L630">
            <v>0</v>
          </cell>
        </row>
        <row r="631">
          <cell r="A631" t="str">
            <v>10067.05365</v>
          </cell>
          <cell r="B631" t="str">
            <v>MANCHON COMPENSATEUR EN HYPALON</v>
          </cell>
          <cell r="C631" t="str">
            <v>MANCHON COMPENSATEUR EJ1-DN 150-PN20-LONG 150MM TEMP 110°C AVEC CHEMISE INT EN INOX 316L BRIDE ACIER GALVANISE EP 22MM PERCEE ANSI 150 LBS AVEC TIRANTS EP 20MM + 2TIGES ECROU ET RONDELLE DIAM 16MM EN INOX 316L FLEUIDE VEHICULE PULPE</v>
          </cell>
          <cell r="D631" t="str">
            <v>PE</v>
          </cell>
          <cell r="E631" t="str">
            <v>522.52207</v>
          </cell>
          <cell r="F631">
            <v>4214.3999999999996</v>
          </cell>
          <cell r="G631">
            <v>0</v>
          </cell>
          <cell r="H631">
            <v>1</v>
          </cell>
          <cell r="I631">
            <v>0</v>
          </cell>
          <cell r="J631">
            <v>0</v>
          </cell>
          <cell r="K631">
            <v>0</v>
          </cell>
          <cell r="L631">
            <v>5</v>
          </cell>
        </row>
        <row r="632">
          <cell r="A632" t="str">
            <v>10067.05380</v>
          </cell>
          <cell r="B632" t="str">
            <v>MANCHON COMPENSATEUR EN HYPALON</v>
          </cell>
          <cell r="C632" t="str">
            <v>MANCHON COMPENSATEUR EJ2-DN 300-PN20-LONG 200MM TEMP 110°C BRIDE EN ACIER GALVANISE EP26MM PERCEE ANSI 150 LBS + TIRANTS EP 25MM + 3TIGES ECROU ET RONDELLE DIAM 24MM EN INOX 316L FLEUIDE VEHICULE PULPE  H3PO4GENRE BURGMANN</v>
          </cell>
          <cell r="D632" t="str">
            <v>PE</v>
          </cell>
          <cell r="E632" t="str">
            <v>522.52207</v>
          </cell>
          <cell r="F632">
            <v>5217.6666999999998</v>
          </cell>
          <cell r="G632">
            <v>0</v>
          </cell>
          <cell r="H632">
            <v>0</v>
          </cell>
          <cell r="I632">
            <v>1</v>
          </cell>
          <cell r="J632">
            <v>0</v>
          </cell>
          <cell r="K632">
            <v>0</v>
          </cell>
          <cell r="L632">
            <v>2</v>
          </cell>
        </row>
        <row r="633">
          <cell r="A633" t="str">
            <v>10067.05381</v>
          </cell>
          <cell r="B633" t="str">
            <v>MANCHON COMPENSATEUR EN HYPALON</v>
          </cell>
          <cell r="C633" t="str">
            <v>MANCHON COMPENSATEUR EJ2-DN 300-PN20-LONG 200MM TEMP 110°C BRIDE EN ACIER GALVANISE EP26MM PERCEE ANSI 150 LBS + TIRANTS EP 25MM + 3TIGES ECROU ET RONDELLE DIAM 24MM EN INOX 316L FLEUIDE VEHICULE GAZ D'ASSAINISSEMENTGENRE BURGMANN</v>
          </cell>
          <cell r="D633" t="str">
            <v>PE</v>
          </cell>
          <cell r="E633" t="str">
            <v>522.52207</v>
          </cell>
          <cell r="F633">
            <v>4235.9615999999996</v>
          </cell>
          <cell r="G633">
            <v>0</v>
          </cell>
          <cell r="H633">
            <v>0</v>
          </cell>
          <cell r="I633">
            <v>0</v>
          </cell>
          <cell r="J633">
            <v>2</v>
          </cell>
          <cell r="K633">
            <v>1</v>
          </cell>
          <cell r="L633">
            <v>3</v>
          </cell>
        </row>
        <row r="634">
          <cell r="A634" t="str">
            <v>10067.05382</v>
          </cell>
          <cell r="B634" t="str">
            <v>MANCHON COMPENSATEUR EN HYPALON</v>
          </cell>
          <cell r="C634" t="str">
            <v>MANCHON COMPENSATEUR EJ2-DN 450-PN20-LONG 300MM TEMP 110°C AVEC ANNEAU DE RENFORCEMENT POUR LE VIDE EN UB6 BRIDE EN ACIER GALVANISE EP15MM PERCEE ANSI 150 LBS + TIRANTS EP 15MM + 4TIGES ECROU ET RONDELLE DIAM 16MM EN INOX 316L FLEUIDE VEHICULE EAU DE PROCEDEGENRE BURGMANN</v>
          </cell>
          <cell r="D634" t="str">
            <v>PE</v>
          </cell>
          <cell r="E634" t="str">
            <v>522.52207</v>
          </cell>
          <cell r="F634">
            <v>12189.8889</v>
          </cell>
          <cell r="G634">
            <v>0</v>
          </cell>
          <cell r="H634">
            <v>1</v>
          </cell>
          <cell r="I634">
            <v>1</v>
          </cell>
          <cell r="J634">
            <v>1</v>
          </cell>
          <cell r="K634">
            <v>2</v>
          </cell>
          <cell r="L634">
            <v>3</v>
          </cell>
        </row>
        <row r="635">
          <cell r="A635" t="str">
            <v>10067.05383</v>
          </cell>
          <cell r="B635" t="str">
            <v>MANCHON COMPENSATEUR EN HYPALON</v>
          </cell>
          <cell r="C635" t="str">
            <v>MANCHON COMPENSATEUR EJ2-DN 1200-PN20-LONG 450MM TEMP 110°C AVEC ANNEAU DE RENFORCEMENT POUR LE VIDE EN UB6 - CHEMISE INTERIEURE INOX 316L BRIDE EN ACIER GALVANISE EP20MM PERCEE ANSI 150 LBS + TIRANTS EP 20MM + 4TIGES ECROU ET RONDELLE DIAM 24MM EN INOX 316L FLEUIDE VEHICULE PULPE H3PO4GENRE BURGMANN</v>
          </cell>
          <cell r="D635" t="str">
            <v>PE</v>
          </cell>
          <cell r="E635" t="str">
            <v>522.52207</v>
          </cell>
          <cell r="F635">
            <v>47520</v>
          </cell>
          <cell r="G635">
            <v>0</v>
          </cell>
          <cell r="H635">
            <v>1</v>
          </cell>
          <cell r="I635">
            <v>1</v>
          </cell>
          <cell r="J635">
            <v>0</v>
          </cell>
          <cell r="K635">
            <v>2</v>
          </cell>
          <cell r="L635">
            <v>3</v>
          </cell>
        </row>
        <row r="636">
          <cell r="A636" t="str">
            <v>10067.05384</v>
          </cell>
          <cell r="B636" t="str">
            <v>MANCHON COMPENSATEUR EN HYPALON</v>
          </cell>
          <cell r="C636" t="str">
            <v>MANCHON COMPENSATEUR EJ3-DN 1200-PN20-LONG 300MM TEMP 133°C AVEC ANNEAU DE RENFORCEMENT POUR LE VIDE EN UB6 BRIDE EN ACIER GALVANISE EP20MM PERCEE ANSI 150 LBS + TIRANTS EP 20MM + 4TIGES ECROU ET RONDELLE DIAM 20MM EN INOX 316L FLEUIDE VEHICULE H3PO4 COCENTREGENRE BURGMANN</v>
          </cell>
          <cell r="D636" t="str">
            <v>PE</v>
          </cell>
          <cell r="E636" t="str">
            <v>522.52207</v>
          </cell>
          <cell r="F636">
            <v>42768</v>
          </cell>
          <cell r="G636">
            <v>1</v>
          </cell>
          <cell r="H636">
            <v>14</v>
          </cell>
          <cell r="I636">
            <v>5</v>
          </cell>
          <cell r="J636">
            <v>2</v>
          </cell>
          <cell r="K636">
            <v>12</v>
          </cell>
          <cell r="L636">
            <v>0</v>
          </cell>
        </row>
        <row r="637">
          <cell r="A637" t="str">
            <v>10067.05385</v>
          </cell>
          <cell r="B637" t="str">
            <v>MANCHON COMPENSATEUR EN HYPALON</v>
          </cell>
          <cell r="C637" t="str">
            <v>MANCHON COMPENSATEUR EJ3-DN 750-PN20-LONG 250MM TEMP 133°C AVEC ANNEAU DE RENFORCEMENT POUR LE VIDE EN UB6 BRIDE EN ACIER GALVANISE EP15MM PERCEE ANSI 150 LBS + TIRANTS EP 20MM + 4TIGES ECROU ET RONDELLE DIAM 20MM EN INOX 316L FLEUIDE VEHICULE H3PO4 CONCENTREGENRE BURGMANN</v>
          </cell>
          <cell r="D637" t="str">
            <v>PE</v>
          </cell>
          <cell r="E637" t="str">
            <v>522.52207</v>
          </cell>
          <cell r="F637">
            <v>19898.181799999998</v>
          </cell>
          <cell r="G637">
            <v>1</v>
          </cell>
          <cell r="H637">
            <v>6</v>
          </cell>
          <cell r="I637">
            <v>1</v>
          </cell>
          <cell r="J637">
            <v>0</v>
          </cell>
          <cell r="K637">
            <v>9</v>
          </cell>
          <cell r="L637">
            <v>4</v>
          </cell>
        </row>
        <row r="638">
          <cell r="A638" t="str">
            <v>10067.05386</v>
          </cell>
          <cell r="B638" t="str">
            <v>MANCHON COMPENSATEUR EN HYPALON</v>
          </cell>
          <cell r="C638" t="str">
            <v>MANCHON COMPENSATEUR EJ4-DN 1500-PN10-LONG 533MM TEMP 110°C AVEC ANNEAU DE RENFORCEMENT POUR LE VIDE EN UB6 BRIDE EN ACIER GALVANISE EP25MM PERCEE ANSI 150 LBS + TIRANTS EP 25MM + 4TIGES ECROU ET RONDELLE DIAM 24MM EN INOX 316L FLEUIDE VEHICULE H3PO4 GAZ D'ASSAINISSEMENTGENRE BURGMANN</v>
          </cell>
          <cell r="D638" t="str">
            <v>PE</v>
          </cell>
          <cell r="E638" t="str">
            <v>522.52207</v>
          </cell>
          <cell r="F638">
            <v>76800</v>
          </cell>
          <cell r="G638">
            <v>0</v>
          </cell>
          <cell r="H638">
            <v>2</v>
          </cell>
          <cell r="I638">
            <v>0</v>
          </cell>
          <cell r="J638">
            <v>0</v>
          </cell>
          <cell r="K638">
            <v>0</v>
          </cell>
          <cell r="L638">
            <v>0</v>
          </cell>
        </row>
        <row r="639">
          <cell r="A639" t="str">
            <v>10067.05387</v>
          </cell>
          <cell r="B639" t="str">
            <v>MANCHON COMPENSATEUR EN HYPALON</v>
          </cell>
          <cell r="C639" t="str">
            <v>MANCHON COMPENSATEUR EJ4-DN 1600-PN20-LONG 450MM TEMP 110°C AVEC ANNEAU DE RENFORCEMENT POUR LE VIDE EN UB6 BRIDE EN ACIER GALVANISE EP25MM PERCEE ANSI 150 LBS + TIRANTS EP 25MM + 8TIGES ECROU ET RONDELLE DIAM 24MM EN INOX 316L FLEUIDE VEHICULE GAZ D'ASSAINISSEMENTGENRE BURGMANN</v>
          </cell>
          <cell r="D639" t="str">
            <v>PE</v>
          </cell>
          <cell r="E639" t="str">
            <v>522.52207</v>
          </cell>
          <cell r="F639">
            <v>104188</v>
          </cell>
          <cell r="G639">
            <v>0</v>
          </cell>
          <cell r="H639">
            <v>0</v>
          </cell>
          <cell r="I639">
            <v>0</v>
          </cell>
          <cell r="J639">
            <v>0</v>
          </cell>
          <cell r="K639">
            <v>0</v>
          </cell>
          <cell r="L639">
            <v>1</v>
          </cell>
        </row>
        <row r="640">
          <cell r="A640" t="str">
            <v>10066.00257</v>
          </cell>
          <cell r="B640" t="str">
            <v>TUBE ACIER INOX S/SOUDURE</v>
          </cell>
          <cell r="C640" t="str">
            <v xml:space="preserve">TUBE S/SOUDURE EN ACIER INOXYDABLE 17.12S/NORME NF.A 35 572ASTM A312, TP316TIAFNOR Z6 CNDT 17.12AISI 316T DIMENSIONS S/ANSI B 36.19 LIVRE AVEC CERTIFICAT 5.2.2.1D (NF.A 49 000) DN150MM, SCH.40, DIAM. EXT .168,30MM,EP.7,11MM </v>
          </cell>
          <cell r="D640" t="str">
            <v>M</v>
          </cell>
          <cell r="E640" t="str">
            <v>313.31301</v>
          </cell>
          <cell r="F640">
            <v>2984.9050000000002</v>
          </cell>
          <cell r="G640">
            <v>0</v>
          </cell>
          <cell r="H640">
            <v>0</v>
          </cell>
          <cell r="I640">
            <v>0</v>
          </cell>
          <cell r="J640">
            <v>0</v>
          </cell>
          <cell r="K640">
            <v>0</v>
          </cell>
          <cell r="L640">
            <v>0</v>
          </cell>
        </row>
        <row r="641">
          <cell r="A641" t="str">
            <v>10067.01374</v>
          </cell>
          <cell r="B641" t="str">
            <v>FLEXIBLE EN CAOUTCHOUC DN150 L5,00M</v>
          </cell>
          <cell r="C641" t="str">
            <v>FLEXIBLE EN CAOUTCHOUC, AVEC ARMATURE EN ACIER NOYE, EQUIPE DE 2 BRIDES END FLEX FOLLES EN ACIER INOX 316LPRESSION DE SERVICE : 6 BARPRESSION NOMINALE : 8 BAR GENRE: KLEBER TYPE: PERFORMER CDIDESTINATION: PULPE DE PHOSPHATEDIAMETRE NOMINAL: 150MMLONGUEUR : 5,00 METRE</v>
          </cell>
          <cell r="D641" t="str">
            <v>PE</v>
          </cell>
          <cell r="E641" t="str">
            <v>522.52209</v>
          </cell>
          <cell r="F641">
            <v>11752</v>
          </cell>
          <cell r="G641">
            <v>0</v>
          </cell>
          <cell r="H641">
            <v>0</v>
          </cell>
          <cell r="I641">
            <v>0</v>
          </cell>
          <cell r="J641">
            <v>0</v>
          </cell>
          <cell r="K641">
            <v>0</v>
          </cell>
          <cell r="L641">
            <v>0</v>
          </cell>
        </row>
        <row r="642">
          <cell r="A642" t="str">
            <v>10066.00277</v>
          </cell>
          <cell r="B642" t="str">
            <v>TUBE ACIER INOX S/SOUDURE</v>
          </cell>
          <cell r="C642" t="str">
            <v xml:space="preserve">TUBE S/SOUDURE EN ACIER ACIER INOXYDABLE UB6AFNOR Z2 CNDU 20.25 DIMENSIONS S/ANSI B 36.19LIVRE AVEC CERTIFICAT 5.2.2.1D (NF.A 49 000)  DN 3/4'', SCH. 80S, DIAM. EXT. 26,67MM EP.3,91MM </v>
          </cell>
          <cell r="D642" t="str">
            <v>M</v>
          </cell>
          <cell r="E642" t="str">
            <v>313.31301</v>
          </cell>
          <cell r="F642">
            <v>1561</v>
          </cell>
          <cell r="G642">
            <v>0</v>
          </cell>
          <cell r="H642">
            <v>0</v>
          </cell>
          <cell r="I642">
            <v>0</v>
          </cell>
          <cell r="J642">
            <v>0</v>
          </cell>
          <cell r="K642">
            <v>6</v>
          </cell>
          <cell r="L642">
            <v>24</v>
          </cell>
        </row>
        <row r="643">
          <cell r="A643" t="str">
            <v>10067.01472</v>
          </cell>
          <cell r="B643" t="str">
            <v>CLAPET DISQUE DN100 PN10</v>
          </cell>
          <cell r="C643" t="str">
            <v xml:space="preserve">CANALISATION ET ACCESSOIRES ACCESSOIRES DE ROBINETTERIE CLAPET A DISQUE , CORPS EN INOX 316L REVETU DE L'INTERIEUR EN PTFE , DISQUE EN INOX REVETU DE L'INTERIEURE EN PTFE , RESSORT REVETU DE L'EXTERIEURE EN PTFE , RACCORDEMENT : SANDWITCH , FLUIDE VEHICULE : ACIDE SULFURIQUE 75% , DN:100 / PN:10 / ENCOMBREMENT:85 </v>
          </cell>
          <cell r="D643" t="str">
            <v>PE</v>
          </cell>
          <cell r="E643" t="str">
            <v>515.51511</v>
          </cell>
          <cell r="F643">
            <v>5692.5</v>
          </cell>
          <cell r="G643">
            <v>0</v>
          </cell>
          <cell r="H643">
            <v>0</v>
          </cell>
          <cell r="I643">
            <v>0</v>
          </cell>
          <cell r="J643">
            <v>0</v>
          </cell>
          <cell r="K643">
            <v>1</v>
          </cell>
          <cell r="L643">
            <v>0</v>
          </cell>
        </row>
        <row r="644">
          <cell r="A644" t="str">
            <v>10067.01493</v>
          </cell>
          <cell r="B644" t="str">
            <v>CLAPET ANTI RETOUR 150/10</v>
          </cell>
          <cell r="C644" t="str">
            <v xml:space="preserve">CANALISATION ET ACCESSOIRES ACCESSOIRES DE ROBINETTERIE CLAPET DE NON RETOUR. DESIGNATION : CLAPET ANTI RETOUR A BATTANT PRESSION : 5 BARS EFFECTIF DEBIT:500 M3/H TEMPERATURE: 20?A45?C , FLUIDE : EAU CLAIRE , DN:150MM PN:10 BARS , RACCORDEMENT:SANDWICH COMPOSITION : MATIERE CORPS ET BATTANT:INOX 316L JOINT:VITON </v>
          </cell>
          <cell r="D644" t="str">
            <v>PE</v>
          </cell>
          <cell r="E644" t="str">
            <v>515.51511</v>
          </cell>
          <cell r="F644">
            <v>9084.4241000000002</v>
          </cell>
          <cell r="G644">
            <v>0</v>
          </cell>
          <cell r="H644">
            <v>1</v>
          </cell>
          <cell r="I644">
            <v>0</v>
          </cell>
          <cell r="J644">
            <v>0</v>
          </cell>
          <cell r="K644">
            <v>0</v>
          </cell>
          <cell r="L644">
            <v>0</v>
          </cell>
        </row>
        <row r="645">
          <cell r="A645" t="str">
            <v>10066.00504</v>
          </cell>
          <cell r="B645" t="str">
            <v>TUBE ACIER GALVA 1P   3,2</v>
          </cell>
          <cell r="C645" t="str">
            <v xml:space="preserve">TUBE EN ACIER GALVANISE SANS SOUDURE FILETE MANCHONNE NUANCE : TS 34-1 S/NORME : NFA 49115TEMPERATURE -10°C ET 110°C LIMITE D'EMPLOI 16 BARS, EPREUVE HYDRAULIQUE 50 BARS DIAMETRE 1'' D.EXT.33,7 EP.3,2MM </v>
          </cell>
          <cell r="D645" t="str">
            <v>M</v>
          </cell>
          <cell r="E645" t="str">
            <v>313.31301</v>
          </cell>
          <cell r="F645">
            <v>192</v>
          </cell>
          <cell r="G645">
            <v>0</v>
          </cell>
          <cell r="H645">
            <v>0</v>
          </cell>
          <cell r="I645">
            <v>0</v>
          </cell>
          <cell r="J645">
            <v>0</v>
          </cell>
          <cell r="K645">
            <v>0</v>
          </cell>
          <cell r="L645">
            <v>0</v>
          </cell>
        </row>
        <row r="646">
          <cell r="A646" t="str">
            <v>10066.00502</v>
          </cell>
          <cell r="B646" t="str">
            <v>TUBE ACIER GALVA 1/2 2,6</v>
          </cell>
          <cell r="C646" t="str">
            <v xml:space="preserve">TUBE EN ACIER GALVANISE SANS SOUDURE FILETE MANCHONNE NUANCE : TS 34-1 S/NORME : NFA 49115TEMPERATURE -10°C ET 110°C LIMITE D'EMPLOI 16 BARS, EPREUVE HYDRAULIQUE 50 BARS DIAMETRE 1/2'' D.EXT.21,3 EP.2,6MM </v>
          </cell>
          <cell r="D646" t="str">
            <v>M</v>
          </cell>
          <cell r="E646" t="str">
            <v>313.31301</v>
          </cell>
          <cell r="F646">
            <v>96</v>
          </cell>
          <cell r="G646">
            <v>0</v>
          </cell>
          <cell r="H646">
            <v>0</v>
          </cell>
          <cell r="I646">
            <v>0</v>
          </cell>
          <cell r="J646">
            <v>0</v>
          </cell>
          <cell r="K646">
            <v>0</v>
          </cell>
          <cell r="L646">
            <v>0</v>
          </cell>
        </row>
        <row r="647">
          <cell r="A647" t="str">
            <v>10066.00503</v>
          </cell>
          <cell r="B647" t="str">
            <v>TUBE ACIER GALVA 3/4  2,6</v>
          </cell>
          <cell r="C647" t="str">
            <v xml:space="preserve">TUBE EN ACIER GALVANISE SANS SOUDURE FILETE MANCHONNE NUANCE : TS 34-1 S/NORME : NFA 49115TEMPERATURE -10°C ET 110°C LIMITE D'EMPLOI 16 BARS, EPREUVE HYDRAULIQUE 50 BARS DIAMETRE 3/4'' D.EXT.26,9 EP.2,6MM </v>
          </cell>
          <cell r="D647" t="str">
            <v>M</v>
          </cell>
          <cell r="E647" t="str">
            <v>313.31301</v>
          </cell>
          <cell r="F647">
            <v>150</v>
          </cell>
          <cell r="G647">
            <v>0</v>
          </cell>
          <cell r="H647">
            <v>0</v>
          </cell>
          <cell r="I647">
            <v>0</v>
          </cell>
          <cell r="J647">
            <v>0</v>
          </cell>
          <cell r="K647">
            <v>0</v>
          </cell>
          <cell r="L647">
            <v>0</v>
          </cell>
        </row>
        <row r="648">
          <cell r="A648" t="str">
            <v>10067.02641</v>
          </cell>
          <cell r="B648" t="str">
            <v>ROBIN A SOUPAP DN20 PN250</v>
          </cell>
          <cell r="C648" t="str">
            <v xml:space="preserve">CANALISATION ET ACCESSOIRES ROBINET A SOUPAPE LIQUIDE VEHICULE : VAPEUR , SUIVANT FICHE TECHNIQUE CI-JOINTE </v>
          </cell>
          <cell r="D648" t="str">
            <v>PE</v>
          </cell>
          <cell r="E648" t="str">
            <v>515.51511</v>
          </cell>
          <cell r="F648">
            <v>532</v>
          </cell>
          <cell r="G648">
            <v>5</v>
          </cell>
          <cell r="H648">
            <v>31</v>
          </cell>
          <cell r="I648">
            <v>4</v>
          </cell>
          <cell r="J648">
            <v>0</v>
          </cell>
          <cell r="K648">
            <v>0</v>
          </cell>
          <cell r="L648">
            <v>0</v>
          </cell>
        </row>
        <row r="649">
          <cell r="A649" t="str">
            <v>10067.02642</v>
          </cell>
          <cell r="B649" t="str">
            <v>ROBIN A SOUPAP DN25 PN250</v>
          </cell>
          <cell r="C649" t="str">
            <v xml:space="preserve">CANALISATION ET ACCESSOIRES ROBINET A SOUPAPE LIQUIDE VEHICULE : VAPEUR , SUIVANT FICHE TECHNIQUE CI-JOINTE </v>
          </cell>
          <cell r="D649" t="str">
            <v>PE</v>
          </cell>
          <cell r="E649" t="str">
            <v>515.51511</v>
          </cell>
          <cell r="F649">
            <v>920</v>
          </cell>
          <cell r="G649">
            <v>19</v>
          </cell>
          <cell r="H649">
            <v>11</v>
          </cell>
          <cell r="I649">
            <v>0</v>
          </cell>
          <cell r="J649">
            <v>0</v>
          </cell>
          <cell r="K649">
            <v>0</v>
          </cell>
          <cell r="L649">
            <v>0</v>
          </cell>
        </row>
        <row r="650">
          <cell r="A650" t="str">
            <v>10067.02640</v>
          </cell>
          <cell r="B650" t="str">
            <v>ROBIN A SOUPAP DN15 PN250</v>
          </cell>
          <cell r="C650" t="str">
            <v xml:space="preserve">CANALISATION ET ACCESSOIRES ROBINET A SOUPAPE LIQUIDE VEHICULE : VAPEUR , SUIVANT FICHE TECHNIQUE CI-JOINTE </v>
          </cell>
          <cell r="D650" t="str">
            <v>PE</v>
          </cell>
          <cell r="E650" t="str">
            <v>515.51511</v>
          </cell>
          <cell r="F650">
            <v>532</v>
          </cell>
          <cell r="G650">
            <v>0</v>
          </cell>
          <cell r="H650">
            <v>43</v>
          </cell>
          <cell r="I650">
            <v>7</v>
          </cell>
          <cell r="J650">
            <v>0</v>
          </cell>
          <cell r="K650">
            <v>0</v>
          </cell>
          <cell r="L650">
            <v>0</v>
          </cell>
        </row>
        <row r="651">
          <cell r="A651" t="str">
            <v>10067.05059</v>
          </cell>
          <cell r="B651" t="str">
            <v>MANCHON DILATOFLEX YP 250</v>
          </cell>
          <cell r="C651" t="str">
            <v xml:space="preserve">MANCHON COMPENSATEUR" DILATOFLEX " QUALITE : STANDARD HYPALLON ,NBRE D ONDE 2 PRESSION : DE SERVICE 16 BARS SERIE : NT DESTINATION : PRODUITS VEHICULES:ACIDE ET BASES FORTS,BIOXYDE DE CH , LORE,EAU OXYGENEE IODE SOLUTION DE DECAPAGE,SOLUTIONS, D'HYPOCHLORIES ETC ... DIAMETRE : NOMINAL 250 MM LONGUEUR : 300 MM PERCAGE : DES BRIDES S/NORME NF.E 29-201 FILETAGE : D UTILISATION S/NATURE PRODUIT SUP.OU EGAL 100 DEGRE CN.B : COMPORTEMENT A L AMBIANCE EXTERIEUR: RESISTE A LA FLAM, ME,L OXYDATION L OZONE LA LUMIERE AUX INTEMPERIES </v>
          </cell>
          <cell r="D651" t="str">
            <v>PE</v>
          </cell>
          <cell r="E651" t="str">
            <v>522.52207</v>
          </cell>
          <cell r="F651">
            <v>4220</v>
          </cell>
          <cell r="G651">
            <v>0</v>
          </cell>
          <cell r="H651">
            <v>0</v>
          </cell>
          <cell r="I651">
            <v>3</v>
          </cell>
          <cell r="J651">
            <v>2</v>
          </cell>
          <cell r="K651">
            <v>0</v>
          </cell>
          <cell r="L651">
            <v>3</v>
          </cell>
        </row>
        <row r="652">
          <cell r="A652" t="str">
            <v>10067.00012</v>
          </cell>
          <cell r="B652" t="str">
            <v>TUYAU 2PLI D20</v>
          </cell>
          <cell r="C652" t="str">
            <v>TUYAU EN CAOUTCHOUC POUR CIRCULATION D'EAU FROIDE DIAMETREINTERIEUR 20 MM  /  NOMBRE DE PLIS  2</v>
          </cell>
          <cell r="D652" t="str">
            <v>M</v>
          </cell>
          <cell r="E652" t="str">
            <v>522.52203</v>
          </cell>
          <cell r="F652">
            <v>7.5731000000000002</v>
          </cell>
          <cell r="G652">
            <v>0</v>
          </cell>
          <cell r="H652">
            <v>0</v>
          </cell>
          <cell r="I652">
            <v>0</v>
          </cell>
          <cell r="J652">
            <v>0</v>
          </cell>
          <cell r="K652">
            <v>0</v>
          </cell>
          <cell r="L652">
            <v>0</v>
          </cell>
        </row>
        <row r="653">
          <cell r="A653" t="str">
            <v>10067.00020</v>
          </cell>
          <cell r="B653" t="str">
            <v>TUYAU 4PLI D32</v>
          </cell>
          <cell r="C653" t="str">
            <v>TUYAU EN CAOUTCHOUC POUR CIRCULATION D'EAU FROIDE DIAMETREINTERIEUR 32 MM  /  NOMBRE DE PLIS  4</v>
          </cell>
          <cell r="D653" t="str">
            <v>M</v>
          </cell>
          <cell r="E653" t="str">
            <v>522.52203</v>
          </cell>
          <cell r="F653">
            <v>43.2</v>
          </cell>
          <cell r="G653">
            <v>0</v>
          </cell>
          <cell r="H653">
            <v>0</v>
          </cell>
          <cell r="I653">
            <v>0</v>
          </cell>
          <cell r="J653">
            <v>0</v>
          </cell>
          <cell r="K653">
            <v>118</v>
          </cell>
          <cell r="L653">
            <v>0</v>
          </cell>
        </row>
        <row r="654">
          <cell r="A654" t="str">
            <v>10067.01213</v>
          </cell>
          <cell r="B654" t="str">
            <v>TUYAU FLEXIBLE DN 80 MM</v>
          </cell>
          <cell r="C654" t="str">
            <v xml:space="preserve">CANALISATION ET ACCESSOIRES TUBE EN CAOUTCHOUC FLEXIBLE DESIGNATION : TUYAU FLEXIBLE EN CAOUTCHOUC , A ARMATURE EN ACIER NOYE QUALITE : EQUIPE DE 2 BRIDES END FLEX , EN ACIER INOX 316L PRESSION : NOMINALE = 16 BAR . DE SERVICE = 12 BAR GENRE : KLEBER DESTINATION : POUR ACIDE PHOSPHORIQUE 28 A 54 P/CENT DIAMETRE : NOMINAL = 80 MM LONGUEUR : 8 METRES TYPE : PERFORMER CD1 </v>
          </cell>
          <cell r="D654" t="str">
            <v>PE</v>
          </cell>
          <cell r="E654" t="str">
            <v>522.52209</v>
          </cell>
          <cell r="F654">
            <v>9422.1</v>
          </cell>
          <cell r="G654">
            <v>0</v>
          </cell>
          <cell r="H654">
            <v>0</v>
          </cell>
          <cell r="I654">
            <v>0</v>
          </cell>
          <cell r="J654">
            <v>0</v>
          </cell>
          <cell r="K654">
            <v>0</v>
          </cell>
          <cell r="L654">
            <v>0</v>
          </cell>
        </row>
        <row r="655">
          <cell r="A655" t="str">
            <v>10067.00540</v>
          </cell>
          <cell r="B655" t="str">
            <v>LANC D INCEND 40</v>
          </cell>
          <cell r="C655" t="str">
            <v xml:space="preserve">CANALISATION ET ACCESSOIRES ACCESSOIRES DE ROBINETTERIE LANCE DESIGNATION : FUT DE LANCE , SOUCHE SYMETRIQUE 40/45 CPLET,AVEC ROBINET QUALITE : EN APM(FIG.50.17.130)ET JET DE12 BRONZE(FIG.50.16.020)GENRE : EAU ET FEU,FIG.50.15.030 MATIERE : CUIVRE ROUGE </v>
          </cell>
          <cell r="D655" t="str">
            <v>PE</v>
          </cell>
          <cell r="E655" t="str">
            <v>516.51601</v>
          </cell>
          <cell r="F655">
            <v>900</v>
          </cell>
          <cell r="G655">
            <v>0</v>
          </cell>
          <cell r="H655">
            <v>0</v>
          </cell>
          <cell r="I655">
            <v>0</v>
          </cell>
          <cell r="J655">
            <v>0</v>
          </cell>
          <cell r="K655">
            <v>2</v>
          </cell>
          <cell r="L655">
            <v>0</v>
          </cell>
        </row>
        <row r="656">
          <cell r="A656" t="str">
            <v>10067.01211</v>
          </cell>
          <cell r="B656" t="str">
            <v>TUYAU FLEXIBLE DN 80 MM</v>
          </cell>
          <cell r="C656" t="str">
            <v xml:space="preserve">CANALISATION ET ACCESSOIRES TUBE EN CAOUTCHOUC FLEXIBLE DESIGNATION : TUYAU FLEXIBLE EN CAOUTCHOUC , A ARMATURE EN ACIER NOYE QUALITE : EQUIPE DE 2 BRIDES END FLEX , EN ACIER INOX 316L PRESSION : NOMINALE = 16 BAR . DE SERVICE = 12 BAR GENRE : KLEBER DESTINATION : POUR ACIDE PHOSPHORIQUE 28 A 54 P/CENT DIAMETRE : NOMINAL = 80 MM LONGUEUR : 6 METRES TYPE : PERFORMER CD1 </v>
          </cell>
          <cell r="D656" t="str">
            <v>PE</v>
          </cell>
          <cell r="E656" t="str">
            <v>522.52209</v>
          </cell>
          <cell r="F656">
            <v>7164</v>
          </cell>
          <cell r="G656">
            <v>0</v>
          </cell>
          <cell r="H656">
            <v>0</v>
          </cell>
          <cell r="I656">
            <v>0</v>
          </cell>
          <cell r="J656">
            <v>0</v>
          </cell>
          <cell r="K656">
            <v>0</v>
          </cell>
          <cell r="L656">
            <v>0</v>
          </cell>
        </row>
        <row r="657">
          <cell r="A657" t="str">
            <v>10067.05231</v>
          </cell>
          <cell r="B657" t="str">
            <v>MANCH COMPENS DILATOF 400</v>
          </cell>
          <cell r="C657" t="str">
            <v xml:space="preserve">MANCHON COMPENSATEUR DILATOFLEX QUALITE : STANDARD HYPALLON NBRE D ONDE 1 PRESSION : DE SERVICE 16 BARS SERIE : NT DESTINATION : PRODUITS VEHICULES,ACIDE ET BASES FORTS,BIOXYDE DE CHL, ORE,EAU OXYGENEE,IODE,SOLUTION DE DECAPAGE,SOLUTION , D HYPOCHLORIES ETC ... DIAMETRE : NOMINAL 400 MM LONGUEUR : 200 MM PERCAGE : DES BRIDES S/NORME NF.E 29.201 FILETAGE : D UTILISATION S/NATURE,PRODUIT SUP.OU EGAL 100 DEGRE CN.B : COMPORTEMENT A L AMBIANCE EXT:RESISTE A LA FLAMME , L OXYDATION,L OZONE,LA LUMIERE,AUX INTEMPERIES </v>
          </cell>
          <cell r="D657" t="str">
            <v>PE</v>
          </cell>
          <cell r="E657" t="str">
            <v>522.52207</v>
          </cell>
          <cell r="F657">
            <v>9583.9590000000007</v>
          </cell>
          <cell r="G657">
            <v>0</v>
          </cell>
          <cell r="H657">
            <v>0</v>
          </cell>
          <cell r="I657">
            <v>0</v>
          </cell>
          <cell r="J657">
            <v>0</v>
          </cell>
          <cell r="K657">
            <v>2</v>
          </cell>
          <cell r="L657">
            <v>0</v>
          </cell>
        </row>
        <row r="658">
          <cell r="A658" t="str">
            <v>10067.01338</v>
          </cell>
          <cell r="B658" t="str">
            <v>FLEXIBLE ARME</v>
          </cell>
          <cell r="C658" t="str">
            <v xml:space="preserve">CANALISATION ET ACCESSOIRES TUBE EN CAOUTCHOUC FLEXIBLE DESIGNATION : FLEXIBLE ARME AVEC BRIDES NOYEES DANS LE CAOUTCHOUC , ET CONTRE BRIDES DESTINATION : POUR ACIDE PHOSPHORIQUE BOUILLIE DIAMETRE : NOMINAL : 250 MM PN 10 BAR LONGUEUR : 3200 MM </v>
          </cell>
          <cell r="D658" t="str">
            <v>PE</v>
          </cell>
          <cell r="E658" t="str">
            <v>522.52209</v>
          </cell>
          <cell r="F658">
            <v>23874</v>
          </cell>
          <cell r="G658">
            <v>0</v>
          </cell>
          <cell r="H658">
            <v>0</v>
          </cell>
          <cell r="I658">
            <v>0</v>
          </cell>
          <cell r="J658">
            <v>0</v>
          </cell>
          <cell r="K658">
            <v>0</v>
          </cell>
          <cell r="L658">
            <v>0</v>
          </cell>
        </row>
        <row r="659">
          <cell r="A659" t="str">
            <v>10067.01385</v>
          </cell>
          <cell r="B659" t="str">
            <v>FLEXIBL ARME DN100 L:12MET</v>
          </cell>
          <cell r="C659" t="str">
            <v xml:space="preserve">CANALISATION ET ACCESSOIRES FLEXIBLE ARME AVEC SPIRE DE RENFORT , EQUIPE A CHAQU.EXTREMIT.DE BRID.INOX316/PN10 TOURNANT., TUBE ET REVETEMENT:EPDM RESISTANT AUX PRODUITS CHIMIQ., ARMATURE:NAPPES TEXTILE AVEC HELICE DE RENFORCEMENT , EN ACIER NOYEE DANS LA PAROI , TEMPERATURE :100?C / PRESSION : 10 BARS , RESISTANCES:EXCELLENT.RESIST.AUX AGRES.PHYS.CHIM.ACIDE, RACCORDS ET RACCORDEMENTS : BRIDES END FLEX , PRESSION DE NON ECLATEMENT : 32 BARS , FLUIDE VEHICULE : ACIDE PHOSPHORIQUE , DN 100 / LONGUEUR :12 METRES </v>
          </cell>
          <cell r="D659" t="str">
            <v>PE</v>
          </cell>
          <cell r="E659" t="str">
            <v>522.52209</v>
          </cell>
          <cell r="F659">
            <v>13645.8</v>
          </cell>
          <cell r="G659">
            <v>0</v>
          </cell>
          <cell r="H659">
            <v>0</v>
          </cell>
          <cell r="I659">
            <v>0</v>
          </cell>
          <cell r="J659">
            <v>0</v>
          </cell>
          <cell r="K659">
            <v>0</v>
          </cell>
          <cell r="L659">
            <v>0</v>
          </cell>
        </row>
        <row r="660">
          <cell r="A660" t="str">
            <v>10067.01386</v>
          </cell>
          <cell r="B660" t="str">
            <v>FLEXIBL ARME DN150 L:8MET</v>
          </cell>
          <cell r="C660" t="str">
            <v xml:space="preserve">CANALISATION ET ACCESSOIRES FLEXIBLE ARME AVEC SPIRE DE RENFORT , EQUIPE A CHAQU.EXTREMIT.DE BRID.INOX316/PN10 TOURNANT., TUBE ET REVETEMENT:EPDM RESISTANT AUX PRODUITS CHIMIQ., ARMATURE:NAPPES TEXTILE AVEC HELICE DE RENFORCEMENT , EN ACIER NOYEE DANS LA PAROI , TEMPERATURE :90?C / PRESSION : 10 BARS , RESISTANCES:EXCELLENT.RESIST.AUX AGRES.PHYS.CHIM.ACIDE, RACCORDS ET RACCORDEMENTS : BRIDES END FLEX , PRESSION DE NON ECLATEMENT : 32 BARS , FLUIDE VEHICULE : ACIDE PHOSPHORIQUE , DN 150 / LONGUEUR : 8 METRES </v>
          </cell>
          <cell r="D660" t="str">
            <v>PE</v>
          </cell>
          <cell r="E660" t="str">
            <v>522.52209</v>
          </cell>
          <cell r="F660">
            <v>13860</v>
          </cell>
          <cell r="G660">
            <v>0</v>
          </cell>
          <cell r="H660">
            <v>0</v>
          </cell>
          <cell r="I660">
            <v>0</v>
          </cell>
          <cell r="J660">
            <v>0</v>
          </cell>
          <cell r="K660">
            <v>0</v>
          </cell>
          <cell r="L660">
            <v>10</v>
          </cell>
        </row>
        <row r="661">
          <cell r="A661" t="str">
            <v>10067.01382</v>
          </cell>
          <cell r="B661" t="str">
            <v>FLEXIBL ARME DN80 L:12MET</v>
          </cell>
          <cell r="C661" t="str">
            <v xml:space="preserve">CANALISATION ET ACCESSOIRES FLEXIBLE ARME AVEC SPIRE DE RENFORT , EQUIPE A CHAQU.EXTREMIT.DE BRID.INOX316/PN10 TOURNANT., TUBE ET REVETEMENT:EPDM RESISTANT AUX PRODUITS CHIMIQ., ARMATURE:NAPPES TEXTILE AVEC HELICE DE RENFORCEMENT , EN ACIER NOYEE DANS LA PAROI , TEMPERATURE :100?C / PRESSION : 10 BARS , RESISTANCES:EXCELLENT.RESIST.AUX AGRES.PHYS.CHIM.ACIDE, RACCORDS ET RACCORDEMENTS : BRIDES END FLEX , PRESSION DE NON ECLATEMENT : 32 BARS , FLUIDE VEHICULE : ACIDE PHOSPHORIQUE , DN 80 / LONGUEUR :12 METRES </v>
          </cell>
          <cell r="D661" t="str">
            <v>PE</v>
          </cell>
          <cell r="E661" t="str">
            <v>522.52209</v>
          </cell>
          <cell r="F661">
            <v>14560</v>
          </cell>
          <cell r="G661">
            <v>0</v>
          </cell>
          <cell r="H661">
            <v>0</v>
          </cell>
          <cell r="I661">
            <v>0</v>
          </cell>
          <cell r="J661">
            <v>0</v>
          </cell>
          <cell r="K661">
            <v>0</v>
          </cell>
          <cell r="L661">
            <v>0</v>
          </cell>
        </row>
        <row r="662">
          <cell r="A662" t="str">
            <v>10067.01383</v>
          </cell>
          <cell r="B662" t="str">
            <v>FLEXIBL ARME DN100 L:6MET</v>
          </cell>
          <cell r="C662" t="str">
            <v xml:space="preserve">CANALISATION ET ACCESSOIRES FLEXIBLE ARME AVEC SPIRE DE RENFORT , EQUIPE A CHAQU.EXTREMIT.DE BRID.INOX316/PN10 TOURNANT., TUBE ET REVETEMENT:EPDM RESISTANT AUX PRODUITS CHIMIQ., ARMATURE:NAPPES TEXTILE AVEC HELICE DE RENFORCEMENT , EN ACIER NOYEE DANS LA PAROI , TEMPERATURE :100?C / PRESSION : 10 BARS , RESISTANCES:EXCELLENT.RESIST.AUX AGRES.PHYS.CHIM.ACIDE, RACCORDS ET RACCORDEMENTS : BRIDES END FLEX , PRESSION DE NON ECLATEMENT : 32 BARS , FLUIDE VEHICULE : ACIDE PHOSPHORIQUE , DN 100 / LONGUEUR : 6 METRES </v>
          </cell>
          <cell r="D662" t="str">
            <v>PE</v>
          </cell>
          <cell r="E662" t="str">
            <v>522.52209</v>
          </cell>
          <cell r="F662">
            <v>9450</v>
          </cell>
          <cell r="G662">
            <v>0</v>
          </cell>
          <cell r="H662">
            <v>0</v>
          </cell>
          <cell r="I662">
            <v>0</v>
          </cell>
          <cell r="J662">
            <v>0</v>
          </cell>
          <cell r="K662">
            <v>0</v>
          </cell>
          <cell r="L662">
            <v>0</v>
          </cell>
        </row>
        <row r="663">
          <cell r="A663" t="str">
            <v>10067.01384</v>
          </cell>
          <cell r="B663" t="str">
            <v>FLEXIBL ARME DN100 L:8MET</v>
          </cell>
          <cell r="C663" t="str">
            <v xml:space="preserve">CANALISATION ET ACCESSOIRES FLEXIBLE ARME AVEC SPIRE DE RENFORT , EQUIPE A CHAQU.EXTREMIT.DE BRID.INOX316/PN10 TOURNANT., TUBE ET REVETEMENT:EPDM RESISTANT AUX PRODUITS CHIMIQ., ARMATURE:NAPPES TEXTILE AVEC HELICE DE RENFORCEMENT , EN ACIER NOYEE DANS LA PAROI , TEMPERATURE :100?C / PRESSION : 10 BARS , RESISTANCES:EXCELLENT.RESIST.AUX AGRES.PHYS.CHIM.ACIDE, RACCORDS ET RACCORDEMENTS : BRIDES END FLEX , PRESSION DE NON ECLATEMENT : 32 BARS , FLUIDE VEHICULE : ACIDE PHOSPHORIQUE , DN 100 / LONGUEUR : 8 METRES </v>
          </cell>
          <cell r="D663" t="str">
            <v>PE</v>
          </cell>
          <cell r="E663" t="str">
            <v>522.52209</v>
          </cell>
          <cell r="F663">
            <v>11229</v>
          </cell>
          <cell r="G663">
            <v>0</v>
          </cell>
          <cell r="H663">
            <v>0</v>
          </cell>
          <cell r="I663">
            <v>0</v>
          </cell>
          <cell r="J663">
            <v>0</v>
          </cell>
          <cell r="K663">
            <v>0</v>
          </cell>
          <cell r="L663">
            <v>0</v>
          </cell>
        </row>
        <row r="664">
          <cell r="A664" t="str">
            <v>10066.00245</v>
          </cell>
          <cell r="B664" t="str">
            <v>TUBE ACIER INOX S/SOUDURE</v>
          </cell>
          <cell r="C664" t="str">
            <v xml:space="preserve">TUBE EN S/SOUDURE ACIER INOXYDABLE 18.8ASTM A312, TP304L AFNOR Z2 CN 18.10  DIN 1.4306 DIMENSIONS S/ANSI B 36.19  LIVRE AVEC CERTIFICAT 5.2.2.1D (NF.A 49 000) DN15MM SCH. 80S DIAM.EXT.21,5MM EPAIS.3,73MM </v>
          </cell>
          <cell r="D664" t="str">
            <v>M</v>
          </cell>
          <cell r="E664" t="str">
            <v>313.31301</v>
          </cell>
          <cell r="F664">
            <v>120</v>
          </cell>
          <cell r="G664">
            <v>0</v>
          </cell>
          <cell r="H664">
            <v>0</v>
          </cell>
          <cell r="I664">
            <v>0</v>
          </cell>
          <cell r="J664">
            <v>0</v>
          </cell>
          <cell r="K664">
            <v>0</v>
          </cell>
          <cell r="L664">
            <v>0</v>
          </cell>
        </row>
        <row r="665">
          <cell r="A665" t="str">
            <v>10067.01388</v>
          </cell>
          <cell r="B665" t="str">
            <v>FLEXIBL ARME DN200 L:4MET</v>
          </cell>
          <cell r="C665" t="str">
            <v xml:space="preserve">CANALISATION ET ACCESSOIRES FLEXIBLE ARME AVEC SPIRE DE RENFORT , EQUIPE A CHAQU.EXTREMIT.DE BRID.INOX316/PN10 TOURNANT., TUBE ET REVETEMENT:EPDM RESISTANT AUX PRODUITS CHIMIQ., ARMATURE:NAPPES TEXTILE AVEC HELICE DE RENFORCEMENT , EN ACIER NOYEE DANS LA PAROI , TEMPERATURE :90?C / PRESSION : 10 BARS , RESISTANCES:EXCELLENT.RESIST.AUX AGRES.PHYS.CHIM.ACIDE, RACCORDS ET RACCORDEMENTS : BRIDES END FLEX , PRESSION DE NON ECLATEMENT : 32 BARS , FLUIDE VEHICULE : ACIDE PHOSPHORIQUE , DN 200 / LONGUEUR : 4 METRES </v>
          </cell>
          <cell r="D665" t="str">
            <v>PE</v>
          </cell>
          <cell r="E665" t="str">
            <v>522.52209</v>
          </cell>
          <cell r="F665">
            <v>18912.599999999999</v>
          </cell>
          <cell r="G665">
            <v>0</v>
          </cell>
          <cell r="H665">
            <v>0</v>
          </cell>
          <cell r="I665">
            <v>0</v>
          </cell>
          <cell r="J665">
            <v>0</v>
          </cell>
          <cell r="K665">
            <v>0</v>
          </cell>
          <cell r="L665">
            <v>0</v>
          </cell>
        </row>
        <row r="666">
          <cell r="A666" t="str">
            <v>10067.01412</v>
          </cell>
          <cell r="B666" t="str">
            <v>FLEXIBLE PULPE ARME DN 250</v>
          </cell>
          <cell r="C666" t="str">
            <v>FLEXIBLE ARME TYPE PULPE, TUBE:HYPALON, EXCELLENTE RESISTANCE A L'ABRASION,LISSE, ARMATURE : PLIS TEXTILE A HAUTE TENACITE INSERES, SPIRALE ACIER NOYEE, REVETEMENT:CAOUTCHOUC SYNTHETIQUE NOIR, RESISTANT A L'ABRASION,AU VIEILLESSEMENT ET AUX AGENTS ATMOSPHERIQUE.MODE DE RACCORDEMENT : PAR BLOC-ENDPRESSION SCE : 10BARSDEPRESSION : 0,80MAXIT °: -40 +70°CNORME : ISO 1307DN 250LIVRE SANS BRIDE</v>
          </cell>
          <cell r="D666" t="str">
            <v>M</v>
          </cell>
          <cell r="E666" t="str">
            <v>522.52209</v>
          </cell>
          <cell r="F666">
            <v>3355</v>
          </cell>
          <cell r="G666">
            <v>0</v>
          </cell>
          <cell r="H666">
            <v>0</v>
          </cell>
          <cell r="I666">
            <v>0</v>
          </cell>
          <cell r="J666">
            <v>0</v>
          </cell>
          <cell r="K666">
            <v>0</v>
          </cell>
          <cell r="L666">
            <v>0</v>
          </cell>
        </row>
        <row r="667">
          <cell r="A667" t="str">
            <v>10067.01408</v>
          </cell>
          <cell r="B667" t="str">
            <v>FLEXIBL N.ARME DN25 L:40M</v>
          </cell>
          <cell r="C667" t="str">
            <v xml:space="preserve">CANALISATION ET ACCESSOIRES FLEXIBLE NON ARME SOUPLE , INTERIEUR EN EPDM NOIR SANS AUCUN EQUIPEMENT , PRESSION DE SCE.:10BARS / T?: 80?C/ TEXTURE RENFORCEE , DN25 / LONGUEUR : 40 METRES </v>
          </cell>
          <cell r="D667" t="str">
            <v>PE</v>
          </cell>
          <cell r="E667" t="str">
            <v>522.52209</v>
          </cell>
          <cell r="F667">
            <v>480</v>
          </cell>
          <cell r="G667">
            <v>0</v>
          </cell>
          <cell r="H667">
            <v>0</v>
          </cell>
          <cell r="I667">
            <v>0</v>
          </cell>
          <cell r="J667">
            <v>0</v>
          </cell>
          <cell r="K667">
            <v>8</v>
          </cell>
          <cell r="L667">
            <v>7</v>
          </cell>
        </row>
        <row r="668">
          <cell r="A668" t="str">
            <v>10067.01409</v>
          </cell>
          <cell r="B668" t="str">
            <v>FLEXIBL N.ARME DN50 L:40M</v>
          </cell>
          <cell r="C668" t="str">
            <v xml:space="preserve">CANALISATION ET ACCESSOIRES FLEXIBLE NON ARME SOUPLE , INTERIEUR EN EPDM NOIR SANS AUCUN EQUIPEMENT , PRESSION DE SCE.:10BARS / T?: 80?C/ TEXTURE RENFORCEE , DN50 / LONGUEUR : 40 METRES </v>
          </cell>
          <cell r="D668" t="str">
            <v>PE</v>
          </cell>
          <cell r="E668" t="str">
            <v>522.52209</v>
          </cell>
          <cell r="F668">
            <v>4187</v>
          </cell>
          <cell r="G668">
            <v>0</v>
          </cell>
          <cell r="H668">
            <v>2</v>
          </cell>
          <cell r="I668">
            <v>0</v>
          </cell>
          <cell r="J668">
            <v>0</v>
          </cell>
          <cell r="K668">
            <v>0</v>
          </cell>
          <cell r="L668">
            <v>1</v>
          </cell>
        </row>
        <row r="669">
          <cell r="A669" t="str">
            <v>10062.04399</v>
          </cell>
          <cell r="B669" t="str">
            <v>BOULON Z2CND 17-13</v>
          </cell>
          <cell r="C669" t="str">
            <v xml:space="preserve">BOULON HMN 14 X 90VIS A TETE HEXAGONALE ENTIEREMENT FILETEE ET ECROU HEXAGONAL EN ACIER INOXYDABLE NUANCE AFNOR  Z2 CND 17 . 13  -  AISI 316 L  /  GENRE UGINE NSM 22 S SUIVANT NORME NFE 25 114 ET NFE 25 401 / FILETAGE  ISO </v>
          </cell>
          <cell r="D669" t="str">
            <v>PE</v>
          </cell>
          <cell r="E669" t="str">
            <v>522.52201</v>
          </cell>
          <cell r="F669">
            <v>15</v>
          </cell>
          <cell r="G669">
            <v>0</v>
          </cell>
          <cell r="H669">
            <v>0</v>
          </cell>
          <cell r="I669">
            <v>0</v>
          </cell>
          <cell r="J669">
            <v>0</v>
          </cell>
          <cell r="K669">
            <v>0</v>
          </cell>
          <cell r="L669">
            <v>0</v>
          </cell>
        </row>
        <row r="670">
          <cell r="A670" t="str">
            <v>10062.04400</v>
          </cell>
          <cell r="B670" t="str">
            <v>BOULON Z2CND 17-13</v>
          </cell>
          <cell r="C670" t="str">
            <v xml:space="preserve">BOULON HMN 14 X 100VIS A TETE HEXAGONALE ENTIEREMENT FILETEE ET ECROU HEXAGONAL EN ACIER INOXYDABLE NUANCE AFNOR  Z2 CND 17 . 13  -  AISI 316 L  /  GENRE UGINE NSM 22 S SUIVANT NORME NFE 25 114 ET NFE 25 401 / FILETAGE  ISO </v>
          </cell>
          <cell r="D670" t="str">
            <v>PE</v>
          </cell>
          <cell r="E670" t="str">
            <v>522.52201</v>
          </cell>
          <cell r="F670">
            <v>24.7239</v>
          </cell>
          <cell r="G670">
            <v>0</v>
          </cell>
          <cell r="H670">
            <v>0</v>
          </cell>
          <cell r="I670">
            <v>0</v>
          </cell>
          <cell r="J670">
            <v>0</v>
          </cell>
          <cell r="K670">
            <v>0</v>
          </cell>
          <cell r="L670">
            <v>0</v>
          </cell>
        </row>
        <row r="671">
          <cell r="A671" t="str">
            <v>10062.04403</v>
          </cell>
          <cell r="B671" t="str">
            <v>BOULON Z2CND 17-13</v>
          </cell>
          <cell r="C671" t="str">
            <v xml:space="preserve">BOULON HMN 16 X 45VIS A TETE HEXAGONALE ENTIEREMENT FILETEE ET ECROU HEXAGONAL EN ACIER INOXYDABLE NUANCE AFNOR  Z2 CND 17 . 13  -  AISI 316 L  /  GENRE UGINE NSM 22 S SUIVANT NORME NFE 25 114 ET NFE 25 401 / FILETAGE  ISO </v>
          </cell>
          <cell r="D671" t="str">
            <v>PE</v>
          </cell>
          <cell r="E671" t="str">
            <v>522.52201</v>
          </cell>
          <cell r="F671">
            <v>35.467100000000002</v>
          </cell>
          <cell r="G671">
            <v>0</v>
          </cell>
          <cell r="H671">
            <v>0</v>
          </cell>
          <cell r="I671">
            <v>0</v>
          </cell>
          <cell r="J671">
            <v>0</v>
          </cell>
          <cell r="K671">
            <v>0</v>
          </cell>
          <cell r="L671">
            <v>0</v>
          </cell>
        </row>
        <row r="672">
          <cell r="A672" t="str">
            <v>10062.04735</v>
          </cell>
          <cell r="B672" t="str">
            <v>BOULON Z1CNDU 25-20</v>
          </cell>
          <cell r="C672" t="str">
            <v xml:space="preserve">BOULON HMN 24 X 100VIS A TETE HEXAGONALE ENTIEREMENT FILETEE ET ECROU HEXAGONAL EN ACIER INOXYDABLE NUANCE AFNOR Z1 CNDU 25.20 GENRE CREUSOT LOIRE URANUS B6 SUIVANT NORME NF E 25-114 ET NF E 25-401  /  FILETAGE  ISO </v>
          </cell>
          <cell r="D672" t="str">
            <v>PE</v>
          </cell>
          <cell r="E672" t="str">
            <v>522.52201</v>
          </cell>
          <cell r="F672">
            <v>457.44049999999999</v>
          </cell>
          <cell r="G672">
            <v>0</v>
          </cell>
          <cell r="H672">
            <v>0</v>
          </cell>
          <cell r="I672">
            <v>0</v>
          </cell>
          <cell r="J672">
            <v>0</v>
          </cell>
          <cell r="K672">
            <v>21</v>
          </cell>
          <cell r="L672">
            <v>0</v>
          </cell>
        </row>
        <row r="673">
          <cell r="A673" t="str">
            <v>10062.04405</v>
          </cell>
          <cell r="B673" t="str">
            <v>BOULON Z2CND 17-13</v>
          </cell>
          <cell r="C673" t="str">
            <v xml:space="preserve">BOULON HMN 16 X 55VIS A TETE HEXAGONALE ENTIEREMENT FILETEE ET ECROU HEXAGONAL EN ACIER INOXYDABLE NUANCE AFNOR  Z2 CND 17 . 13  -  AISI 316 L  /  GENRE UGINE NSM 22 S SUIVANT NORME NFE 25 114 ET NFE 25 401 / FILETAGE  ISO </v>
          </cell>
          <cell r="D673" t="str">
            <v>PE</v>
          </cell>
          <cell r="E673" t="str">
            <v>522.52201</v>
          </cell>
          <cell r="F673">
            <v>38.027900000000002</v>
          </cell>
          <cell r="G673">
            <v>0</v>
          </cell>
          <cell r="H673">
            <v>0</v>
          </cell>
          <cell r="I673">
            <v>0</v>
          </cell>
          <cell r="J673">
            <v>0</v>
          </cell>
          <cell r="K673">
            <v>0</v>
          </cell>
          <cell r="L673">
            <v>0</v>
          </cell>
        </row>
        <row r="674">
          <cell r="A674" t="str">
            <v>10062.04409</v>
          </cell>
          <cell r="B674" t="str">
            <v>BOULON Z2CND 17-13</v>
          </cell>
          <cell r="C674" t="str">
            <v xml:space="preserve">BOULON HMN 16 X 75VIS A TETE HEXAGONALE ENTIEREMENT FILETEE ET ECROU HEXAGONAL EN ACIER INOXYDABLE NUANCE AFNOR  Z2 CND 17 . 13  -  AISI 316 L  /  GENRE UGINE NSM 22 S SUIVANT NORME NFE 25 114 ET NFE 25 401 / FILETAGE  ISO </v>
          </cell>
          <cell r="D674" t="str">
            <v>PE</v>
          </cell>
          <cell r="E674" t="str">
            <v>522.52201</v>
          </cell>
          <cell r="F674">
            <v>27.6</v>
          </cell>
          <cell r="G674">
            <v>0</v>
          </cell>
          <cell r="H674">
            <v>0</v>
          </cell>
          <cell r="I674">
            <v>0</v>
          </cell>
          <cell r="J674">
            <v>0</v>
          </cell>
          <cell r="K674">
            <v>0</v>
          </cell>
          <cell r="L674">
            <v>0</v>
          </cell>
        </row>
        <row r="675">
          <cell r="A675" t="str">
            <v>10062.04410</v>
          </cell>
          <cell r="B675" t="str">
            <v>BOULON Z2CND 17-13</v>
          </cell>
          <cell r="C675" t="str">
            <v xml:space="preserve">BOULON HMN 16 X 80VIS A TETE HEXAGONALE ENTIEREMENT FILETEE ET ECROU HEXAGONAL EN ACIER INOXYDABLE NUANCE AFNOR  Z2 CND 17 . 13  -  AISI 316 L  /  GENRE UGINE NSM 22 S SUIVANT NORME NFE 25 114 ET NFE 25 401 / FILETAGE  ISO </v>
          </cell>
          <cell r="D675" t="str">
            <v>PE</v>
          </cell>
          <cell r="E675" t="str">
            <v>522.52201</v>
          </cell>
          <cell r="F675">
            <v>12.55</v>
          </cell>
          <cell r="G675">
            <v>0</v>
          </cell>
          <cell r="H675">
            <v>0</v>
          </cell>
          <cell r="I675">
            <v>0</v>
          </cell>
          <cell r="J675">
            <v>0</v>
          </cell>
          <cell r="K675">
            <v>0</v>
          </cell>
          <cell r="L675">
            <v>0</v>
          </cell>
        </row>
        <row r="676">
          <cell r="A676" t="str">
            <v>10062.04411</v>
          </cell>
          <cell r="B676" t="str">
            <v>BOULON Z2CND 17-13</v>
          </cell>
          <cell r="C676" t="str">
            <v xml:space="preserve">BOULON HMN 16 X 85VIS A TETE HEXAGONALE ENTIEREMENT FILETEE ET ECROU HEXAGONAL EN ACIER INOXYDABLE NUANCE AFNOR  Z2 CND 17 . 13  -  AISI 316 L  /  GENRE UGINE NSM 22 S SUIVANT NORME NFE 25 114 ET NFE 25 401 / FILETAGE  ISO </v>
          </cell>
          <cell r="D676" t="str">
            <v>PE</v>
          </cell>
          <cell r="E676" t="str">
            <v>522.52201</v>
          </cell>
          <cell r="F676">
            <v>50.657299999999999</v>
          </cell>
          <cell r="G676">
            <v>0</v>
          </cell>
          <cell r="H676">
            <v>0</v>
          </cell>
          <cell r="I676">
            <v>0</v>
          </cell>
          <cell r="J676">
            <v>0</v>
          </cell>
          <cell r="K676">
            <v>0</v>
          </cell>
          <cell r="L676">
            <v>0</v>
          </cell>
        </row>
        <row r="677">
          <cell r="A677" t="str">
            <v>10062.04412</v>
          </cell>
          <cell r="B677" t="str">
            <v>BOULON Z2CND 17-13</v>
          </cell>
          <cell r="C677" t="str">
            <v xml:space="preserve">BOULON HMN 16 X 90VIS A TETE HEXAGONALE ENTIEREMENT FILETEE ET ECROU HEXAGONAL EN ACIER INOXYDABLE NUANCE AFNOR  Z2 CND 17 . 13  -  AISI 316 L  /  GENRE UGINE NSM 22 S SUIVANT NORME NFE 25 114 ET NFE 25 401 / FILETAGE  ISO </v>
          </cell>
          <cell r="D677" t="str">
            <v>PE</v>
          </cell>
          <cell r="E677" t="str">
            <v>522.52201</v>
          </cell>
          <cell r="F677">
            <v>28.2</v>
          </cell>
          <cell r="G677">
            <v>0</v>
          </cell>
          <cell r="H677">
            <v>0</v>
          </cell>
          <cell r="I677">
            <v>0</v>
          </cell>
          <cell r="J677">
            <v>0</v>
          </cell>
          <cell r="K677">
            <v>0</v>
          </cell>
          <cell r="L677">
            <v>0</v>
          </cell>
        </row>
        <row r="678">
          <cell r="A678" t="str">
            <v>10062.04413</v>
          </cell>
          <cell r="B678" t="str">
            <v>BOULON Z2CND 17-13</v>
          </cell>
          <cell r="C678" t="str">
            <v xml:space="preserve">BOULON HMN 16 X 100VIS A TETE HEXAGONALE ENTIEREMENT FILETEE ET ECROU HEXAGONAL EN ACIER INOXYDABLE NUANCE AFNOR  Z2 CND 17 . 13  -  AISI 316 L  /  GENRE UGINE NSM 22 S SUIVANT NORME NFE 25 114 ET NFE 25 401 / FILETAGE  ISO </v>
          </cell>
          <cell r="D678" t="str">
            <v>PE</v>
          </cell>
          <cell r="E678" t="str">
            <v>522.52201</v>
          </cell>
          <cell r="F678">
            <v>56.756599999999999</v>
          </cell>
          <cell r="G678">
            <v>0</v>
          </cell>
          <cell r="H678">
            <v>0</v>
          </cell>
          <cell r="I678">
            <v>0</v>
          </cell>
          <cell r="J678">
            <v>0</v>
          </cell>
          <cell r="K678">
            <v>0</v>
          </cell>
          <cell r="L678">
            <v>0</v>
          </cell>
        </row>
        <row r="679">
          <cell r="A679" t="str">
            <v>10062.04415</v>
          </cell>
          <cell r="B679" t="str">
            <v>BOULON Z2CND 17-13</v>
          </cell>
          <cell r="C679" t="str">
            <v xml:space="preserve">BOULON HMN 20 X 45VIS A TETE HEXAGONALE ENTIEREMENT FILETEE ET ECROU HEXAGONAL EN ACIER INOXYDABLE NUANCE AFNOR  Z2 CND 17 . 13  -  AISI 316 L  /  GENRE UGINE NSM 22 S SUIVANT NORME NFE 25 114 ET NFE 25 401 / FILETAGE  ISO </v>
          </cell>
          <cell r="D679" t="str">
            <v>PE</v>
          </cell>
          <cell r="E679" t="str">
            <v>522.52201</v>
          </cell>
          <cell r="F679">
            <v>61.133299999999998</v>
          </cell>
          <cell r="G679">
            <v>0</v>
          </cell>
          <cell r="H679">
            <v>0</v>
          </cell>
          <cell r="I679">
            <v>0</v>
          </cell>
          <cell r="J679">
            <v>0</v>
          </cell>
          <cell r="K679">
            <v>54</v>
          </cell>
          <cell r="L679">
            <v>0</v>
          </cell>
        </row>
        <row r="680">
          <cell r="A680" t="str">
            <v>10062.04416</v>
          </cell>
          <cell r="B680" t="str">
            <v>BOULON Z2CND 17-13</v>
          </cell>
          <cell r="C680" t="str">
            <v xml:space="preserve">BOULON HMN 20 X 50VIS A TETE HEXAGONALE ENTIEREMENT FILETEE ET ECROU HEXAGONAL EN ACIER INOXYDABLE NUANCE AFNOR  Z2 CND 17 . 13  -  AISI 316 L  /  GENRE UGINE NSM 22 S SUIVANT NORME NFE 25 114 ET NFE 25 401 / FILETAGE  ISO </v>
          </cell>
          <cell r="D680" t="str">
            <v>PE</v>
          </cell>
          <cell r="E680" t="str">
            <v>522.52201</v>
          </cell>
          <cell r="F680">
            <v>63.018999999999998</v>
          </cell>
          <cell r="G680">
            <v>0</v>
          </cell>
          <cell r="H680">
            <v>0</v>
          </cell>
          <cell r="I680">
            <v>0</v>
          </cell>
          <cell r="J680">
            <v>0</v>
          </cell>
          <cell r="K680">
            <v>64</v>
          </cell>
          <cell r="L680">
            <v>0</v>
          </cell>
        </row>
        <row r="681">
          <cell r="A681" t="str">
            <v>10062.03775</v>
          </cell>
          <cell r="B681" t="str">
            <v>BOULON HR CLASSE 8.8</v>
          </cell>
          <cell r="C681" t="str">
            <v xml:space="preserve">BOULON CADMIE HM 12 X 40 VIS A TETE HEXAGONALE ENTIEREMENT FILETEE ET ECROU HEXAGONAL EN ACIER A HAUTE RESISTANCE XC 38 CLASSE ISO 8.8 SUIVANT NORME  NFE 25 114 ET NFE 25 401  /  FILETAGE  ISO  </v>
          </cell>
          <cell r="D681" t="str">
            <v>PE</v>
          </cell>
          <cell r="E681" t="str">
            <v>522.52201</v>
          </cell>
          <cell r="F681">
            <v>3.1061999999999999</v>
          </cell>
          <cell r="G681">
            <v>0</v>
          </cell>
          <cell r="H681">
            <v>0</v>
          </cell>
          <cell r="I681">
            <v>0</v>
          </cell>
          <cell r="J681">
            <v>0</v>
          </cell>
          <cell r="K681">
            <v>0</v>
          </cell>
          <cell r="L681">
            <v>0</v>
          </cell>
        </row>
        <row r="682">
          <cell r="A682" t="str">
            <v>10062.04419</v>
          </cell>
          <cell r="B682" t="str">
            <v>BOULON Z2CND 17-13</v>
          </cell>
          <cell r="C682" t="str">
            <v xml:space="preserve">BOULON HMN 20 X 65VIS A TETE HEXAGONALE ENTIEREMENT FILETEE ET ECROU HEXAGONAL EN ACIER INOXYDABLE NUANCE AFNOR  Z2 CND 17 . 13  -  AISI 316 L  /  GENRE UGINE NSM 22 S SUIVANT NORME NFE 25 114 ET NFE 25 401 / FILETAGE  ISO </v>
          </cell>
          <cell r="D682" t="str">
            <v>PE</v>
          </cell>
          <cell r="E682" t="str">
            <v>522.52201</v>
          </cell>
          <cell r="F682">
            <v>72.400800000000004</v>
          </cell>
          <cell r="G682">
            <v>0</v>
          </cell>
          <cell r="H682">
            <v>0</v>
          </cell>
          <cell r="I682">
            <v>0</v>
          </cell>
          <cell r="J682">
            <v>0</v>
          </cell>
          <cell r="K682">
            <v>19</v>
          </cell>
          <cell r="L682">
            <v>0</v>
          </cell>
        </row>
        <row r="683">
          <cell r="A683" t="str">
            <v>10062.04421</v>
          </cell>
          <cell r="B683" t="str">
            <v>BOULON Z2CND 17-13</v>
          </cell>
          <cell r="C683" t="str">
            <v xml:space="preserve">BOULON HMN 20 X 75VIS A TETE HEXAGONALE ENTIEREMENT FILETEE ET ECROU HEXAGONAL EN ACIER INOXYDABLE NUANCE AFNOR  Z2 CND 17 . 13  -  AISI 316 L  /  GENRE UGINE NSM 22 S SUIVANT NORME NFE 25 114 ET NFE 25 401 / FILETAGE  ISO </v>
          </cell>
          <cell r="D683" t="str">
            <v>PE</v>
          </cell>
          <cell r="E683" t="str">
            <v>522.52201</v>
          </cell>
          <cell r="F683">
            <v>79.175299999999993</v>
          </cell>
          <cell r="G683">
            <v>0</v>
          </cell>
          <cell r="H683">
            <v>0</v>
          </cell>
          <cell r="I683">
            <v>0</v>
          </cell>
          <cell r="J683">
            <v>0</v>
          </cell>
          <cell r="K683">
            <v>0</v>
          </cell>
          <cell r="L683">
            <v>0</v>
          </cell>
        </row>
        <row r="684">
          <cell r="A684" t="str">
            <v>10062.04423</v>
          </cell>
          <cell r="B684" t="str">
            <v>BOULON Z2CND 17-13</v>
          </cell>
          <cell r="C684" t="str">
            <v xml:space="preserve">BOULON HMN 20 X 85VIS A TETE HEXAGONALE ENTIEREMENT FILETEE ET ECROU HEXAGONAL EN ACIER INOXYDABLE NUANCE AFNOR  Z2 CND 17 . 13  -  AISI 316 L  /  GENRE UGINE NSM 22 S SUIVANT NORME NFE 25 114 ET NFE 25 401 / FILETAGE  ISO </v>
          </cell>
          <cell r="D684" t="str">
            <v>PE</v>
          </cell>
          <cell r="E684" t="str">
            <v>522.52201</v>
          </cell>
          <cell r="F684">
            <v>33.25</v>
          </cell>
          <cell r="G684">
            <v>0</v>
          </cell>
          <cell r="H684">
            <v>0</v>
          </cell>
          <cell r="I684">
            <v>0</v>
          </cell>
          <cell r="J684">
            <v>0</v>
          </cell>
          <cell r="K684">
            <v>0</v>
          </cell>
          <cell r="L684">
            <v>0</v>
          </cell>
        </row>
        <row r="685">
          <cell r="A685" t="str">
            <v>10062.04424</v>
          </cell>
          <cell r="B685" t="str">
            <v>BOULON Z2CND 17-13</v>
          </cell>
          <cell r="C685" t="str">
            <v xml:space="preserve">BOULON HMN 20 X 90VIS A TETE HEXAGONALE ENTIEREMENT FILETEE ET ECROU HEXAGONAL EN ACIER INOXYDABLE NUANCE AFNOR  Z2 CND 17 . 13  -  AISI 316 L  /  GENRE UGINE NSM 22 S SUIVANT NORME NFE 25 114 ET NFE 25 401 / FILETAGE  ISO </v>
          </cell>
          <cell r="D685" t="str">
            <v>PE</v>
          </cell>
          <cell r="E685" t="str">
            <v>522.52201</v>
          </cell>
          <cell r="F685">
            <v>28.5</v>
          </cell>
          <cell r="G685">
            <v>0</v>
          </cell>
          <cell r="H685">
            <v>0</v>
          </cell>
          <cell r="I685">
            <v>0</v>
          </cell>
          <cell r="J685">
            <v>0</v>
          </cell>
          <cell r="K685">
            <v>0</v>
          </cell>
          <cell r="L685">
            <v>0</v>
          </cell>
        </row>
        <row r="686">
          <cell r="A686" t="str">
            <v>10062.04425</v>
          </cell>
          <cell r="B686" t="str">
            <v>BOULON Z2CND 17-13</v>
          </cell>
          <cell r="C686" t="str">
            <v xml:space="preserve">BOULON HMN 20 X 100VIS A TETE HEXAGONALE ENTIEREMENT FILETEE ET ECROU HEXAGONAL EN ACIER INOXYDABLE NUANCE AFNOR  Z2 CND 17 . 13  -  AISI 316 L  /  GENRE UGINE NSM 22 S SUIVANT NORME NFE 25 114 ET NFE 25 401 / FILETAGE  ISO </v>
          </cell>
          <cell r="D686" t="str">
            <v>PE</v>
          </cell>
          <cell r="E686" t="str">
            <v>522.52201</v>
          </cell>
          <cell r="F686">
            <v>94.540099999999995</v>
          </cell>
          <cell r="G686">
            <v>0</v>
          </cell>
          <cell r="H686">
            <v>0</v>
          </cell>
          <cell r="I686">
            <v>0</v>
          </cell>
          <cell r="J686">
            <v>0</v>
          </cell>
          <cell r="K686">
            <v>0</v>
          </cell>
          <cell r="L686">
            <v>0</v>
          </cell>
        </row>
        <row r="687">
          <cell r="A687" t="str">
            <v>10062.04428</v>
          </cell>
          <cell r="B687" t="str">
            <v>BOULON Z2CND 17-13</v>
          </cell>
          <cell r="C687" t="str">
            <v xml:space="preserve">BOULON HMN 24 X 50VIS A TETE HEXAGONALE ENTIEREMENT FILETEE ET ECROU HEXAGONAL EN ACIER INOXYDABLE NUANCE AFNOR  Z2 CND 17 . 13  -  AISI 316 L  /  GENRE UGINE NSM 22 S SUIVANT NORME NFE 25 114 ET NFE 25 401 / FILETAGE  ISO </v>
          </cell>
          <cell r="D687" t="str">
            <v>PE</v>
          </cell>
          <cell r="E687" t="str">
            <v>522.52201</v>
          </cell>
          <cell r="F687">
            <v>126.6083</v>
          </cell>
          <cell r="G687">
            <v>0</v>
          </cell>
          <cell r="H687">
            <v>0</v>
          </cell>
          <cell r="I687">
            <v>0</v>
          </cell>
          <cell r="J687">
            <v>0</v>
          </cell>
          <cell r="K687">
            <v>180</v>
          </cell>
          <cell r="L687">
            <v>0</v>
          </cell>
        </row>
        <row r="688">
          <cell r="A688" t="str">
            <v>10062.04430</v>
          </cell>
          <cell r="B688" t="str">
            <v>BOULON Z2CND 17-13</v>
          </cell>
          <cell r="C688" t="str">
            <v xml:space="preserve">BOULON HMN 24 X 60VIS A TETE HEXAGONALE ENTIEREMENT FILETEE ET ECROU HEXAGONAL EN ACIER INOXYDABLE NUANCE AFNOR  Z2 CND 17 . 13  -  AISI 316 L  /  GENRE UGINE NSM 22 S SUIVANT NORME NFE 25 114 ET NFE 25 401 / FILETAGE  ISO </v>
          </cell>
          <cell r="D688" t="str">
            <v>PE</v>
          </cell>
          <cell r="E688" t="str">
            <v>522.52201</v>
          </cell>
          <cell r="F688">
            <v>126.6083</v>
          </cell>
          <cell r="G688">
            <v>0</v>
          </cell>
          <cell r="H688">
            <v>0</v>
          </cell>
          <cell r="I688">
            <v>0</v>
          </cell>
          <cell r="J688">
            <v>0</v>
          </cell>
          <cell r="K688">
            <v>147</v>
          </cell>
          <cell r="L688">
            <v>0</v>
          </cell>
        </row>
        <row r="689">
          <cell r="A689" t="str">
            <v>10062.04629</v>
          </cell>
          <cell r="B689" t="str">
            <v>BOULON Z1CNDU 25-20</v>
          </cell>
          <cell r="C689" t="str">
            <v xml:space="preserve">BOULON HMN 5 X 50VIS A TETE HEXAGONALE ENTIEREMENT FILETEE ET ECROU HEXAGONAL EN ACIER INOXYDABLE NUANCE AFNOR Z1 CNDU 25.20 GENRE CREUSOT LOIRE URANUS B6 SUIVANT NORME NF E 25-114 ET NF E 25-401  /  FILETAGE  ISO </v>
          </cell>
          <cell r="D689" t="str">
            <v>PE</v>
          </cell>
          <cell r="E689" t="str">
            <v>522.52201</v>
          </cell>
          <cell r="F689">
            <v>29.218399999999999</v>
          </cell>
          <cell r="G689">
            <v>0</v>
          </cell>
          <cell r="H689">
            <v>0</v>
          </cell>
          <cell r="I689">
            <v>0</v>
          </cell>
          <cell r="J689">
            <v>0</v>
          </cell>
          <cell r="K689">
            <v>98</v>
          </cell>
          <cell r="L689">
            <v>0</v>
          </cell>
        </row>
        <row r="690">
          <cell r="A690" t="str">
            <v>10062.04632</v>
          </cell>
          <cell r="B690" t="str">
            <v>BOULON Z1CNDU 25-20</v>
          </cell>
          <cell r="C690" t="str">
            <v xml:space="preserve">BOULON HMN 6 X 20VIS A TETE HEXAGONALE ENTIEREMENT FILETEE ET ECROU HEXAGONAL EN ACIER INOXYDABLE NUANCE AFNOR Z1 CNDU 25.20 GENRE CREUSOT LOIRE URANUS B6 SUIVANT NORME NF E 25-114 ET NF E 25-401  /  FILETAGE  ISO </v>
          </cell>
          <cell r="D690" t="str">
            <v>PE</v>
          </cell>
          <cell r="E690" t="str">
            <v>522.52201</v>
          </cell>
          <cell r="F690">
            <v>30.475100000000001</v>
          </cell>
          <cell r="G690">
            <v>0</v>
          </cell>
          <cell r="H690">
            <v>0</v>
          </cell>
          <cell r="I690">
            <v>0</v>
          </cell>
          <cell r="J690">
            <v>0</v>
          </cell>
          <cell r="K690">
            <v>0</v>
          </cell>
          <cell r="L690">
            <v>0</v>
          </cell>
        </row>
        <row r="691">
          <cell r="A691" t="str">
            <v>10062.04635</v>
          </cell>
          <cell r="B691" t="str">
            <v>BOULON Z1CNDU 25-20</v>
          </cell>
          <cell r="C691" t="str">
            <v xml:space="preserve">BOULON HMN 6 X 35VIS A TETE HEXAGONALE ENTIEREMENT FILETEE ET ECROU HEXAGONAL EN ACIER INOXYDABLE NUANCE AFNOR Z1 CNDU 25.20 GENRE CREUSOT LOIRE URANUS B6 SUIVANT NORME NF E 25-114 ET NF E 25-401  /  FILETAGE  ISO </v>
          </cell>
          <cell r="D691" t="str">
            <v>PE</v>
          </cell>
          <cell r="E691" t="str">
            <v>522.52201</v>
          </cell>
          <cell r="F691">
            <v>33.145600000000002</v>
          </cell>
          <cell r="G691">
            <v>0</v>
          </cell>
          <cell r="H691">
            <v>0</v>
          </cell>
          <cell r="I691">
            <v>0</v>
          </cell>
          <cell r="J691">
            <v>0</v>
          </cell>
          <cell r="K691">
            <v>0</v>
          </cell>
          <cell r="L691">
            <v>0</v>
          </cell>
        </row>
        <row r="692">
          <cell r="A692" t="str">
            <v>10062.04636</v>
          </cell>
          <cell r="B692" t="str">
            <v>BOULON Z1CNDU 25-20</v>
          </cell>
          <cell r="C692" t="str">
            <v xml:space="preserve">BOULON HMN 6 X 40VIS A TETE HEXAGONALE ENTIEREMENT FILETEE ET ECROU HEXAGONAL EN ACIER INOXYDABLE NUANCE AFNOR Z1 CNDU 25.20 GENRE CREUSOT LOIRE URANUS B6 SUIVANT NORME NF E 25-114 ET NF E 25-401  /  FILETAGE  ISO </v>
          </cell>
          <cell r="D692" t="str">
            <v>PE</v>
          </cell>
          <cell r="E692" t="str">
            <v>522.52201</v>
          </cell>
          <cell r="F692">
            <v>34.088099999999997</v>
          </cell>
          <cell r="G692">
            <v>0</v>
          </cell>
          <cell r="H692">
            <v>0</v>
          </cell>
          <cell r="I692">
            <v>0</v>
          </cell>
          <cell r="J692">
            <v>0</v>
          </cell>
          <cell r="K692">
            <v>78</v>
          </cell>
          <cell r="L692">
            <v>0</v>
          </cell>
        </row>
        <row r="693">
          <cell r="A693" t="str">
            <v>10062.04638</v>
          </cell>
          <cell r="B693" t="str">
            <v>BOULON Z1CNDU 25-20</v>
          </cell>
          <cell r="C693" t="str">
            <v xml:space="preserve">BOULON HMN 6 X 50VIS A TETE HEXAGONALE ENTIEREMENT FILETEE ET ECROU HEXAGONAL EN ACIER INOXYDABLE NUANCE AFNOR Z1 CNDU 25.20 GENRE CREUSOT LOIRE URANUS B6 SUIVANT NORME NF E 25-114 ET NF E 25-401  /  FILETAGE  ISO </v>
          </cell>
          <cell r="D693" t="str">
            <v>PE</v>
          </cell>
          <cell r="E693" t="str">
            <v>522.52201</v>
          </cell>
          <cell r="F693">
            <v>36.287300000000002</v>
          </cell>
          <cell r="G693">
            <v>0</v>
          </cell>
          <cell r="H693">
            <v>0</v>
          </cell>
          <cell r="I693">
            <v>0</v>
          </cell>
          <cell r="J693">
            <v>0</v>
          </cell>
          <cell r="K693">
            <v>83</v>
          </cell>
          <cell r="L693">
            <v>0</v>
          </cell>
        </row>
        <row r="694">
          <cell r="A694" t="str">
            <v>10062.04640</v>
          </cell>
          <cell r="B694" t="str">
            <v>BOULON Z1CNDU 25-20</v>
          </cell>
          <cell r="C694" t="str">
            <v xml:space="preserve">BOULON HMN 6 X 60VIS A TETE HEXAGONALE ENTIEREMENT FILETEE ET ECROU HEXAGONAL EN ACIER INOXYDABLE NUANCE AFNOR Z1 CNDU 25.20 GENRE CREUSOT LOIRE URANUS B6 SUIVANT NORME NF E 25-114 ET NF E 25-401  /  FILETAGE  ISO </v>
          </cell>
          <cell r="D694" t="str">
            <v>PE</v>
          </cell>
          <cell r="E694" t="str">
            <v>522.52201</v>
          </cell>
          <cell r="F694">
            <v>44.2988</v>
          </cell>
          <cell r="G694">
            <v>0</v>
          </cell>
          <cell r="H694">
            <v>0</v>
          </cell>
          <cell r="I694">
            <v>0</v>
          </cell>
          <cell r="J694">
            <v>0</v>
          </cell>
          <cell r="K694">
            <v>83</v>
          </cell>
          <cell r="L694">
            <v>0</v>
          </cell>
        </row>
        <row r="695">
          <cell r="A695" t="str">
            <v>10062.04642</v>
          </cell>
          <cell r="B695" t="str">
            <v>BOULON Z1CNDU 25-20</v>
          </cell>
          <cell r="C695" t="str">
            <v xml:space="preserve">BOULON HMN 8 X 20VIS A TETE HEXAGONALE ENTIEREMENT FILETEE ET ECROU HEXAGONAL EN ACIER INOXYDABLE NUANCE AFNOR Z1 CNDU 25.20 GENRE CREUSOT LOIRE URANUS B6 SUIVANT NORME NF E 25-114 ET NF E 25-401  /  FILETAGE  ISO </v>
          </cell>
          <cell r="D695" t="str">
            <v>PE</v>
          </cell>
          <cell r="E695" t="str">
            <v>522.52201</v>
          </cell>
          <cell r="F695">
            <v>33.459800000000001</v>
          </cell>
          <cell r="G695">
            <v>0</v>
          </cell>
          <cell r="H695">
            <v>0</v>
          </cell>
          <cell r="I695">
            <v>0</v>
          </cell>
          <cell r="J695">
            <v>0</v>
          </cell>
          <cell r="K695">
            <v>16</v>
          </cell>
          <cell r="L695">
            <v>0</v>
          </cell>
        </row>
        <row r="696">
          <cell r="A696" t="str">
            <v>10062.04644</v>
          </cell>
          <cell r="B696" t="str">
            <v>BOULON Z1CNDU 25-20</v>
          </cell>
          <cell r="C696" t="str">
            <v xml:space="preserve">BOULON HMN 8 X 30VIS A TETE HEXAGONALE ENTIEREMENT FILETEE ET ECROU HEXAGONAL EN ACIER INOXYDABLE NUANCE AFNOR Z1 CNDU 25.20 GENRE CREUSOT LOIRE URANUS B6 SUIVANT NORME NF E 25-114 ET NF E 25-401  /  FILETAGE  ISO </v>
          </cell>
          <cell r="D696" t="str">
            <v>PE</v>
          </cell>
          <cell r="E696" t="str">
            <v>522.52201</v>
          </cell>
          <cell r="F696">
            <v>36.287300000000002</v>
          </cell>
          <cell r="G696">
            <v>0</v>
          </cell>
          <cell r="H696">
            <v>0</v>
          </cell>
          <cell r="I696">
            <v>0</v>
          </cell>
          <cell r="J696">
            <v>0</v>
          </cell>
          <cell r="K696">
            <v>56</v>
          </cell>
          <cell r="L696">
            <v>0</v>
          </cell>
        </row>
        <row r="697">
          <cell r="A697" t="str">
            <v>10062.04646</v>
          </cell>
          <cell r="B697" t="str">
            <v>BOULON Z1CNDU 25-20</v>
          </cell>
          <cell r="C697" t="str">
            <v xml:space="preserve">BOULON HMN 8 X 40VIS A TETE HEXAGONALE ENTIEREMENT FILETEE ET ECROU HEXAGONAL EN ACIER INOXYDABLE NUANCE AFNOR Z1 CNDU 25.20 GENRE CREUSOT LOIRE URANUS B6 SUIVANT NORME NF E 25-114 ET NF E 25-401  /  FILETAGE  ISO </v>
          </cell>
          <cell r="D697" t="str">
            <v>PE</v>
          </cell>
          <cell r="E697" t="str">
            <v>522.52201</v>
          </cell>
          <cell r="F697">
            <v>39.900399999999998</v>
          </cell>
          <cell r="G697">
            <v>0</v>
          </cell>
          <cell r="H697">
            <v>0</v>
          </cell>
          <cell r="I697">
            <v>0</v>
          </cell>
          <cell r="J697">
            <v>0</v>
          </cell>
          <cell r="K697">
            <v>33</v>
          </cell>
          <cell r="L697">
            <v>0</v>
          </cell>
        </row>
        <row r="698">
          <cell r="A698" t="str">
            <v>10062.04648</v>
          </cell>
          <cell r="B698" t="str">
            <v>BOULON Z1CNDU 25-20</v>
          </cell>
          <cell r="C698" t="str">
            <v xml:space="preserve">BOULON HMN 8 X 50VIS A TETE HEXAGONALE ENTIEREMENT FILETEE ET ECROU HEXAGONAL EN ACIER INOXYDABLE NUANCE AFNOR Z1 CNDU 25.20 GENRE CREUSOT LOIRE URANUS B6 SUIVANT NORME NF E 25-114 ET NF E 25-401  /  FILETAGE  ISO </v>
          </cell>
          <cell r="D698" t="str">
            <v>PE</v>
          </cell>
          <cell r="E698" t="str">
            <v>522.52201</v>
          </cell>
          <cell r="F698">
            <v>42.570900000000002</v>
          </cell>
          <cell r="G698">
            <v>0</v>
          </cell>
          <cell r="H698">
            <v>0</v>
          </cell>
          <cell r="I698">
            <v>0</v>
          </cell>
          <cell r="J698">
            <v>0</v>
          </cell>
          <cell r="K698">
            <v>85</v>
          </cell>
          <cell r="L698">
            <v>0</v>
          </cell>
        </row>
        <row r="699">
          <cell r="A699" t="str">
            <v>10062.04650</v>
          </cell>
          <cell r="B699" t="str">
            <v>BOULON Z1CNDU 25-20</v>
          </cell>
          <cell r="C699" t="str">
            <v xml:space="preserve">BOULON HMN 8 X 60VIS A TETE HEXAGONALE ENTIEREMENT FILETEE ET ECROU HEXAGONAL EN ACIER INOXYDABLE NUANCE AFNOR Z1 CNDU 25.20 GENRE CREUSOT LOIRE URANUS B6 SUIVANT NORME NF E 25-114 ET NF E 25-401  /  FILETAGE  ISO </v>
          </cell>
          <cell r="D699" t="str">
            <v>PE</v>
          </cell>
          <cell r="E699" t="str">
            <v>522.52201</v>
          </cell>
          <cell r="F699">
            <v>45.712600000000002</v>
          </cell>
          <cell r="G699">
            <v>0</v>
          </cell>
          <cell r="H699">
            <v>0</v>
          </cell>
          <cell r="I699">
            <v>0</v>
          </cell>
          <cell r="J699">
            <v>0</v>
          </cell>
          <cell r="K699">
            <v>93</v>
          </cell>
          <cell r="L699">
            <v>0</v>
          </cell>
        </row>
        <row r="700">
          <cell r="A700" t="str">
            <v>10062.04652</v>
          </cell>
          <cell r="B700" t="str">
            <v>BOULON Z1CNDU 25-20</v>
          </cell>
          <cell r="C700" t="str">
            <v xml:space="preserve">BOULON HMN 8 X 70VIS A TETE HEXAGONALE ENTIEREMENT FILETEE ET ECROU HEXAGONAL EN ACIER INOXYDABLE NUANCE AFNOR Z1 CNDU 25.20 GENRE CREUSOT LOIRE URANUS B6 SUIVANT NORME NF E 25-114 ET NF E 25-401  /  FILETAGE  ISO </v>
          </cell>
          <cell r="D700" t="str">
            <v>PE</v>
          </cell>
          <cell r="E700" t="str">
            <v>522.52201</v>
          </cell>
          <cell r="F700">
            <v>48.540199999999999</v>
          </cell>
          <cell r="G700">
            <v>0</v>
          </cell>
          <cell r="H700">
            <v>0</v>
          </cell>
          <cell r="I700">
            <v>0</v>
          </cell>
          <cell r="J700">
            <v>0</v>
          </cell>
          <cell r="K700">
            <v>63</v>
          </cell>
          <cell r="L700">
            <v>0</v>
          </cell>
        </row>
        <row r="701">
          <cell r="A701" t="str">
            <v>10062.04655</v>
          </cell>
          <cell r="B701" t="str">
            <v>BOULON Z1CNDU 25-20</v>
          </cell>
          <cell r="C701" t="str">
            <v xml:space="preserve">BOULON HMN 10 X 20VIS A TETE HEXAGONALE ENTIEREMENT FILETEE ET ECROU HEXAGONAL EN ACIER INOXYDABLE NUANCE AFNOR Z1 CNDU 25.20 GENRE CREUSOT LOIRE URANUS B6 SUIVANT NORME NF E 25-114 ET NF E 25-401  /  FILETAGE  ISO </v>
          </cell>
          <cell r="D701" t="str">
            <v>PE</v>
          </cell>
          <cell r="E701" t="str">
            <v>522.52201</v>
          </cell>
          <cell r="F701">
            <v>30.882899999999999</v>
          </cell>
          <cell r="G701">
            <v>0</v>
          </cell>
          <cell r="H701">
            <v>0</v>
          </cell>
          <cell r="I701">
            <v>0</v>
          </cell>
          <cell r="J701">
            <v>0</v>
          </cell>
          <cell r="K701">
            <v>0</v>
          </cell>
          <cell r="L701">
            <v>40</v>
          </cell>
        </row>
        <row r="702">
          <cell r="A702" t="str">
            <v>10062.04657</v>
          </cell>
          <cell r="B702" t="str">
            <v>BOULON Z1CNDU 25-20</v>
          </cell>
          <cell r="C702" t="str">
            <v xml:space="preserve">BOULON HMN 10 X 30VIS A TETE HEXAGONALE ENTIEREMENT FILETEE ET ECROU HEXAGONAL EN ACIER INOXYDABLE NUANCE AFNOR Z1 CNDU 25.20 GENRE CREUSOT LOIRE URANUS B6 SUIVANT NORME NF E 25-114 ET NF E 25-401  /  FILETAGE  ISO </v>
          </cell>
          <cell r="D702" t="str">
            <v>PE</v>
          </cell>
          <cell r="E702" t="str">
            <v>522.52201</v>
          </cell>
          <cell r="F702">
            <v>51.524900000000002</v>
          </cell>
          <cell r="G702">
            <v>0</v>
          </cell>
          <cell r="H702">
            <v>0</v>
          </cell>
          <cell r="I702">
            <v>0</v>
          </cell>
          <cell r="J702">
            <v>0</v>
          </cell>
          <cell r="K702">
            <v>0</v>
          </cell>
          <cell r="L702">
            <v>0</v>
          </cell>
        </row>
        <row r="703">
          <cell r="A703" t="str">
            <v>10062.04659</v>
          </cell>
          <cell r="B703" t="str">
            <v>BOULON Z1CNDU 25-20</v>
          </cell>
          <cell r="C703" t="str">
            <v xml:space="preserve">BOULON HMN 10 X 40VIS A TETE HEXAGONALE ENTIEREMENT FILETEE ET ECROU HEXAGONAL EN ACIER INOXYDABLE NUANCE AFNOR Z1 CNDU 25.20 GENRE CREUSOT LOIRE URANUS B6 SUIVANT NORME NF E 25-114 ET NF E 25-401  /  FILETAGE  ISO </v>
          </cell>
          <cell r="D703" t="str">
            <v>PE</v>
          </cell>
          <cell r="E703" t="str">
            <v>522.52201</v>
          </cell>
          <cell r="F703">
            <v>56.237499999999997</v>
          </cell>
          <cell r="G703">
            <v>0</v>
          </cell>
          <cell r="H703">
            <v>0</v>
          </cell>
          <cell r="I703">
            <v>0</v>
          </cell>
          <cell r="J703">
            <v>0</v>
          </cell>
          <cell r="K703">
            <v>0</v>
          </cell>
          <cell r="L703">
            <v>0</v>
          </cell>
        </row>
        <row r="704">
          <cell r="A704" t="str">
            <v>10062.04661</v>
          </cell>
          <cell r="B704" t="str">
            <v>BOULON Z1CNDU 25-20</v>
          </cell>
          <cell r="C704" t="str">
            <v xml:space="preserve">BOULON HMN 10 X 50VIS A TETE HEXAGONALE ENTIEREMENT FILETEE ET ECROU HEXAGONAL EN ACIER INOXYDABLE NUANCE AFNOR Z1 CNDU 25.20 GENRE CREUSOT LOIRE URANUS B6 SUIVANT NORME NF E 25-114 ET NF E 25-401  /  FILETAGE  ISO </v>
          </cell>
          <cell r="D704" t="str">
            <v>PE</v>
          </cell>
          <cell r="E704" t="str">
            <v>522.52201</v>
          </cell>
          <cell r="F704">
            <v>61.578499999999998</v>
          </cell>
          <cell r="G704">
            <v>0</v>
          </cell>
          <cell r="H704">
            <v>0</v>
          </cell>
          <cell r="I704">
            <v>0</v>
          </cell>
          <cell r="J704">
            <v>0</v>
          </cell>
          <cell r="K704">
            <v>0</v>
          </cell>
          <cell r="L704">
            <v>0</v>
          </cell>
        </row>
        <row r="705">
          <cell r="A705" t="str">
            <v>10062.04671</v>
          </cell>
          <cell r="B705" t="str">
            <v>BOULON Z1CNDU 25-20</v>
          </cell>
          <cell r="C705" t="str">
            <v xml:space="preserve">BOULON HMN 12 X 25VIS A TETE HEXAGONALE ENTIEREMENT FILETEE ET ECROU HEXAGONAL EN ACIER INOXYDABLE NUANCE AFNOR Z1 CNDU 25.20 GENRE CREUSOT LOIRE URANUS B6 SUIVANT NORME NF E 25-114 ET NF E 25-401  /  FILETAGE  ISO </v>
          </cell>
          <cell r="D705" t="str">
            <v>PE</v>
          </cell>
          <cell r="E705" t="str">
            <v>522.52201</v>
          </cell>
          <cell r="F705">
            <v>62.521099999999997</v>
          </cell>
          <cell r="G705">
            <v>0</v>
          </cell>
          <cell r="H705">
            <v>0</v>
          </cell>
          <cell r="I705">
            <v>0</v>
          </cell>
          <cell r="J705">
            <v>0</v>
          </cell>
          <cell r="K705">
            <v>0</v>
          </cell>
          <cell r="L705">
            <v>0</v>
          </cell>
        </row>
        <row r="706">
          <cell r="A706" t="str">
            <v>10062.04680</v>
          </cell>
          <cell r="B706" t="str">
            <v>BOULON Z1CNDU 25-20</v>
          </cell>
          <cell r="C706" t="str">
            <v xml:space="preserve">BOULON HMN 12 X 70VIS A TETE HEXAGONALE ENTIEREMENT FILETEE ET ECROU HEXAGONAL EN ACIER INOXYDABLE NUANCE AFNOR Z1 CNDU 25.20 GENRE CREUSOT LOIRE URANUS B6 SUIVANT NORME NF E 25-114 ET NF E 25-401  /  FILETAGE  ISO </v>
          </cell>
          <cell r="D706" t="str">
            <v>PE</v>
          </cell>
          <cell r="E706" t="str">
            <v>522.52201</v>
          </cell>
          <cell r="F706">
            <v>93.153199999999998</v>
          </cell>
          <cell r="G706">
            <v>0</v>
          </cell>
          <cell r="H706">
            <v>0</v>
          </cell>
          <cell r="I706">
            <v>0</v>
          </cell>
          <cell r="J706">
            <v>0</v>
          </cell>
          <cell r="K706">
            <v>0</v>
          </cell>
          <cell r="L706">
            <v>0</v>
          </cell>
        </row>
        <row r="707">
          <cell r="A707" t="str">
            <v>10062.04682</v>
          </cell>
          <cell r="B707" t="str">
            <v>BOULON Z1CNDU 25-20</v>
          </cell>
          <cell r="C707" t="str">
            <v xml:space="preserve">BOULON HMN 12 X 80VIS A TETE HEXAGONALE ENTIEREMENT FILETEE ET ECROU HEXAGONAL EN ACIER INOXYDABLE NUANCE AFNOR Z1 CNDU 25.20 GENRE CREUSOT LOIRE URANUS B6 SUIVANT NORME NF E 25-114 ET NF E 25-401  /  FILETAGE  ISO </v>
          </cell>
          <cell r="D707" t="str">
            <v>PE</v>
          </cell>
          <cell r="E707" t="str">
            <v>522.52201</v>
          </cell>
          <cell r="F707">
            <v>100.2222</v>
          </cell>
          <cell r="G707">
            <v>0</v>
          </cell>
          <cell r="H707">
            <v>0</v>
          </cell>
          <cell r="I707">
            <v>0</v>
          </cell>
          <cell r="J707">
            <v>0</v>
          </cell>
          <cell r="K707">
            <v>0</v>
          </cell>
          <cell r="L707">
            <v>0</v>
          </cell>
        </row>
        <row r="708">
          <cell r="A708" t="str">
            <v>10062.04685</v>
          </cell>
          <cell r="B708" t="str">
            <v>BOULON Z1CNDU 25-20</v>
          </cell>
          <cell r="C708" t="str">
            <v xml:space="preserve">BOULON HMN 12 X 100VIS A TETE HEXAGONALE ENTIEREMENT FILETEE ET ECROU HEXAGONAL EN ACIER INOXYDABLE NUANCE AFNOR Z1 CNDU 25.20 GENRE CREUSOT LOIRE URANUS B6 SUIVANT NORME NF E 25-114 ET NF E 25-401  /  FILETAGE  ISO </v>
          </cell>
          <cell r="D708" t="str">
            <v>PE</v>
          </cell>
          <cell r="E708" t="str">
            <v>522.52201</v>
          </cell>
          <cell r="F708">
            <v>52.6023</v>
          </cell>
          <cell r="G708">
            <v>0</v>
          </cell>
          <cell r="H708">
            <v>0</v>
          </cell>
          <cell r="I708">
            <v>0</v>
          </cell>
          <cell r="J708">
            <v>0</v>
          </cell>
          <cell r="K708">
            <v>0</v>
          </cell>
          <cell r="L708">
            <v>40</v>
          </cell>
        </row>
        <row r="709">
          <cell r="A709" t="str">
            <v>10062.04686</v>
          </cell>
          <cell r="B709" t="str">
            <v>BOULON Z1CNDU 25-20</v>
          </cell>
          <cell r="C709" t="str">
            <v xml:space="preserve">BOULON HMN 14 X 30VIS A TETE HEXAGONALE ENTIEREMENT FILETEE ET ECROU HEXAGONAL EN ACIER INOXYDABLE NUANCE AFNOR Z1 CNDU 25.20 GENRE CREUSOT LOIRE URANUS B6 SUIVANT NORME NF E 25-114 ET NF E 25-401  /  FILETAGE  ISO </v>
          </cell>
          <cell r="D709" t="str">
            <v>PE</v>
          </cell>
          <cell r="E709" t="str">
            <v>522.52201</v>
          </cell>
          <cell r="F709">
            <v>97.708799999999997</v>
          </cell>
          <cell r="G709">
            <v>0</v>
          </cell>
          <cell r="H709">
            <v>0</v>
          </cell>
          <cell r="I709">
            <v>0</v>
          </cell>
          <cell r="J709">
            <v>0</v>
          </cell>
          <cell r="K709">
            <v>0</v>
          </cell>
          <cell r="L709">
            <v>0</v>
          </cell>
        </row>
        <row r="710">
          <cell r="A710" t="str">
            <v>10062.02990</v>
          </cell>
          <cell r="B710" t="str">
            <v>BOULON-TETE-HEXAGO  27X75</v>
          </cell>
          <cell r="C710" t="str">
            <v xml:space="preserve">QUINCAILLERIE BOULON EN ACIER GALVANISE TETE HEXAGONALE DESIGNATION : BOULON A TETE HEXAGONALE , ECROU HEXAGONAL SUIVANT , NORME NF-E 27.411 SYMBOLE H DIMENSIONS : 27 X 75 MM (NF.E27-311) FILETAGE : ISO SUIVANT NORME NF-E03-001 SYMBOLE M ETAT DE FINITION : BRUT SUIVANT NORME NF-E27-002 SYMBOLE N SYMBOLE : HMN PAS : 3 MM LONGUEUR : FILETEE = 60 MM MATIERE ACIER GALVANISE SUIVANT NORME NF.E27.001 </v>
          </cell>
          <cell r="D710" t="str">
            <v>PE</v>
          </cell>
          <cell r="E710" t="str">
            <v>522.52201</v>
          </cell>
          <cell r="F710">
            <v>12.87</v>
          </cell>
          <cell r="G710">
            <v>0</v>
          </cell>
          <cell r="H710">
            <v>0</v>
          </cell>
          <cell r="I710">
            <v>0</v>
          </cell>
          <cell r="J710">
            <v>0</v>
          </cell>
          <cell r="K710">
            <v>0</v>
          </cell>
          <cell r="L710">
            <v>0</v>
          </cell>
        </row>
        <row r="711">
          <cell r="A711" t="str">
            <v>10062.02810</v>
          </cell>
          <cell r="B711" t="str">
            <v>BOULON A50</v>
          </cell>
          <cell r="C711" t="str">
            <v>BOULON HMN 16 X 65VIS A TETE HEXAGONALE ENTIEREMENT FILETEE ET ECROU HEXAGONAL EN ACIER GALVANISE A 50 SUIVANT NORME NFE 25 114 ET NFE 25 401 / FILETAGE  ISO</v>
          </cell>
          <cell r="D711" t="str">
            <v>PE</v>
          </cell>
          <cell r="E711" t="str">
            <v>522.52201</v>
          </cell>
          <cell r="F711">
            <v>4.4000000000000004</v>
          </cell>
          <cell r="G711">
            <v>0</v>
          </cell>
          <cell r="H711">
            <v>0</v>
          </cell>
          <cell r="I711">
            <v>0</v>
          </cell>
          <cell r="J711">
            <v>0</v>
          </cell>
          <cell r="K711">
            <v>0</v>
          </cell>
          <cell r="L711">
            <v>0</v>
          </cell>
        </row>
        <row r="712">
          <cell r="A712" t="str">
            <v>10062.04560</v>
          </cell>
          <cell r="B712" t="str">
            <v>BOULON HEXAG.INOX 16X130</v>
          </cell>
          <cell r="C712" t="str">
            <v xml:space="preserve">BOULON VIS A TETE HEXAGONALE ENTIEREMT FILETEE+ECROU HEXAGONAEN ACIER INOXYDABLE S/NORME : DE REFERENCE : NFE 25 114 ET NFE 25 401 FILETAGE : ISO SYMBOLE : HMN LONGUEUR : 130MM DIAMETRE 16MM NUANCE: - AFNOR:Z2 CND 17.13 - AISI:316 L </v>
          </cell>
          <cell r="D712" t="str">
            <v>PE</v>
          </cell>
          <cell r="E712" t="str">
            <v>522.52201</v>
          </cell>
          <cell r="F712">
            <v>67.849599999999995</v>
          </cell>
          <cell r="G712">
            <v>0</v>
          </cell>
          <cell r="H712">
            <v>0</v>
          </cell>
          <cell r="I712">
            <v>0</v>
          </cell>
          <cell r="J712">
            <v>0</v>
          </cell>
          <cell r="K712">
            <v>0</v>
          </cell>
          <cell r="L712">
            <v>0</v>
          </cell>
        </row>
        <row r="713">
          <cell r="A713" t="str">
            <v>10062.04432</v>
          </cell>
          <cell r="B713" t="str">
            <v>BOULON Z2CND 17-13</v>
          </cell>
          <cell r="C713" t="str">
            <v xml:space="preserve">BOULON HMN 24 X 70 VIS A TETE HEXAGONALE ENTIEREMENT FILETEE ET ECROU HEXAGONAL EN ACIER INOXYDABLE NUANCE AFNOR  Z2 CND 17 . 13  -  AISI 316 L  /  GENRE UGINE NSM 22 S SUIVANT NORME NFE 25 114 ET NFE 25 401 / FILETAGE  ISO </v>
          </cell>
          <cell r="D713" t="str">
            <v>PE</v>
          </cell>
          <cell r="E713" t="str">
            <v>522.52201</v>
          </cell>
          <cell r="F713">
            <v>133.02189999999999</v>
          </cell>
          <cell r="G713">
            <v>0</v>
          </cell>
          <cell r="H713">
            <v>0</v>
          </cell>
          <cell r="I713">
            <v>0</v>
          </cell>
          <cell r="J713">
            <v>0</v>
          </cell>
          <cell r="K713">
            <v>137</v>
          </cell>
          <cell r="L713">
            <v>0</v>
          </cell>
        </row>
        <row r="714">
          <cell r="A714" t="str">
            <v>10062.04434</v>
          </cell>
          <cell r="B714" t="str">
            <v>BOULON Z2CND 17-13</v>
          </cell>
          <cell r="C714" t="str">
            <v xml:space="preserve">BOULON HMN 24 X 80VIS A TETE HEXAGONALE ENTIEREMENT FILETEE ET ECROU HEXAGONAL EN ACIER INOXYDABLE NUANCE AFNOR  Z2 CND 17 . 13  -  AISI 316 L  /  GENRE UGINE NSM 22 S SUIVANT NORME NFE 25 114 ET NFE 25 401 / FILETAGE  ISO </v>
          </cell>
          <cell r="D714" t="str">
            <v>PE</v>
          </cell>
          <cell r="E714" t="str">
            <v>522.52201</v>
          </cell>
          <cell r="F714">
            <v>142.52019999999999</v>
          </cell>
          <cell r="G714">
            <v>0</v>
          </cell>
          <cell r="H714">
            <v>0</v>
          </cell>
          <cell r="I714">
            <v>0</v>
          </cell>
          <cell r="J714">
            <v>0</v>
          </cell>
          <cell r="K714">
            <v>0</v>
          </cell>
          <cell r="L714">
            <v>0</v>
          </cell>
        </row>
        <row r="715">
          <cell r="A715" t="str">
            <v>10063.08014</v>
          </cell>
          <cell r="B715" t="str">
            <v>ECROU H EN INOX DIA 27</v>
          </cell>
          <cell r="C715" t="str">
            <v xml:space="preserve">QUINCAILLERIE ECROUS EN ACIER HEXAGONAL USUEL FILETAGE : ISO SYMBOLE : HU DIAMETRE 27 MM MATIERE ACIER INOXYDABLE ,ANALYSE MOYENNE =C.INF.OU EGAL 0,03 , CR.17,5 -NI.13 -MO.2,7 , NORME AFNOR = Z2 CND 17-13 ,AISI=316L,UGINE= NSM 22S </v>
          </cell>
          <cell r="D715" t="str">
            <v>PE</v>
          </cell>
          <cell r="E715" t="str">
            <v>522.52201</v>
          </cell>
          <cell r="F715">
            <v>43.89</v>
          </cell>
          <cell r="G715">
            <v>0</v>
          </cell>
          <cell r="H715">
            <v>0</v>
          </cell>
          <cell r="I715">
            <v>0</v>
          </cell>
          <cell r="J715">
            <v>613</v>
          </cell>
          <cell r="K715">
            <v>0</v>
          </cell>
          <cell r="L715">
            <v>0</v>
          </cell>
        </row>
        <row r="716">
          <cell r="A716" t="str">
            <v>10063.08204</v>
          </cell>
          <cell r="B716" t="str">
            <v>RONDELLE PLAT INOX DIA  6</v>
          </cell>
          <cell r="C716" t="str">
            <v xml:space="preserve">QUINCAILLERIE RONDELLES EN ACIER PLATES SYMBOLE : Z DIAMETRE 6 MM MATIERE ACIER INOXYDABLE ,ANALYSE MOYENNE:C INFERIEUR OU EGAL , A 0,03- CR17,5- NI13- MO2,7(NORME AFNOR Z2CND 17-13 , AISI 316L ,UGINE NSM 22S) </v>
          </cell>
          <cell r="D716" t="str">
            <v>PE</v>
          </cell>
          <cell r="E716" t="str">
            <v>522.52201</v>
          </cell>
          <cell r="F716">
            <v>0.16</v>
          </cell>
          <cell r="G716">
            <v>0</v>
          </cell>
          <cell r="H716">
            <v>0</v>
          </cell>
          <cell r="I716">
            <v>0</v>
          </cell>
          <cell r="J716">
            <v>0</v>
          </cell>
          <cell r="K716">
            <v>0</v>
          </cell>
          <cell r="L716">
            <v>0</v>
          </cell>
        </row>
        <row r="717">
          <cell r="A717" t="str">
            <v>10062.06200</v>
          </cell>
          <cell r="B717" t="str">
            <v>BOULON HR CLASSE 8.8</v>
          </cell>
          <cell r="C717" t="str">
            <v xml:space="preserve">BOULON HMN 24 X 130 X 60  VIS A TETE HEXAGONALE PARTIELLEMENT FILETEE ET ECROU HEXAGONALEN ACIER CADMIE A HAUTE RESISTANCE XC 42 CLASSE ISO 8.8SUIVANT NORME NFE 25 115 ET NFE 25 401  /  FILETAGE  ISO  </v>
          </cell>
          <cell r="D717" t="str">
            <v>PE</v>
          </cell>
          <cell r="E717" t="str">
            <v>522.52201</v>
          </cell>
          <cell r="F717">
            <v>31.1616</v>
          </cell>
          <cell r="G717">
            <v>0</v>
          </cell>
          <cell r="H717">
            <v>0</v>
          </cell>
          <cell r="I717">
            <v>0</v>
          </cell>
          <cell r="J717">
            <v>0</v>
          </cell>
          <cell r="K717">
            <v>0</v>
          </cell>
          <cell r="L717">
            <v>0</v>
          </cell>
        </row>
        <row r="718">
          <cell r="A718" t="str">
            <v>10062.06189</v>
          </cell>
          <cell r="B718" t="str">
            <v>BOULON HR CLASSE 8.8</v>
          </cell>
          <cell r="C718" t="str">
            <v xml:space="preserve">BOULON HMN 20 X 140 X 52  VIS A TETE HEXAGONALE PARTIELLEMENT FILETEE ET ECROU HEXAGONALEN ACIER CADMIE A HAUTE RESISTANCE XC 42 CLASSE ISO 8.8SUIVANT NORME NFE 25 115 ET NFE 25 401  /  FILETAGE  ISO  </v>
          </cell>
          <cell r="D718" t="str">
            <v>PE</v>
          </cell>
          <cell r="E718" t="str">
            <v>522.52201</v>
          </cell>
          <cell r="F718">
            <v>22.492799999999999</v>
          </cell>
          <cell r="G718">
            <v>0</v>
          </cell>
          <cell r="H718">
            <v>0</v>
          </cell>
          <cell r="I718">
            <v>0</v>
          </cell>
          <cell r="J718">
            <v>0</v>
          </cell>
          <cell r="K718">
            <v>0</v>
          </cell>
          <cell r="L718">
            <v>0</v>
          </cell>
        </row>
        <row r="719">
          <cell r="A719" t="str">
            <v>10062.06193</v>
          </cell>
          <cell r="B719" t="str">
            <v>BOULON HR CLASSE 8.8</v>
          </cell>
          <cell r="C719" t="str">
            <v xml:space="preserve">BOULON HMN 20 X 200 X 52  VIS A TETE HEXAGONALE PARTIELLEMENT FILETEE ET ECROU HEXAGONALEN ACIER CADMIE A HAUTE RESISTANCE XC 42 CLASSE ISO 8.8SUIVANT NORME NFE 25 115 ET NFE 25 401  /  FILETAGE  ISO  </v>
          </cell>
          <cell r="D719" t="str">
            <v>PE</v>
          </cell>
          <cell r="E719" t="str">
            <v>522.52201</v>
          </cell>
          <cell r="F719">
            <v>38.448</v>
          </cell>
          <cell r="G719">
            <v>0</v>
          </cell>
          <cell r="H719">
            <v>0</v>
          </cell>
          <cell r="I719">
            <v>0</v>
          </cell>
          <cell r="J719">
            <v>0</v>
          </cell>
          <cell r="K719">
            <v>0</v>
          </cell>
          <cell r="L719">
            <v>0</v>
          </cell>
        </row>
        <row r="720">
          <cell r="A720" t="str">
            <v>10062.06194</v>
          </cell>
          <cell r="B720" t="str">
            <v>BOULON HR CLASSE 8.8</v>
          </cell>
          <cell r="C720" t="str">
            <v xml:space="preserve">BOULON HMN 24 X 80 X 54  VIS A TETE HEXAGONALE PARTIELLEMENT FILETEE ET ECROU HEXAGONALEN ACIER CADMIE A HAUTE RESISTANCE XC 42 CLASSE ISO 8.8SUIVANT NORME NFE 25 115 ET NFE 25 401  /  FILETAGE  ISO  </v>
          </cell>
          <cell r="D720" t="str">
            <v>PE</v>
          </cell>
          <cell r="E720" t="str">
            <v>522.52201</v>
          </cell>
          <cell r="F720">
            <v>21.6144</v>
          </cell>
          <cell r="G720">
            <v>0</v>
          </cell>
          <cell r="H720">
            <v>0</v>
          </cell>
          <cell r="I720">
            <v>0</v>
          </cell>
          <cell r="J720">
            <v>0</v>
          </cell>
          <cell r="K720">
            <v>52</v>
          </cell>
          <cell r="L720">
            <v>0</v>
          </cell>
        </row>
        <row r="721">
          <cell r="A721" t="str">
            <v>10062.06198</v>
          </cell>
          <cell r="B721" t="str">
            <v>BOULON HR CLASSE 8.8</v>
          </cell>
          <cell r="C721" t="str">
            <v xml:space="preserve">BOULON HMN 24 X 110 X 54 VIS A TETE HEXAGONALE PARTIELLEMENT FILETEE ET ECROU HEXAGONALEN ACIER CADMIE A HAUTE RESISTANCE XC 42 CLASSE ISO 8.8SUIVANT NORME NFE 25 115 ET NFE 25 401  /  FILETAGE  ISO  </v>
          </cell>
          <cell r="D721" t="str">
            <v>PE</v>
          </cell>
          <cell r="E721" t="str">
            <v>522.52201</v>
          </cell>
          <cell r="F721">
            <v>26.64</v>
          </cell>
          <cell r="G721">
            <v>0</v>
          </cell>
          <cell r="H721">
            <v>0</v>
          </cell>
          <cell r="I721">
            <v>0</v>
          </cell>
          <cell r="J721">
            <v>0</v>
          </cell>
          <cell r="K721">
            <v>0</v>
          </cell>
          <cell r="L721">
            <v>0</v>
          </cell>
        </row>
        <row r="722">
          <cell r="A722" t="str">
            <v>10062.06444</v>
          </cell>
          <cell r="B722" t="str">
            <v>BOULON HR CLASSE 8.8</v>
          </cell>
          <cell r="C722" t="str">
            <v xml:space="preserve">BOULON HMN 24 X 180 X 60  VIS A TETE HEXAGONALE PARTIELLEMENT FILETEE ET ECROU HEXAGONALEN ACIER A HAUTE RESISTANCE XC 42 CLASSE ISO 8.8SUIVANT NORME NFE 25 115 ET NFE 25 401  /  FILETAGE  ISO  </v>
          </cell>
          <cell r="D722" t="str">
            <v>PE</v>
          </cell>
          <cell r="E722" t="str">
            <v>522.52201</v>
          </cell>
          <cell r="F722">
            <v>26.741900000000001</v>
          </cell>
          <cell r="G722">
            <v>0</v>
          </cell>
          <cell r="H722">
            <v>0</v>
          </cell>
          <cell r="I722">
            <v>0</v>
          </cell>
          <cell r="J722">
            <v>0</v>
          </cell>
          <cell r="K722">
            <v>0</v>
          </cell>
          <cell r="L722">
            <v>0</v>
          </cell>
        </row>
        <row r="723">
          <cell r="A723" t="str">
            <v>10061.07245</v>
          </cell>
          <cell r="B723" t="str">
            <v>VIS A TETE HEXAGONALE H.R</v>
          </cell>
          <cell r="C723" t="str">
            <v>VIS A TETE HEXAGONALE 24 X 100 mm EN ACIER DE HAUTE RESISTANCE XC 38 CLASSE ISO 8.8 SUIVANT NORME NF.E 25.115 / DIN 933</v>
          </cell>
          <cell r="D723" t="str">
            <v>PE</v>
          </cell>
          <cell r="E723" t="str">
            <v>522.52201</v>
          </cell>
          <cell r="F723">
            <v>22.369199999999999</v>
          </cell>
          <cell r="G723">
            <v>0</v>
          </cell>
          <cell r="H723">
            <v>0</v>
          </cell>
          <cell r="I723">
            <v>0</v>
          </cell>
          <cell r="J723">
            <v>0</v>
          </cell>
          <cell r="K723">
            <v>23</v>
          </cell>
          <cell r="L723">
            <v>0</v>
          </cell>
        </row>
        <row r="724">
          <cell r="A724" t="str">
            <v>10061.07277</v>
          </cell>
          <cell r="B724" t="str">
            <v>VIS A TETE HEXAGONALE H.R</v>
          </cell>
          <cell r="C724" t="str">
            <v>VIS A TETE HEXAGONALE 30 X 300 mm EN ACIER DE HAUTE RESISTANCE XC 38 CLASSE ISO 8.8 SUIVANT NORME NF.E 25.115 / DIN 933</v>
          </cell>
          <cell r="D724" t="str">
            <v>PE</v>
          </cell>
          <cell r="E724" t="str">
            <v>522.52201</v>
          </cell>
          <cell r="F724">
            <v>107.8763</v>
          </cell>
          <cell r="G724">
            <v>0</v>
          </cell>
          <cell r="H724">
            <v>0</v>
          </cell>
          <cell r="I724">
            <v>0</v>
          </cell>
          <cell r="J724">
            <v>0</v>
          </cell>
          <cell r="K724">
            <v>47</v>
          </cell>
          <cell r="L724">
            <v>0</v>
          </cell>
        </row>
        <row r="725">
          <cell r="A725" t="str">
            <v>10062.04362</v>
          </cell>
          <cell r="B725" t="str">
            <v>BOULON Z2CND 17-13</v>
          </cell>
          <cell r="C725" t="str">
            <v xml:space="preserve">BOULON HMN 10 X 50VIS A TETE HEXAGONALE ENTIEREMENT FILETEE ET ECROU HEXAGONAL EN ACIER INOXYDABLE NUANCE AFNOR  Z2 CND 17 . 13  -  AISI 316 L  /  GENRE UGINE NSM 22 S SUIVANT NORME NFE 25 114 ET NFE 25 401 / FILETAGE  ISO </v>
          </cell>
          <cell r="D725" t="str">
            <v>PE</v>
          </cell>
          <cell r="E725" t="str">
            <v>522.52201</v>
          </cell>
          <cell r="F725">
            <v>4.0999999999999996</v>
          </cell>
          <cell r="G725">
            <v>0</v>
          </cell>
          <cell r="H725">
            <v>0</v>
          </cell>
          <cell r="I725">
            <v>0</v>
          </cell>
          <cell r="J725">
            <v>0</v>
          </cell>
          <cell r="K725">
            <v>0</v>
          </cell>
          <cell r="L725">
            <v>0</v>
          </cell>
        </row>
        <row r="726">
          <cell r="A726" t="str">
            <v>10062.04364</v>
          </cell>
          <cell r="B726" t="str">
            <v>BOULON Z2CND 17-13</v>
          </cell>
          <cell r="C726" t="str">
            <v xml:space="preserve">BOULON HMN 10 X 60VIS A TETE HEXAGONALE ENTIEREMENT FILETEE ET ECROU HEXAGONAL EN ACIER INOXYDABLE NUANCE AFNOR  Z2 CND 17 . 13  -  AISI 316 L  /  GENRE UGINE NSM 22 S SUIVANT NORME NFE 25 114 ET NFE 25 401 / FILETAGE  ISO </v>
          </cell>
          <cell r="D726" t="str">
            <v>PE</v>
          </cell>
          <cell r="E726" t="str">
            <v>522.52201</v>
          </cell>
          <cell r="F726">
            <v>13.351100000000001</v>
          </cell>
          <cell r="G726">
            <v>0</v>
          </cell>
          <cell r="H726">
            <v>0</v>
          </cell>
          <cell r="I726">
            <v>0</v>
          </cell>
          <cell r="J726">
            <v>0</v>
          </cell>
          <cell r="K726">
            <v>0</v>
          </cell>
          <cell r="L726">
            <v>0</v>
          </cell>
        </row>
        <row r="727">
          <cell r="A727" t="str">
            <v>10062.04371</v>
          </cell>
          <cell r="B727" t="str">
            <v>BOULON Z2CND 17-13</v>
          </cell>
          <cell r="C727" t="str">
            <v xml:space="preserve">BOULON HMN 10 X 100VIS A TETE HEXAGONALE ENTIEREMENT FILETEE ET ECROU HEXAGONAL EN ACIER INOXYDABLE NUANCE AFNOR  Z2 CND 17 . 13  -  AISI 316 L  /  GENRE UGINE NSM 22 S SUIVANT NORME NFE 25 114 ET NFE 25 401 / FILETAGE  ISO </v>
          </cell>
          <cell r="D727" t="str">
            <v>PE</v>
          </cell>
          <cell r="E727" t="str">
            <v>522.52201</v>
          </cell>
          <cell r="F727">
            <v>14.666399999999999</v>
          </cell>
          <cell r="G727">
            <v>0</v>
          </cell>
          <cell r="H727">
            <v>0</v>
          </cell>
          <cell r="I727">
            <v>0</v>
          </cell>
          <cell r="J727">
            <v>0</v>
          </cell>
          <cell r="K727">
            <v>0</v>
          </cell>
          <cell r="L727">
            <v>0</v>
          </cell>
        </row>
        <row r="728">
          <cell r="A728" t="str">
            <v>10062.04372</v>
          </cell>
          <cell r="B728" t="str">
            <v>BOULON Z2CND 17-13</v>
          </cell>
          <cell r="C728" t="str">
            <v xml:space="preserve">BOULON HMN 12 X 25VIS A TETE HEXAGONALE ENTIEREMENT FILETEE ET ECROU HEXAGONAL EN ACIER INOXYDABLE NUANCE AFNOR  Z2 CND 17 . 13  -  AISI 316 L  /  GENRE UGINE NSM 22 S SUIVANT NORME NFE 25 114 ET NFE 25 401 / FILETAGE  ISO </v>
          </cell>
          <cell r="D728" t="str">
            <v>PE</v>
          </cell>
          <cell r="E728" t="str">
            <v>522.52201</v>
          </cell>
          <cell r="F728">
            <v>13.2347</v>
          </cell>
          <cell r="G728">
            <v>0</v>
          </cell>
          <cell r="H728">
            <v>0</v>
          </cell>
          <cell r="I728">
            <v>0</v>
          </cell>
          <cell r="J728">
            <v>0</v>
          </cell>
          <cell r="K728">
            <v>0</v>
          </cell>
          <cell r="L728">
            <v>0</v>
          </cell>
        </row>
        <row r="729">
          <cell r="A729" t="str">
            <v>10062.04373</v>
          </cell>
          <cell r="B729" t="str">
            <v>BOULON Z2CND 17-13</v>
          </cell>
          <cell r="C729" t="str">
            <v xml:space="preserve">BOULON HMN 12 X 30VIS A TETE HEXAGONALE ENTIEREMENT FILETEE ET ECROU HEXAGONAL EN ACIER INOXYDABLE NUANCE AFNOR  Z2 CND 17 . 13  -  AISI 316 L  /  GENRE UGINE NSM 22 S SUIVANT NORME NFE 25 114 ET NFE 25 401 / FILETAGE  ISO </v>
          </cell>
          <cell r="D729" t="str">
            <v>PE</v>
          </cell>
          <cell r="E729" t="str">
            <v>522.52201</v>
          </cell>
          <cell r="F729">
            <v>14.119300000000001</v>
          </cell>
          <cell r="G729">
            <v>0</v>
          </cell>
          <cell r="H729">
            <v>0</v>
          </cell>
          <cell r="I729">
            <v>0</v>
          </cell>
          <cell r="J729">
            <v>0</v>
          </cell>
          <cell r="K729">
            <v>0</v>
          </cell>
          <cell r="L729">
            <v>0</v>
          </cell>
        </row>
        <row r="730">
          <cell r="A730" t="str">
            <v>10062.04375</v>
          </cell>
          <cell r="B730" t="str">
            <v>BOULON Z2CND 17-13</v>
          </cell>
          <cell r="C730" t="str">
            <v xml:space="preserve">BOULON HMN 12 X 40VIS A TETE HEXAGONALE ENTIEREMENT FILETEE ET ECROU HEXAGONAL EN ACIER INOXYDABLE NUANCE AFNOR  Z2 CND 17 . 13  -  AISI 316 L  /  GENRE UGINE NSM 22 S SUIVANT NORME NFE 25 114 ET NFE 25 401 / FILETAGE  ISO </v>
          </cell>
          <cell r="D730" t="str">
            <v>PE</v>
          </cell>
          <cell r="E730" t="str">
            <v>522.52201</v>
          </cell>
          <cell r="F730">
            <v>15.667400000000001</v>
          </cell>
          <cell r="G730">
            <v>0</v>
          </cell>
          <cell r="H730">
            <v>0</v>
          </cell>
          <cell r="I730">
            <v>0</v>
          </cell>
          <cell r="J730">
            <v>0</v>
          </cell>
          <cell r="K730">
            <v>0</v>
          </cell>
          <cell r="L730">
            <v>0</v>
          </cell>
        </row>
        <row r="731">
          <cell r="A731" t="str">
            <v>10062.04377</v>
          </cell>
          <cell r="B731" t="str">
            <v>BOULON Z2CND 17-13</v>
          </cell>
          <cell r="C731" t="str">
            <v xml:space="preserve">BOULON HMN 12 X 50VIS A TETE HEXAGONALE ENTIEREMENT FILETEE ET ECROU HEXAGONAL EN ACIER INOXYDABLE NUANCE AFNOR  Z2 CND 17 . 13  -  AISI 316 L  /  GENRE UGINE NSM 22 S SUIVANT NORME NFE 25 114 ET NFE 25 401 / FILETAGE  ISO </v>
          </cell>
          <cell r="D731" t="str">
            <v>PE</v>
          </cell>
          <cell r="E731" t="str">
            <v>522.52201</v>
          </cell>
          <cell r="F731">
            <v>5.75</v>
          </cell>
          <cell r="G731">
            <v>0</v>
          </cell>
          <cell r="H731">
            <v>0</v>
          </cell>
          <cell r="I731">
            <v>0</v>
          </cell>
          <cell r="J731">
            <v>0</v>
          </cell>
          <cell r="K731">
            <v>0</v>
          </cell>
          <cell r="L731">
            <v>0</v>
          </cell>
        </row>
        <row r="732">
          <cell r="A732" t="str">
            <v>10062.04334</v>
          </cell>
          <cell r="B732" t="str">
            <v>BOULON Z2CND 17-13</v>
          </cell>
          <cell r="C732" t="str">
            <v xml:space="preserve">BOULON HMN 6 X 25VIS A TETE HEXAGONALE ENTIEREMENT FILETEE ET ECROU HEXAGONAL EN ACIER INOXYDABLE NUANCE AFNOR  Z2 CND 17 . 13  -  AISI 316 L  /  GENRE UGINE NSM 22 S SUIVANT NORME NFE 25 114 ET NFE 25 401 / FILETAGE  ISO </v>
          </cell>
          <cell r="D732" t="str">
            <v>PE</v>
          </cell>
          <cell r="E732" t="str">
            <v>522.52201</v>
          </cell>
          <cell r="F732">
            <v>0.98</v>
          </cell>
          <cell r="G732">
            <v>0</v>
          </cell>
          <cell r="H732">
            <v>0</v>
          </cell>
          <cell r="I732">
            <v>0</v>
          </cell>
          <cell r="J732">
            <v>0</v>
          </cell>
          <cell r="K732">
            <v>0</v>
          </cell>
          <cell r="L732">
            <v>0</v>
          </cell>
        </row>
        <row r="733">
          <cell r="A733" t="str">
            <v>10062.04341</v>
          </cell>
          <cell r="B733" t="str">
            <v>BOULON Z2CND 17-13</v>
          </cell>
          <cell r="C733" t="str">
            <v xml:space="preserve">BOULON HMN 6 X 60VIS A TETE HEXAGONALE ENTIEREMENT FILETEE ET ECROU HEXAGONAL EN ACIER INOXYDABLE NUANCE AFNOR  Z2 CND 17 . 13  -  AISI 316 L  /  GENRE UGINE NSM 22 S SUIVANT NORME NFE 25 114 ET NFE 25 401 / FILETAGE  ISO </v>
          </cell>
          <cell r="D733" t="str">
            <v>PE</v>
          </cell>
          <cell r="E733" t="str">
            <v>522.52201</v>
          </cell>
          <cell r="F733">
            <v>4.6559999999999997</v>
          </cell>
          <cell r="G733">
            <v>0</v>
          </cell>
          <cell r="H733">
            <v>0</v>
          </cell>
          <cell r="I733">
            <v>0</v>
          </cell>
          <cell r="J733">
            <v>0</v>
          </cell>
          <cell r="K733">
            <v>0</v>
          </cell>
          <cell r="L733">
            <v>0</v>
          </cell>
        </row>
        <row r="734">
          <cell r="A734" t="str">
            <v>10062.04342</v>
          </cell>
          <cell r="B734" t="str">
            <v>BOULON TH M6X70 EN INOX</v>
          </cell>
          <cell r="C734" t="str">
            <v xml:space="preserve">BOULON HMN 6 X 70VIS A TETE HEXAGONALE ENTIEREMENT FILETEE ET ECROU HEXAGONAL EN ACIER INOXYDABLE NUANCE AFNOR  Z2 CND 17 . 13  -  AISI 316 L  /  GENRE UGINE NSM 22 S SUIVANT NORME NFE 25 114 ET NFE 25 401 / FILETAGE  ISO </v>
          </cell>
          <cell r="D734" t="str">
            <v>PE</v>
          </cell>
          <cell r="E734" t="str">
            <v>522.52201</v>
          </cell>
          <cell r="F734">
            <v>3.3563000000000001</v>
          </cell>
          <cell r="G734">
            <v>0</v>
          </cell>
          <cell r="H734">
            <v>0</v>
          </cell>
          <cell r="I734">
            <v>0</v>
          </cell>
          <cell r="J734">
            <v>0</v>
          </cell>
          <cell r="K734">
            <v>38</v>
          </cell>
          <cell r="L734">
            <v>0</v>
          </cell>
        </row>
        <row r="735">
          <cell r="A735" t="str">
            <v>10062.04344</v>
          </cell>
          <cell r="B735" t="str">
            <v>BOULON Z2CND 17-13</v>
          </cell>
          <cell r="C735" t="str">
            <v xml:space="preserve">BOULON HMN 8 X 25VIS A TETE HEXAGONALE ENTIEREMENT FILETEE ET ECROU HEXAGONAL EN ACIER INOXYDABLE NUANCE AFNOR  Z2 CND 17 . 13  -  AISI 316 L  /  GENRE UGINE NSM 22 S SUIVANT NORME NFE 25 114 ET NFE 25 401 / FILETAGE  ISO </v>
          </cell>
          <cell r="D735" t="str">
            <v>PE</v>
          </cell>
          <cell r="E735" t="str">
            <v>522.52201</v>
          </cell>
          <cell r="F735">
            <v>1.7</v>
          </cell>
          <cell r="G735">
            <v>0</v>
          </cell>
          <cell r="H735">
            <v>0</v>
          </cell>
          <cell r="I735">
            <v>0</v>
          </cell>
          <cell r="J735">
            <v>0</v>
          </cell>
          <cell r="K735">
            <v>0</v>
          </cell>
          <cell r="L735">
            <v>0</v>
          </cell>
        </row>
        <row r="736">
          <cell r="A736" t="str">
            <v>10062.04349</v>
          </cell>
          <cell r="B736" t="str">
            <v>BOULON Z2CND 17-13</v>
          </cell>
          <cell r="C736" t="str">
            <v xml:space="preserve">BOULON HMN 8 X 50VIS A TETE HEXAGONALE ENTIEREMENT FILETEE ET ECROU HEXAGONAL EN ACIER INOXYDABLE NUANCE AFNOR  Z2 CND 17 . 13  -  AISI 316 L  /  GENRE UGINE NSM 22 S SUIVANT NORME NFE 25 114 ET NFE 25 401 / FILETAGE  ISO </v>
          </cell>
          <cell r="D736" t="str">
            <v>PE</v>
          </cell>
          <cell r="E736" t="str">
            <v>522.52201</v>
          </cell>
          <cell r="F736">
            <v>2.25</v>
          </cell>
          <cell r="G736">
            <v>0</v>
          </cell>
          <cell r="H736">
            <v>0</v>
          </cell>
          <cell r="I736">
            <v>0</v>
          </cell>
          <cell r="J736">
            <v>0</v>
          </cell>
          <cell r="K736">
            <v>0</v>
          </cell>
          <cell r="L736">
            <v>0</v>
          </cell>
        </row>
        <row r="737">
          <cell r="A737" t="str">
            <v>10062.04353</v>
          </cell>
          <cell r="B737" t="str">
            <v>BOULON Z2CND 17-13</v>
          </cell>
          <cell r="C737" t="str">
            <v xml:space="preserve">BOULON HMN 8 X 70VIS A TETE HEXAGONALE ENTIEREMENT FILETEE ET ECROU HEXAGONAL EN ACIER INOXYDABLE NUANCE AFNOR  Z2 CND 17 . 13  -  AISI 316 L  /  GENRE UGINE NSM 22 S SUIVANT NORME NFE 25 114 ET NFE 25 401 / FILETAGE  ISO </v>
          </cell>
          <cell r="D737" t="str">
            <v>PE</v>
          </cell>
          <cell r="E737" t="str">
            <v>522.52201</v>
          </cell>
          <cell r="F737">
            <v>8.8696999999999999</v>
          </cell>
          <cell r="G737">
            <v>0</v>
          </cell>
          <cell r="H737">
            <v>0</v>
          </cell>
          <cell r="I737">
            <v>0</v>
          </cell>
          <cell r="J737">
            <v>0</v>
          </cell>
          <cell r="K737">
            <v>0</v>
          </cell>
          <cell r="L737">
            <v>0</v>
          </cell>
        </row>
        <row r="738">
          <cell r="A738" t="str">
            <v>10062.04355</v>
          </cell>
          <cell r="B738" t="str">
            <v>BOULON Z2CND 17-13</v>
          </cell>
          <cell r="C738" t="str">
            <v xml:space="preserve">BOULON HMN 8 X 80VIS A TETE HEXAGONALE ENTIEREMENT FILETEE ET ECROU HEXAGONAL EN ACIER INOXYDABLE NUANCE AFNOR  Z2 CND 17 . 13  -  AISI 316 L  /  GENRE UGINE NSM 22 S SUIVANT NORME NFE 25 114 ET NFE 25 401 / FILETAGE  ISO </v>
          </cell>
          <cell r="D738" t="str">
            <v>PE</v>
          </cell>
          <cell r="E738" t="str">
            <v>522.52201</v>
          </cell>
          <cell r="F738">
            <v>9.6263000000000005</v>
          </cell>
          <cell r="G738">
            <v>0</v>
          </cell>
          <cell r="H738">
            <v>0</v>
          </cell>
          <cell r="I738">
            <v>0</v>
          </cell>
          <cell r="J738">
            <v>0</v>
          </cell>
          <cell r="K738">
            <v>118</v>
          </cell>
          <cell r="L738">
            <v>0</v>
          </cell>
        </row>
        <row r="739">
          <cell r="A739" t="str">
            <v>10062.04357</v>
          </cell>
          <cell r="B739" t="str">
            <v>BOULON Z2CND 17-13</v>
          </cell>
          <cell r="C739" t="str">
            <v xml:space="preserve">BOULON HMN 10 X 25VIS A TETE HEXAGONALE ENTIEREMENT FILETEE ET ECROU HEXAGONAL EN ACIER INOXYDABLE NUANCE AFNOR  Z2 CND 17 . 13  -  AISI 316 L  /  GENRE UGINE NSM 22 S SUIVANT NORME NFE 25 114 ET NFE 25 401 / FILETAGE  ISO </v>
          </cell>
          <cell r="D739" t="str">
            <v>PE</v>
          </cell>
          <cell r="E739" t="str">
            <v>522.52201</v>
          </cell>
          <cell r="F739">
            <v>8.6885999999999992</v>
          </cell>
          <cell r="G739">
            <v>0</v>
          </cell>
          <cell r="H739">
            <v>0</v>
          </cell>
          <cell r="I739">
            <v>0</v>
          </cell>
          <cell r="J739">
            <v>0</v>
          </cell>
          <cell r="K739">
            <v>100</v>
          </cell>
          <cell r="L739">
            <v>0</v>
          </cell>
        </row>
        <row r="740">
          <cell r="A740" t="str">
            <v>10062.04358</v>
          </cell>
          <cell r="B740" t="str">
            <v>BOULON Z2CND 17-13</v>
          </cell>
          <cell r="C740" t="str">
            <v xml:space="preserve">BOULON HMN 10 X 30VIS A TETE HEXAGONALE ENTIEREMENT FILETEE ET ECROU HEXAGONAL EN ACIER INOXYDABLE NUANCE AFNOR  Z2 CND 17 . 13  -  AISI 316 L  /  GENRE UGINE NSM 22 S SUIVANT NORME NFE 25 114 ET NFE 25 401 / FILETAGE  ISO </v>
          </cell>
          <cell r="D740" t="str">
            <v>PE</v>
          </cell>
          <cell r="E740" t="str">
            <v>522.52201</v>
          </cell>
          <cell r="F740">
            <v>9.3702000000000005</v>
          </cell>
          <cell r="G740">
            <v>0</v>
          </cell>
          <cell r="H740">
            <v>0</v>
          </cell>
          <cell r="I740">
            <v>0</v>
          </cell>
          <cell r="J740">
            <v>0</v>
          </cell>
          <cell r="K740">
            <v>0</v>
          </cell>
          <cell r="L740">
            <v>0</v>
          </cell>
        </row>
        <row r="741">
          <cell r="A741" t="str">
            <v>10062.04359</v>
          </cell>
          <cell r="B741" t="str">
            <v>BOULON Z2CND 17-13</v>
          </cell>
          <cell r="C741" t="str">
            <v xml:space="preserve">BOULON HMN 10 X 35VIS A TETE HEXAGONALE ENTIEREMENT FILETEE ET ECROU HEXAGONAL EN ACIER INOXYDABLE NUANCE AFNOR  Z2 CND 17 . 13  -  AISI 316 L  /  GENRE UGINE NSM 22 S SUIVANT NORME NFE 25 114 ET NFE 25 401 / FILETAGE  ISO </v>
          </cell>
          <cell r="D741" t="str">
            <v>PE</v>
          </cell>
          <cell r="E741" t="str">
            <v>522.52201</v>
          </cell>
          <cell r="F741">
            <v>10.0337</v>
          </cell>
          <cell r="G741">
            <v>0</v>
          </cell>
          <cell r="H741">
            <v>0</v>
          </cell>
          <cell r="I741">
            <v>0</v>
          </cell>
          <cell r="J741">
            <v>0</v>
          </cell>
          <cell r="K741">
            <v>0</v>
          </cell>
          <cell r="L741">
            <v>0</v>
          </cell>
        </row>
        <row r="742">
          <cell r="A742" t="str">
            <v>10062.04361</v>
          </cell>
          <cell r="B742" t="str">
            <v>BOULON Z2CND 17-13</v>
          </cell>
          <cell r="C742" t="str">
            <v xml:space="preserve">BOULON HMN 10 X 45VIS A TETE HEXAGONALE ENTIEREMENT FILETEE ET ECROU HEXAGONAL EN ACIER INOXYDABLE NUANCE AFNOR  Z2 CND 17 . 13  -  AISI 316 L  /  GENRE UGINE NSM 22 S SUIVANT NORME NFE 25 114 ET NFE 25 401 / FILETAGE  ISO </v>
          </cell>
          <cell r="D742" t="str">
            <v>PE</v>
          </cell>
          <cell r="E742" t="str">
            <v>522.52201</v>
          </cell>
          <cell r="F742">
            <v>11.325699999999999</v>
          </cell>
          <cell r="G742">
            <v>0</v>
          </cell>
          <cell r="H742">
            <v>0</v>
          </cell>
          <cell r="I742">
            <v>0</v>
          </cell>
          <cell r="J742">
            <v>0</v>
          </cell>
          <cell r="K742">
            <v>0</v>
          </cell>
          <cell r="L742">
            <v>0</v>
          </cell>
        </row>
        <row r="743">
          <cell r="A743" t="str">
            <v>10061.07174</v>
          </cell>
          <cell r="B743" t="str">
            <v>VIS A TETE HEXAGONALE H.R</v>
          </cell>
          <cell r="C743" t="str">
            <v>VIS A TETE HEXAGONALE 12 X 80 mm EN ACIER DE HAUTE RESISTANCE XC 38 CLASSE ISO 8.8 SUIVANT NORME NF.E 25.115 / DIN 933</v>
          </cell>
          <cell r="D743" t="str">
            <v>PE</v>
          </cell>
          <cell r="E743" t="str">
            <v>522.52201</v>
          </cell>
          <cell r="F743">
            <v>3.6852</v>
          </cell>
          <cell r="G743">
            <v>0</v>
          </cell>
          <cell r="H743">
            <v>0</v>
          </cell>
          <cell r="I743">
            <v>0</v>
          </cell>
          <cell r="J743">
            <v>0</v>
          </cell>
          <cell r="K743">
            <v>0</v>
          </cell>
          <cell r="L743">
            <v>0</v>
          </cell>
        </row>
        <row r="744">
          <cell r="A744" t="str">
            <v>10061.07186</v>
          </cell>
          <cell r="B744" t="str">
            <v>VIS TET HEXAG ACIER H.R.</v>
          </cell>
          <cell r="C744" t="str">
            <v>VIS A TETE HEXAGONALE 14 X 60 mm EN ACIER DE HAUTE RESISTANCE XC 38 CLASSE ISO 8.8 SUIVANT NORME NF.E 25.115 / DIN 933</v>
          </cell>
          <cell r="D744" t="str">
            <v>PE</v>
          </cell>
          <cell r="E744" t="str">
            <v>522.52201</v>
          </cell>
          <cell r="F744">
            <v>4.5671999999999997</v>
          </cell>
          <cell r="G744">
            <v>0</v>
          </cell>
          <cell r="H744">
            <v>0</v>
          </cell>
          <cell r="I744">
            <v>0</v>
          </cell>
          <cell r="J744">
            <v>0</v>
          </cell>
          <cell r="K744">
            <v>0</v>
          </cell>
          <cell r="L744">
            <v>0</v>
          </cell>
        </row>
        <row r="745">
          <cell r="A745" t="str">
            <v>10061.07222</v>
          </cell>
          <cell r="B745" t="str">
            <v>VIS TET HEXAG ACIER H.R.</v>
          </cell>
          <cell r="C745" t="str">
            <v>VIS A TETE HEXAGONALE 20 X 70 mm EN ACIER DE HAUTE RESISTANCE XC 38 CLASSE ISO 8.8 SUIVANT NORME NF.E 25.115 / DIN 933</v>
          </cell>
          <cell r="D745" t="str">
            <v>PE</v>
          </cell>
          <cell r="E745" t="str">
            <v>522.52201</v>
          </cell>
          <cell r="F745">
            <v>9.3420000000000005</v>
          </cell>
          <cell r="G745">
            <v>0</v>
          </cell>
          <cell r="H745">
            <v>0</v>
          </cell>
          <cell r="I745">
            <v>0</v>
          </cell>
          <cell r="J745">
            <v>0</v>
          </cell>
          <cell r="K745">
            <v>0</v>
          </cell>
          <cell r="L745">
            <v>0</v>
          </cell>
        </row>
        <row r="746">
          <cell r="A746" t="str">
            <v>10061.07238</v>
          </cell>
          <cell r="B746" t="str">
            <v>VIS T.H 24 X 60</v>
          </cell>
          <cell r="C746" t="str">
            <v>VIS A TETE HEXAGONALE 24 X 60 mm EN ACIER DE HAUTE RESISTANCE XC 38 CLASSE ISO 8.8 SUIVANT NORME NF.E 25.115 / DIN 933</v>
          </cell>
          <cell r="D746" t="str">
            <v>PE</v>
          </cell>
          <cell r="E746" t="str">
            <v>522.52201</v>
          </cell>
          <cell r="F746">
            <v>13.4412</v>
          </cell>
          <cell r="G746">
            <v>0</v>
          </cell>
          <cell r="H746">
            <v>0</v>
          </cell>
          <cell r="I746">
            <v>0</v>
          </cell>
          <cell r="J746">
            <v>0</v>
          </cell>
          <cell r="K746">
            <v>76</v>
          </cell>
          <cell r="L746">
            <v>0</v>
          </cell>
        </row>
        <row r="747">
          <cell r="A747" t="str">
            <v>10061.09839</v>
          </cell>
          <cell r="B747" t="str">
            <v>TIGE FILETEE L.1M D.16MM</v>
          </cell>
          <cell r="C747" t="str">
            <v xml:space="preserve">TIGE FILETEE EN ACIER INOXYDABLE Z1 NCDU 25 - 20 CREUSOT LOIRE UB6 EN LONGUEUR 1 METRE  /  DIAMETRE 16 MM </v>
          </cell>
          <cell r="D747" t="str">
            <v>PE</v>
          </cell>
          <cell r="E747" t="str">
            <v>522.52201</v>
          </cell>
          <cell r="F747">
            <v>0</v>
          </cell>
          <cell r="G747">
            <v>6</v>
          </cell>
          <cell r="H747">
            <v>0</v>
          </cell>
          <cell r="I747">
            <v>0</v>
          </cell>
          <cell r="J747">
            <v>4</v>
          </cell>
          <cell r="K747">
            <v>4</v>
          </cell>
          <cell r="L747">
            <v>0</v>
          </cell>
        </row>
        <row r="748">
          <cell r="A748" t="str">
            <v>10061.09841</v>
          </cell>
          <cell r="B748" t="str">
            <v>TIGE FILETEE L.1M D.20MM</v>
          </cell>
          <cell r="C748" t="str">
            <v xml:space="preserve">TIGE FILETEE EN ACIER INOXYDABLE Z1 NCDU 25 - 20 CREUSOT LOIRE UB6 EN LONGUEUR 1 METRE  /  DIAMETRE 20 MM </v>
          </cell>
          <cell r="D748" t="str">
            <v>PE</v>
          </cell>
          <cell r="E748" t="str">
            <v>522.52201</v>
          </cell>
          <cell r="F748">
            <v>0</v>
          </cell>
          <cell r="G748">
            <v>0</v>
          </cell>
          <cell r="H748">
            <v>0</v>
          </cell>
          <cell r="I748">
            <v>0</v>
          </cell>
          <cell r="J748">
            <v>3</v>
          </cell>
          <cell r="K748">
            <v>7</v>
          </cell>
          <cell r="L748">
            <v>0</v>
          </cell>
        </row>
        <row r="749">
          <cell r="A749" t="str">
            <v>10062.06165</v>
          </cell>
          <cell r="B749" t="str">
            <v>BOULON HR CLASSE 8.8</v>
          </cell>
          <cell r="C749" t="str">
            <v xml:space="preserve">BOULON HMN 16 X 60 X 38  VIS A TETE HEXAGONALE PARTIELLEMENT FILETEE ET ECROU HEXAGONALEN ACIER CADMIE A HAUTE RESISTANCE XC 42 CLASSE ISO 8.8SUIVANT NORME NFE 25 115 ET NFE 25 401  /  FILETAGE  ISO  </v>
          </cell>
          <cell r="D749" t="str">
            <v>PE</v>
          </cell>
          <cell r="E749" t="str">
            <v>522.52201</v>
          </cell>
          <cell r="F749">
            <v>5.5</v>
          </cell>
          <cell r="G749">
            <v>0</v>
          </cell>
          <cell r="H749">
            <v>0</v>
          </cell>
          <cell r="I749">
            <v>0</v>
          </cell>
          <cell r="J749">
            <v>0</v>
          </cell>
          <cell r="K749">
            <v>0</v>
          </cell>
          <cell r="L749">
            <v>0</v>
          </cell>
        </row>
        <row r="750">
          <cell r="A750" t="str">
            <v>10062.06168</v>
          </cell>
          <cell r="B750" t="str">
            <v>BOULON HR CLASSE 8.8</v>
          </cell>
          <cell r="C750" t="str">
            <v xml:space="preserve">BOULON HMN 16 X 75 X 38  VIS A TETE HEXAGONALE PARTIELLEMENT FILETEE ET ECROU HEXAGONALEN ACIER CADMIE A HAUTE RESISTANCE XC 42 CLASSE ISO 8.8SUIVANT NORME NFE 25 115 ET NFE 25 401  /  FILETAGE  ISO  </v>
          </cell>
          <cell r="D750" t="str">
            <v>PE</v>
          </cell>
          <cell r="E750" t="str">
            <v>522.52201</v>
          </cell>
          <cell r="F750">
            <v>7.5888</v>
          </cell>
          <cell r="G750">
            <v>0</v>
          </cell>
          <cell r="H750">
            <v>0</v>
          </cell>
          <cell r="I750">
            <v>0</v>
          </cell>
          <cell r="J750">
            <v>0</v>
          </cell>
          <cell r="K750">
            <v>0</v>
          </cell>
          <cell r="L750">
            <v>0</v>
          </cell>
        </row>
        <row r="751">
          <cell r="A751" t="str">
            <v>10062.06172</v>
          </cell>
          <cell r="B751" t="str">
            <v>BOULON HR CLASSE 8.8</v>
          </cell>
          <cell r="C751" t="str">
            <v xml:space="preserve">BOULON HMN 16 X 100 X 38  VIS A TETE HEXAGONALE PARTIELLEMENT FILETEE ET ECROU HEXAGONALEN ACIER CADMIE A HAUTE RESISTANCE XC 42 CLASSE ISO 8.8SUIVANT NORME NFE 25 115 ET NFE 25 401  /  FILETAGE  ISO  </v>
          </cell>
          <cell r="D751" t="str">
            <v>PE</v>
          </cell>
          <cell r="E751" t="str">
            <v>522.52201</v>
          </cell>
          <cell r="F751">
            <v>9.1584000000000003</v>
          </cell>
          <cell r="G751">
            <v>0</v>
          </cell>
          <cell r="H751">
            <v>0</v>
          </cell>
          <cell r="I751">
            <v>0</v>
          </cell>
          <cell r="J751">
            <v>0</v>
          </cell>
          <cell r="K751">
            <v>0</v>
          </cell>
          <cell r="L751">
            <v>0</v>
          </cell>
        </row>
        <row r="752">
          <cell r="A752" t="str">
            <v>10062.06187</v>
          </cell>
          <cell r="B752" t="str">
            <v>BOULON HR CLASSE 8.8</v>
          </cell>
          <cell r="C752" t="str">
            <v xml:space="preserve">BOULON HMN 20 X 120X 46  VIS A TETE HEXAGONALE PARTIELLEMENT FILETEE ET ECROU HEXAGONALEN ACIER CADMIE A HAUTE RESISTANCE XC 42 CLASSE ISO 8.8SUIVANT NORME NFE 25 115 ET NFE 25 401  /  FILETAGE  ISO  </v>
          </cell>
          <cell r="D752" t="str">
            <v>PE</v>
          </cell>
          <cell r="E752" t="str">
            <v>522.52201</v>
          </cell>
          <cell r="F752">
            <v>17.683199999999999</v>
          </cell>
          <cell r="G752">
            <v>0</v>
          </cell>
          <cell r="H752">
            <v>0</v>
          </cell>
          <cell r="I752">
            <v>0</v>
          </cell>
          <cell r="J752">
            <v>0</v>
          </cell>
          <cell r="K752">
            <v>0</v>
          </cell>
          <cell r="L752">
            <v>0</v>
          </cell>
        </row>
        <row r="753">
          <cell r="A753" t="str">
            <v>10062.06140</v>
          </cell>
          <cell r="B753" t="str">
            <v>BOULON HR CLASSE 8.8</v>
          </cell>
          <cell r="C753" t="str">
            <v xml:space="preserve">BOULON HMN 12 X 60 X 30  VIS A TETE HEXAGONALE PARTIELLEMENT FILETEE ET ECROU HEXAGONALEN ACIER CADMIE A HAUTE RESISTANCE XC 42 CLASSE ISO 8.8SUIVANT NORME NFE 25 115 ET NFE 25 401  /  FILETAGE  ISO  </v>
          </cell>
          <cell r="D753" t="str">
            <v>PE</v>
          </cell>
          <cell r="E753" t="str">
            <v>522.52201</v>
          </cell>
          <cell r="F753">
            <v>3.3119999999999998</v>
          </cell>
          <cell r="G753">
            <v>0</v>
          </cell>
          <cell r="H753">
            <v>0</v>
          </cell>
          <cell r="I753">
            <v>0</v>
          </cell>
          <cell r="J753">
            <v>0</v>
          </cell>
          <cell r="K753">
            <v>0</v>
          </cell>
          <cell r="L753">
            <v>0</v>
          </cell>
        </row>
        <row r="754">
          <cell r="A754" t="str">
            <v>10062.06144</v>
          </cell>
          <cell r="B754" t="str">
            <v>BOULON HR CLASSE 8.8</v>
          </cell>
          <cell r="C754" t="str">
            <v xml:space="preserve">BOULON HMN 12 X 80 X 30  VIS A TETE HEXAGONALE PARTIELLEMENT FILETEE ET ECROU HEXAGONALEN ACIER CADMIE A HAUTE RESISTANCE XC 42 CLASSE ISO 8.8SUIVANT NORME NFE 25 115 ET NFE 25 401  /  FILETAGE  ISO  </v>
          </cell>
          <cell r="D754" t="str">
            <v>PE</v>
          </cell>
          <cell r="E754" t="str">
            <v>522.52201</v>
          </cell>
          <cell r="F754">
            <v>4.2480000000000002</v>
          </cell>
          <cell r="G754">
            <v>0</v>
          </cell>
          <cell r="H754">
            <v>0</v>
          </cell>
          <cell r="I754">
            <v>0</v>
          </cell>
          <cell r="J754">
            <v>0</v>
          </cell>
          <cell r="K754">
            <v>0</v>
          </cell>
          <cell r="L754">
            <v>0</v>
          </cell>
        </row>
        <row r="755">
          <cell r="A755" t="str">
            <v>10062.06148</v>
          </cell>
          <cell r="B755" t="str">
            <v>BOULON HR CLASSE 8.8</v>
          </cell>
          <cell r="C755" t="str">
            <v xml:space="preserve">BOULON HMN 12 X 110 X 30  VIS A TETE HEXAGONALE PARTIELLEMENT FILETEE ET ECROU HEXAGONALEN ACIER CADMIE A HAUTE RESISTANCE XC 42 CLASSE ISO 8.8SUIVANT NORME NFE 25 115 ET NFE 25 401  /  FILETAGE  ISO  </v>
          </cell>
          <cell r="D755" t="str">
            <v>PE</v>
          </cell>
          <cell r="E755" t="str">
            <v>522.52201</v>
          </cell>
          <cell r="F755">
            <v>6.9984000000000002</v>
          </cell>
          <cell r="G755">
            <v>0</v>
          </cell>
          <cell r="H755">
            <v>0</v>
          </cell>
          <cell r="I755">
            <v>0</v>
          </cell>
          <cell r="J755">
            <v>0</v>
          </cell>
          <cell r="K755">
            <v>96</v>
          </cell>
          <cell r="L755">
            <v>0</v>
          </cell>
        </row>
        <row r="756">
          <cell r="A756" t="str">
            <v>10061.09851</v>
          </cell>
          <cell r="B756" t="str">
            <v>TIGE FILETEE L.1M D.12MM</v>
          </cell>
          <cell r="C756" t="str">
            <v xml:space="preserve">QUINCAILLERIE TIGES FILETEES  COMPOSITION : CHIMIQUE : C=0,38/048- MN=0,75/1,00- P=0,040 MAXI , S=0,040 MAXI- SI=0,20/0,35- CR=0,80/1,10- MO=0,15/0,25LONGUEUR : 1 METRE DIAMETRE 12 MM MATIERE ACIER A 193 B7 R=88KG/MM2 LIMIT.ELAST.74KG/MM2 ALL/2POUCES 16 P/CENT R=88KG/MM2 LIMIT.ELAST.74KG/MM2 ALL/2POUCES 16 P/CENT , STRICTION 50 P/CENT </v>
          </cell>
          <cell r="D756" t="str">
            <v>PE</v>
          </cell>
          <cell r="E756" t="str">
            <v>522.52201</v>
          </cell>
          <cell r="F756">
            <v>65.590699999999998</v>
          </cell>
          <cell r="G756">
            <v>0</v>
          </cell>
          <cell r="H756">
            <v>0</v>
          </cell>
          <cell r="I756">
            <v>0</v>
          </cell>
          <cell r="J756">
            <v>0</v>
          </cell>
          <cell r="K756">
            <v>0</v>
          </cell>
          <cell r="L756">
            <v>13</v>
          </cell>
        </row>
        <row r="757">
          <cell r="A757" t="str">
            <v>10062.04688</v>
          </cell>
          <cell r="B757" t="str">
            <v>BOULON Z1CNDU 25-20</v>
          </cell>
          <cell r="C757" t="str">
            <v xml:space="preserve">BOULON HMN 14 X 40VIS A TETE HEXAGONALE ENTIEREMENT FILETEE ET ECROU HEXAGONAL EN ACIER INOXYDABLE NUANCE AFNOR Z1 CNDU 25.20 GENRE CREUSOT LOIRE URANUS B6 SUIVANT NORME NF E 25-114 ET NF E 25-401  /  FILETAGE  ISO </v>
          </cell>
          <cell r="D757" t="str">
            <v>PE</v>
          </cell>
          <cell r="E757" t="str">
            <v>522.52201</v>
          </cell>
          <cell r="F757">
            <v>107.2912</v>
          </cell>
          <cell r="G757">
            <v>0</v>
          </cell>
          <cell r="H757">
            <v>0</v>
          </cell>
          <cell r="I757">
            <v>0</v>
          </cell>
          <cell r="J757">
            <v>0</v>
          </cell>
          <cell r="K757">
            <v>0</v>
          </cell>
          <cell r="L757">
            <v>0</v>
          </cell>
        </row>
        <row r="758">
          <cell r="A758" t="str">
            <v>10062.04690</v>
          </cell>
          <cell r="B758" t="str">
            <v>BOULON Z1CNDU 25-20</v>
          </cell>
          <cell r="C758" t="str">
            <v xml:space="preserve">BOULON HMN 14 X 50VIS A TETE HEXAGONALE ENTIEREMENT FILETEE ET ECROU HEXAGONAL EN ACIER INOXYDABLE NUANCE AFNOR Z1 CNDU 25.20 GENRE CREUSOT LOIRE URANUS B6 SUIVANT NORME NF E 25-114 ET NF E 25-401  /  FILETAGE  ISO </v>
          </cell>
          <cell r="D758" t="str">
            <v>PE</v>
          </cell>
          <cell r="E758" t="str">
            <v>522.52201</v>
          </cell>
          <cell r="F758">
            <v>125.0421</v>
          </cell>
          <cell r="G758">
            <v>0</v>
          </cell>
          <cell r="H758">
            <v>0</v>
          </cell>
          <cell r="I758">
            <v>0</v>
          </cell>
          <cell r="J758">
            <v>0</v>
          </cell>
          <cell r="K758">
            <v>0</v>
          </cell>
          <cell r="L758">
            <v>0</v>
          </cell>
        </row>
        <row r="759">
          <cell r="A759" t="str">
            <v>10062.04692</v>
          </cell>
          <cell r="B759" t="str">
            <v>BOULON Z1CNDU 25-20</v>
          </cell>
          <cell r="C759" t="str">
            <v xml:space="preserve">BOULON HMN 14 X 60VIS A TETE HEXAGONALE ENTIEREMENT FILETEE ET ECROU HEXAGONAL EN ACIER INOXYDABLE NUANCE AFNOR Z1 CNDU 25.20 GENRE CREUSOT LOIRE URANUS B6 SUIVANT NORME NF E 25-114 ET NF E 25-401  /  FILETAGE  ISO </v>
          </cell>
          <cell r="D759" t="str">
            <v>PE</v>
          </cell>
          <cell r="E759" t="str">
            <v>522.52201</v>
          </cell>
          <cell r="F759">
            <v>126.7701</v>
          </cell>
          <cell r="G759">
            <v>0</v>
          </cell>
          <cell r="H759">
            <v>0</v>
          </cell>
          <cell r="I759">
            <v>0</v>
          </cell>
          <cell r="J759">
            <v>0</v>
          </cell>
          <cell r="K759">
            <v>30</v>
          </cell>
          <cell r="L759">
            <v>0</v>
          </cell>
        </row>
        <row r="760">
          <cell r="A760" t="str">
            <v>10062.04694</v>
          </cell>
          <cell r="B760" t="str">
            <v>BOULON Z1CNDU 25-20</v>
          </cell>
          <cell r="C760" t="str">
            <v xml:space="preserve">BOULON HMN 14 X 70VIS A TETE HEXAGONALE ENTIEREMENT FILETEE ET ECROU HEXAGONAL EN ACIER INOXYDABLE NUANCE AFNOR Z1 CNDU 25.20 GENRE CREUSOT LOIRE URANUS B6 SUIVANT NORME NF E 25-114 ET NF E 25-401  /  FILETAGE  ISO </v>
          </cell>
          <cell r="D760" t="str">
            <v>PE</v>
          </cell>
          <cell r="E760" t="str">
            <v>522.52201</v>
          </cell>
          <cell r="F760">
            <v>136.19540000000001</v>
          </cell>
          <cell r="G760">
            <v>0</v>
          </cell>
          <cell r="H760">
            <v>0</v>
          </cell>
          <cell r="I760">
            <v>0</v>
          </cell>
          <cell r="J760">
            <v>0</v>
          </cell>
          <cell r="K760">
            <v>0</v>
          </cell>
          <cell r="L760">
            <v>0</v>
          </cell>
        </row>
        <row r="761">
          <cell r="A761" t="str">
            <v>10062.04379</v>
          </cell>
          <cell r="B761" t="str">
            <v>BOULON Z2CND 17-13</v>
          </cell>
          <cell r="C761" t="str">
            <v xml:space="preserve">BOULON HMN 12 X 60VIS A TETE HEXAGONALE ENTIEREMENT FILETEE ET ECROU HEXAGONAL EN ACIER INOXYDABLE NUANCE AFNOR  Z2 CND 17 . 13  -  AISI 316 L  /  GENRE UGINE NSM 22 S SUIVANT NORME NFE 25 114 ET NFE 25 401 / FILETAGE  ISO </v>
          </cell>
          <cell r="D761" t="str">
            <v>PE</v>
          </cell>
          <cell r="E761" t="str">
            <v>522.52201</v>
          </cell>
          <cell r="F761">
            <v>8.4819999999999993</v>
          </cell>
          <cell r="G761">
            <v>0</v>
          </cell>
          <cell r="H761">
            <v>0</v>
          </cell>
          <cell r="I761">
            <v>0</v>
          </cell>
          <cell r="J761">
            <v>0</v>
          </cell>
          <cell r="K761">
            <v>0</v>
          </cell>
          <cell r="L761">
            <v>0</v>
          </cell>
        </row>
        <row r="762">
          <cell r="A762" t="str">
            <v>10062.04381</v>
          </cell>
          <cell r="B762" t="str">
            <v>BOULON Z2CND 17-13</v>
          </cell>
          <cell r="C762" t="str">
            <v xml:space="preserve">BOULON HMN 12 X 70VIS A TETE HEXAGONALE ENTIEREMENT FILETEE ET ECROU HEXAGONAL EN ACIER INOXYDABLE NUANCE AFNOR  Z2 CND 17 . 13  -  AISI 316 L  /  GENRE UGINE NSM 22 S SUIVANT NORME NFE 25 114 ET NFE 25 401 / FILETAGE  ISO </v>
          </cell>
          <cell r="D762" t="str">
            <v>PE</v>
          </cell>
          <cell r="E762" t="str">
            <v>522.52201</v>
          </cell>
          <cell r="F762">
            <v>7.85</v>
          </cell>
          <cell r="G762">
            <v>0</v>
          </cell>
          <cell r="H762">
            <v>0</v>
          </cell>
          <cell r="I762">
            <v>0</v>
          </cell>
          <cell r="J762">
            <v>0</v>
          </cell>
          <cell r="K762">
            <v>0</v>
          </cell>
          <cell r="L762">
            <v>0</v>
          </cell>
        </row>
        <row r="763">
          <cell r="A763" t="str">
            <v>10062.04383</v>
          </cell>
          <cell r="B763" t="str">
            <v>BOULON Z2CND 17-13</v>
          </cell>
          <cell r="C763" t="str">
            <v xml:space="preserve">BOULON HMN 12 X 80VIS A TETE HEXAGONALE ENTIEREMENT FILETEE ET ECROU HEXAGONAL EN ACIER INOXYDABLE NUANCE AFNOR  Z2 CND 17 . 13  -  AISI 316 L  /  GENRE UGINE NSM 22 S SUIVANT NORME NFE 25 114 ET NFE 25 401 / FILETAGE  ISO </v>
          </cell>
          <cell r="D763" t="str">
            <v>PE</v>
          </cell>
          <cell r="E763" t="str">
            <v>522.52201</v>
          </cell>
          <cell r="F763">
            <v>6.6</v>
          </cell>
          <cell r="G763">
            <v>0</v>
          </cell>
          <cell r="H763">
            <v>0</v>
          </cell>
          <cell r="I763">
            <v>0</v>
          </cell>
          <cell r="J763">
            <v>0</v>
          </cell>
          <cell r="K763">
            <v>0</v>
          </cell>
          <cell r="L763">
            <v>0</v>
          </cell>
        </row>
        <row r="764">
          <cell r="A764" t="str">
            <v>10062.04696</v>
          </cell>
          <cell r="B764" t="str">
            <v>BOULON Z1CNDU 25-20</v>
          </cell>
          <cell r="C764" t="str">
            <v xml:space="preserve">BOULON HMN 14 X 80VIS A TETE HEXAGONALE ENTIEREMENT FILETEE ET ECROU HEXAGONAL EN ACIER INOXYDABLE NUANCE AFNOR Z1 CNDU 25.20 GENRE CREUSOT LOIRE URANUS B6 SUIVANT NORME NF E 25-114 ET NF E 25-401  /  FILETAGE  ISO </v>
          </cell>
          <cell r="D764" t="str">
            <v>PE</v>
          </cell>
          <cell r="E764" t="str">
            <v>522.52201</v>
          </cell>
          <cell r="F764">
            <v>146.249</v>
          </cell>
          <cell r="G764">
            <v>0</v>
          </cell>
          <cell r="H764">
            <v>0</v>
          </cell>
          <cell r="I764">
            <v>0</v>
          </cell>
          <cell r="J764">
            <v>0</v>
          </cell>
          <cell r="K764">
            <v>95</v>
          </cell>
          <cell r="L764">
            <v>0</v>
          </cell>
        </row>
        <row r="765">
          <cell r="A765" t="str">
            <v>10062.04706</v>
          </cell>
          <cell r="B765" t="str">
            <v>BOULON Z1CNDU 25-20</v>
          </cell>
          <cell r="C765" t="str">
            <v xml:space="preserve">BOULON HMN 16 X 65VIS A TETE HEXAGONALE ENTIEREMENT FILETEE ET ECROU HEXAGONAL EN ACIER INOXYDABLE NUANCE AFNOR Z1 CNDU 25.20 GENRE CREUSOT LOIRE URANUS B6 SUIVANT NORME NF E 25-114 ET NF E 25-401  /  FILETAGE  ISO </v>
          </cell>
          <cell r="D765" t="str">
            <v>PE</v>
          </cell>
          <cell r="E765" t="str">
            <v>522.52201</v>
          </cell>
          <cell r="F765">
            <v>200</v>
          </cell>
          <cell r="G765">
            <v>0</v>
          </cell>
          <cell r="H765">
            <v>0</v>
          </cell>
          <cell r="I765">
            <v>0</v>
          </cell>
          <cell r="J765">
            <v>0</v>
          </cell>
          <cell r="K765">
            <v>0</v>
          </cell>
          <cell r="L765">
            <v>0</v>
          </cell>
        </row>
        <row r="766">
          <cell r="A766" t="str">
            <v>10062.04709</v>
          </cell>
          <cell r="B766" t="str">
            <v>BOULON Z1CNDU 25-20</v>
          </cell>
          <cell r="C766" t="str">
            <v xml:space="preserve">BOULON HMN 16 X 80VIS A TETE HEXAGONALE ENTIEREMENT FILETEE ET ECROU HEXAGONAL EN ACIER INOXYDABLE NUANCE AFNOR Z1 CNDU 25.20 GENRE CREUSOT LOIRE URANUS B6 SUIVANT NORME NF E 25-114 ET NF E 25-401  /  FILETAGE  ISO </v>
          </cell>
          <cell r="D766" t="str">
            <v>PE</v>
          </cell>
          <cell r="E766" t="str">
            <v>522.52201</v>
          </cell>
          <cell r="F766">
            <v>167.77010000000001</v>
          </cell>
          <cell r="G766">
            <v>0</v>
          </cell>
          <cell r="H766">
            <v>0</v>
          </cell>
          <cell r="I766">
            <v>0</v>
          </cell>
          <cell r="J766">
            <v>0</v>
          </cell>
          <cell r="K766">
            <v>0</v>
          </cell>
          <cell r="L766">
            <v>0</v>
          </cell>
        </row>
        <row r="767">
          <cell r="A767" t="str">
            <v>10062.04386</v>
          </cell>
          <cell r="B767" t="str">
            <v>BOULON Z2CND 17-13</v>
          </cell>
          <cell r="C767" t="str">
            <v xml:space="preserve">BOULON HMN 12 X 100VIS A TETE HEXAGONALE ENTIEREMENT FILETEE ET ECROU HEXAGONAL EN ACIER INOXYDABLE NUANCE AFNOR  Z2 CND 17 . 13  -  AISI 316 L  /  GENRE UGINE NSM 22 S SUIVANT NORME NFE 25 114 ET NFE 25 401 / FILETAGE  ISO </v>
          </cell>
          <cell r="D767" t="str">
            <v>PE</v>
          </cell>
          <cell r="E767" t="str">
            <v>522.52201</v>
          </cell>
          <cell r="F767">
            <v>26.841799999999999</v>
          </cell>
          <cell r="G767">
            <v>0</v>
          </cell>
          <cell r="H767">
            <v>0</v>
          </cell>
          <cell r="I767">
            <v>0</v>
          </cell>
          <cell r="J767">
            <v>0</v>
          </cell>
          <cell r="K767">
            <v>0</v>
          </cell>
          <cell r="L767">
            <v>0</v>
          </cell>
        </row>
        <row r="768">
          <cell r="A768" t="str">
            <v>10062.04388</v>
          </cell>
          <cell r="B768" t="str">
            <v>BOULON Z2CND 17-13</v>
          </cell>
          <cell r="C768" t="str">
            <v xml:space="preserve">BOULON HMN 14 X 35VIS A TETE HEXAGONALE ENTIEREMENT FILETEE ET ECROU HEXAGONAL EN ACIER INOXYDABLE NUANCE AFNOR  Z2 CND 17 . 13  -  AISI 316 L  /  GENRE UGINE NSM 22 S SUIVANT NORME NFE 25 114 ET NFE 25 401 / FILETAGE  ISO </v>
          </cell>
          <cell r="D768" t="str">
            <v>PE</v>
          </cell>
          <cell r="E768" t="str">
            <v>522.52201</v>
          </cell>
          <cell r="F768">
            <v>24.0017</v>
          </cell>
          <cell r="G768">
            <v>0</v>
          </cell>
          <cell r="H768">
            <v>0</v>
          </cell>
          <cell r="I768">
            <v>0</v>
          </cell>
          <cell r="J768">
            <v>0</v>
          </cell>
          <cell r="K768">
            <v>0</v>
          </cell>
          <cell r="L768">
            <v>0</v>
          </cell>
        </row>
        <row r="769">
          <cell r="A769" t="str">
            <v>10062.04389</v>
          </cell>
          <cell r="B769" t="str">
            <v>BOULON Z2CND 17-13</v>
          </cell>
          <cell r="C769" t="str">
            <v xml:space="preserve">BOULON HMN 14 X 40VIS A TETE HEXAGONALE ENTIEREMENT FILETEE ET ECROU HEXAGONAL EN ACIER INOXYDABLE NUANCE AFNOR  Z2 CND 17 . 13  -  AISI 316 L  /  GENRE UGINE NSM 22 S SUIVANT NORME NFE 25 114 ET NFE 25 401 / FILETAGE  ISO </v>
          </cell>
          <cell r="D769" t="str">
            <v>PE</v>
          </cell>
          <cell r="E769" t="str">
            <v>522.52201</v>
          </cell>
          <cell r="F769">
            <v>26.329699999999999</v>
          </cell>
          <cell r="G769">
            <v>0</v>
          </cell>
          <cell r="H769">
            <v>0</v>
          </cell>
          <cell r="I769">
            <v>0</v>
          </cell>
          <cell r="J769">
            <v>0</v>
          </cell>
          <cell r="K769">
            <v>0</v>
          </cell>
          <cell r="L769">
            <v>0</v>
          </cell>
        </row>
        <row r="770">
          <cell r="A770" t="str">
            <v>10062.04711</v>
          </cell>
          <cell r="B770" t="str">
            <v>BOULON Z1CNDU 25-20</v>
          </cell>
          <cell r="C770" t="str">
            <v xml:space="preserve">BOULON HMN 16 X 90VIS A TETE HEXAGONALE ENTIEREMENT FILETEE ET ECROU HEXAGONAL EN ACIER INOXYDABLE NUANCE AFNOR Z1 CNDU 25.20 GENRE CREUSOT LOIRE URANUS B6 SUIVANT NORME NF E 25-114 ET NF E 25-401  /  FILETAGE  ISO </v>
          </cell>
          <cell r="D770" t="str">
            <v>PE</v>
          </cell>
          <cell r="E770" t="str">
            <v>522.52201</v>
          </cell>
          <cell r="F770">
            <v>223</v>
          </cell>
          <cell r="G770">
            <v>0</v>
          </cell>
          <cell r="H770">
            <v>0</v>
          </cell>
          <cell r="I770">
            <v>0</v>
          </cell>
          <cell r="J770">
            <v>0</v>
          </cell>
          <cell r="K770">
            <v>0</v>
          </cell>
          <cell r="L770">
            <v>0</v>
          </cell>
        </row>
        <row r="771">
          <cell r="A771" t="str">
            <v>10062.04712</v>
          </cell>
          <cell r="B771" t="str">
            <v>BOULON Z1CNDU 25-20</v>
          </cell>
          <cell r="C771" t="str">
            <v xml:space="preserve">BOULON HMN 16 X 100VIS A TETE HEXAGONALE ENTIEREMENT FILETEE ET ECROU HEXAGONAL EN ACIER INOXYDABLE NUANCE AFNOR Z1 CNDU 25.20 GENRE CREUSOT LOIRE URANUS B6 SUIVANT NORME NF E 25-114 ET NF E 25-401  /  FILETAGE  ISO </v>
          </cell>
          <cell r="D771" t="str">
            <v>PE</v>
          </cell>
          <cell r="E771" t="str">
            <v>522.52201</v>
          </cell>
          <cell r="F771">
            <v>191.64750000000001</v>
          </cell>
          <cell r="G771">
            <v>0</v>
          </cell>
          <cell r="H771">
            <v>0</v>
          </cell>
          <cell r="I771">
            <v>0</v>
          </cell>
          <cell r="J771">
            <v>0</v>
          </cell>
          <cell r="K771">
            <v>0</v>
          </cell>
          <cell r="L771">
            <v>0</v>
          </cell>
        </row>
        <row r="772">
          <cell r="A772" t="str">
            <v>10062.04715</v>
          </cell>
          <cell r="B772" t="str">
            <v>BOULON Z1CNDU 25-20</v>
          </cell>
          <cell r="C772" t="str">
            <v xml:space="preserve">BOULON HMN 20 X 50VIS A TETE HEXAGONALE ENTIEREMENT FILETEE ET ECROU HEXAGONAL EN ACIER INOXYDABLE NUANCE AFNOR Z1 CNDU 25.20 GENRE CREUSOT LOIRE URANUS B6 SUIVANT NORME NF E 25-114 ET NF E 25-401  /  FILETAGE  ISO </v>
          </cell>
          <cell r="D772" t="str">
            <v>PE</v>
          </cell>
          <cell r="E772" t="str">
            <v>522.52201</v>
          </cell>
          <cell r="F772">
            <v>235.3946</v>
          </cell>
          <cell r="G772">
            <v>0</v>
          </cell>
          <cell r="H772">
            <v>0</v>
          </cell>
          <cell r="I772">
            <v>0</v>
          </cell>
          <cell r="J772">
            <v>0</v>
          </cell>
          <cell r="K772">
            <v>30</v>
          </cell>
          <cell r="L772">
            <v>0</v>
          </cell>
        </row>
        <row r="773">
          <cell r="A773" t="str">
            <v>10062.04717</v>
          </cell>
          <cell r="B773" t="str">
            <v>BOULON Z1CNDU 25-20</v>
          </cell>
          <cell r="C773" t="str">
            <v xml:space="preserve">BOULON HMN 20 X 60VIS A TETE HEXAGONALE ENTIEREMENT FILETEE ET ECROU HEXAGONAL EN ACIER INOXYDABLE NUANCE AFNOR Z1 CNDU 25.20 GENRE CREUSOT LOIRE URANUS B6 SUIVANT NORME NF E 25-114 ET NF E 25-401  /  FILETAGE  ISO </v>
          </cell>
          <cell r="D773" t="str">
            <v>PE</v>
          </cell>
          <cell r="E773" t="str">
            <v>522.52201</v>
          </cell>
          <cell r="F773">
            <v>247.9401</v>
          </cell>
          <cell r="G773">
            <v>0</v>
          </cell>
          <cell r="H773">
            <v>0</v>
          </cell>
          <cell r="I773">
            <v>0</v>
          </cell>
          <cell r="J773">
            <v>0</v>
          </cell>
          <cell r="K773">
            <v>0</v>
          </cell>
          <cell r="L773">
            <v>0</v>
          </cell>
        </row>
        <row r="774">
          <cell r="A774" t="str">
            <v>10062.04719</v>
          </cell>
          <cell r="B774" t="str">
            <v>BOULON Z1CNDU 25-20</v>
          </cell>
          <cell r="C774" t="str">
            <v xml:space="preserve">BOULON HMN 20 X 70VIS A TETE HEXAGONALE ENTIEREMENT FILETEE ET ECROU HEXAGONAL EN ACIER INOXYDABLE NUANCE AFNOR Z1 CNDU 25.20 GENRE CREUSOT LOIRE URANUS B6 SUIVANT NORME NF E 25-114 ET NF E 25-401  /  FILETAGE  ISO </v>
          </cell>
          <cell r="D774" t="str">
            <v>PE</v>
          </cell>
          <cell r="E774" t="str">
            <v>522.52201</v>
          </cell>
          <cell r="F774">
            <v>265.27280000000002</v>
          </cell>
          <cell r="G774">
            <v>0</v>
          </cell>
          <cell r="H774">
            <v>0</v>
          </cell>
          <cell r="I774">
            <v>0</v>
          </cell>
          <cell r="J774">
            <v>0</v>
          </cell>
          <cell r="K774">
            <v>25</v>
          </cell>
          <cell r="L774">
            <v>0</v>
          </cell>
        </row>
        <row r="775">
          <cell r="A775" t="str">
            <v>10062.04391</v>
          </cell>
          <cell r="B775" t="str">
            <v>BOULON Z2CND 17-13</v>
          </cell>
          <cell r="C775" t="str">
            <v xml:space="preserve">BOULON HMN 14 X 50VIS A TETE HEXAGONALE ENTIEREMENT FILETEE ET ECROU HEXAGONAL EN ACIER INOXYDABLE NUANCE AFNOR  Z2 CND 17 . 13  -  AISI 316 L  /  GENRE UGINE NSM 22 S SUIVANT NORME NFE 25 114 ET NFE 25 401 / FILETAGE  ISO </v>
          </cell>
          <cell r="D775" t="str">
            <v>PE</v>
          </cell>
          <cell r="E775" t="str">
            <v>522.52201</v>
          </cell>
          <cell r="F775">
            <v>28.750800000000002</v>
          </cell>
          <cell r="G775">
            <v>0</v>
          </cell>
          <cell r="H775">
            <v>0</v>
          </cell>
          <cell r="I775">
            <v>0</v>
          </cell>
          <cell r="J775">
            <v>0</v>
          </cell>
          <cell r="K775">
            <v>0</v>
          </cell>
          <cell r="L775">
            <v>0</v>
          </cell>
        </row>
        <row r="776">
          <cell r="A776" t="str">
            <v>10062.04395</v>
          </cell>
          <cell r="B776" t="str">
            <v>BOULON Z2CND 17-13</v>
          </cell>
          <cell r="C776" t="str">
            <v xml:space="preserve">BOULON HMN 14 X 70VIS A TETE HEXAGONALE ENTIEREMENT FILETEE ET ECROU HEXAGONAL EN ACIER INOXYDABLE NUANCE AFNOR  Z2 CND 17 . 13  -  AISI 316 L  /  GENRE UGINE NSM 22 S SUIVANT NORME NFE 25 114 ET NFE 25 401 / FILETAGE  ISO </v>
          </cell>
          <cell r="D776" t="str">
            <v>PE</v>
          </cell>
          <cell r="E776" t="str">
            <v>522.52201</v>
          </cell>
          <cell r="F776">
            <v>33.057600000000001</v>
          </cell>
          <cell r="G776">
            <v>0</v>
          </cell>
          <cell r="H776">
            <v>0</v>
          </cell>
          <cell r="I776">
            <v>0</v>
          </cell>
          <cell r="J776">
            <v>0</v>
          </cell>
          <cell r="K776">
            <v>0</v>
          </cell>
          <cell r="L776">
            <v>0</v>
          </cell>
        </row>
        <row r="777">
          <cell r="A777" t="str">
            <v>10062.04397</v>
          </cell>
          <cell r="B777" t="str">
            <v>BOULON Z2CND 17-13</v>
          </cell>
          <cell r="C777" t="str">
            <v xml:space="preserve">BOULON HMN 14 X 80VIS A TETE HEXAGONALE ENTIEREMENT FILETEE ET ECROU HEXAGONAL EN ACIER INOXYDABLE NUANCE AFNOR  Z2 CND 17 . 13  -  AISI 316 L  /  GENRE UGINE NSM 22 S SUIVANT NORME NFE 25 114 ET NFE 25 401 / FILETAGE  ISO </v>
          </cell>
          <cell r="D777" t="str">
            <v>PE</v>
          </cell>
          <cell r="E777" t="str">
            <v>522.52201</v>
          </cell>
          <cell r="F777">
            <v>11.05</v>
          </cell>
          <cell r="G777">
            <v>0</v>
          </cell>
          <cell r="H777">
            <v>0</v>
          </cell>
          <cell r="I777">
            <v>0</v>
          </cell>
          <cell r="J777">
            <v>0</v>
          </cell>
          <cell r="K777">
            <v>0</v>
          </cell>
          <cell r="L777">
            <v>0</v>
          </cell>
        </row>
        <row r="778">
          <cell r="A778" t="str">
            <v>10062.04721</v>
          </cell>
          <cell r="B778" t="str">
            <v>BOULON Z1CNDU 25-20</v>
          </cell>
          <cell r="C778" t="str">
            <v xml:space="preserve">BOULON HMN 20 X 80VIS A TETE HEXAGONALE ENTIEREMENT FILETEE ET ECROU HEXAGONAL EN ACIER INOXYDABLE NUANCE AFNOR Z1 CNDU 25.20 GENRE CREUSOT LOIRE URANUS B6 SUIVANT NORME NF E 25-114 ET NF E 25-401  /  FILETAGE  ISO </v>
          </cell>
          <cell r="D778" t="str">
            <v>PE</v>
          </cell>
          <cell r="E778" t="str">
            <v>522.52201</v>
          </cell>
          <cell r="F778">
            <v>288.87830000000002</v>
          </cell>
          <cell r="G778">
            <v>0</v>
          </cell>
          <cell r="H778">
            <v>0</v>
          </cell>
          <cell r="I778">
            <v>0</v>
          </cell>
          <cell r="J778">
            <v>0</v>
          </cell>
          <cell r="K778">
            <v>0</v>
          </cell>
          <cell r="L778">
            <v>0</v>
          </cell>
        </row>
        <row r="779">
          <cell r="A779" t="str">
            <v>10062.04723</v>
          </cell>
          <cell r="B779" t="str">
            <v>BOULON Z1CNDU 25-20</v>
          </cell>
          <cell r="C779" t="str">
            <v xml:space="preserve">BOULON HMN 20 X 90VIS A TETE HEXAGONALE ENTIEREMENT FILETEE ET ECROU HEXAGONAL EN ACIER INOXYDABLE NUANCE AFNOR Z1 CNDU 25.20 GENRE CREUSOT LOIRE URANUS B6 SUIVANT NORME NF E 25-114 ET NF E 25-401  /  FILETAGE  ISO </v>
          </cell>
          <cell r="D779" t="str">
            <v>PE</v>
          </cell>
          <cell r="E779" t="str">
            <v>522.52201</v>
          </cell>
          <cell r="F779">
            <v>295.63979999999998</v>
          </cell>
          <cell r="G779">
            <v>0</v>
          </cell>
          <cell r="H779">
            <v>0</v>
          </cell>
          <cell r="I779">
            <v>0</v>
          </cell>
          <cell r="J779">
            <v>0</v>
          </cell>
          <cell r="K779">
            <v>0</v>
          </cell>
          <cell r="L779">
            <v>0</v>
          </cell>
        </row>
        <row r="780">
          <cell r="A780" t="str">
            <v>10062.04724</v>
          </cell>
          <cell r="B780" t="str">
            <v>BOULON Z1CNDU 25-20</v>
          </cell>
          <cell r="C780" t="str">
            <v xml:space="preserve">BOULON HMN 20 X 100VIS A TETE HEXAGONALE ENTIEREMENT FILETEE ET ECROU HEXAGONAL EN ACIER INOXYDABLE NUANCE AFNOR Z1 CNDU 25.20 GENRE CREUSOT LOIRE URANUS B6 SUIVANT NORME NF E 25-114 ET NF E 25-401  /  FILETAGE  ISO </v>
          </cell>
          <cell r="D780" t="str">
            <v>PE</v>
          </cell>
          <cell r="E780" t="str">
            <v>522.52201</v>
          </cell>
          <cell r="F780">
            <v>327.17529999999999</v>
          </cell>
          <cell r="G780">
            <v>0</v>
          </cell>
          <cell r="H780">
            <v>0</v>
          </cell>
          <cell r="I780">
            <v>0</v>
          </cell>
          <cell r="J780">
            <v>0</v>
          </cell>
          <cell r="K780">
            <v>0</v>
          </cell>
          <cell r="L780">
            <v>0</v>
          </cell>
        </row>
        <row r="781">
          <cell r="A781" t="str">
            <v>10062.04731</v>
          </cell>
          <cell r="B781" t="str">
            <v>BOULON Z1CNDU 25-20</v>
          </cell>
          <cell r="C781" t="str">
            <v xml:space="preserve">BOULON HMN 24 X 70VIS A TETE HEXAGONALE ENTIEREMENT FILETEE ET ECROU HEXAGONAL EN ACIER INOXYDABLE NUANCE AFNOR Z1 CNDU 25.20 GENRE CREUSOT LOIRE URANUS B6 SUIVANT NORME NF E 25-114 ET NF E 25-401  /  FILETAGE  ISO </v>
          </cell>
          <cell r="D781" t="str">
            <v>PE</v>
          </cell>
          <cell r="E781" t="str">
            <v>522.52201</v>
          </cell>
          <cell r="F781">
            <v>383.452</v>
          </cell>
          <cell r="G781">
            <v>0</v>
          </cell>
          <cell r="H781">
            <v>0</v>
          </cell>
          <cell r="I781">
            <v>0</v>
          </cell>
          <cell r="J781">
            <v>0</v>
          </cell>
          <cell r="K781">
            <v>50</v>
          </cell>
          <cell r="L781">
            <v>0</v>
          </cell>
        </row>
        <row r="782">
          <cell r="A782" t="str">
            <v>10062.04733</v>
          </cell>
          <cell r="B782" t="str">
            <v>BOULON TH 24 X 85</v>
          </cell>
          <cell r="C782" t="str">
            <v xml:space="preserve">BOULON HMN 24 X 85VIS A TETE HEXAGONALE ENTIEREMENT FILETEE ET ECROU HEXAGONAL EN ACIER INOXYDABLE NUANCE AFNOR Z1 CNDU 25.20 GENRE CREUSOT LOIRE URANUS B6 SUIVANT NORME NF E 25-114 ET NF E 25-401  /  FILETAGE  ISO </v>
          </cell>
          <cell r="D782" t="str">
            <v>PE</v>
          </cell>
          <cell r="E782" t="str">
            <v>522.52201</v>
          </cell>
          <cell r="F782">
            <v>417.69720000000001</v>
          </cell>
          <cell r="G782">
            <v>0</v>
          </cell>
          <cell r="H782">
            <v>0</v>
          </cell>
          <cell r="I782">
            <v>0</v>
          </cell>
          <cell r="J782">
            <v>0</v>
          </cell>
          <cell r="K782">
            <v>60</v>
          </cell>
          <cell r="L782">
            <v>0</v>
          </cell>
        </row>
        <row r="783">
          <cell r="A783" t="str">
            <v>10060.02036</v>
          </cell>
          <cell r="B783" t="str">
            <v>MANOMETR TUB BOURDON 0-4B</v>
          </cell>
          <cell r="C783" t="str">
            <v xml:space="preserve">MANOMETRE A TUBE DE BOURDON CONSTRUCTION INOX 316L SANS GLYCERINE MATIERE ELEMENT PRIMAIRE : INOX 316 L ETANCHEITE DU BOITIER IP 65 (CONTRE POUSSIERE ET JET D'EAU) CLASSE DE PRECISION : 1 DIAMETRE DU BOITIER EN (MM) : 100 MM ECHELLE 0 A 4 BARS POSITION DU RACCORD : EN BAS RACCORDEMENT : 1/2 POUCE NPT </v>
          </cell>
          <cell r="D783" t="str">
            <v>PE</v>
          </cell>
          <cell r="E783" t="str">
            <v>512.51201</v>
          </cell>
          <cell r="F783">
            <v>290</v>
          </cell>
          <cell r="G783">
            <v>0</v>
          </cell>
          <cell r="H783">
            <v>0</v>
          </cell>
          <cell r="I783">
            <v>0</v>
          </cell>
          <cell r="J783">
            <v>0</v>
          </cell>
          <cell r="K783">
            <v>2</v>
          </cell>
          <cell r="L783">
            <v>0</v>
          </cell>
        </row>
        <row r="784">
          <cell r="A784" t="str">
            <v>10063.02879</v>
          </cell>
          <cell r="B784" t="str">
            <v>RONDEL PLATE ACIER M D 10</v>
          </cell>
          <cell r="C784" t="str">
            <v xml:space="preserve">RONDELLE BRUTE PLATE  MOYENNE M 10 EN ACIER E 26SUIVANT NORME NF.E 25.513 - NF.E 25.514 - DIN 125  </v>
          </cell>
          <cell r="D784" t="str">
            <v>PE</v>
          </cell>
          <cell r="E784" t="str">
            <v>522.52201</v>
          </cell>
          <cell r="F784">
            <v>0.23</v>
          </cell>
          <cell r="G784">
            <v>0</v>
          </cell>
          <cell r="H784">
            <v>0</v>
          </cell>
          <cell r="I784">
            <v>0</v>
          </cell>
          <cell r="J784">
            <v>0</v>
          </cell>
          <cell r="K784">
            <v>0</v>
          </cell>
          <cell r="L784">
            <v>0</v>
          </cell>
        </row>
        <row r="785">
          <cell r="A785" t="str">
            <v>10063.02881</v>
          </cell>
          <cell r="B785" t="str">
            <v>RONDEL PLATE ACIER M D 12</v>
          </cell>
          <cell r="C785" t="str">
            <v xml:space="preserve">RONDELLE BRUTE PLATE  MOYENNE M 12 EN ACIER E 26SUIVANT NORME NF.E 25.513 - NF.E 25.514 - DIN 125  </v>
          </cell>
          <cell r="D785" t="str">
            <v>PE</v>
          </cell>
          <cell r="E785" t="str">
            <v>522.52201</v>
          </cell>
          <cell r="F785">
            <v>0.35</v>
          </cell>
          <cell r="G785">
            <v>0</v>
          </cell>
          <cell r="H785">
            <v>0</v>
          </cell>
          <cell r="I785">
            <v>0</v>
          </cell>
          <cell r="J785">
            <v>0</v>
          </cell>
          <cell r="K785">
            <v>0</v>
          </cell>
          <cell r="L785">
            <v>0</v>
          </cell>
        </row>
        <row r="786">
          <cell r="A786" t="str">
            <v>10063.01201</v>
          </cell>
          <cell r="B786" t="str">
            <v>ECROU HEXAGONAL D22 SYM.H</v>
          </cell>
          <cell r="C786" t="str">
            <v xml:space="preserve">ECROU HEXAGONAL HMU 22 EN ACIER INOXYDABLE NUANCE : AFNOR  Z2 CND 17-13/AISI 316L/UGINE NSM 22 S SUIVANT NORME NF.E 25-401 / FILETAGE  ISO </v>
          </cell>
          <cell r="D786" t="str">
            <v>PE</v>
          </cell>
          <cell r="E786" t="str">
            <v>522.52201</v>
          </cell>
          <cell r="F786">
            <v>8.35</v>
          </cell>
          <cell r="G786">
            <v>0</v>
          </cell>
          <cell r="H786">
            <v>0</v>
          </cell>
          <cell r="I786">
            <v>0</v>
          </cell>
          <cell r="J786">
            <v>0</v>
          </cell>
          <cell r="K786">
            <v>0</v>
          </cell>
          <cell r="L786">
            <v>0</v>
          </cell>
        </row>
        <row r="787">
          <cell r="A787" t="str">
            <v>10063.01202</v>
          </cell>
          <cell r="B787" t="str">
            <v>ECROU HEXAGONAL D24 SYM.H</v>
          </cell>
          <cell r="C787" t="str">
            <v xml:space="preserve">ECROU HEXAGONAL HMU 24 EN ACIER INOXYDABLE NUANCE : AFNOR  Z2 CND 17-13/AISI 316L/UGINE NSM 22 S SUIVANT NORME NF.E 25-401 / FILETAGE  ISO </v>
          </cell>
          <cell r="D787" t="str">
            <v>PE</v>
          </cell>
          <cell r="E787" t="str">
            <v>522.52201</v>
          </cell>
          <cell r="F787">
            <v>16.731400000000001</v>
          </cell>
          <cell r="G787">
            <v>0</v>
          </cell>
          <cell r="H787">
            <v>0</v>
          </cell>
          <cell r="I787">
            <v>0</v>
          </cell>
          <cell r="J787">
            <v>0</v>
          </cell>
          <cell r="K787">
            <v>0</v>
          </cell>
          <cell r="L787">
            <v>13</v>
          </cell>
        </row>
        <row r="788">
          <cell r="A788" t="str">
            <v>10063.01203</v>
          </cell>
          <cell r="B788" t="str">
            <v>ECROU HEXAGONAL D27 SYM.H</v>
          </cell>
          <cell r="C788" t="str">
            <v xml:space="preserve">ECROU HEXAGONAL HMU 27 EN ACIER INOXYDABLE NUANCE : AFNOR  Z2 CND 17-13/AISI 316L/UGINE NSM 22 S SUIVANT NORME NF.E 25-401 / FILETAGE  ISO </v>
          </cell>
          <cell r="D788" t="str">
            <v>PE</v>
          </cell>
          <cell r="E788" t="str">
            <v>522.52201</v>
          </cell>
          <cell r="F788">
            <v>33.893599999999999</v>
          </cell>
          <cell r="G788">
            <v>0</v>
          </cell>
          <cell r="H788">
            <v>0</v>
          </cell>
          <cell r="I788">
            <v>18</v>
          </cell>
          <cell r="J788">
            <v>0</v>
          </cell>
          <cell r="K788">
            <v>0</v>
          </cell>
          <cell r="L788">
            <v>0</v>
          </cell>
        </row>
        <row r="789">
          <cell r="A789" t="str">
            <v>10063.01150</v>
          </cell>
          <cell r="B789" t="str">
            <v>ECROU H EN ACIER 8 M22</v>
          </cell>
          <cell r="C789" t="str">
            <v>ECROU HEXAGONAL HMT 22 EN ACIER A HAUTE RESISTANCE XC 38CLASSE ISO 8 / SUIVANT NORME NF E 25.401- DIN 934 / FILETAGE ISO</v>
          </cell>
          <cell r="D789" t="str">
            <v>PE</v>
          </cell>
          <cell r="E789" t="str">
            <v>522.52201</v>
          </cell>
          <cell r="F789">
            <v>2.3102</v>
          </cell>
          <cell r="G789">
            <v>0</v>
          </cell>
          <cell r="H789">
            <v>0</v>
          </cell>
          <cell r="I789">
            <v>0</v>
          </cell>
          <cell r="J789">
            <v>0</v>
          </cell>
          <cell r="K789">
            <v>71</v>
          </cell>
          <cell r="L789">
            <v>0</v>
          </cell>
        </row>
        <row r="790">
          <cell r="A790" t="str">
            <v>10063.01199</v>
          </cell>
          <cell r="B790" t="str">
            <v>ECROU HEXAGONAL D18 SYM.H</v>
          </cell>
          <cell r="C790" t="str">
            <v xml:space="preserve">ECROU HEXAGONAL HMU 18 EN ACIER INOXYDABLE NUANCE : AFNOR  Z2 CND 17-13/AISI 316L/UGINE NSM 22 S SUIVANT NORME NF.E 25-401 / FILETAGE  ISO </v>
          </cell>
          <cell r="D790" t="str">
            <v>PE</v>
          </cell>
          <cell r="E790" t="str">
            <v>522.52201</v>
          </cell>
          <cell r="F790">
            <v>4</v>
          </cell>
          <cell r="G790">
            <v>0</v>
          </cell>
          <cell r="H790">
            <v>0</v>
          </cell>
          <cell r="I790">
            <v>0</v>
          </cell>
          <cell r="J790">
            <v>0</v>
          </cell>
          <cell r="K790">
            <v>0</v>
          </cell>
          <cell r="L790">
            <v>0</v>
          </cell>
        </row>
        <row r="791">
          <cell r="A791" t="str">
            <v>10063.01200</v>
          </cell>
          <cell r="B791" t="str">
            <v>ECROU HEXAGONAL D20 SYM.H</v>
          </cell>
          <cell r="C791" t="str">
            <v xml:space="preserve">ECROU HEXAGONAL HMU 20 EN ACIER INOXYDABLE NUANCE : AFNOR  Z2 CND 17-13/AISI 316L/UGINE NSM 22 S SUIVANT NORME NF.E 25-401 / FILETAGE  ISO </v>
          </cell>
          <cell r="D791" t="str">
            <v>PE</v>
          </cell>
          <cell r="E791" t="str">
            <v>522.52201</v>
          </cell>
          <cell r="F791">
            <v>7.7</v>
          </cell>
          <cell r="G791">
            <v>0</v>
          </cell>
          <cell r="H791">
            <v>0</v>
          </cell>
          <cell r="I791">
            <v>0</v>
          </cell>
          <cell r="J791">
            <v>0</v>
          </cell>
          <cell r="K791">
            <v>250</v>
          </cell>
          <cell r="L791">
            <v>0</v>
          </cell>
        </row>
        <row r="792">
          <cell r="A792" t="str">
            <v>10063.02887</v>
          </cell>
          <cell r="B792" t="str">
            <v>RONDEL PLATE ACIER  D 24</v>
          </cell>
          <cell r="C792" t="str">
            <v xml:space="preserve">RONDELLE BRUTE PLATE  MOYENNE M 24 EN ACIER E 26SUIVANT NORME NF.E 25.513 - NF.E 25.514 - DIN 125  </v>
          </cell>
          <cell r="D792" t="str">
            <v>PE</v>
          </cell>
          <cell r="E792" t="str">
            <v>522.52201</v>
          </cell>
          <cell r="F792">
            <v>1.38</v>
          </cell>
          <cell r="G792">
            <v>0</v>
          </cell>
          <cell r="H792">
            <v>0</v>
          </cell>
          <cell r="I792">
            <v>0</v>
          </cell>
          <cell r="J792">
            <v>0</v>
          </cell>
          <cell r="K792">
            <v>0</v>
          </cell>
          <cell r="L792">
            <v>0</v>
          </cell>
        </row>
        <row r="793">
          <cell r="A793" t="str">
            <v>10063.02888</v>
          </cell>
          <cell r="B793" t="str">
            <v>RONDEL PLATE ACIER M D 27</v>
          </cell>
          <cell r="C793" t="str">
            <v xml:space="preserve">RONDELLE BRUTE PLATE  MOYENNE M 27 EN ACIER E 26SUIVANT NORME NF.E 25.513 - NF.E 25.514 - DIN 125  </v>
          </cell>
          <cell r="D793" t="str">
            <v>PE</v>
          </cell>
          <cell r="E793" t="str">
            <v>522.52201</v>
          </cell>
          <cell r="F793">
            <v>1.73</v>
          </cell>
          <cell r="G793">
            <v>0</v>
          </cell>
          <cell r="H793">
            <v>0</v>
          </cell>
          <cell r="I793">
            <v>0</v>
          </cell>
          <cell r="J793">
            <v>0</v>
          </cell>
          <cell r="K793">
            <v>0</v>
          </cell>
          <cell r="L793">
            <v>0</v>
          </cell>
        </row>
        <row r="794">
          <cell r="A794" t="str">
            <v>10063.02889</v>
          </cell>
          <cell r="B794" t="str">
            <v>RONDEL PLATE ACIER M D 30</v>
          </cell>
          <cell r="C794" t="str">
            <v xml:space="preserve">RONDELLE BRUTE PLATE  MOYENNE M 30 EN ACIER E 26SUIVANT NORME NF.E 25.513 - NF.E 25.514 - DIN 125  </v>
          </cell>
          <cell r="D794" t="str">
            <v>PE</v>
          </cell>
          <cell r="E794" t="str">
            <v>522.52201</v>
          </cell>
          <cell r="F794">
            <v>2.2999999999999998</v>
          </cell>
          <cell r="G794">
            <v>0</v>
          </cell>
          <cell r="H794">
            <v>0</v>
          </cell>
          <cell r="I794">
            <v>0</v>
          </cell>
          <cell r="J794">
            <v>0</v>
          </cell>
          <cell r="K794">
            <v>0</v>
          </cell>
          <cell r="L794">
            <v>0</v>
          </cell>
        </row>
        <row r="795">
          <cell r="A795" t="str">
            <v>10063.02882</v>
          </cell>
          <cell r="B795" t="str">
            <v>RONDEL PLATE ACIER M D 14</v>
          </cell>
          <cell r="C795" t="str">
            <v xml:space="preserve">RONDELLE BRUTE PLATE  MOYENNE M 14 EN ACIER E 26SUIVANT NORME NF.E 25.513 - NF.E 25.514 - DIN 125  </v>
          </cell>
          <cell r="D795" t="str">
            <v>PE</v>
          </cell>
          <cell r="E795" t="str">
            <v>522.52201</v>
          </cell>
          <cell r="F795">
            <v>0.46</v>
          </cell>
          <cell r="G795">
            <v>0</v>
          </cell>
          <cell r="H795">
            <v>0</v>
          </cell>
          <cell r="I795">
            <v>0</v>
          </cell>
          <cell r="J795">
            <v>0</v>
          </cell>
          <cell r="K795">
            <v>0</v>
          </cell>
          <cell r="L795">
            <v>0</v>
          </cell>
        </row>
        <row r="796">
          <cell r="A796" t="str">
            <v>10063.02883</v>
          </cell>
          <cell r="B796" t="str">
            <v>RONDEL PLATE ACIER M D 16</v>
          </cell>
          <cell r="C796" t="str">
            <v xml:space="preserve">RONDELLE BRUTE PLATE  MOYENNE M 16 EN ACIER E 26SUIVANT NORME NF.E 25.513 - NF.E 25.514 - DIN 125  </v>
          </cell>
          <cell r="D796" t="str">
            <v>PE</v>
          </cell>
          <cell r="E796" t="str">
            <v>522.52201</v>
          </cell>
          <cell r="F796">
            <v>0.57999999999999996</v>
          </cell>
          <cell r="G796">
            <v>0</v>
          </cell>
          <cell r="H796">
            <v>0</v>
          </cell>
          <cell r="I796">
            <v>0</v>
          </cell>
          <cell r="J796">
            <v>0</v>
          </cell>
          <cell r="K796">
            <v>0</v>
          </cell>
          <cell r="L796">
            <v>0</v>
          </cell>
        </row>
        <row r="797">
          <cell r="A797" t="str">
            <v>10063.02884</v>
          </cell>
          <cell r="B797" t="str">
            <v>RONDEL PLATE ACIER M D 18</v>
          </cell>
          <cell r="C797" t="str">
            <v xml:space="preserve">RONDELLE BRUTE PLATE  MOYENNE M 18 EN ACIER E 26SUIVANT NORME NF.E 25.513 - NF.E 25.514 - DIN 125  </v>
          </cell>
          <cell r="D797" t="str">
            <v>PE</v>
          </cell>
          <cell r="E797" t="str">
            <v>522.52201</v>
          </cell>
          <cell r="F797">
            <v>0.69</v>
          </cell>
          <cell r="G797">
            <v>0</v>
          </cell>
          <cell r="H797">
            <v>0</v>
          </cell>
          <cell r="I797">
            <v>0</v>
          </cell>
          <cell r="J797">
            <v>0</v>
          </cell>
          <cell r="K797">
            <v>0</v>
          </cell>
          <cell r="L797">
            <v>0</v>
          </cell>
        </row>
        <row r="798">
          <cell r="A798" t="str">
            <v>10063.02885</v>
          </cell>
          <cell r="B798" t="str">
            <v>RONDEL PLATE ACIERM D 20</v>
          </cell>
          <cell r="C798" t="str">
            <v xml:space="preserve">RONDELLE BRUTE PLATE  MOYENNE M 20 EN ACIER E 26SUIVANT NORME NF.E 25.513 - NF.E 25.514 - DIN 125  </v>
          </cell>
          <cell r="D798" t="str">
            <v>PE</v>
          </cell>
          <cell r="E798" t="str">
            <v>522.52201</v>
          </cell>
          <cell r="F798">
            <v>0.92</v>
          </cell>
          <cell r="G798">
            <v>0</v>
          </cell>
          <cell r="H798">
            <v>0</v>
          </cell>
          <cell r="I798">
            <v>0</v>
          </cell>
          <cell r="J798">
            <v>0</v>
          </cell>
          <cell r="K798">
            <v>0</v>
          </cell>
          <cell r="L798">
            <v>0</v>
          </cell>
        </row>
        <row r="799">
          <cell r="A799" t="str">
            <v>10063.03480</v>
          </cell>
          <cell r="B799" t="str">
            <v>RONDELLE PLATE ACIER D16</v>
          </cell>
          <cell r="C799" t="str">
            <v>RONDELLE FINE PLATE MOYENNE AVEC CHANFREIN M 16 EN ACIER E 26SUIVANT NORME NF.E 25.513 - NF.E 25.514 - DIN 125</v>
          </cell>
          <cell r="D799" t="str">
            <v>PE</v>
          </cell>
          <cell r="E799" t="str">
            <v>522.52201</v>
          </cell>
          <cell r="F799">
            <v>0.18</v>
          </cell>
          <cell r="G799">
            <v>0</v>
          </cell>
          <cell r="H799">
            <v>0</v>
          </cell>
          <cell r="I799">
            <v>0</v>
          </cell>
          <cell r="J799">
            <v>0</v>
          </cell>
          <cell r="K799">
            <v>0</v>
          </cell>
          <cell r="L799">
            <v>0</v>
          </cell>
        </row>
        <row r="800">
          <cell r="A800" t="str">
            <v>10063.03482</v>
          </cell>
          <cell r="B800" t="str">
            <v>RONDELLE PLATE ACIER D20</v>
          </cell>
          <cell r="C800" t="str">
            <v>RONDELLE FINE PLATE MOYENNE AVEC CHANFREIN M 20 EN ACIER E 26SUIVANT NORME NF.E 25.513 - NF.E 25.514 - DIN 125</v>
          </cell>
          <cell r="D800" t="str">
            <v>PE</v>
          </cell>
          <cell r="E800" t="str">
            <v>522.52201</v>
          </cell>
          <cell r="F800">
            <v>0.32</v>
          </cell>
          <cell r="G800">
            <v>0</v>
          </cell>
          <cell r="H800">
            <v>0</v>
          </cell>
          <cell r="I800">
            <v>0</v>
          </cell>
          <cell r="J800">
            <v>0</v>
          </cell>
          <cell r="K800">
            <v>0</v>
          </cell>
          <cell r="L800">
            <v>0</v>
          </cell>
        </row>
        <row r="801">
          <cell r="A801" t="str">
            <v>10063.01154</v>
          </cell>
          <cell r="B801" t="str">
            <v>ECROU H EN ACIER HR 8 M36</v>
          </cell>
          <cell r="C801" t="str">
            <v>ECROU HEXAGONAL HM 36 EN ACIER A HAUTE RESISTANCE NUANCE XC 38  -  CLASSE ISO 8  /  SUVANT NORME 934</v>
          </cell>
          <cell r="D801" t="str">
            <v>PE</v>
          </cell>
          <cell r="E801" t="str">
            <v>522.52201</v>
          </cell>
          <cell r="F801">
            <v>12.791700000000001</v>
          </cell>
          <cell r="G801">
            <v>0</v>
          </cell>
          <cell r="H801">
            <v>0</v>
          </cell>
          <cell r="I801">
            <v>0</v>
          </cell>
          <cell r="J801">
            <v>0</v>
          </cell>
          <cell r="K801">
            <v>7</v>
          </cell>
          <cell r="L801">
            <v>0</v>
          </cell>
        </row>
        <row r="802">
          <cell r="A802" t="str">
            <v>10063.01238</v>
          </cell>
          <cell r="B802" t="str">
            <v>ECROU HEXAG INOX UB6 D8MM</v>
          </cell>
          <cell r="C802" t="str">
            <v xml:space="preserve">ECROU HEXAGONAL HMU 8 EN ACIER INOXYDABLE NUANCE AFNOR Z1 NCDU 25.20 GENRE CREUSOT LOIRE UB6 SUIVANT NORME NF.E 25.401 / FILETAGE ISO </v>
          </cell>
          <cell r="D802" t="str">
            <v>PE</v>
          </cell>
          <cell r="E802" t="str">
            <v>522.52201</v>
          </cell>
          <cell r="F802">
            <v>7.2347999999999999</v>
          </cell>
          <cell r="G802">
            <v>0</v>
          </cell>
          <cell r="H802">
            <v>0</v>
          </cell>
          <cell r="I802">
            <v>0</v>
          </cell>
          <cell r="J802">
            <v>0</v>
          </cell>
          <cell r="K802">
            <v>400</v>
          </cell>
          <cell r="L802">
            <v>0</v>
          </cell>
        </row>
        <row r="803">
          <cell r="A803" t="str">
            <v>10063.01204</v>
          </cell>
          <cell r="B803" t="str">
            <v>ECROU HEXAGONAL D30 SYM.H</v>
          </cell>
          <cell r="C803" t="str">
            <v xml:space="preserve">ECROU HEXAGONAL HMU 30 EN ACIER INOXYDABLE NUANCE : AFNOR  Z2 CND 17-13/AISI 316L/UGINE NSM 22 S SUIVANT NORME NF.E 25-401 / FILETAGE  ISO </v>
          </cell>
          <cell r="D803" t="str">
            <v>PE</v>
          </cell>
          <cell r="E803" t="str">
            <v>522.52201</v>
          </cell>
          <cell r="F803">
            <v>21.3764</v>
          </cell>
          <cell r="G803">
            <v>0</v>
          </cell>
          <cell r="H803">
            <v>15</v>
          </cell>
          <cell r="I803">
            <v>0</v>
          </cell>
          <cell r="J803">
            <v>10</v>
          </cell>
          <cell r="K803">
            <v>0</v>
          </cell>
          <cell r="L803">
            <v>80</v>
          </cell>
        </row>
        <row r="804">
          <cell r="A804" t="str">
            <v>10063.01205</v>
          </cell>
          <cell r="B804" t="str">
            <v>ECROU HEXAGONAL D33 SYM.H</v>
          </cell>
          <cell r="C804" t="str">
            <v xml:space="preserve">ECROU HEXAGONAL HMU 33 EN ACIER INOXYDABLE NUANCE : AFNOR  Z2 CND 17-13/AISI 316L/UGINE NSM 22 S SUIVANT NORME NF.E 25-401 / FILETAGE  ISO </v>
          </cell>
          <cell r="D804" t="str">
            <v>PE</v>
          </cell>
          <cell r="E804" t="str">
            <v>522.52201</v>
          </cell>
          <cell r="F804">
            <v>45.896700000000003</v>
          </cell>
          <cell r="G804">
            <v>0</v>
          </cell>
          <cell r="H804">
            <v>0</v>
          </cell>
          <cell r="I804">
            <v>0</v>
          </cell>
          <cell r="J804">
            <v>0</v>
          </cell>
          <cell r="K804">
            <v>0</v>
          </cell>
          <cell r="L804">
            <v>0</v>
          </cell>
        </row>
        <row r="805">
          <cell r="A805" t="str">
            <v>10063.01206</v>
          </cell>
          <cell r="B805" t="str">
            <v>ECROU HEXAGONAL D36 SYM.H</v>
          </cell>
          <cell r="C805" t="str">
            <v xml:space="preserve">ECROU HEXAGONAL HMU 36 EN ACIER INOXYDABLE NUANCE : AFNOR  Z2 CND 17-13/AISI 316L/UGINE NSM 22 S SUIVANT NORME NF.E 25-401 / FILETAGE  ISO </v>
          </cell>
          <cell r="D805" t="str">
            <v>PE</v>
          </cell>
          <cell r="E805" t="str">
            <v>522.52201</v>
          </cell>
          <cell r="F805">
            <v>80.7</v>
          </cell>
          <cell r="G805">
            <v>0</v>
          </cell>
          <cell r="H805">
            <v>0</v>
          </cell>
          <cell r="I805">
            <v>0</v>
          </cell>
          <cell r="J805">
            <v>0</v>
          </cell>
          <cell r="K805">
            <v>0</v>
          </cell>
          <cell r="L805">
            <v>0</v>
          </cell>
        </row>
        <row r="806">
          <cell r="A806" t="str">
            <v>10060.02085</v>
          </cell>
          <cell r="B806" t="str">
            <v>MANOMETRE.TUB.BOURDON.BAS</v>
          </cell>
          <cell r="C806" t="str">
            <v xml:space="preserve">MANOMETRE A TUBE DE BOURDON CONSTRUCTION INOX 316L BAIN GLYCERINE ETANCHEITE DU BOITIER IP 55 CLASSE DE PRECISION : 1 DIAMETRE DU BOITIER EN (MM) : 250 MM DIAMETRE DU RACCORD 1/2 POUCE NPTM ECHELLE 0-100 BARS POSITION DU RACCORD : EN BAS COLLERETTE ARRIERE SPECIFICATION PARTICULIERES FLECHE ROUGE A 72 BARS MATIERE ELEMENT PRIMAIRE INOX 316L </v>
          </cell>
          <cell r="D806" t="str">
            <v>PE</v>
          </cell>
          <cell r="E806" t="str">
            <v>512.51201</v>
          </cell>
          <cell r="F806">
            <v>522</v>
          </cell>
          <cell r="G806">
            <v>0</v>
          </cell>
          <cell r="H806">
            <v>0</v>
          </cell>
          <cell r="I806">
            <v>0</v>
          </cell>
          <cell r="J806">
            <v>0</v>
          </cell>
          <cell r="K806">
            <v>0</v>
          </cell>
          <cell r="L806">
            <v>5</v>
          </cell>
        </row>
        <row r="807">
          <cell r="A807" t="str">
            <v>10063.02890</v>
          </cell>
          <cell r="B807" t="str">
            <v>RONDEL PLATE ACIER M D 33</v>
          </cell>
          <cell r="C807" t="str">
            <v xml:space="preserve">RONDELLE BRUTE PLATE  MOYENNE M 33 EN ACIER E 26SUIVANT NORME NF.E 25.513 - NF.E 25.514 - DIN 125  </v>
          </cell>
          <cell r="D807" t="str">
            <v>PE</v>
          </cell>
          <cell r="E807" t="str">
            <v>522.52201</v>
          </cell>
          <cell r="F807">
            <v>3.2625999999999999</v>
          </cell>
          <cell r="G807">
            <v>0</v>
          </cell>
          <cell r="H807">
            <v>0</v>
          </cell>
          <cell r="I807">
            <v>0</v>
          </cell>
          <cell r="J807">
            <v>0</v>
          </cell>
          <cell r="K807">
            <v>30</v>
          </cell>
          <cell r="L807">
            <v>0</v>
          </cell>
        </row>
        <row r="808">
          <cell r="A808" t="str">
            <v>10063.01240</v>
          </cell>
          <cell r="B808" t="str">
            <v>ECROU HEXAG INOX UB6 12MM</v>
          </cell>
          <cell r="C808" t="str">
            <v xml:space="preserve">ECROU HEXAGONAL HMU 12 EN ACIER INOXYDABLE NUANCE AFNOR Z1 NCDU 25.20 GENRE CREUSOT LOIRE UB6 SUIVANT NORME NF.E 25.401 / FILETAGE ISO </v>
          </cell>
          <cell r="D808" t="str">
            <v>PE</v>
          </cell>
          <cell r="E808" t="str">
            <v>522.52201</v>
          </cell>
          <cell r="F808">
            <v>26.4</v>
          </cell>
          <cell r="G808">
            <v>0</v>
          </cell>
          <cell r="H808">
            <v>0</v>
          </cell>
          <cell r="I808">
            <v>0</v>
          </cell>
          <cell r="J808">
            <v>0</v>
          </cell>
          <cell r="K808">
            <v>100</v>
          </cell>
          <cell r="L808">
            <v>0</v>
          </cell>
        </row>
        <row r="809">
          <cell r="A809" t="str">
            <v>10063.01242</v>
          </cell>
          <cell r="B809" t="str">
            <v>ECROU HEXAG INOX UB6 16MM</v>
          </cell>
          <cell r="C809" t="str">
            <v xml:space="preserve">ECROU HEXAGONAL HMU 16 EN ACIER INOXYDABLE NUANCE AFNOR Z1 NCDU 25.20 GENRE CREUSOT LOIRE UB6 SUIVANT NORME NF.E 25.401 / FILETAGE ISO </v>
          </cell>
          <cell r="D809" t="str">
            <v>PE</v>
          </cell>
          <cell r="E809" t="str">
            <v>522.52201</v>
          </cell>
          <cell r="F809">
            <v>0</v>
          </cell>
          <cell r="G809">
            <v>0</v>
          </cell>
          <cell r="H809">
            <v>0</v>
          </cell>
          <cell r="I809">
            <v>0</v>
          </cell>
          <cell r="J809">
            <v>0</v>
          </cell>
          <cell r="K809">
            <v>0</v>
          </cell>
          <cell r="L809">
            <v>0</v>
          </cell>
        </row>
        <row r="810">
          <cell r="A810" t="str">
            <v>10063.02927</v>
          </cell>
          <cell r="B810" t="str">
            <v>RONDEL PLATE LARGE M 27MM</v>
          </cell>
          <cell r="C810" t="str">
            <v>RONDELLE BRUTE PLATE LARGE M 27 EN ACIER E 26SUIVANT NORME NF.E 25.513 - NF.E 25.514 - DIN 125</v>
          </cell>
          <cell r="D810" t="str">
            <v>PE</v>
          </cell>
          <cell r="E810" t="str">
            <v>522.52201</v>
          </cell>
          <cell r="F810">
            <v>3.9784000000000002</v>
          </cell>
          <cell r="G810">
            <v>0</v>
          </cell>
          <cell r="H810">
            <v>0</v>
          </cell>
          <cell r="I810">
            <v>0</v>
          </cell>
          <cell r="J810">
            <v>0</v>
          </cell>
          <cell r="K810">
            <v>0</v>
          </cell>
          <cell r="L810">
            <v>0</v>
          </cell>
        </row>
        <row r="811">
          <cell r="A811" t="str">
            <v>10063.02929</v>
          </cell>
          <cell r="B811" t="str">
            <v>RONDEL PLATE LARGE M 30MM</v>
          </cell>
          <cell r="C811" t="str">
            <v>RONDELLE BRUTE PLATE LARGE M 30 EN ACIER E 26SUIVANT NORME NF.E 25.513 - NF.E 25.514 - DIN 125</v>
          </cell>
          <cell r="D811" t="str">
            <v>PE</v>
          </cell>
          <cell r="E811" t="str">
            <v>522.52201</v>
          </cell>
          <cell r="F811">
            <v>3.2440000000000002</v>
          </cell>
          <cell r="G811">
            <v>0</v>
          </cell>
          <cell r="H811">
            <v>0</v>
          </cell>
          <cell r="I811">
            <v>0</v>
          </cell>
          <cell r="J811">
            <v>0</v>
          </cell>
          <cell r="K811">
            <v>36</v>
          </cell>
          <cell r="L811">
            <v>0</v>
          </cell>
        </row>
        <row r="812">
          <cell r="A812" t="str">
            <v>10063.02924</v>
          </cell>
          <cell r="B812" t="str">
            <v>RONDEL PLATE LARGE M 22MM</v>
          </cell>
          <cell r="C812" t="str">
            <v>RONDELLE BRUTE PLATE LARGE M 22 EN ACIER E 26SUIVANT NORME NF.E 25.513 - NF.E 25.514 - DIN 125</v>
          </cell>
          <cell r="D812" t="str">
            <v>PE</v>
          </cell>
          <cell r="E812" t="str">
            <v>522.52201</v>
          </cell>
          <cell r="F812">
            <v>1.8362000000000001</v>
          </cell>
          <cell r="G812">
            <v>0</v>
          </cell>
          <cell r="H812">
            <v>0</v>
          </cell>
          <cell r="I812">
            <v>0</v>
          </cell>
          <cell r="J812">
            <v>0</v>
          </cell>
          <cell r="K812">
            <v>9</v>
          </cell>
          <cell r="L812">
            <v>0</v>
          </cell>
        </row>
        <row r="813">
          <cell r="A813" t="str">
            <v>10063.08206</v>
          </cell>
          <cell r="B813" t="str">
            <v>RONDELLE PLATE EN INOX 304L</v>
          </cell>
          <cell r="C813" t="str">
            <v>RONDELLE PLATE EN INOX AISI 304LNORME DIN 125A DIA 8MM</v>
          </cell>
          <cell r="D813" t="str">
            <v>PE</v>
          </cell>
          <cell r="E813" t="str">
            <v>522.52201</v>
          </cell>
          <cell r="F813">
            <v>0.32</v>
          </cell>
          <cell r="G813">
            <v>0</v>
          </cell>
          <cell r="H813">
            <v>0</v>
          </cell>
          <cell r="I813">
            <v>0</v>
          </cell>
          <cell r="J813">
            <v>0</v>
          </cell>
          <cell r="K813">
            <v>0</v>
          </cell>
          <cell r="L813">
            <v>0</v>
          </cell>
        </row>
        <row r="814">
          <cell r="A814" t="str">
            <v>10063.03031</v>
          </cell>
          <cell r="B814" t="str">
            <v>RONDELLE PLATE CADMIE M 6</v>
          </cell>
          <cell r="C814" t="str">
            <v>RONDELLE PLATE MOYENNE M 6 EN ACIER CADMIE A 50SUIVANT NORME  NF.E 25.513 - NF.E 25.514 - DIN 125</v>
          </cell>
          <cell r="D814" t="str">
            <v>PE</v>
          </cell>
          <cell r="E814" t="str">
            <v>522.52201</v>
          </cell>
          <cell r="F814">
            <v>9.3799999999999994E-2</v>
          </cell>
          <cell r="G814">
            <v>0</v>
          </cell>
          <cell r="H814">
            <v>0</v>
          </cell>
          <cell r="I814">
            <v>0</v>
          </cell>
          <cell r="J814">
            <v>0</v>
          </cell>
          <cell r="K814">
            <v>34</v>
          </cell>
          <cell r="L814">
            <v>0</v>
          </cell>
        </row>
        <row r="815">
          <cell r="A815" t="str">
            <v>10063.03033</v>
          </cell>
          <cell r="B815" t="str">
            <v>RONDELLE PLATE CADMIE M 8</v>
          </cell>
          <cell r="C815" t="str">
            <v>RONDELLE PLATE MOYENNE M 8 EN ACIER CADMIE A 50SUIVANT NORME  NF.E 25.513 - NF.E 25.514 - DIN 125</v>
          </cell>
          <cell r="D815" t="str">
            <v>PE</v>
          </cell>
          <cell r="E815" t="str">
            <v>522.52201</v>
          </cell>
          <cell r="F815">
            <v>0.2</v>
          </cell>
          <cell r="G815">
            <v>0</v>
          </cell>
          <cell r="H815">
            <v>0</v>
          </cell>
          <cell r="I815">
            <v>0</v>
          </cell>
          <cell r="J815">
            <v>0</v>
          </cell>
          <cell r="K815">
            <v>0</v>
          </cell>
          <cell r="L815">
            <v>0</v>
          </cell>
        </row>
        <row r="816">
          <cell r="A816" t="str">
            <v>10063.03034</v>
          </cell>
          <cell r="B816" t="str">
            <v>RONDELLE PLATE CADMIE M10</v>
          </cell>
          <cell r="C816" t="str">
            <v>RONDELLE PLATE MOYENNE M 10 EN ACIER CADMIE A 50SUIVANT NORME  NF.E 25.513 - NF.E 25.514 - DIN 125</v>
          </cell>
          <cell r="D816" t="str">
            <v>PE</v>
          </cell>
          <cell r="E816" t="str">
            <v>522.52201</v>
          </cell>
          <cell r="F816">
            <v>0.35210000000000002</v>
          </cell>
          <cell r="G816">
            <v>0</v>
          </cell>
          <cell r="H816">
            <v>0</v>
          </cell>
          <cell r="I816">
            <v>0</v>
          </cell>
          <cell r="J816">
            <v>0</v>
          </cell>
          <cell r="K816">
            <v>0</v>
          </cell>
          <cell r="L816">
            <v>0</v>
          </cell>
        </row>
        <row r="817">
          <cell r="A817" t="str">
            <v>10063.03035</v>
          </cell>
          <cell r="B817" t="str">
            <v>RONDELLE PLATE CADMIE M12</v>
          </cell>
          <cell r="C817" t="str">
            <v>RONDELLE PLATE MOYENNE M 12 EN ACIER CADMIE A 50SUIVANT NORME  NF.E 25.513 - NF.E 25.514 - DIN 125</v>
          </cell>
          <cell r="D817" t="str">
            <v>PE</v>
          </cell>
          <cell r="E817" t="str">
            <v>522.52201</v>
          </cell>
          <cell r="F817">
            <v>0.61229999999999996</v>
          </cell>
          <cell r="G817">
            <v>0</v>
          </cell>
          <cell r="H817">
            <v>0</v>
          </cell>
          <cell r="I817">
            <v>0</v>
          </cell>
          <cell r="J817">
            <v>0</v>
          </cell>
          <cell r="K817">
            <v>0</v>
          </cell>
          <cell r="L817">
            <v>0</v>
          </cell>
        </row>
        <row r="818">
          <cell r="A818" t="str">
            <v>10063.03029</v>
          </cell>
          <cell r="B818" t="str">
            <v>RONDELLE PLATE CADMIE M 4</v>
          </cell>
          <cell r="C818" t="str">
            <v xml:space="preserve">RONDELLE PLATE MOYENNE M 4 EN ACIER CADMIE A 50  SUIVANT NORME  NF.E 25.513 - NF.E 25.514 - DIN 125 </v>
          </cell>
          <cell r="D818" t="str">
            <v>PE</v>
          </cell>
          <cell r="E818" t="str">
            <v>522.52201</v>
          </cell>
          <cell r="F818">
            <v>3.6400000000000002E-2</v>
          </cell>
          <cell r="G818">
            <v>0</v>
          </cell>
          <cell r="H818">
            <v>0</v>
          </cell>
          <cell r="I818">
            <v>0</v>
          </cell>
          <cell r="J818">
            <v>0</v>
          </cell>
          <cell r="K818">
            <v>57</v>
          </cell>
          <cell r="L818">
            <v>0</v>
          </cell>
        </row>
        <row r="819">
          <cell r="A819" t="str">
            <v>10063.03030</v>
          </cell>
          <cell r="B819" t="str">
            <v>RONDELLE PLATE CADMIE M 5</v>
          </cell>
          <cell r="C819" t="str">
            <v>RONDELLE PLATE MOYENNE M 5 EN ACIER CADMIE A 50SUIVANT NORME  NF.E 25.513 - NF.E 25.514 - DIN 125</v>
          </cell>
          <cell r="D819" t="str">
            <v>PE</v>
          </cell>
          <cell r="E819" t="str">
            <v>522.52201</v>
          </cell>
          <cell r="F819">
            <v>7.46E-2</v>
          </cell>
          <cell r="G819">
            <v>0</v>
          </cell>
          <cell r="H819">
            <v>0</v>
          </cell>
          <cell r="I819">
            <v>0</v>
          </cell>
          <cell r="J819">
            <v>0</v>
          </cell>
          <cell r="K819">
            <v>100</v>
          </cell>
          <cell r="L819">
            <v>0</v>
          </cell>
        </row>
        <row r="820">
          <cell r="A820" t="str">
            <v>10063.03561</v>
          </cell>
          <cell r="B820" t="str">
            <v>RONDELL GROW WZ 46S7 16MM</v>
          </cell>
          <cell r="C820" t="str">
            <v xml:space="preserve">RONDELLE GROWER REDUITE BRUTE M 16 EN ACIER 46 S 7 SECTION RECTANGULAIRE / SUIVANT NORME  NF.E 25.516 - DIN 127 </v>
          </cell>
          <cell r="D820" t="str">
            <v>PE</v>
          </cell>
          <cell r="E820" t="str">
            <v>522.52201</v>
          </cell>
          <cell r="F820">
            <v>0.4</v>
          </cell>
          <cell r="G820">
            <v>0</v>
          </cell>
          <cell r="H820">
            <v>0</v>
          </cell>
          <cell r="I820">
            <v>0</v>
          </cell>
          <cell r="J820">
            <v>0</v>
          </cell>
          <cell r="K820">
            <v>0</v>
          </cell>
          <cell r="L820">
            <v>0</v>
          </cell>
        </row>
        <row r="821">
          <cell r="A821" t="str">
            <v>10065.02560</v>
          </cell>
          <cell r="B821" t="str">
            <v>ELINGUE TUBUL TEXT.ARRIMA</v>
          </cell>
          <cell r="C821" t="str">
            <v xml:space="preserve">QUINCAILLERIE ELINGUES ELINGUE CABLE ELINGUE TUBULAIRE TEXTILE ET ARRIMAGE LONGUEUR : DEVELOPPE L2=2 CAPACITE 2 TONNES </v>
          </cell>
          <cell r="D821" t="str">
            <v>PE</v>
          </cell>
          <cell r="E821" t="str">
            <v>522.52203</v>
          </cell>
          <cell r="F821">
            <v>115.7</v>
          </cell>
          <cell r="G821">
            <v>0</v>
          </cell>
          <cell r="H821">
            <v>0</v>
          </cell>
          <cell r="I821">
            <v>0</v>
          </cell>
          <cell r="J821">
            <v>0</v>
          </cell>
          <cell r="K821">
            <v>0</v>
          </cell>
          <cell r="L821">
            <v>0</v>
          </cell>
        </row>
        <row r="822">
          <cell r="A822" t="str">
            <v>10065.02602</v>
          </cell>
          <cell r="B822" t="str">
            <v>ANNEAU DE LEVAGE M12</v>
          </cell>
          <cell r="C822" t="str">
            <v xml:space="preserve">QUINCAILLERIE ANNEAU DE LEVAGE A TIGE EN ACIER ALLIE DIAMETRE TIGE SELON ISO M12 </v>
          </cell>
          <cell r="D822" t="str">
            <v>PE</v>
          </cell>
          <cell r="E822" t="str">
            <v>522.52203</v>
          </cell>
          <cell r="F822">
            <v>6.7511999999999999</v>
          </cell>
          <cell r="G822">
            <v>0</v>
          </cell>
          <cell r="H822">
            <v>0</v>
          </cell>
          <cell r="I822">
            <v>0</v>
          </cell>
          <cell r="J822">
            <v>0</v>
          </cell>
          <cell r="K822">
            <v>9</v>
          </cell>
          <cell r="L822">
            <v>0</v>
          </cell>
        </row>
        <row r="823">
          <cell r="A823" t="str">
            <v>10065.02603</v>
          </cell>
          <cell r="B823" t="str">
            <v>ANNEAU DE LEVAGE M14</v>
          </cell>
          <cell r="C823" t="str">
            <v xml:space="preserve">QUINCAILLERIE ANNEAU DE LEVAGE A TIGE EN ACIER ALLIE DIAMETRE TIGE SELON ISO M14 </v>
          </cell>
          <cell r="D823" t="str">
            <v>PE</v>
          </cell>
          <cell r="E823" t="str">
            <v>522.52203</v>
          </cell>
          <cell r="F823">
            <v>7.1489000000000003</v>
          </cell>
          <cell r="G823">
            <v>0</v>
          </cell>
          <cell r="H823">
            <v>0</v>
          </cell>
          <cell r="I823">
            <v>0</v>
          </cell>
          <cell r="J823">
            <v>0</v>
          </cell>
          <cell r="K823">
            <v>4</v>
          </cell>
          <cell r="L823">
            <v>0</v>
          </cell>
        </row>
        <row r="824">
          <cell r="A824" t="str">
            <v>10065.02604</v>
          </cell>
          <cell r="B824" t="str">
            <v>ANNEAU DE LEVAGE M16</v>
          </cell>
          <cell r="C824" t="str">
            <v xml:space="preserve">QUINCAILLERIE ANNEAU DE LEVAGE A TIGE EN ACIER ALLIE DIAMETRE TIGE SELON ISO M16 </v>
          </cell>
          <cell r="D824" t="str">
            <v>PE</v>
          </cell>
          <cell r="E824" t="str">
            <v>522.52203</v>
          </cell>
          <cell r="F824">
            <v>9.9812999999999992</v>
          </cell>
          <cell r="G824">
            <v>0</v>
          </cell>
          <cell r="H824">
            <v>0</v>
          </cell>
          <cell r="I824">
            <v>0</v>
          </cell>
          <cell r="J824">
            <v>0</v>
          </cell>
          <cell r="K824">
            <v>2</v>
          </cell>
          <cell r="L824">
            <v>0</v>
          </cell>
        </row>
        <row r="825">
          <cell r="A825" t="str">
            <v>10065.02606</v>
          </cell>
          <cell r="B825" t="str">
            <v>ANNEAU DE LEVAGE M20</v>
          </cell>
          <cell r="C825" t="str">
            <v xml:space="preserve">QUINCAILLERIE ANNEAU DE LEVAGE A TIGE EN ACIER ALLIE DIAMETRE TIGE SELON ISO M20 </v>
          </cell>
          <cell r="D825" t="str">
            <v>PE</v>
          </cell>
          <cell r="E825" t="str">
            <v>522.52203</v>
          </cell>
          <cell r="F825">
            <v>15.190200000000001</v>
          </cell>
          <cell r="G825">
            <v>0</v>
          </cell>
          <cell r="H825">
            <v>0</v>
          </cell>
          <cell r="I825">
            <v>0</v>
          </cell>
          <cell r="J825">
            <v>0</v>
          </cell>
          <cell r="K825">
            <v>2</v>
          </cell>
          <cell r="L825">
            <v>0</v>
          </cell>
        </row>
        <row r="826">
          <cell r="A826" t="str">
            <v>10061.09924</v>
          </cell>
          <cell r="B826" t="str">
            <v>TIGE FILETE 22X260+2ECROU</v>
          </cell>
          <cell r="C826" t="str">
            <v xml:space="preserve">TIGE FILETEE 22X260 MM EN ACIER A 193 GR B7 AVEC 2 ECROUS HEXAGONAUX FILETAGE ISO </v>
          </cell>
          <cell r="D826" t="str">
            <v>PE</v>
          </cell>
          <cell r="E826" t="str">
            <v>522.52201</v>
          </cell>
          <cell r="F826">
            <v>41.089599999999997</v>
          </cell>
          <cell r="G826">
            <v>0</v>
          </cell>
          <cell r="H826">
            <v>0</v>
          </cell>
          <cell r="I826">
            <v>0</v>
          </cell>
          <cell r="J826">
            <v>0</v>
          </cell>
          <cell r="K826">
            <v>19</v>
          </cell>
          <cell r="L826">
            <v>0</v>
          </cell>
        </row>
        <row r="827">
          <cell r="A827" t="str">
            <v>10063.03039</v>
          </cell>
          <cell r="B827" t="str">
            <v>RONDELLE PLATE CADMIE M18</v>
          </cell>
          <cell r="C827" t="str">
            <v>RONDELLE PLATE MOYENNE M 18 EN ACIER CADMIE A 50SUIVANT NORME  NF.E 25.513 - NF.E 25.514 - DIN 125</v>
          </cell>
          <cell r="D827" t="str">
            <v>PE</v>
          </cell>
          <cell r="E827" t="str">
            <v>522.52201</v>
          </cell>
          <cell r="F827">
            <v>1.3929</v>
          </cell>
          <cell r="G827">
            <v>0</v>
          </cell>
          <cell r="H827">
            <v>0</v>
          </cell>
          <cell r="I827">
            <v>0</v>
          </cell>
          <cell r="J827">
            <v>0</v>
          </cell>
          <cell r="K827">
            <v>0</v>
          </cell>
          <cell r="L827">
            <v>0</v>
          </cell>
        </row>
        <row r="828">
          <cell r="A828" t="str">
            <v>10063.03040</v>
          </cell>
          <cell r="B828" t="str">
            <v>RONDELLE PLATE CADMIE M20</v>
          </cell>
          <cell r="C828" t="str">
            <v>RONDELLE PLATE MOYENNE M 20 EN ACIER CADMIE A 50SUIVANT NORME  NF.E 25.513 - NF.E 25.514 - DIN 125</v>
          </cell>
          <cell r="D828" t="str">
            <v>PE</v>
          </cell>
          <cell r="E828" t="str">
            <v>522.52201</v>
          </cell>
          <cell r="F828">
            <v>1.6895</v>
          </cell>
          <cell r="G828">
            <v>0</v>
          </cell>
          <cell r="H828">
            <v>0</v>
          </cell>
          <cell r="I828">
            <v>0</v>
          </cell>
          <cell r="J828">
            <v>0</v>
          </cell>
          <cell r="K828">
            <v>0</v>
          </cell>
          <cell r="L828">
            <v>0</v>
          </cell>
        </row>
        <row r="829">
          <cell r="A829" t="str">
            <v>10061.09926</v>
          </cell>
          <cell r="B829" t="str">
            <v>TIGE FILETE 24X140+2ECROU</v>
          </cell>
          <cell r="C829" t="str">
            <v xml:space="preserve">TIGE FILETEE 24X140 MM EN ACIER A 193 GR B7 AVEC 2 ECROUS HEXAGONAUX FILETAGE ISO </v>
          </cell>
          <cell r="D829" t="str">
            <v>PE</v>
          </cell>
          <cell r="E829" t="str">
            <v>522.52201</v>
          </cell>
          <cell r="F829">
            <v>35.299399999999999</v>
          </cell>
          <cell r="G829">
            <v>0</v>
          </cell>
          <cell r="H829">
            <v>0</v>
          </cell>
          <cell r="I829">
            <v>0</v>
          </cell>
          <cell r="J829">
            <v>0</v>
          </cell>
          <cell r="K829">
            <v>0</v>
          </cell>
          <cell r="L829">
            <v>0</v>
          </cell>
        </row>
        <row r="830">
          <cell r="A830" t="str">
            <v>10063.03041</v>
          </cell>
          <cell r="B830" t="str">
            <v>RONDELLE PLATECADMIE M22</v>
          </cell>
          <cell r="C830" t="str">
            <v>RONDELLE PLATE MOYENNE M 22 EN ACIER CADMIE A 50SUIVANT NORME  NF.E 25.513 - NF.E 25.514 - DIN 125</v>
          </cell>
          <cell r="D830" t="str">
            <v>PE</v>
          </cell>
          <cell r="E830" t="str">
            <v>522.52201</v>
          </cell>
          <cell r="F830">
            <v>1.3621000000000001</v>
          </cell>
          <cell r="G830">
            <v>0</v>
          </cell>
          <cell r="H830">
            <v>0</v>
          </cell>
          <cell r="I830">
            <v>0</v>
          </cell>
          <cell r="J830">
            <v>0</v>
          </cell>
          <cell r="K830">
            <v>0</v>
          </cell>
          <cell r="L830">
            <v>0</v>
          </cell>
        </row>
        <row r="831">
          <cell r="A831" t="str">
            <v>10063.03042</v>
          </cell>
          <cell r="B831" t="str">
            <v>RONDELLE PLATE CADMIE M24</v>
          </cell>
          <cell r="C831" t="str">
            <v>RONDELLE PLATE MOYENNE M 24 EN ACIER CADMIE A 50SUIVANT NORME  NF.E 25.513 - NF.E 25.514 - DIN 125</v>
          </cell>
          <cell r="D831" t="str">
            <v>PE</v>
          </cell>
          <cell r="E831" t="str">
            <v>522.52201</v>
          </cell>
          <cell r="F831">
            <v>9.0190999999999999</v>
          </cell>
          <cell r="G831">
            <v>0</v>
          </cell>
          <cell r="H831">
            <v>0</v>
          </cell>
          <cell r="I831">
            <v>0</v>
          </cell>
          <cell r="J831">
            <v>0</v>
          </cell>
          <cell r="K831">
            <v>0</v>
          </cell>
          <cell r="L831">
            <v>150</v>
          </cell>
        </row>
        <row r="832">
          <cell r="A832" t="str">
            <v>10063.03044</v>
          </cell>
          <cell r="B832" t="str">
            <v>RONDELLE PLATE CADMIE M27</v>
          </cell>
          <cell r="C832" t="str">
            <v>RONDELLE PLATE MOYENNE M 27 EN ACIER CADMIE A 50SUIVANT NORME  NF.E 25.513 - NF.E 25.514 - DIN 125</v>
          </cell>
          <cell r="D832" t="str">
            <v>PE</v>
          </cell>
          <cell r="E832" t="str">
            <v>522.52201</v>
          </cell>
          <cell r="F832">
            <v>5.2712000000000003</v>
          </cell>
          <cell r="G832">
            <v>0</v>
          </cell>
          <cell r="H832">
            <v>0</v>
          </cell>
          <cell r="I832">
            <v>0</v>
          </cell>
          <cell r="J832">
            <v>0</v>
          </cell>
          <cell r="K832">
            <v>0</v>
          </cell>
          <cell r="L832">
            <v>0</v>
          </cell>
        </row>
        <row r="833">
          <cell r="A833" t="str">
            <v>10061.09928</v>
          </cell>
          <cell r="B833" t="str">
            <v>TIGE FILETE 28X150+2ECROU</v>
          </cell>
          <cell r="C833" t="str">
            <v xml:space="preserve">TIGE FILETEE 28X150 MM EN ACIER A 193 GR B7 AVEC 2 ECROUS HEXAGONAUX FILETAGE ISO </v>
          </cell>
          <cell r="D833" t="str">
            <v>PE</v>
          </cell>
          <cell r="E833" t="str">
            <v>522.52201</v>
          </cell>
          <cell r="F833">
            <v>60.241999999999997</v>
          </cell>
          <cell r="G833">
            <v>0</v>
          </cell>
          <cell r="H833">
            <v>0</v>
          </cell>
          <cell r="I833">
            <v>0</v>
          </cell>
          <cell r="J833">
            <v>0</v>
          </cell>
          <cell r="K833">
            <v>0</v>
          </cell>
          <cell r="L833">
            <v>0</v>
          </cell>
        </row>
        <row r="834">
          <cell r="A834" t="str">
            <v>10063.03036</v>
          </cell>
          <cell r="B834" t="str">
            <v>RONDELLE PLATE CADMIE M14</v>
          </cell>
          <cell r="C834" t="str">
            <v>RONDELLE PLATE MOYENNE M 14 EN ACIER CADMIE A 50SUIVANT NORME  NF.E 25.513 - NF.E 25.514 - DIN 125</v>
          </cell>
          <cell r="D834" t="str">
            <v>PE</v>
          </cell>
          <cell r="E834" t="str">
            <v>522.52201</v>
          </cell>
          <cell r="F834">
            <v>0.79790000000000005</v>
          </cell>
          <cell r="G834">
            <v>0</v>
          </cell>
          <cell r="H834">
            <v>0</v>
          </cell>
          <cell r="I834">
            <v>0</v>
          </cell>
          <cell r="J834">
            <v>0</v>
          </cell>
          <cell r="K834">
            <v>0</v>
          </cell>
          <cell r="L834">
            <v>0</v>
          </cell>
        </row>
        <row r="835">
          <cell r="A835" t="str">
            <v>10063.03037</v>
          </cell>
          <cell r="B835" t="str">
            <v>RONDELLE PLATE CADMIE M16</v>
          </cell>
          <cell r="C835" t="str">
            <v>RONDELLE PLATE MOYENNE M 16 EN ACIER CADMIE A 50SUIVANT NORME  NF.E 25.513 - NF.E 25.514 - DIN 125</v>
          </cell>
          <cell r="D835" t="str">
            <v>PE</v>
          </cell>
          <cell r="E835" t="str">
            <v>522.52201</v>
          </cell>
          <cell r="F835">
            <v>0.29170000000000001</v>
          </cell>
          <cell r="G835">
            <v>0</v>
          </cell>
          <cell r="H835">
            <v>0</v>
          </cell>
          <cell r="I835">
            <v>0</v>
          </cell>
          <cell r="J835">
            <v>0</v>
          </cell>
          <cell r="K835">
            <v>0</v>
          </cell>
          <cell r="L835">
            <v>0</v>
          </cell>
        </row>
        <row r="836">
          <cell r="A836" t="str">
            <v>10063.03038</v>
          </cell>
          <cell r="B836" t="str">
            <v>RONDELLE PLATE CADMIE M17</v>
          </cell>
          <cell r="C836" t="str">
            <v>RONDELLE PLATE MOYENNE M 17 EN ACIER CADMIE A 50SUIVANT NORME  NF.E 25.513 - NF.E 25.514 - DIN 125</v>
          </cell>
          <cell r="D836" t="str">
            <v>PE</v>
          </cell>
          <cell r="E836" t="str">
            <v>522.52201</v>
          </cell>
          <cell r="F836">
            <v>1.169</v>
          </cell>
          <cell r="G836">
            <v>0</v>
          </cell>
          <cell r="H836">
            <v>0</v>
          </cell>
          <cell r="I836">
            <v>0</v>
          </cell>
          <cell r="J836">
            <v>0</v>
          </cell>
          <cell r="K836">
            <v>0</v>
          </cell>
          <cell r="L836">
            <v>0</v>
          </cell>
        </row>
        <row r="837">
          <cell r="A837" t="str">
            <v>10063.01264</v>
          </cell>
          <cell r="B837" t="str">
            <v>ECROU HM 14</v>
          </cell>
          <cell r="C837" t="str">
            <v>ECROU EN ACIER INOX 304 A2 HM 14</v>
          </cell>
          <cell r="D837" t="str">
            <v>PE</v>
          </cell>
          <cell r="E837" t="str">
            <v>522.52201</v>
          </cell>
          <cell r="F837">
            <v>1.2193000000000001</v>
          </cell>
          <cell r="G837">
            <v>50</v>
          </cell>
          <cell r="H837">
            <v>0</v>
          </cell>
          <cell r="I837">
            <v>0</v>
          </cell>
          <cell r="J837">
            <v>0</v>
          </cell>
          <cell r="K837">
            <v>0</v>
          </cell>
          <cell r="L837">
            <v>0</v>
          </cell>
        </row>
        <row r="838">
          <cell r="A838" t="str">
            <v>10063.01265</v>
          </cell>
          <cell r="B838" t="str">
            <v>ECROU HM 16</v>
          </cell>
          <cell r="C838" t="str">
            <v>ECROU EN ACIER INOX 304 A2 HM 16</v>
          </cell>
          <cell r="D838" t="str">
            <v>PE</v>
          </cell>
          <cell r="E838" t="str">
            <v>522.52201</v>
          </cell>
          <cell r="F838">
            <v>1.4180999999999999</v>
          </cell>
          <cell r="G838">
            <v>0</v>
          </cell>
          <cell r="H838">
            <v>0</v>
          </cell>
          <cell r="I838">
            <v>0</v>
          </cell>
          <cell r="J838">
            <v>300</v>
          </cell>
          <cell r="K838">
            <v>500</v>
          </cell>
          <cell r="L838">
            <v>0</v>
          </cell>
        </row>
        <row r="839">
          <cell r="A839" t="str">
            <v>10063.01266</v>
          </cell>
          <cell r="B839" t="str">
            <v>ECROU HM 18</v>
          </cell>
          <cell r="C839" t="str">
            <v>ECROU EN ACIER INOX 304 A2 HM 18</v>
          </cell>
          <cell r="D839" t="str">
            <v>PE</v>
          </cell>
          <cell r="E839" t="str">
            <v>522.52201</v>
          </cell>
          <cell r="F839">
            <v>5.55</v>
          </cell>
          <cell r="G839">
            <v>0</v>
          </cell>
          <cell r="H839">
            <v>0</v>
          </cell>
          <cell r="I839">
            <v>0</v>
          </cell>
          <cell r="J839">
            <v>0</v>
          </cell>
          <cell r="K839">
            <v>100</v>
          </cell>
          <cell r="L839">
            <v>0</v>
          </cell>
        </row>
        <row r="840">
          <cell r="A840" t="str">
            <v>10063.01267</v>
          </cell>
          <cell r="B840" t="str">
            <v>ECROU HM 20</v>
          </cell>
          <cell r="C840" t="str">
            <v>ECROU EN ACIER INOX 304 A2 HM 20</v>
          </cell>
          <cell r="D840" t="str">
            <v>PE</v>
          </cell>
          <cell r="E840" t="str">
            <v>522.52201</v>
          </cell>
          <cell r="F840">
            <v>2.6027</v>
          </cell>
          <cell r="G840">
            <v>0</v>
          </cell>
          <cell r="H840">
            <v>0</v>
          </cell>
          <cell r="I840">
            <v>500</v>
          </cell>
          <cell r="J840">
            <v>300</v>
          </cell>
          <cell r="K840">
            <v>600</v>
          </cell>
          <cell r="L840">
            <v>0</v>
          </cell>
        </row>
        <row r="841">
          <cell r="A841" t="str">
            <v>10063.01263</v>
          </cell>
          <cell r="B841" t="str">
            <v>ECROU HM 12</v>
          </cell>
          <cell r="C841" t="str">
            <v>ECROU EN ACIER INOX 304 A2 HM 12</v>
          </cell>
          <cell r="D841" t="str">
            <v>PE</v>
          </cell>
          <cell r="E841" t="str">
            <v>522.52201</v>
          </cell>
          <cell r="F841">
            <v>0.73040000000000005</v>
          </cell>
          <cell r="G841">
            <v>0</v>
          </cell>
          <cell r="H841">
            <v>0</v>
          </cell>
          <cell r="I841">
            <v>0</v>
          </cell>
          <cell r="J841">
            <v>0</v>
          </cell>
          <cell r="K841">
            <v>0</v>
          </cell>
          <cell r="L841">
            <v>300</v>
          </cell>
        </row>
        <row r="842">
          <cell r="A842" t="str">
            <v>10063.03099</v>
          </cell>
          <cell r="B842" t="str">
            <v>RONDELLE PLATE INOX DIA 4</v>
          </cell>
          <cell r="C842" t="str">
            <v xml:space="preserve">RONDELLE BRUTE PLATE ETROITE M 4 EN ACIER INOXYDABLE NUANCE : AFNOR Z2 CND 17-13 / AISI 316L / UGINE NSM 22 S SUIVANT NORME NF.E 25.513 - NF.E 25.514 </v>
          </cell>
          <cell r="D842" t="str">
            <v>PE</v>
          </cell>
          <cell r="E842" t="str">
            <v>522.52201</v>
          </cell>
          <cell r="F842">
            <v>7.46E-2</v>
          </cell>
          <cell r="G842">
            <v>0</v>
          </cell>
          <cell r="H842">
            <v>0</v>
          </cell>
          <cell r="I842">
            <v>0</v>
          </cell>
          <cell r="J842">
            <v>0</v>
          </cell>
          <cell r="K842">
            <v>100</v>
          </cell>
          <cell r="L842">
            <v>0</v>
          </cell>
        </row>
        <row r="843">
          <cell r="A843" t="str">
            <v>10065.00670</v>
          </cell>
          <cell r="B843" t="str">
            <v>POULIE 4 SPB 236 MGT 63</v>
          </cell>
          <cell r="C843" t="str">
            <v xml:space="preserve">QUINCAILLERIE POULIES . . DESIGNATION : POULIE AVEC MOYEU ET DOUILLE DE SERRAGE A 4 GORGES , EXECUTION PLEINE , ALESAGE(MINI=25,MAXI=63) DIAMETRE PRIMITIF:236 NUMERO DE LA DOUILLE :63 SECTION : SPB/B TYPE MAGIC GRIP T </v>
          </cell>
          <cell r="D843" t="str">
            <v>PE</v>
          </cell>
          <cell r="E843" t="str">
            <v>515.51515</v>
          </cell>
          <cell r="F843">
            <v>468</v>
          </cell>
          <cell r="G843">
            <v>0</v>
          </cell>
          <cell r="H843">
            <v>0</v>
          </cell>
          <cell r="I843">
            <v>0</v>
          </cell>
          <cell r="J843">
            <v>0</v>
          </cell>
          <cell r="K843">
            <v>0</v>
          </cell>
          <cell r="L843">
            <v>1</v>
          </cell>
        </row>
        <row r="844">
          <cell r="A844" t="str">
            <v>10063.03100</v>
          </cell>
          <cell r="B844" t="str">
            <v>RONDELLE PLATE INOX DIA 5</v>
          </cell>
          <cell r="C844" t="str">
            <v xml:space="preserve">RONDELLE BRUTE PLATE ETROITE M 5 EN ACIER INOXYDABLE NUANCE : AFNOR Z2 CND 17-13 / AISI 316L / UGINE NSM 22 S SUIVANT NORME NF.E 25.513 - NF.E 25.514 </v>
          </cell>
          <cell r="D844" t="str">
            <v>PE</v>
          </cell>
          <cell r="E844" t="str">
            <v>522.52201</v>
          </cell>
          <cell r="F844">
            <v>9.3799999999999994E-2</v>
          </cell>
          <cell r="G844">
            <v>0</v>
          </cell>
          <cell r="H844">
            <v>0</v>
          </cell>
          <cell r="I844">
            <v>0</v>
          </cell>
          <cell r="J844">
            <v>0</v>
          </cell>
          <cell r="K844">
            <v>71</v>
          </cell>
          <cell r="L844">
            <v>0</v>
          </cell>
        </row>
        <row r="845">
          <cell r="A845" t="str">
            <v>10063.03101</v>
          </cell>
          <cell r="B845" t="str">
            <v>RONDELLE PLATE INOX DIA 6</v>
          </cell>
          <cell r="C845" t="str">
            <v xml:space="preserve">RONDELLE BRUTE PLATE ETROITE M 6 EN ACIER INOXYDABLE NUANCE : AFNOR Z2 CND 17-13 / AISI 316L / UGINE NSM 22 S SUIVANT NORME NF.E 25.513 - NF.E 25.514 </v>
          </cell>
          <cell r="D845" t="str">
            <v>PE</v>
          </cell>
          <cell r="E845" t="str">
            <v>522.52201</v>
          </cell>
          <cell r="F845">
            <v>0.2253</v>
          </cell>
          <cell r="G845">
            <v>0</v>
          </cell>
          <cell r="H845">
            <v>0</v>
          </cell>
          <cell r="I845">
            <v>0</v>
          </cell>
          <cell r="J845">
            <v>0</v>
          </cell>
          <cell r="K845">
            <v>16</v>
          </cell>
          <cell r="L845">
            <v>0</v>
          </cell>
        </row>
        <row r="846">
          <cell r="A846" t="str">
            <v>10063.03050</v>
          </cell>
          <cell r="B846" t="str">
            <v>RONDELLE PLATE CADMIE M 36</v>
          </cell>
          <cell r="C846" t="str">
            <v>RONDELLE PLATE MOYENNE M 36 EN ACIER CADMIE A 50SUIVANT NORME  NF.E 25.513 - NF.E 25.514 - DIN 125</v>
          </cell>
          <cell r="D846" t="str">
            <v>PE</v>
          </cell>
          <cell r="E846" t="str">
            <v>522.52201</v>
          </cell>
          <cell r="F846">
            <v>5.18</v>
          </cell>
          <cell r="G846">
            <v>0</v>
          </cell>
          <cell r="H846">
            <v>0</v>
          </cell>
          <cell r="I846">
            <v>0</v>
          </cell>
          <cell r="J846">
            <v>0</v>
          </cell>
          <cell r="K846">
            <v>0</v>
          </cell>
          <cell r="L846">
            <v>0</v>
          </cell>
        </row>
        <row r="847">
          <cell r="A847" t="str">
            <v>10063.03086</v>
          </cell>
          <cell r="B847" t="str">
            <v>RONDEL PLAT Z ACIER HR 21</v>
          </cell>
          <cell r="C847" t="str">
            <v xml:space="preserve">RONDELLE FINE PLATE ETROITE DIAMETRE 21 EN ACIER A HAUTE RESISTANCENUANCE C45 - 9 CLASSE ISO 8/SUIVANT NORME  NF.E 25.513-NF.E 25.514-DIN 6916  </v>
          </cell>
          <cell r="D847" t="str">
            <v>PE</v>
          </cell>
          <cell r="E847" t="str">
            <v>522.52201</v>
          </cell>
          <cell r="F847">
            <v>0.5</v>
          </cell>
          <cell r="G847">
            <v>0</v>
          </cell>
          <cell r="H847">
            <v>0</v>
          </cell>
          <cell r="I847">
            <v>0</v>
          </cell>
          <cell r="J847">
            <v>0</v>
          </cell>
          <cell r="K847">
            <v>0</v>
          </cell>
          <cell r="L847">
            <v>0</v>
          </cell>
        </row>
        <row r="848">
          <cell r="A848" t="str">
            <v>10063.03088</v>
          </cell>
          <cell r="B848" t="str">
            <v>RONDEL PLAT Z ACIER HR 25</v>
          </cell>
          <cell r="C848" t="str">
            <v xml:space="preserve">RONDELLE FINE PLATE ETROITE DIAMETRE 25 EN ACIER A HAUTE RESISTANCENUANCE C45 - 9 CLASSE ISO 8/SUIVANT NORME  NF.E 25.513-NF.E 25.514-DIN 6916  </v>
          </cell>
          <cell r="D848" t="str">
            <v>PE</v>
          </cell>
          <cell r="E848" t="str">
            <v>522.52201</v>
          </cell>
          <cell r="F848">
            <v>1.1100000000000001</v>
          </cell>
          <cell r="G848">
            <v>0</v>
          </cell>
          <cell r="H848">
            <v>0</v>
          </cell>
          <cell r="I848">
            <v>0</v>
          </cell>
          <cell r="J848">
            <v>0</v>
          </cell>
          <cell r="K848">
            <v>0</v>
          </cell>
          <cell r="L848">
            <v>0</v>
          </cell>
        </row>
        <row r="849">
          <cell r="A849" t="str">
            <v>10063.01658</v>
          </cell>
          <cell r="B849" t="str">
            <v>ECROU ACIER HH M20 N</v>
          </cell>
          <cell r="C849" t="str">
            <v>ECROU HAUT HEXAGONAL HMN 20 EN ACIER A 50 SUIVANT NORME NF.E 25.407 / FILETAGE ISO</v>
          </cell>
          <cell r="D849" t="str">
            <v>PE</v>
          </cell>
          <cell r="E849" t="str">
            <v>522.52201</v>
          </cell>
          <cell r="F849">
            <v>1.1879999999999999</v>
          </cell>
          <cell r="G849">
            <v>0</v>
          </cell>
          <cell r="H849">
            <v>0</v>
          </cell>
          <cell r="I849">
            <v>0</v>
          </cell>
          <cell r="J849">
            <v>0</v>
          </cell>
          <cell r="K849">
            <v>20</v>
          </cell>
          <cell r="L849">
            <v>0</v>
          </cell>
        </row>
        <row r="850">
          <cell r="A850" t="str">
            <v>10063.03107</v>
          </cell>
          <cell r="B850" t="str">
            <v>RONDELLE PLATE INOX DIA16</v>
          </cell>
          <cell r="C850" t="str">
            <v xml:space="preserve">RONDELLE BRUTE PLATE ETROITE M 16 EN ACIER INOXYDABLE NUANCE : AFNOR Z2 CND 17-13 / AISI 316L / UGINE NSM 22 S SUIVANT NORME NF.E 25.513  -  NF.E 25.514 </v>
          </cell>
          <cell r="D850" t="str">
            <v>PE</v>
          </cell>
          <cell r="E850" t="str">
            <v>522.52201</v>
          </cell>
          <cell r="F850">
            <v>1.5</v>
          </cell>
          <cell r="G850">
            <v>0</v>
          </cell>
          <cell r="H850">
            <v>0</v>
          </cell>
          <cell r="I850">
            <v>0</v>
          </cell>
          <cell r="J850">
            <v>0</v>
          </cell>
          <cell r="K850">
            <v>0</v>
          </cell>
          <cell r="L850">
            <v>0</v>
          </cell>
        </row>
        <row r="851">
          <cell r="A851" t="str">
            <v>10063.03108</v>
          </cell>
          <cell r="B851" t="str">
            <v>RONDELLE PLATE INOX DIA18</v>
          </cell>
          <cell r="C851" t="str">
            <v xml:space="preserve">RONDELLE BRUTE PLATE ETROITE M 18 EN ACIER INOXYDABLE NUANCE : AFNOR Z2 CND 17-13 / AISI 316L / UGINE NSM 22 S SUIVANT NORME NF.E 25.513  -  NF.E 25.514 </v>
          </cell>
          <cell r="D851" t="str">
            <v>PE</v>
          </cell>
          <cell r="E851" t="str">
            <v>522.52201</v>
          </cell>
          <cell r="F851">
            <v>2.1</v>
          </cell>
          <cell r="G851">
            <v>0</v>
          </cell>
          <cell r="H851">
            <v>0</v>
          </cell>
          <cell r="I851">
            <v>0</v>
          </cell>
          <cell r="J851">
            <v>0</v>
          </cell>
          <cell r="K851">
            <v>0</v>
          </cell>
          <cell r="L851">
            <v>0</v>
          </cell>
        </row>
        <row r="852">
          <cell r="A852" t="str">
            <v>10063.03109</v>
          </cell>
          <cell r="B852" t="str">
            <v>RONDELLE PLATE INOX DIA20</v>
          </cell>
          <cell r="C852" t="str">
            <v xml:space="preserve">RONDELLE BRUTE PLATE ETROITE M 20 EN ACIER INOXYDABLE NUANCE : AFNOR Z2 CND 17-13 / AISI 316L / UGINE NSM 22 S SUIVANT NORME NF.E 25.513  -  NF.E 25.514 </v>
          </cell>
          <cell r="D852" t="str">
            <v>PE</v>
          </cell>
          <cell r="E852" t="str">
            <v>522.52201</v>
          </cell>
          <cell r="F852">
            <v>1.5524</v>
          </cell>
          <cell r="G852">
            <v>0</v>
          </cell>
          <cell r="H852">
            <v>0</v>
          </cell>
          <cell r="I852">
            <v>0</v>
          </cell>
          <cell r="J852">
            <v>0</v>
          </cell>
          <cell r="K852">
            <v>0</v>
          </cell>
          <cell r="L852">
            <v>0</v>
          </cell>
        </row>
        <row r="853">
          <cell r="A853" t="str">
            <v>10063.03110</v>
          </cell>
          <cell r="B853" t="str">
            <v>RONDELLE PLATE INOX DIA22</v>
          </cell>
          <cell r="C853" t="str">
            <v xml:space="preserve">RONDELLE BRUTE PLATE ETROITE M 22 EN ACIER INOXYDABLE NUANCE : AFNOR Z2 CND 17-13 / AISI 316L / UGINE NSM 22 S SUIVANT NORME NF.E 25.513  -  NF.E 25.514 </v>
          </cell>
          <cell r="D853" t="str">
            <v>PE</v>
          </cell>
          <cell r="E853" t="str">
            <v>522.52201</v>
          </cell>
          <cell r="F853">
            <v>2.7</v>
          </cell>
          <cell r="G853">
            <v>0</v>
          </cell>
          <cell r="H853">
            <v>0</v>
          </cell>
          <cell r="I853">
            <v>0</v>
          </cell>
          <cell r="J853">
            <v>0</v>
          </cell>
          <cell r="K853">
            <v>0</v>
          </cell>
          <cell r="L853">
            <v>0</v>
          </cell>
        </row>
        <row r="854">
          <cell r="A854" t="str">
            <v>10063.03103</v>
          </cell>
          <cell r="B854" t="str">
            <v>RONDELLE PLATE INOX DIA 8</v>
          </cell>
          <cell r="C854" t="str">
            <v xml:space="preserve">RONDELLE BRUTE PLATE ETROITE M 8 EN ACIER INOXYDABLE NUANCE : AFNOR Z2 CND 17-13 / AISI 316L / UGINE NSM 22 S SUIVANT NORME NF.E 25.513 - NF.E 25.514 </v>
          </cell>
          <cell r="D854" t="str">
            <v>PE</v>
          </cell>
          <cell r="E854" t="str">
            <v>522.52201</v>
          </cell>
          <cell r="F854">
            <v>0.27600000000000002</v>
          </cell>
          <cell r="G854">
            <v>0</v>
          </cell>
          <cell r="H854">
            <v>0</v>
          </cell>
          <cell r="I854">
            <v>0</v>
          </cell>
          <cell r="J854">
            <v>0</v>
          </cell>
          <cell r="K854">
            <v>0</v>
          </cell>
          <cell r="L854">
            <v>0</v>
          </cell>
        </row>
        <row r="855">
          <cell r="A855" t="str">
            <v>10063.03104</v>
          </cell>
          <cell r="B855" t="str">
            <v>RONDELLE PLATE INOX DIA10</v>
          </cell>
          <cell r="C855" t="str">
            <v xml:space="preserve">RONDELLE BRUTE PLATE ETROITE M 10 EN ACIER INOXYDABLE NUANCE : AFNOR Z2 CND 17-13 / AISI 316L / UGINE NSM 22 S SUIVANT NORME NF.E 25.513 - NF.E 25.514 </v>
          </cell>
          <cell r="D855" t="str">
            <v>PE</v>
          </cell>
          <cell r="E855" t="str">
            <v>522.52201</v>
          </cell>
          <cell r="F855">
            <v>0.35</v>
          </cell>
          <cell r="G855">
            <v>0</v>
          </cell>
          <cell r="H855">
            <v>0</v>
          </cell>
          <cell r="I855">
            <v>0</v>
          </cell>
          <cell r="J855">
            <v>0</v>
          </cell>
          <cell r="K855">
            <v>2</v>
          </cell>
          <cell r="L855">
            <v>0</v>
          </cell>
        </row>
        <row r="856">
          <cell r="A856" t="str">
            <v>10063.03105</v>
          </cell>
          <cell r="B856" t="str">
            <v>RONDELLE PLATE INOX DIA12</v>
          </cell>
          <cell r="C856" t="str">
            <v xml:space="preserve">RONDELLE BRUTE PLATE ETROITE M 12 EN ACIER INOXYDABLE NUANCE : AFNOR Z2 CND 17-13 / AISI 316L / UGINE NSM 22 S SUIVANT NORME NF.E 25.513 - NF.E 25.514 </v>
          </cell>
          <cell r="D856" t="str">
            <v>PE</v>
          </cell>
          <cell r="E856" t="str">
            <v>522.52201</v>
          </cell>
          <cell r="F856">
            <v>0.95</v>
          </cell>
          <cell r="G856">
            <v>0</v>
          </cell>
          <cell r="H856">
            <v>0</v>
          </cell>
          <cell r="I856">
            <v>0</v>
          </cell>
          <cell r="J856">
            <v>0</v>
          </cell>
          <cell r="K856">
            <v>0</v>
          </cell>
          <cell r="L856">
            <v>0</v>
          </cell>
        </row>
        <row r="857">
          <cell r="A857" t="str">
            <v>10063.03106</v>
          </cell>
          <cell r="B857" t="str">
            <v>RONDELLE PLATE INOX DIA14</v>
          </cell>
          <cell r="C857" t="str">
            <v xml:space="preserve">RONDELLE BRUTE PLATE ETROITE M 14 EN ACIER INOXYDABLE NUANCE : AFNOR Z2 CND 17-13 / AISI 316L / UGINE NSM 22 S SUIVANT NORME NF.E 25.513  -  NF.E 25.514 </v>
          </cell>
          <cell r="D857" t="str">
            <v>PE</v>
          </cell>
          <cell r="E857" t="str">
            <v>522.52201</v>
          </cell>
          <cell r="F857">
            <v>1.21</v>
          </cell>
          <cell r="G857">
            <v>0</v>
          </cell>
          <cell r="H857">
            <v>0</v>
          </cell>
          <cell r="I857">
            <v>0</v>
          </cell>
          <cell r="J857">
            <v>0</v>
          </cell>
          <cell r="K857">
            <v>0</v>
          </cell>
          <cell r="L857">
            <v>0</v>
          </cell>
        </row>
        <row r="858">
          <cell r="A858" t="str">
            <v>10063.03589</v>
          </cell>
          <cell r="B858" t="str">
            <v>RONDELL GROW WL 46S7 20MM</v>
          </cell>
          <cell r="C858" t="str">
            <v xml:space="preserve">RONDELLE GROWER FORTE FINE M 20 EN ACIER 46 S 7 SECTION RECTANGULAIRE / SUIVANT NORME  NF.E 25.517 </v>
          </cell>
          <cell r="D858" t="str">
            <v>PE</v>
          </cell>
          <cell r="E858" t="str">
            <v>522.52201</v>
          </cell>
          <cell r="F858">
            <v>0.6</v>
          </cell>
          <cell r="G858">
            <v>0</v>
          </cell>
          <cell r="H858">
            <v>0</v>
          </cell>
          <cell r="I858">
            <v>0</v>
          </cell>
          <cell r="J858">
            <v>0</v>
          </cell>
          <cell r="K858">
            <v>0</v>
          </cell>
          <cell r="L858">
            <v>0</v>
          </cell>
        </row>
        <row r="859">
          <cell r="A859" t="str">
            <v>10063.01753</v>
          </cell>
          <cell r="B859" t="str">
            <v>ECROU ACIE HR HH M 30 N</v>
          </cell>
          <cell r="C859" t="str">
            <v>ECROU HAUT HEXAGONAL HM 30 PAS 3,5 EN ACIER A HAUTE RESISTANCE NUANCE XC 38  CLASSE ISO 10.9 / SUIVANT NORME DIN 934 / FILETAGE ISO</v>
          </cell>
          <cell r="D859" t="str">
            <v>PE</v>
          </cell>
          <cell r="E859" t="str">
            <v>522.52201</v>
          </cell>
          <cell r="F859">
            <v>8.5</v>
          </cell>
          <cell r="G859">
            <v>0</v>
          </cell>
          <cell r="H859">
            <v>0</v>
          </cell>
          <cell r="I859">
            <v>0</v>
          </cell>
          <cell r="J859">
            <v>0</v>
          </cell>
          <cell r="K859">
            <v>0</v>
          </cell>
          <cell r="L859">
            <v>0</v>
          </cell>
        </row>
        <row r="860">
          <cell r="A860" t="str">
            <v>10063.01363</v>
          </cell>
          <cell r="B860" t="str">
            <v>ECROU ACIER ASTM A 194 GR 2H-14MM</v>
          </cell>
          <cell r="C860" t="str">
            <v>ECOU HEXAGONAL M14 NUANCE MATIERE:ASTM A 194 GR 2H</v>
          </cell>
          <cell r="D860" t="str">
            <v>PE</v>
          </cell>
          <cell r="E860" t="str">
            <v>522.52201</v>
          </cell>
          <cell r="F860">
            <v>1.6818</v>
          </cell>
          <cell r="G860">
            <v>0</v>
          </cell>
          <cell r="H860">
            <v>0</v>
          </cell>
          <cell r="I860">
            <v>0</v>
          </cell>
          <cell r="J860">
            <v>0</v>
          </cell>
          <cell r="K860">
            <v>0</v>
          </cell>
          <cell r="L860">
            <v>0</v>
          </cell>
        </row>
        <row r="861">
          <cell r="A861" t="str">
            <v>10063.01364</v>
          </cell>
          <cell r="B861" t="str">
            <v>ECROU ACIER ASTM A 194 GR 2H-12MM</v>
          </cell>
          <cell r="C861" t="str">
            <v>ECOU HEXAGONAL M12 NUANCE MATIERE:ASTM A 194 GR 2H</v>
          </cell>
          <cell r="D861" t="str">
            <v>PE</v>
          </cell>
          <cell r="E861" t="str">
            <v>522.52201</v>
          </cell>
          <cell r="F861">
            <v>1.5236000000000001</v>
          </cell>
          <cell r="G861">
            <v>0</v>
          </cell>
          <cell r="H861">
            <v>0</v>
          </cell>
          <cell r="I861">
            <v>0</v>
          </cell>
          <cell r="J861">
            <v>0</v>
          </cell>
          <cell r="K861">
            <v>0</v>
          </cell>
          <cell r="L861">
            <v>0</v>
          </cell>
        </row>
        <row r="862">
          <cell r="A862" t="str">
            <v>10063.00538</v>
          </cell>
          <cell r="B862" t="str">
            <v>RONDELLE PLATE HR 8.8 M33</v>
          </cell>
          <cell r="C862" t="str">
            <v>RONDELLE PLATE  ACIER ALLIE HAUTE RESISTANCE CLASSE 8.8 DIAMETRE 33 MM</v>
          </cell>
          <cell r="D862" t="str">
            <v>PE</v>
          </cell>
          <cell r="E862" t="str">
            <v>522.52201</v>
          </cell>
          <cell r="F862">
            <v>3.55</v>
          </cell>
          <cell r="G862">
            <v>0</v>
          </cell>
          <cell r="H862">
            <v>0</v>
          </cell>
          <cell r="I862">
            <v>0</v>
          </cell>
          <cell r="J862">
            <v>0</v>
          </cell>
          <cell r="K862">
            <v>0</v>
          </cell>
          <cell r="L862">
            <v>150</v>
          </cell>
        </row>
        <row r="863">
          <cell r="A863" t="str">
            <v>10063.00539</v>
          </cell>
          <cell r="B863" t="str">
            <v>RONDELLE PLATE HR 8.8 M30</v>
          </cell>
          <cell r="C863" t="str">
            <v>RONDELLE PLATE  ACIER ALLIE HAUTE RESISTANCE CLASSE 8.8 DIAMETRE 30 MM</v>
          </cell>
          <cell r="D863" t="str">
            <v>PE</v>
          </cell>
          <cell r="E863" t="str">
            <v>522.52201</v>
          </cell>
          <cell r="F863">
            <v>2.09</v>
          </cell>
          <cell r="G863">
            <v>0</v>
          </cell>
          <cell r="H863">
            <v>0</v>
          </cell>
          <cell r="I863">
            <v>0</v>
          </cell>
          <cell r="J863">
            <v>0</v>
          </cell>
          <cell r="K863">
            <v>8</v>
          </cell>
          <cell r="L863">
            <v>0</v>
          </cell>
        </row>
        <row r="864">
          <cell r="A864" t="str">
            <v>10063.00540</v>
          </cell>
          <cell r="B864" t="str">
            <v>RONDELLE PLATE HR 8.8 M27</v>
          </cell>
          <cell r="C864" t="str">
            <v>RONDELLE PLATE  ACIER ALLIE HAUTE RESISTANCE CLASSE 8.8 DIAMETRE 27 MM</v>
          </cell>
          <cell r="D864" t="str">
            <v>PE</v>
          </cell>
          <cell r="E864" t="str">
            <v>522.52201</v>
          </cell>
          <cell r="F864">
            <v>1.56</v>
          </cell>
          <cell r="G864">
            <v>0</v>
          </cell>
          <cell r="H864">
            <v>0</v>
          </cell>
          <cell r="I864">
            <v>0</v>
          </cell>
          <cell r="J864">
            <v>0</v>
          </cell>
          <cell r="K864">
            <v>65</v>
          </cell>
          <cell r="L864">
            <v>0</v>
          </cell>
        </row>
        <row r="865">
          <cell r="A865" t="str">
            <v>10063.00541</v>
          </cell>
          <cell r="B865" t="str">
            <v>RONDELLE PLATE HR 8.8 M24</v>
          </cell>
          <cell r="C865" t="str">
            <v>RONDELLE PLATE  ACIER ALLIE HAUTE RESISTANCE CLASSE 8.8 DIAMETRE 24 MM</v>
          </cell>
          <cell r="D865" t="str">
            <v>PE</v>
          </cell>
          <cell r="E865" t="str">
            <v>522.52201</v>
          </cell>
          <cell r="F865">
            <v>1.1299999999999999</v>
          </cell>
          <cell r="G865">
            <v>0</v>
          </cell>
          <cell r="H865">
            <v>0</v>
          </cell>
          <cell r="I865">
            <v>0</v>
          </cell>
          <cell r="J865">
            <v>0</v>
          </cell>
          <cell r="K865">
            <v>0</v>
          </cell>
          <cell r="L865">
            <v>0</v>
          </cell>
        </row>
        <row r="866">
          <cell r="A866" t="str">
            <v>10063.00542</v>
          </cell>
          <cell r="B866" t="str">
            <v>RONDELLE PLATE HR 8.8 M22</v>
          </cell>
          <cell r="C866" t="str">
            <v>RONDELLE PLATE  ACIER ALLIE HAUTE RESISTANCE CLASSE 8.8 DIAMETRE 22 MM</v>
          </cell>
          <cell r="D866" t="str">
            <v>PE</v>
          </cell>
          <cell r="E866" t="str">
            <v>522.52201</v>
          </cell>
          <cell r="F866">
            <v>0.66</v>
          </cell>
          <cell r="G866">
            <v>0</v>
          </cell>
          <cell r="H866">
            <v>0</v>
          </cell>
          <cell r="I866">
            <v>0</v>
          </cell>
          <cell r="J866">
            <v>0</v>
          </cell>
          <cell r="K866">
            <v>0</v>
          </cell>
          <cell r="L866">
            <v>0</v>
          </cell>
        </row>
        <row r="867">
          <cell r="A867" t="str">
            <v>10063.00543</v>
          </cell>
          <cell r="B867" t="str">
            <v>RONDELLE PLATE HR 8.8 M20</v>
          </cell>
          <cell r="C867" t="str">
            <v>RONDELLE PLATE  ACIER ALLIE HAUTE RESISTANCE CLASSE 8.8 DIAMETRE 20 MM</v>
          </cell>
          <cell r="D867" t="str">
            <v>PE</v>
          </cell>
          <cell r="E867" t="str">
            <v>522.52201</v>
          </cell>
          <cell r="F867">
            <v>0.56000000000000005</v>
          </cell>
          <cell r="G867">
            <v>0</v>
          </cell>
          <cell r="H867">
            <v>0</v>
          </cell>
          <cell r="I867">
            <v>0</v>
          </cell>
          <cell r="J867">
            <v>0</v>
          </cell>
          <cell r="K867">
            <v>0</v>
          </cell>
          <cell r="L867">
            <v>0</v>
          </cell>
        </row>
        <row r="868">
          <cell r="A868" t="str">
            <v>10063.00544</v>
          </cell>
          <cell r="B868" t="str">
            <v>RONDELLE PLATE HR 8.8 M18</v>
          </cell>
          <cell r="C868" t="str">
            <v>RONDELLE PLATE  ACIER ALLIE HAUTE RESISTANCE CLASSE 8.8 DIAMETRE 18 MM</v>
          </cell>
          <cell r="D868" t="str">
            <v>PE</v>
          </cell>
          <cell r="E868" t="str">
            <v>522.52201</v>
          </cell>
          <cell r="F868">
            <v>0.51</v>
          </cell>
          <cell r="G868">
            <v>0</v>
          </cell>
          <cell r="H868">
            <v>0</v>
          </cell>
          <cell r="I868">
            <v>0</v>
          </cell>
          <cell r="J868">
            <v>0</v>
          </cell>
          <cell r="K868">
            <v>0</v>
          </cell>
          <cell r="L868">
            <v>0</v>
          </cell>
        </row>
        <row r="869">
          <cell r="A869" t="str">
            <v>10063.00545</v>
          </cell>
          <cell r="B869" t="str">
            <v>RONDELLE PLATE HR 8.8 M16</v>
          </cell>
          <cell r="C869" t="str">
            <v>RONDELLE PLATE  ACIER ALLIE HAUTE RESISTANCE CLASSE 8.8 DIAMETRE 16 MM</v>
          </cell>
          <cell r="D869" t="str">
            <v>PE</v>
          </cell>
          <cell r="E869" t="str">
            <v>522.52201</v>
          </cell>
          <cell r="F869">
            <v>0.37</v>
          </cell>
          <cell r="G869">
            <v>0</v>
          </cell>
          <cell r="H869">
            <v>0</v>
          </cell>
          <cell r="I869">
            <v>0</v>
          </cell>
          <cell r="J869">
            <v>0</v>
          </cell>
          <cell r="K869">
            <v>0</v>
          </cell>
          <cell r="L869">
            <v>0</v>
          </cell>
        </row>
        <row r="870">
          <cell r="A870" t="str">
            <v>10063.00546</v>
          </cell>
          <cell r="B870" t="str">
            <v>RONDELLE PLATE HR 8.8 M14</v>
          </cell>
          <cell r="C870" t="str">
            <v>RONDELLE PLATE  ACIER ALLIE HAUTE RESISTANCE CLASSE 8.8 DIAMETRE 14 MM</v>
          </cell>
          <cell r="D870" t="str">
            <v>PE</v>
          </cell>
          <cell r="E870" t="str">
            <v>522.52201</v>
          </cell>
          <cell r="F870">
            <v>0.31</v>
          </cell>
          <cell r="G870">
            <v>0</v>
          </cell>
          <cell r="H870">
            <v>0</v>
          </cell>
          <cell r="I870">
            <v>0</v>
          </cell>
          <cell r="J870">
            <v>0</v>
          </cell>
          <cell r="K870">
            <v>0</v>
          </cell>
          <cell r="L870">
            <v>0</v>
          </cell>
        </row>
        <row r="871">
          <cell r="A871" t="str">
            <v>10063.00547</v>
          </cell>
          <cell r="B871" t="str">
            <v>RONDELLE PLATE HR 8.8 M12</v>
          </cell>
          <cell r="C871" t="str">
            <v>RONDELLE PLATE  ACIER ALLIE HAUTE RESISTANCE CLASSE 8.8 DIAMETRE 12 MM</v>
          </cell>
          <cell r="D871" t="str">
            <v>PE</v>
          </cell>
          <cell r="E871" t="str">
            <v>522.52201</v>
          </cell>
          <cell r="F871">
            <v>0.23</v>
          </cell>
          <cell r="G871">
            <v>0</v>
          </cell>
          <cell r="H871">
            <v>0</v>
          </cell>
          <cell r="I871">
            <v>0</v>
          </cell>
          <cell r="J871">
            <v>0</v>
          </cell>
          <cell r="K871">
            <v>0</v>
          </cell>
          <cell r="L871">
            <v>0</v>
          </cell>
        </row>
        <row r="872">
          <cell r="A872" t="str">
            <v>10063.03115</v>
          </cell>
          <cell r="B872" t="str">
            <v>RONDELLE PLATE INOX DIA36</v>
          </cell>
          <cell r="C872" t="str">
            <v xml:space="preserve">RONDELLE BRUTE PLATE ETROITE M 36 EN ACIER INOXYDABLE NUANCE : AFNOR Z2 CND 17-13 / AISI 316L / UGINE NSM 22 S SUIVANT NORME NF.E 25.513  -  NF.E 25.514 </v>
          </cell>
          <cell r="D872" t="str">
            <v>PE</v>
          </cell>
          <cell r="E872" t="str">
            <v>522.52201</v>
          </cell>
          <cell r="F872">
            <v>17.470500000000001</v>
          </cell>
          <cell r="G872">
            <v>0</v>
          </cell>
          <cell r="H872">
            <v>0</v>
          </cell>
          <cell r="I872">
            <v>0</v>
          </cell>
          <cell r="J872">
            <v>12</v>
          </cell>
          <cell r="K872">
            <v>0</v>
          </cell>
          <cell r="L872">
            <v>40</v>
          </cell>
        </row>
        <row r="873">
          <cell r="A873" t="str">
            <v>10063.03116</v>
          </cell>
          <cell r="B873" t="str">
            <v>RONDELLE PLATE INOX DIA39</v>
          </cell>
          <cell r="C873" t="str">
            <v xml:space="preserve">RONDELLE BRUTE PLATE ETROITE M 39 EN ACIER INOXYDABLE NUANCE : AFNOR Z2 CND 17-13 / AISI 316L / UGINE NSM 22 S SUIVANT NORME NF.E 25.513  -  NF.E 25.514 </v>
          </cell>
          <cell r="D873" t="str">
            <v>PE</v>
          </cell>
          <cell r="E873" t="str">
            <v>522.52201</v>
          </cell>
          <cell r="F873">
            <v>33.761099999999999</v>
          </cell>
          <cell r="G873">
            <v>0</v>
          </cell>
          <cell r="H873">
            <v>0</v>
          </cell>
          <cell r="I873">
            <v>0</v>
          </cell>
          <cell r="J873">
            <v>0</v>
          </cell>
          <cell r="K873">
            <v>0</v>
          </cell>
          <cell r="L873">
            <v>106</v>
          </cell>
        </row>
        <row r="874">
          <cell r="A874" t="str">
            <v>10063.03111</v>
          </cell>
          <cell r="B874" t="str">
            <v>RONDELLE PLATE INOX DIA24</v>
          </cell>
          <cell r="C874" t="str">
            <v xml:space="preserve">RONDELLE BRUTE PLATE ETROITE M 24 EN ACIER INOXYDABLE NUANCE : AFNOR Z2 CND 17-13 / AISI 316L / UGINE NSM 22 S SUIVANT NORME NF.E 25.513  -  NF.E 25.514 </v>
          </cell>
          <cell r="D874" t="str">
            <v>PE</v>
          </cell>
          <cell r="E874" t="str">
            <v>522.52201</v>
          </cell>
          <cell r="F874">
            <v>4</v>
          </cell>
          <cell r="G874">
            <v>0</v>
          </cell>
          <cell r="H874">
            <v>0</v>
          </cell>
          <cell r="I874">
            <v>0</v>
          </cell>
          <cell r="J874">
            <v>0</v>
          </cell>
          <cell r="K874">
            <v>0</v>
          </cell>
          <cell r="L874">
            <v>0</v>
          </cell>
        </row>
        <row r="875">
          <cell r="A875" t="str">
            <v>10063.03112</v>
          </cell>
          <cell r="B875" t="str">
            <v>RONDELLE PLATE INOX DIA27</v>
          </cell>
          <cell r="C875" t="str">
            <v xml:space="preserve">RONDELLE BRUTE PLATE ETROITE M 27 EN ACIER INOXYDABLE NUANCE : AFNOR Z2 CND 17-13 / AISI 316L / UGINE NSM 22 S SUIVANT NORME NF.E 25.513  -  NF.E 25.514 </v>
          </cell>
          <cell r="D875" t="str">
            <v>PE</v>
          </cell>
          <cell r="E875" t="str">
            <v>522.52201</v>
          </cell>
          <cell r="F875">
            <v>6.4424999999999999</v>
          </cell>
          <cell r="G875">
            <v>0</v>
          </cell>
          <cell r="H875">
            <v>0</v>
          </cell>
          <cell r="I875">
            <v>0</v>
          </cell>
          <cell r="J875">
            <v>0</v>
          </cell>
          <cell r="K875">
            <v>0</v>
          </cell>
          <cell r="L875">
            <v>0</v>
          </cell>
        </row>
        <row r="876">
          <cell r="A876" t="str">
            <v>10063.03113</v>
          </cell>
          <cell r="B876" t="str">
            <v>RONDELLE PLATE INOX DIA30</v>
          </cell>
          <cell r="C876" t="str">
            <v xml:space="preserve">RONDELLE BRUTE PLATE ETROITE M 30 EN ACIER INOXYDABLE NUANCE : AFNOR Z2 CND 17-13 / AISI 316L / UGINE NSM 22 S SUIVANT NORME NF.E 25.513  -  NF.E 25.514 </v>
          </cell>
          <cell r="D876" t="str">
            <v>PE</v>
          </cell>
          <cell r="E876" t="str">
            <v>522.52201</v>
          </cell>
          <cell r="F876">
            <v>5.1681999999999997</v>
          </cell>
          <cell r="G876">
            <v>0</v>
          </cell>
          <cell r="H876">
            <v>0</v>
          </cell>
          <cell r="I876">
            <v>0</v>
          </cell>
          <cell r="J876">
            <v>0</v>
          </cell>
          <cell r="K876">
            <v>0</v>
          </cell>
          <cell r="L876">
            <v>0</v>
          </cell>
        </row>
        <row r="877">
          <cell r="A877" t="str">
            <v>10063.03114</v>
          </cell>
          <cell r="B877" t="str">
            <v>RONDELLE PLATE INOX DIA33</v>
          </cell>
          <cell r="C877" t="str">
            <v xml:space="preserve">RONDELLE BRUTE PLATE ETROITE M 33 EN ACIER INOXYDABLE NUANCE : AFNOR Z2 CND 17-13 / AISI 316L / UGINE NSM 22 S SUIVANT NORME NF.E 25.513  -  NF.E 25.514 </v>
          </cell>
          <cell r="D877" t="str">
            <v>PE</v>
          </cell>
          <cell r="E877" t="str">
            <v>522.52201</v>
          </cell>
          <cell r="F877">
            <v>10.5908</v>
          </cell>
          <cell r="G877">
            <v>0</v>
          </cell>
          <cell r="H877">
            <v>0</v>
          </cell>
          <cell r="I877">
            <v>0</v>
          </cell>
          <cell r="J877">
            <v>0</v>
          </cell>
          <cell r="K877">
            <v>0</v>
          </cell>
          <cell r="L877">
            <v>132</v>
          </cell>
        </row>
        <row r="878">
          <cell r="A878" t="str">
            <v>10061.07937</v>
          </cell>
          <cell r="B878" t="str">
            <v>ETRIER EN INOX 304L POUR TUBE DN25</v>
          </cell>
          <cell r="C878" t="str">
            <v>ETRIER EN INOX 304L SELON DIN 3570 AAVEC 2 RONDELLES DIN 125A ET 4 ECROUS DIN 934FILETAGE M10POUR TUBE DIA EXT 33MM</v>
          </cell>
          <cell r="D878" t="str">
            <v>PE</v>
          </cell>
          <cell r="E878" t="str">
            <v>522.52201</v>
          </cell>
          <cell r="F878">
            <v>45.11</v>
          </cell>
          <cell r="G878">
            <v>0</v>
          </cell>
          <cell r="H878">
            <v>0</v>
          </cell>
          <cell r="I878">
            <v>0</v>
          </cell>
          <cell r="J878">
            <v>0</v>
          </cell>
          <cell r="K878">
            <v>0</v>
          </cell>
          <cell r="L878">
            <v>0</v>
          </cell>
        </row>
        <row r="879">
          <cell r="A879" t="str">
            <v>10063.01269</v>
          </cell>
          <cell r="B879" t="str">
            <v>ECROU HM 24</v>
          </cell>
          <cell r="C879" t="str">
            <v>ECROU EN ACIER INOX 304 A2 HM 24</v>
          </cell>
          <cell r="D879" t="str">
            <v>PE</v>
          </cell>
          <cell r="E879" t="str">
            <v>522.52201</v>
          </cell>
          <cell r="F879">
            <v>4.6364999999999998</v>
          </cell>
          <cell r="G879">
            <v>0</v>
          </cell>
          <cell r="H879">
            <v>100</v>
          </cell>
          <cell r="I879">
            <v>300</v>
          </cell>
          <cell r="J879">
            <v>0</v>
          </cell>
          <cell r="K879">
            <v>0</v>
          </cell>
          <cell r="L879">
            <v>0</v>
          </cell>
        </row>
        <row r="880">
          <cell r="A880" t="str">
            <v>10063.01270</v>
          </cell>
          <cell r="B880" t="str">
            <v>ECROU HM 27</v>
          </cell>
          <cell r="C880" t="str">
            <v>ECROU EN ACIER INOX 304 A2 HM 27</v>
          </cell>
          <cell r="D880" t="str">
            <v>PE</v>
          </cell>
          <cell r="E880" t="str">
            <v>522.52201</v>
          </cell>
          <cell r="F880">
            <v>14</v>
          </cell>
          <cell r="G880">
            <v>0</v>
          </cell>
          <cell r="H880">
            <v>0</v>
          </cell>
          <cell r="I880">
            <v>0</v>
          </cell>
          <cell r="J880">
            <v>0</v>
          </cell>
          <cell r="K880">
            <v>0</v>
          </cell>
          <cell r="L880">
            <v>0</v>
          </cell>
        </row>
        <row r="881">
          <cell r="A881" t="str">
            <v>10063.01271</v>
          </cell>
          <cell r="B881" t="str">
            <v>ECROU HM 30</v>
          </cell>
          <cell r="C881" t="str">
            <v>ECROU EN ACIER INOX 304 A2 HM 30</v>
          </cell>
          <cell r="D881" t="str">
            <v>PE</v>
          </cell>
          <cell r="E881" t="str">
            <v>522.52201</v>
          </cell>
          <cell r="F881">
            <v>21</v>
          </cell>
          <cell r="G881">
            <v>0</v>
          </cell>
          <cell r="H881">
            <v>0</v>
          </cell>
          <cell r="I881">
            <v>0</v>
          </cell>
          <cell r="J881">
            <v>0</v>
          </cell>
          <cell r="K881">
            <v>0</v>
          </cell>
          <cell r="L881">
            <v>0</v>
          </cell>
        </row>
        <row r="882">
          <cell r="A882" t="str">
            <v>10065.00828</v>
          </cell>
          <cell r="B882" t="str">
            <v>POULIE 5 SPB 280</v>
          </cell>
          <cell r="C882" t="str">
            <v>POULIE 5 SPB 280 AVEC MOYEU ET DOUILLE DE SERRAGE TYPE MGT MOYEU 7060 ALESE AU DIAMETRE 55 H7 AVEC RAINURE DE CLAVETTE</v>
          </cell>
          <cell r="D882" t="str">
            <v>PE</v>
          </cell>
          <cell r="E882" t="str">
            <v>515.51515</v>
          </cell>
          <cell r="F882">
            <v>735.41669999999999</v>
          </cell>
          <cell r="G882">
            <v>0</v>
          </cell>
          <cell r="H882">
            <v>2</v>
          </cell>
          <cell r="I882">
            <v>0</v>
          </cell>
          <cell r="J882">
            <v>0</v>
          </cell>
          <cell r="K882">
            <v>0</v>
          </cell>
          <cell r="L882">
            <v>0</v>
          </cell>
        </row>
        <row r="883">
          <cell r="A883" t="str">
            <v>10065.02580</v>
          </cell>
          <cell r="B883" t="str">
            <v>ELINGUE PLATE YALE EN POLYESTER</v>
          </cell>
          <cell r="C883" t="str">
            <v>ELINGUE PLATE YALE EN POLYESTER CAPACITE 2000KG LARGEUR BANDE 75MM LONGUEUR BOUCLE 250MM LONGUEUR TOTALE 3000MM COULEUR VERTE</v>
          </cell>
          <cell r="D883" t="str">
            <v>PE</v>
          </cell>
          <cell r="E883" t="str">
            <v>522.52203</v>
          </cell>
          <cell r="F883">
            <v>127.07</v>
          </cell>
          <cell r="G883">
            <v>0</v>
          </cell>
          <cell r="H883">
            <v>0</v>
          </cell>
          <cell r="I883">
            <v>0</v>
          </cell>
          <cell r="J883">
            <v>0</v>
          </cell>
          <cell r="K883">
            <v>0</v>
          </cell>
          <cell r="L883">
            <v>0</v>
          </cell>
        </row>
        <row r="884">
          <cell r="A884" t="str">
            <v>10065.02581</v>
          </cell>
          <cell r="B884" t="str">
            <v>ELINGUE PLATE YALE EN POLYESTER</v>
          </cell>
          <cell r="C884" t="str">
            <v>ELINGUE PLATE YALE EN POLYESTER CAPACITE 3000KG LARGEUR BANDE 100MM LONGUEUR BOUCLE 300MM LONGUEUR TOTALE 3000MM COULEUR JAUNE</v>
          </cell>
          <cell r="D884" t="str">
            <v>PE</v>
          </cell>
          <cell r="E884" t="str">
            <v>522.52203</v>
          </cell>
          <cell r="F884">
            <v>164.9</v>
          </cell>
          <cell r="G884">
            <v>0</v>
          </cell>
          <cell r="H884">
            <v>0</v>
          </cell>
          <cell r="I884">
            <v>0</v>
          </cell>
          <cell r="J884">
            <v>0</v>
          </cell>
          <cell r="K884">
            <v>0</v>
          </cell>
          <cell r="L884">
            <v>0</v>
          </cell>
        </row>
        <row r="885">
          <cell r="A885" t="str">
            <v>10065.02582</v>
          </cell>
          <cell r="B885" t="str">
            <v>ELINGUE PLATE YALE EN POLYESTER</v>
          </cell>
          <cell r="C885" t="str">
            <v>ELINGUE PLATE YALE EN POLYESTER CAPACITE 4000KG LARGEUR BANDE 125MM LONGUEUR BOUCLE 370MM LONGUEUR TOTALE 4000MM COULEUR GRISE</v>
          </cell>
          <cell r="D885" t="str">
            <v>PE</v>
          </cell>
          <cell r="E885" t="str">
            <v>522.52203</v>
          </cell>
          <cell r="F885">
            <v>338.53</v>
          </cell>
          <cell r="G885">
            <v>0</v>
          </cell>
          <cell r="H885">
            <v>0</v>
          </cell>
          <cell r="I885">
            <v>0</v>
          </cell>
          <cell r="J885">
            <v>0</v>
          </cell>
          <cell r="K885">
            <v>0</v>
          </cell>
          <cell r="L885">
            <v>0</v>
          </cell>
        </row>
        <row r="886">
          <cell r="A886" t="str">
            <v>10065.02583</v>
          </cell>
          <cell r="B886" t="str">
            <v>ELINGUE PLATE YALE EN POLYESTER</v>
          </cell>
          <cell r="C886" t="str">
            <v>ELINGUE PLATE YALE EN POLYESTER CAPACITE 5000KG LARGEUR BANDE 150MM LONGUEUR BOUCLE 450MM LONGUEUR TOTALE 4000MM COULEUR ROUGE</v>
          </cell>
          <cell r="D886" t="str">
            <v>PE</v>
          </cell>
          <cell r="E886" t="str">
            <v>522.52203</v>
          </cell>
          <cell r="F886">
            <v>427.77</v>
          </cell>
          <cell r="G886">
            <v>0</v>
          </cell>
          <cell r="H886">
            <v>0</v>
          </cell>
          <cell r="I886">
            <v>0</v>
          </cell>
          <cell r="J886">
            <v>0</v>
          </cell>
          <cell r="K886">
            <v>0</v>
          </cell>
          <cell r="L886">
            <v>0</v>
          </cell>
        </row>
        <row r="887">
          <cell r="A887" t="str">
            <v>10065.02591</v>
          </cell>
          <cell r="B887" t="str">
            <v>ELINGUE RONDE YALE EN POLYESTER</v>
          </cell>
          <cell r="C887" t="str">
            <v>ELINGUE RONDE YALE EN POLYESTER CAPACITE 4000KG LONGUEUR UTILE 2000MM  LONGUEUR DEVELOPPEE 4000MM COULEUR GRISE</v>
          </cell>
          <cell r="D887" t="str">
            <v>PE</v>
          </cell>
          <cell r="E887" t="str">
            <v>522.52203</v>
          </cell>
          <cell r="F887">
            <v>144.53</v>
          </cell>
          <cell r="G887">
            <v>0</v>
          </cell>
          <cell r="H887">
            <v>0</v>
          </cell>
          <cell r="I887">
            <v>0</v>
          </cell>
          <cell r="J887">
            <v>0</v>
          </cell>
          <cell r="K887">
            <v>0</v>
          </cell>
          <cell r="L887">
            <v>0</v>
          </cell>
        </row>
        <row r="888">
          <cell r="A888" t="str">
            <v>10065.02592</v>
          </cell>
          <cell r="B888" t="str">
            <v>ELINGUE RONDE YALE EN POLYESTER</v>
          </cell>
          <cell r="C888" t="str">
            <v>ELINGUE RONDE YALE EN POLYESTER CAPACITE 5000KG LONGUEUR UTILE 2000MM  LONGUEUR DEVELOPPEE 4000MM COULEUR ROUGE</v>
          </cell>
          <cell r="D888" t="str">
            <v>PE</v>
          </cell>
          <cell r="E888" t="str">
            <v>522.52203</v>
          </cell>
          <cell r="F888">
            <v>427.77</v>
          </cell>
          <cell r="G888">
            <v>0</v>
          </cell>
          <cell r="H888">
            <v>0</v>
          </cell>
          <cell r="I888">
            <v>0</v>
          </cell>
          <cell r="J888">
            <v>0</v>
          </cell>
          <cell r="K888">
            <v>0</v>
          </cell>
          <cell r="L888">
            <v>0</v>
          </cell>
        </row>
        <row r="889">
          <cell r="A889" t="str">
            <v>10063.03711</v>
          </cell>
          <cell r="B889" t="str">
            <v>RONDELL GROWER ACIER 20MM</v>
          </cell>
          <cell r="C889" t="str">
            <v xml:space="preserve">RONDELLES EN ACIER GROWER SUIVANT NORME : NF.E 27.622 ETAT DE FINITION : SEMI FINE (POUR BOULONNERIE BRUTE) SYMBOLE : W DIAMETRE 20 MM SECTION : DU FIL : CARREE NUANCE: AFNOR 46 S 7 </v>
          </cell>
          <cell r="D889" t="str">
            <v>PE</v>
          </cell>
          <cell r="E889" t="str">
            <v>522.52201</v>
          </cell>
          <cell r="F889">
            <v>0.72</v>
          </cell>
          <cell r="G889">
            <v>0</v>
          </cell>
          <cell r="H889">
            <v>0</v>
          </cell>
          <cell r="I889">
            <v>0</v>
          </cell>
          <cell r="J889">
            <v>0</v>
          </cell>
          <cell r="K889">
            <v>0</v>
          </cell>
          <cell r="L889">
            <v>0</v>
          </cell>
        </row>
        <row r="890">
          <cell r="A890" t="str">
            <v>10063.03709</v>
          </cell>
          <cell r="B890" t="str">
            <v>RONDELL GROWER ACIER 16MM</v>
          </cell>
          <cell r="C890" t="str">
            <v xml:space="preserve">RONDELLES EN ACIER GROWER SUIVANT NORME : NF.E 27.622 ETAT DE FINITION : SEMI FINE (POUR BOULONNERIE BRUTE) SYMBOLE : W DIAMETRE 16 MM SECTION : DU FIL : CARREE NUANCE: AFNOR 46 S 7 </v>
          </cell>
          <cell r="D890" t="str">
            <v>PE</v>
          </cell>
          <cell r="E890" t="str">
            <v>522.52201</v>
          </cell>
          <cell r="F890">
            <v>0.5</v>
          </cell>
          <cell r="G890">
            <v>0</v>
          </cell>
          <cell r="H890">
            <v>0</v>
          </cell>
          <cell r="I890">
            <v>0</v>
          </cell>
          <cell r="J890">
            <v>0</v>
          </cell>
          <cell r="K890">
            <v>0</v>
          </cell>
          <cell r="L890">
            <v>0</v>
          </cell>
        </row>
        <row r="891">
          <cell r="A891" t="str">
            <v>10063.02138</v>
          </cell>
          <cell r="B891" t="str">
            <v>ECROU SECURIT XC18S D16</v>
          </cell>
          <cell r="C891" t="str">
            <v>ECROU DE SECURITE FINE M 16 X 2 EN ACIER CADMIE XC18 S SUIVANT NORME DIN 985</v>
          </cell>
          <cell r="D891" t="str">
            <v>PE</v>
          </cell>
          <cell r="E891" t="str">
            <v>522.52201</v>
          </cell>
          <cell r="F891">
            <v>0.8</v>
          </cell>
          <cell r="G891">
            <v>0</v>
          </cell>
          <cell r="H891">
            <v>0</v>
          </cell>
          <cell r="I891">
            <v>0</v>
          </cell>
          <cell r="J891">
            <v>0</v>
          </cell>
          <cell r="K891">
            <v>0</v>
          </cell>
          <cell r="L891">
            <v>0</v>
          </cell>
        </row>
        <row r="892">
          <cell r="A892" t="str">
            <v>10061.07432</v>
          </cell>
          <cell r="B892" t="str">
            <v>VIS TH EN INOX 304L</v>
          </cell>
          <cell r="C892" t="str">
            <v>VIS A TETE HEXAGONALE ENTIEREMENT FILETEE EN INOX AISI 304L SUIVANT DIN 933 HM6 X 25 MM</v>
          </cell>
          <cell r="D892" t="str">
            <v>PE</v>
          </cell>
          <cell r="E892" t="str">
            <v>522.52201</v>
          </cell>
          <cell r="F892">
            <v>0.6</v>
          </cell>
          <cell r="G892">
            <v>0</v>
          </cell>
          <cell r="H892">
            <v>0</v>
          </cell>
          <cell r="I892">
            <v>0</v>
          </cell>
          <cell r="J892">
            <v>0</v>
          </cell>
          <cell r="K892">
            <v>0</v>
          </cell>
          <cell r="L892">
            <v>0</v>
          </cell>
        </row>
        <row r="893">
          <cell r="A893" t="str">
            <v>10067.00080</v>
          </cell>
          <cell r="B893" t="str">
            <v>FLEXIBLE</v>
          </cell>
          <cell r="C893" t="str">
            <v xml:space="preserve">S/NORME : M 82 271 DE NOVEMBRE 1972 PRESSION DE SERVICE : 8 BARS  -  D'ECLATEMENT : 40 BARS DESTINATION : POUR AIR COMPRIME DIAMETRE INTERIEUR : 19 MM +0.8 EXTERIEUR : 31 MM+0.8 </v>
          </cell>
          <cell r="D893" t="str">
            <v>M</v>
          </cell>
          <cell r="E893" t="str">
            <v>522.52203</v>
          </cell>
          <cell r="F893">
            <v>16.643000000000001</v>
          </cell>
          <cell r="G893">
            <v>0</v>
          </cell>
          <cell r="H893">
            <v>0</v>
          </cell>
          <cell r="I893">
            <v>0</v>
          </cell>
          <cell r="J893">
            <v>0</v>
          </cell>
          <cell r="K893">
            <v>0</v>
          </cell>
          <cell r="L893">
            <v>0</v>
          </cell>
        </row>
        <row r="894">
          <cell r="A894" t="str">
            <v>10063.00932</v>
          </cell>
          <cell r="B894" t="str">
            <v>ECROU HEXAGONAL D16 SYM.H</v>
          </cell>
          <cell r="C894" t="str">
            <v>ECROU HEXAGONAL HMN 16 EN ACIER A 50 SUIVANT NORME NF.E 25.401- DIN 934 / FILETAGE ISO</v>
          </cell>
          <cell r="D894" t="str">
            <v>PE</v>
          </cell>
          <cell r="E894" t="str">
            <v>522.52201</v>
          </cell>
          <cell r="F894">
            <v>0.72</v>
          </cell>
          <cell r="G894">
            <v>0</v>
          </cell>
          <cell r="H894">
            <v>0</v>
          </cell>
          <cell r="I894">
            <v>0</v>
          </cell>
          <cell r="J894">
            <v>0</v>
          </cell>
          <cell r="K894">
            <v>0</v>
          </cell>
          <cell r="L894">
            <v>0</v>
          </cell>
        </row>
        <row r="895">
          <cell r="A895" t="str">
            <v>10063.00934</v>
          </cell>
          <cell r="B895" t="str">
            <v>ECROU HEXAGONAL D20 SYM.H</v>
          </cell>
          <cell r="C895" t="str">
            <v>ECROU HEXAGONAL HMN 20 EN ACIER A 50 SUIVANT NORME NF.E 25.401- DIN 934 / FILETAGE ISO</v>
          </cell>
          <cell r="D895" t="str">
            <v>PE</v>
          </cell>
          <cell r="E895" t="str">
            <v>522.52201</v>
          </cell>
          <cell r="F895">
            <v>1.2</v>
          </cell>
          <cell r="G895">
            <v>0</v>
          </cell>
          <cell r="H895">
            <v>0</v>
          </cell>
          <cell r="I895">
            <v>0</v>
          </cell>
          <cell r="J895">
            <v>0</v>
          </cell>
          <cell r="K895">
            <v>0</v>
          </cell>
          <cell r="L895">
            <v>0</v>
          </cell>
        </row>
        <row r="896">
          <cell r="A896" t="str">
            <v>10063.00981</v>
          </cell>
          <cell r="B896" t="str">
            <v>ECROU HEXAGONL D.30 A50</v>
          </cell>
          <cell r="C896" t="str">
            <v>ECROU HEXAGONAL HMU 30 EN ACIER A 50 SUIVANT NORME NF.E 25.401- DIN 934 / FILETAGE ISO</v>
          </cell>
          <cell r="D896" t="str">
            <v>PE</v>
          </cell>
          <cell r="E896" t="str">
            <v>522.52201</v>
          </cell>
          <cell r="F896">
            <v>8</v>
          </cell>
          <cell r="G896">
            <v>0</v>
          </cell>
          <cell r="H896">
            <v>0</v>
          </cell>
          <cell r="I896">
            <v>0</v>
          </cell>
          <cell r="J896">
            <v>0</v>
          </cell>
          <cell r="K896">
            <v>0</v>
          </cell>
          <cell r="L896">
            <v>0</v>
          </cell>
        </row>
        <row r="897">
          <cell r="A897" t="str">
            <v>10063.00983</v>
          </cell>
          <cell r="B897" t="str">
            <v>ECROU HEXAGONL D.36 A50</v>
          </cell>
          <cell r="C897" t="str">
            <v>ECROU HEXAGONAL HMU 36 EN ACIER A 50 SUIVANT NORME NF.E 25.401- DIN 934 / FILETAGE ISO</v>
          </cell>
          <cell r="D897" t="str">
            <v>PE</v>
          </cell>
          <cell r="E897" t="str">
            <v>522.52201</v>
          </cell>
          <cell r="F897">
            <v>10.207599999999999</v>
          </cell>
          <cell r="G897">
            <v>0</v>
          </cell>
          <cell r="H897">
            <v>0</v>
          </cell>
          <cell r="I897">
            <v>0</v>
          </cell>
          <cell r="J897">
            <v>0</v>
          </cell>
          <cell r="K897">
            <v>49</v>
          </cell>
          <cell r="L897">
            <v>0</v>
          </cell>
        </row>
        <row r="898">
          <cell r="A898" t="str">
            <v>10063.00985</v>
          </cell>
          <cell r="B898" t="str">
            <v>ECROU HEXAGONAL D42 SYM.H</v>
          </cell>
          <cell r="C898" t="str">
            <v>ECROU HEXAGONAL HMU 42 EN ACIER A 50 SUIVANT NORME NF.E 25.401- DIN 934 / FILETAGE ISO</v>
          </cell>
          <cell r="D898" t="str">
            <v>PE</v>
          </cell>
          <cell r="E898" t="str">
            <v>522.52201</v>
          </cell>
          <cell r="F898">
            <v>17.8504</v>
          </cell>
          <cell r="G898">
            <v>0</v>
          </cell>
          <cell r="H898">
            <v>139</v>
          </cell>
          <cell r="I898">
            <v>0</v>
          </cell>
          <cell r="J898">
            <v>0</v>
          </cell>
          <cell r="K898">
            <v>0</v>
          </cell>
          <cell r="L898">
            <v>0</v>
          </cell>
        </row>
        <row r="899">
          <cell r="A899" t="str">
            <v>10063.00976</v>
          </cell>
          <cell r="B899" t="str">
            <v>ECROU HEXAGONAL D18 SYM.H</v>
          </cell>
          <cell r="C899" t="str">
            <v>ECROU HEXAGONAL HMU 18 EN ACIER A 50 SUIVANT NORME NF.E 25.401- DIN 934 / FILETAGE ISO</v>
          </cell>
          <cell r="D899" t="str">
            <v>PE</v>
          </cell>
          <cell r="E899" t="str">
            <v>522.52201</v>
          </cell>
          <cell r="F899">
            <v>1.3546</v>
          </cell>
          <cell r="G899">
            <v>0</v>
          </cell>
          <cell r="H899">
            <v>0</v>
          </cell>
          <cell r="I899">
            <v>0</v>
          </cell>
          <cell r="J899">
            <v>0</v>
          </cell>
          <cell r="K899">
            <v>0</v>
          </cell>
          <cell r="L899">
            <v>0</v>
          </cell>
        </row>
        <row r="900">
          <cell r="A900" t="str">
            <v>10063.00977</v>
          </cell>
          <cell r="B900" t="str">
            <v>ECROU HEXAGONAL D20 SYM.H</v>
          </cell>
          <cell r="C900" t="str">
            <v>ECROU HEXAGONAL HMU 20 EN ACIER A 50 SUIVANT NORME NF.E 25.401- DIN 934 / FILETAGE ISO</v>
          </cell>
          <cell r="D900" t="str">
            <v>PE</v>
          </cell>
          <cell r="E900" t="str">
            <v>522.52201</v>
          </cell>
          <cell r="F900">
            <v>1.6115999999999999</v>
          </cell>
          <cell r="G900">
            <v>0</v>
          </cell>
          <cell r="H900">
            <v>0</v>
          </cell>
          <cell r="I900">
            <v>0</v>
          </cell>
          <cell r="J900">
            <v>0</v>
          </cell>
          <cell r="K900">
            <v>0</v>
          </cell>
          <cell r="L900">
            <v>0</v>
          </cell>
        </row>
        <row r="901">
          <cell r="A901" t="str">
            <v>10063.00978</v>
          </cell>
          <cell r="B901" t="str">
            <v>ECROU HEXAGONAL D22 SYM.H</v>
          </cell>
          <cell r="C901" t="str">
            <v>ECROU HEXAGONAL HMU 22 EN ACIER A 50 SUIVANT NORME NF.E 25.401- DIN 934 / FILETAGE ISO</v>
          </cell>
          <cell r="D901" t="str">
            <v>PE</v>
          </cell>
          <cell r="E901" t="str">
            <v>522.52201</v>
          </cell>
          <cell r="F901">
            <v>1.9872000000000001</v>
          </cell>
          <cell r="G901">
            <v>0</v>
          </cell>
          <cell r="H901">
            <v>0</v>
          </cell>
          <cell r="I901">
            <v>0</v>
          </cell>
          <cell r="J901">
            <v>0</v>
          </cell>
          <cell r="K901">
            <v>0</v>
          </cell>
          <cell r="L901">
            <v>0</v>
          </cell>
        </row>
        <row r="902">
          <cell r="A902" t="str">
            <v>10055.01326</v>
          </cell>
          <cell r="B902" t="str">
            <v>JET PLEIN EN PTFE DIA 120</v>
          </cell>
          <cell r="C902" t="str">
            <v xml:space="preserve">FOURNITURES POUR L'ISOLEMENT ELECTRIQUE RIGIDES  JET PLEIN  EN TEFLON POLYTETRAFLUORETHYLENE (PTFE) LONGUEUR 0,50 METRES DIAMETRE 120 MM DENSITE 2,2  POIDS SPECIFIQUE POIDS SPECIFIQUE:2,14 - 2,18  CHARGE A LA RUPTURE CHARGE A LA RUPTURE : 200 - 300 KG/CM2  ALLONGEMENT A LA RUPTURE ALLAGEMENT A LA RUPTURE 300 - 400 %  MODULE D'ELASTICITE EN TRACTION MODUL D'ELASTICIT EN TRACT 4,4X10 PUIS3 KG/CM2  DURETE ROCKWELL ALLAGEMENT A LA RUPTURE 300 - 400 0/0  DURETE SHORE DURTE SHORE D 50 - 60  CONDUCTIBILITE THERMIQUE CONDUCT THERMIQUE : 5,8 X 10 PUISS MOINS 4/CMS DEG C  TEMPERATURE DE SERVICE EN CONTINU TEMPERATURE DE SERVICE CONTINU 250 DEG C  ACTION DES ACIDES FAIBLES ACTION DES ACIDES FAIBLES : NULLE  ACTION DES ACIDES FORTES ACTION DES ACIDES FORTS : NULLE  ACTION DES BASES FAIBLES ACTION DES BASES FAIBLES.: NULLE  ACTION DES BASES FORTES ACTION DES BASES FORTES: NULLE </v>
          </cell>
          <cell r="D902" t="str">
            <v>M</v>
          </cell>
          <cell r="E902" t="str">
            <v>314.31402</v>
          </cell>
          <cell r="F902">
            <v>6479</v>
          </cell>
          <cell r="G902">
            <v>0</v>
          </cell>
          <cell r="H902">
            <v>0</v>
          </cell>
          <cell r="I902">
            <v>0</v>
          </cell>
          <cell r="J902">
            <v>0</v>
          </cell>
          <cell r="K902">
            <v>0</v>
          </cell>
          <cell r="L902">
            <v>0</v>
          </cell>
        </row>
        <row r="903">
          <cell r="A903" t="str">
            <v>10063.00979</v>
          </cell>
          <cell r="B903" t="str">
            <v>ECROU HEXAGONAL D24 SYM.H</v>
          </cell>
          <cell r="C903" t="str">
            <v>ECROU HEXAGONAL HMU 24 EN ACIER A 50 SUIVANT NORME NF.E 25.401- DIN 934 / FILETAGE ISO</v>
          </cell>
          <cell r="D903" t="str">
            <v>PE</v>
          </cell>
          <cell r="E903" t="str">
            <v>522.52201</v>
          </cell>
          <cell r="F903">
            <v>2.46</v>
          </cell>
          <cell r="G903">
            <v>0</v>
          </cell>
          <cell r="H903">
            <v>0</v>
          </cell>
          <cell r="I903">
            <v>0</v>
          </cell>
          <cell r="J903">
            <v>0</v>
          </cell>
          <cell r="K903">
            <v>0</v>
          </cell>
          <cell r="L903">
            <v>0</v>
          </cell>
        </row>
        <row r="904">
          <cell r="A904" t="str">
            <v>10063.00980</v>
          </cell>
          <cell r="B904" t="str">
            <v>ECROU HEXAGONL D.27 A50</v>
          </cell>
          <cell r="C904" t="str">
            <v>ECROU HEXAGONAL HMU 27 EN ACIER A 50 SUIVANT NORME NF.E 25.401- DIN 934 / FILETAGE ISO</v>
          </cell>
          <cell r="D904" t="str">
            <v>PE</v>
          </cell>
          <cell r="E904" t="str">
            <v>522.52201</v>
          </cell>
          <cell r="F904">
            <v>5.5678000000000001</v>
          </cell>
          <cell r="G904">
            <v>0</v>
          </cell>
          <cell r="H904">
            <v>0</v>
          </cell>
          <cell r="I904">
            <v>0</v>
          </cell>
          <cell r="J904">
            <v>0</v>
          </cell>
          <cell r="K904">
            <v>0</v>
          </cell>
          <cell r="L904">
            <v>0</v>
          </cell>
        </row>
        <row r="905">
          <cell r="A905" t="str">
            <v>10065.02512</v>
          </cell>
          <cell r="B905" t="str">
            <v>ELINGUE POLYSTER 2000KG</v>
          </cell>
          <cell r="C905" t="str">
            <v>ELINGUE POLYSTER PLATE A BOUCLES REPLIEES RENFORCEES COULEUR GRISECHARGE UTILE: 2000KG LONGUEUR: 1500MM LARGEUR: 60MM</v>
          </cell>
          <cell r="D905" t="str">
            <v>PE</v>
          </cell>
          <cell r="E905" t="str">
            <v>522.52203</v>
          </cell>
          <cell r="F905">
            <v>98.94</v>
          </cell>
          <cell r="G905">
            <v>0</v>
          </cell>
          <cell r="H905">
            <v>0</v>
          </cell>
          <cell r="I905">
            <v>0</v>
          </cell>
          <cell r="J905">
            <v>0</v>
          </cell>
          <cell r="K905">
            <v>0</v>
          </cell>
          <cell r="L905">
            <v>0</v>
          </cell>
        </row>
        <row r="906">
          <cell r="A906" t="str">
            <v>10065.00918</v>
          </cell>
          <cell r="B906" t="str">
            <v>MOYEU AMOVIBLE N°3020</v>
          </cell>
          <cell r="C906" t="str">
            <v>MOYEU AMOVIBLE N° 3020 POUR POULIE DE TRANSMISSION ALESAGE MINI 25 MM, ALESAGE MAXI 75 MMNB : DIAMETRE D'ALESAGE A PRECISER LORS DE LA COMMANDE</v>
          </cell>
          <cell r="D906" t="str">
            <v>PE</v>
          </cell>
          <cell r="E906" t="str">
            <v>515.51515</v>
          </cell>
          <cell r="F906">
            <v>126</v>
          </cell>
          <cell r="G906">
            <v>0</v>
          </cell>
          <cell r="H906">
            <v>0</v>
          </cell>
          <cell r="I906">
            <v>0</v>
          </cell>
          <cell r="J906">
            <v>0</v>
          </cell>
          <cell r="K906">
            <v>0</v>
          </cell>
          <cell r="L906">
            <v>2</v>
          </cell>
        </row>
        <row r="907">
          <cell r="A907" t="str">
            <v>10065.00973</v>
          </cell>
          <cell r="B907" t="str">
            <v>POULIE A MOYEU SPB D212MM</v>
          </cell>
          <cell r="C907" t="str">
            <v>POULIE A MOYEU ET DOUILLE DE SERRAGE TYPE MAGIC GRIP.T.SECTION:SPB.DIAMETRE: 212 MM.NOMBRE DE GORGES: 3.NUMERO DE LA DOUILLE: 60.ALESAGE MINI MAXI: 16-60.</v>
          </cell>
          <cell r="D907" t="str">
            <v>PE</v>
          </cell>
          <cell r="E907" t="str">
            <v>515.51515</v>
          </cell>
          <cell r="F907">
            <v>380</v>
          </cell>
          <cell r="G907">
            <v>0</v>
          </cell>
          <cell r="H907">
            <v>1</v>
          </cell>
          <cell r="I907">
            <v>0</v>
          </cell>
          <cell r="J907">
            <v>0</v>
          </cell>
          <cell r="K907">
            <v>0</v>
          </cell>
          <cell r="L907">
            <v>1</v>
          </cell>
        </row>
        <row r="908">
          <cell r="A908" t="str">
            <v>10065.00974</v>
          </cell>
          <cell r="B908" t="str">
            <v>POULIE A MOYEU SPC D500MM</v>
          </cell>
          <cell r="C908" t="str">
            <v>POULIE A MOYEU ET DOUILLE DE SERRAGE TYPE MAGIC GRIP.T.SECTION:SPC.DIAMETRE:500 MM.NOMBRE DE GORGES:4.NUMERO DE LA DOUILLE:90.ALESAGE MINI MAXI:35-90</v>
          </cell>
          <cell r="D908" t="str">
            <v>PE</v>
          </cell>
          <cell r="E908" t="str">
            <v>515.51515</v>
          </cell>
          <cell r="F908">
            <v>2510</v>
          </cell>
          <cell r="G908">
            <v>0</v>
          </cell>
          <cell r="H908">
            <v>0</v>
          </cell>
          <cell r="I908">
            <v>0</v>
          </cell>
          <cell r="J908">
            <v>0</v>
          </cell>
          <cell r="K908">
            <v>0</v>
          </cell>
          <cell r="L908">
            <v>2</v>
          </cell>
        </row>
        <row r="909">
          <cell r="A909" t="str">
            <v>10063.08214</v>
          </cell>
          <cell r="B909" t="str">
            <v>RONDELLE PLATE EN INOX 304L</v>
          </cell>
          <cell r="C909" t="str">
            <v>RONDELLE PLATE EN INOX AISI 304LNORME DIN 125A DIA 24MM</v>
          </cell>
          <cell r="D909" t="str">
            <v>PE</v>
          </cell>
          <cell r="E909" t="str">
            <v>522.52201</v>
          </cell>
          <cell r="F909">
            <v>2.73</v>
          </cell>
          <cell r="G909">
            <v>0</v>
          </cell>
          <cell r="H909">
            <v>0</v>
          </cell>
          <cell r="I909">
            <v>0</v>
          </cell>
          <cell r="J909">
            <v>0</v>
          </cell>
          <cell r="K909">
            <v>0</v>
          </cell>
          <cell r="L909">
            <v>0</v>
          </cell>
        </row>
        <row r="910">
          <cell r="A910" t="str">
            <v>10065.00975</v>
          </cell>
          <cell r="B910" t="str">
            <v>POULIE A MOYEU SPC D630MM</v>
          </cell>
          <cell r="C910" t="str">
            <v>POULIE A MOYEU ET DOUILLE DE SERRAGE TYPE MAGIC GRIP.T.SECTION:SPC.DIAMETRE:630 MM.NOMBRE DE GORGES:4.NUMERO DE LA DOUILLE:110.ALESAGE MINI MAXI:40-110</v>
          </cell>
          <cell r="D910" t="str">
            <v>PE</v>
          </cell>
          <cell r="E910" t="str">
            <v>515.51515</v>
          </cell>
          <cell r="F910">
            <v>3500</v>
          </cell>
          <cell r="G910">
            <v>0</v>
          </cell>
          <cell r="H910">
            <v>0</v>
          </cell>
          <cell r="I910">
            <v>0</v>
          </cell>
          <cell r="J910">
            <v>0</v>
          </cell>
          <cell r="K910">
            <v>0</v>
          </cell>
          <cell r="L910">
            <v>2</v>
          </cell>
        </row>
        <row r="911">
          <cell r="A911" t="str">
            <v>10065.00976</v>
          </cell>
          <cell r="B911" t="str">
            <v>POULIE A MOYEU SPC D300MM</v>
          </cell>
          <cell r="C911" t="str">
            <v>POULIE A MOYEU ET DOUILLE DE SERRAGE TYPE MAGIC GRIP.T.SECTION:SPC.DIAMETRE:300 MM.NOMBRE DE GORGES:8.NUMERO DE LA DOUILLE:100.ALESAGE MINI MAXI:35-100</v>
          </cell>
          <cell r="D911" t="str">
            <v>PE</v>
          </cell>
          <cell r="E911" t="str">
            <v>515.51515</v>
          </cell>
          <cell r="F911">
            <v>2500</v>
          </cell>
          <cell r="G911">
            <v>0</v>
          </cell>
          <cell r="H911">
            <v>0</v>
          </cell>
          <cell r="I911">
            <v>0</v>
          </cell>
          <cell r="J911">
            <v>0</v>
          </cell>
          <cell r="K911">
            <v>1</v>
          </cell>
          <cell r="L911">
            <v>0</v>
          </cell>
        </row>
        <row r="912">
          <cell r="A912" t="str">
            <v>10065.00977</v>
          </cell>
          <cell r="B912" t="str">
            <v>POULIE A MOYEU SPC D300MM</v>
          </cell>
          <cell r="C912" t="str">
            <v>POULIE A MOYEU ET DOUILLE DE SERRAGE TYPE MAGIC GRIP.T.SECTION:SPC.DIAMETRE:300 MM.NOMBRE DE GORGES:10.NUMERO DE LA DOUILLE:110.ALESAGE MINI MAXI:40-110</v>
          </cell>
          <cell r="D912" t="str">
            <v>PE</v>
          </cell>
          <cell r="E912" t="str">
            <v>515.51515</v>
          </cell>
          <cell r="F912">
            <v>2374</v>
          </cell>
          <cell r="G912">
            <v>1</v>
          </cell>
          <cell r="H912">
            <v>0</v>
          </cell>
          <cell r="I912">
            <v>0</v>
          </cell>
          <cell r="J912">
            <v>0</v>
          </cell>
          <cell r="K912">
            <v>1</v>
          </cell>
          <cell r="L912">
            <v>0</v>
          </cell>
        </row>
        <row r="913">
          <cell r="A913" t="str">
            <v>10065.00978</v>
          </cell>
          <cell r="B913" t="str">
            <v>POULIE A MOYEU SPC D1000MM</v>
          </cell>
          <cell r="C913" t="str">
            <v>POULIE A MOYEU ET DOUILLE DE SERRAGE TYPE MAGIC GRIP.T.SECTION:SPC.DIAMETRE:1000 MM.NOMBRE DE GORGES:10.NUMERO DE LA DOUILLE:125.ALESAGE MINI MAXI:70-125</v>
          </cell>
          <cell r="D913" t="str">
            <v>PE</v>
          </cell>
          <cell r="E913" t="str">
            <v>515.51515</v>
          </cell>
          <cell r="F913">
            <v>9600</v>
          </cell>
          <cell r="G913">
            <v>0</v>
          </cell>
          <cell r="H913">
            <v>0</v>
          </cell>
          <cell r="I913">
            <v>0</v>
          </cell>
          <cell r="J913">
            <v>0</v>
          </cell>
          <cell r="K913">
            <v>1</v>
          </cell>
          <cell r="L913">
            <v>0</v>
          </cell>
        </row>
        <row r="914">
          <cell r="A914" t="str">
            <v>10060.00043</v>
          </cell>
          <cell r="B914" t="str">
            <v>DETECTEUR DE GAZ AVEC ECRAN LCD</v>
          </cell>
          <cell r="C914" t="str">
            <v xml:space="preserve">DETECTEUR DE GAZ AVEC ECRAN LCDDETECTEUR DE GAZ  AVEC ECRAN LCD AVEC RECTO-ECLAIRAGE  LEL ( GAZ COMBUSTIBLES ) , O2 (OXYGENE ) , CO ( MONOXIDE DE CARBONE ) , H2S ( HYDROGENE SULFURE ) ET DUO-TOX CO/H2S                                                                                                                                                        MAX.3 CAPTEURS POUR LA DETECTION DE MAX.4 GAZ                                                                         ALARME ACCOUSTIQUE ( 92  DBA à 30 cm )                                                                                          ALARME VISUELLE PAR LED ROUGE                                                                                                                   ALARME PAR VIBREUR                                                                                                                                                   VLE ET VME                                                                                                                                       DATALOGGING                                                                                                                                            COLLECTEUR D'EVENEMENTS INTEGRE : ENREGISTRE LES 20 DERNIERS EVENEMENTS , Y COMPRIS LE TYPE DE CAPTEUR , LE RELEVE MOYEN , L'HEURE ET LA DUREE                                            TELECHARGEMENT SUR PC VIA COMMUNICATION INFRAROUGE                                                             TOUS LES FONCTIONS PEUVENT UTILISER AVEC UNE SEULE TOUCHE                                                                                                                                              COMPACT ET LEGER ( 220 GRAMMES )                                                                                                             BOITIER SOLIDE EN MATIERE SYNTHETIQUE AVEC ETUI DE PROTECTION INTEGRE                                                                                                                                                      CLIP CROCODILE AVEC VEROUILLAGE                                                                                                             INDICE DE PROTECTION IP X5                                                                                                                              ATEX ( DEMKO ) Ex ia d IIC T4                                                                                                                 ENREGISTREUR DE DONNEES TYPE BOITE NOIR LEQUEL SAUVEGARDE LES DONNEES DES DERNIERES 40 HEURES                                                                                                                                                   ETALONNAGE AUTOMATIQUE OU TEST DE SECOUSSE POSSIBLE A L'AIDE DE L'IQ EXPRESS DOCKING STATION DIMENSIONS : 114X68X43 MMPOIDS : 220 GRAMMES                                                                                                         </v>
          </cell>
          <cell r="D914" t="str">
            <v>PE</v>
          </cell>
          <cell r="E914" t="str">
            <v>512.51201</v>
          </cell>
          <cell r="F914">
            <v>45000</v>
          </cell>
          <cell r="G914">
            <v>0</v>
          </cell>
          <cell r="H914">
            <v>0</v>
          </cell>
          <cell r="I914">
            <v>0</v>
          </cell>
          <cell r="J914">
            <v>0</v>
          </cell>
          <cell r="K914">
            <v>0</v>
          </cell>
          <cell r="L914">
            <v>2</v>
          </cell>
        </row>
        <row r="915">
          <cell r="A915" t="str">
            <v>10060.02352</v>
          </cell>
          <cell r="B915" t="str">
            <v>MANOMETRE.TUB.BOURDON.BAS</v>
          </cell>
          <cell r="C915" t="str">
            <v xml:space="preserve">MANOMETRE A TUBE DE BOURDON CONSTRUCTION INOX 316L BAIN GLYCERINE ETANCHEITE DU BOITIER IP 55 CLASSE DE PRECISION : 1 DIAMETRE DU BOITIER EN (MM) : 100 MM DIAMETRE DU RACCORD 1/2 POUCE ECHELLE 0-6 BAR POSITION DU RACCORD : EN BAS COLLERETTE SANS MATIERE ELEMENT PRIMAIRE INOX 316L </v>
          </cell>
          <cell r="D915" t="str">
            <v>PE</v>
          </cell>
          <cell r="E915" t="str">
            <v>512.51201</v>
          </cell>
          <cell r="F915">
            <v>308</v>
          </cell>
          <cell r="G915">
            <v>0</v>
          </cell>
          <cell r="H915">
            <v>0</v>
          </cell>
          <cell r="I915">
            <v>4</v>
          </cell>
          <cell r="J915">
            <v>0</v>
          </cell>
          <cell r="K915">
            <v>0</v>
          </cell>
          <cell r="L915">
            <v>0</v>
          </cell>
        </row>
        <row r="916">
          <cell r="A916" t="str">
            <v>10065.02109</v>
          </cell>
          <cell r="B916" t="str">
            <v>MOYEU AMOVIBLE</v>
          </cell>
          <cell r="C916" t="str">
            <v>MOYEU AMOVIBLE TYPE 4545 POUR POULIE DE TRANSMISSION ALESAGE MINI : 55 MMALESAGE MAXI : 120 MM NB : DIAMETRE D'ALESAGE A PRECISER LORS DE LA COMMANDE</v>
          </cell>
          <cell r="D916" t="str">
            <v>PE</v>
          </cell>
          <cell r="E916" t="str">
            <v>515.51515</v>
          </cell>
          <cell r="F916">
            <v>530.01</v>
          </cell>
          <cell r="G916">
            <v>0</v>
          </cell>
          <cell r="H916">
            <v>0</v>
          </cell>
          <cell r="I916">
            <v>0</v>
          </cell>
          <cell r="J916">
            <v>0</v>
          </cell>
          <cell r="K916">
            <v>0</v>
          </cell>
          <cell r="L916">
            <v>2</v>
          </cell>
        </row>
        <row r="917">
          <cell r="A917" t="str">
            <v>10062.05400</v>
          </cell>
          <cell r="B917" t="str">
            <v>BOULON A50</v>
          </cell>
          <cell r="C917" t="str">
            <v xml:space="preserve">BOULON HMN 20 X 180 X 52 VIS TETE HEXAGONALE PARTIELEMENT FILETEE ET ECROU HEXAGONAL EN ACIER A50SUIVANT NORME NFE 25 115 ET NFE 25 401  /  FILETAGE ISONUANCE: AFNOR: A50 </v>
          </cell>
          <cell r="D917" t="str">
            <v>PE</v>
          </cell>
          <cell r="E917" t="str">
            <v>522.52201</v>
          </cell>
          <cell r="F917">
            <v>21.83</v>
          </cell>
          <cell r="G917">
            <v>0</v>
          </cell>
          <cell r="H917">
            <v>0</v>
          </cell>
          <cell r="I917">
            <v>0</v>
          </cell>
          <cell r="J917">
            <v>0</v>
          </cell>
          <cell r="K917">
            <v>0</v>
          </cell>
          <cell r="L917">
            <v>0</v>
          </cell>
        </row>
        <row r="918">
          <cell r="A918" t="str">
            <v>10061.09708</v>
          </cell>
          <cell r="B918" t="str">
            <v>TIGE FILETEE DIA 12 MM</v>
          </cell>
          <cell r="C918" t="str">
            <v>TIGE FILETEE EN ACIER A 50 LONGUEUR 1 METRE   /  DIAMETRE 12 MM   /  PAS ISO</v>
          </cell>
          <cell r="D918" t="str">
            <v>M</v>
          </cell>
          <cell r="E918" t="str">
            <v>522.52201</v>
          </cell>
          <cell r="F918">
            <v>9.18</v>
          </cell>
          <cell r="G918">
            <v>0</v>
          </cell>
          <cell r="H918">
            <v>0</v>
          </cell>
          <cell r="I918">
            <v>0</v>
          </cell>
          <cell r="J918">
            <v>0</v>
          </cell>
          <cell r="K918">
            <v>15</v>
          </cell>
          <cell r="L918">
            <v>0</v>
          </cell>
        </row>
        <row r="919">
          <cell r="A919" t="str">
            <v>10061.09710</v>
          </cell>
          <cell r="B919" t="str">
            <v>TIGE FILETEE DIA 16 MM</v>
          </cell>
          <cell r="C919" t="str">
            <v>TIGE FILETEE EN ACIER A 50 LONGUEUR 1 METRE   /  DIAMETRE 16 MM   /  PAS ISO</v>
          </cell>
          <cell r="D919" t="str">
            <v>M</v>
          </cell>
          <cell r="E919" t="str">
            <v>522.52201</v>
          </cell>
          <cell r="F919">
            <v>28.423500000000001</v>
          </cell>
          <cell r="G919">
            <v>0</v>
          </cell>
          <cell r="H919">
            <v>0</v>
          </cell>
          <cell r="I919">
            <v>60</v>
          </cell>
          <cell r="J919">
            <v>4</v>
          </cell>
          <cell r="K919">
            <v>20</v>
          </cell>
          <cell r="L919">
            <v>392</v>
          </cell>
        </row>
        <row r="920">
          <cell r="A920" t="str">
            <v>10065.00301</v>
          </cell>
          <cell r="B920" t="str">
            <v>ELINGUE CHAINE REGLABLE CLASSE 8(NF.E N 818-4)</v>
          </cell>
          <cell r="C920" t="str">
            <v xml:space="preserve">ELINGUE CHAINE REGLABLE CLASSE 8(NF.E N 818-4) , COEF.DE SECURITE=4 - CHARGE: 7500KG , 2 BRINS REGLABLES - LONG.BRINS=5METRES AVEC CROCHET , GENRE: MANUTAN OU EQUIVALENT </v>
          </cell>
          <cell r="D920" t="str">
            <v>PE</v>
          </cell>
          <cell r="E920" t="str">
            <v>522.52203</v>
          </cell>
          <cell r="F920">
            <v>1443.36</v>
          </cell>
          <cell r="G920">
            <v>0</v>
          </cell>
          <cell r="H920">
            <v>0</v>
          </cell>
          <cell r="I920">
            <v>0</v>
          </cell>
          <cell r="J920">
            <v>0</v>
          </cell>
          <cell r="K920">
            <v>0</v>
          </cell>
          <cell r="L920">
            <v>0</v>
          </cell>
        </row>
        <row r="921">
          <cell r="A921" t="str">
            <v>10065.00299</v>
          </cell>
          <cell r="B921" t="str">
            <v>ELINGUE CHAINE REGLABLE CLASSE 8(NF.E N 818-4)</v>
          </cell>
          <cell r="C921" t="str">
            <v xml:space="preserve">ELINGUE CHAINE REGLABLE CLASSE 8(NF.E N 818-4) , COEF.DE SECURITE=4 - CHARGE: 3150KG , 4 BRINS REGLABLES - LONG.BRINS=3METRES AVEC CROCHET , GENRE: MANUTAN OU EQUIVALENT </v>
          </cell>
          <cell r="D921" t="str">
            <v>PE</v>
          </cell>
          <cell r="E921" t="str">
            <v>522.52203</v>
          </cell>
          <cell r="F921">
            <v>1385.16</v>
          </cell>
          <cell r="G921">
            <v>0</v>
          </cell>
          <cell r="H921">
            <v>0</v>
          </cell>
          <cell r="I921">
            <v>0</v>
          </cell>
          <cell r="J921">
            <v>0</v>
          </cell>
          <cell r="K921">
            <v>1</v>
          </cell>
          <cell r="L921">
            <v>0</v>
          </cell>
        </row>
        <row r="922">
          <cell r="A922" t="str">
            <v>10065.00300</v>
          </cell>
          <cell r="B922" t="str">
            <v>ELINGUE CHAINE REGLABLE CLASSE 8(NF.E N 818-4)</v>
          </cell>
          <cell r="C922" t="str">
            <v xml:space="preserve">ELINGUE CHAINE REGLABLE CLASSE 8(NF.E N 818-4) , COEF.DE SECURITE=4 - CHARGE: 2120KG , 2 BRINS REGLABLES - LONG.BRINS=3METRES AVEC CROCHET , GENRE: MANUTAN OU EQUIVALENT </v>
          </cell>
          <cell r="D922" t="str">
            <v>PE</v>
          </cell>
          <cell r="E922" t="str">
            <v>522.52203</v>
          </cell>
          <cell r="F922">
            <v>743.02</v>
          </cell>
          <cell r="G922">
            <v>0</v>
          </cell>
          <cell r="H922">
            <v>0</v>
          </cell>
          <cell r="I922">
            <v>0</v>
          </cell>
          <cell r="J922">
            <v>0</v>
          </cell>
          <cell r="K922">
            <v>1</v>
          </cell>
          <cell r="L922">
            <v>0</v>
          </cell>
        </row>
        <row r="923">
          <cell r="A923" t="str">
            <v>10061.09706</v>
          </cell>
          <cell r="B923" t="str">
            <v>TIGE FILETEE DIA 8 MM</v>
          </cell>
          <cell r="C923" t="str">
            <v>TIGE FILETEE EN ACIER A 50 LONGUEUR 1 METRE   /  DIAMETRE 8 MM   /  PAS ISO</v>
          </cell>
          <cell r="D923" t="str">
            <v>M</v>
          </cell>
          <cell r="E923" t="str">
            <v>522.52201</v>
          </cell>
          <cell r="F923">
            <v>7.8756000000000004</v>
          </cell>
          <cell r="G923">
            <v>0</v>
          </cell>
          <cell r="H923">
            <v>0</v>
          </cell>
          <cell r="I923">
            <v>0</v>
          </cell>
          <cell r="J923">
            <v>0</v>
          </cell>
          <cell r="K923">
            <v>0</v>
          </cell>
          <cell r="L923">
            <v>54</v>
          </cell>
        </row>
        <row r="924">
          <cell r="A924" t="str">
            <v>10061.09707</v>
          </cell>
          <cell r="B924" t="str">
            <v>TIGE FILETEE DIA 10 MM</v>
          </cell>
          <cell r="C924" t="str">
            <v>TIGE FILETEE EN ACIER A 50 LONGUEUR 1 METRE   /  DIAMETRE 10 MM   /  PAS ISO</v>
          </cell>
          <cell r="D924" t="str">
            <v>M</v>
          </cell>
          <cell r="E924" t="str">
            <v>522.52201</v>
          </cell>
          <cell r="F924">
            <v>6.9</v>
          </cell>
          <cell r="G924">
            <v>0</v>
          </cell>
          <cell r="H924">
            <v>0</v>
          </cell>
          <cell r="I924">
            <v>0</v>
          </cell>
          <cell r="J924">
            <v>0</v>
          </cell>
          <cell r="K924">
            <v>37</v>
          </cell>
          <cell r="L924">
            <v>0</v>
          </cell>
        </row>
        <row r="925">
          <cell r="A925" t="str">
            <v>10058.02201</v>
          </cell>
          <cell r="B925" t="str">
            <v>PANCARTES  ET  AFFICHES  "ALUMETAL"</v>
          </cell>
          <cell r="C925" t="str">
            <v>PANCARTES  ET  AFFICHES "ALUMETAL".COTE=100MM . PERCAGE=4,5MM. ENTRAXES=90MM        NOMBRE= 3      GENRE : CATU = AM-346 , OU EQUIVALENT</v>
          </cell>
          <cell r="D925" t="str">
            <v>PE</v>
          </cell>
          <cell r="E925" t="str">
            <v>522.52217</v>
          </cell>
          <cell r="F925">
            <v>45</v>
          </cell>
          <cell r="G925">
            <v>0</v>
          </cell>
          <cell r="H925">
            <v>0</v>
          </cell>
          <cell r="I925">
            <v>0</v>
          </cell>
          <cell r="J925">
            <v>0</v>
          </cell>
          <cell r="K925">
            <v>0</v>
          </cell>
          <cell r="L925">
            <v>0</v>
          </cell>
        </row>
        <row r="926">
          <cell r="A926" t="str">
            <v>10063.01354</v>
          </cell>
          <cell r="B926" t="str">
            <v>ECROU ACIER ASTM A 194 GR 2H-36MM</v>
          </cell>
          <cell r="C926" t="str">
            <v>ECOU HEXAGONAL M36 NUANCE MATIERE:ASTM A 194 GR 2H</v>
          </cell>
          <cell r="D926" t="str">
            <v>PE</v>
          </cell>
          <cell r="E926" t="str">
            <v>522.52201</v>
          </cell>
          <cell r="F926">
            <v>15.648</v>
          </cell>
          <cell r="G926">
            <v>0</v>
          </cell>
          <cell r="H926">
            <v>0</v>
          </cell>
          <cell r="I926">
            <v>0</v>
          </cell>
          <cell r="J926">
            <v>1</v>
          </cell>
          <cell r="K926">
            <v>0</v>
          </cell>
          <cell r="L926">
            <v>59</v>
          </cell>
        </row>
        <row r="927">
          <cell r="A927" t="str">
            <v>10063.01355</v>
          </cell>
          <cell r="B927" t="str">
            <v>ECROU ACIER ASTM A 194 GR 2H-33MM</v>
          </cell>
          <cell r="C927" t="str">
            <v>ECOU HEXAGONAL M33 NUANCE MATIERE:ASTM A 194 GR 2H</v>
          </cell>
          <cell r="D927" t="str">
            <v>PE</v>
          </cell>
          <cell r="E927" t="str">
            <v>522.52201</v>
          </cell>
          <cell r="F927">
            <v>11.614000000000001</v>
          </cell>
          <cell r="G927">
            <v>0</v>
          </cell>
          <cell r="H927">
            <v>0</v>
          </cell>
          <cell r="I927">
            <v>0</v>
          </cell>
          <cell r="J927">
            <v>0</v>
          </cell>
          <cell r="K927">
            <v>0</v>
          </cell>
          <cell r="L927">
            <v>0</v>
          </cell>
        </row>
        <row r="928">
          <cell r="A928" t="str">
            <v>10063.01356</v>
          </cell>
          <cell r="B928" t="str">
            <v>ECROU ACIER ASTM A 194 GR 2H-30MM</v>
          </cell>
          <cell r="C928" t="str">
            <v>ECOU HEXAGONAL M30 NUANCE MATIERE:ASTM A 194 GR 2H</v>
          </cell>
          <cell r="D928" t="str">
            <v>PE</v>
          </cell>
          <cell r="E928" t="str">
            <v>522.52201</v>
          </cell>
          <cell r="F928">
            <v>10.7729</v>
          </cell>
          <cell r="G928">
            <v>0</v>
          </cell>
          <cell r="H928">
            <v>0</v>
          </cell>
          <cell r="I928">
            <v>0</v>
          </cell>
          <cell r="J928">
            <v>0</v>
          </cell>
          <cell r="K928">
            <v>0</v>
          </cell>
          <cell r="L928">
            <v>0</v>
          </cell>
        </row>
        <row r="929">
          <cell r="A929" t="str">
            <v>10063.01357</v>
          </cell>
          <cell r="B929" t="str">
            <v>ECROU ACIER ASTM A 194 GR 2H-27MM</v>
          </cell>
          <cell r="C929" t="str">
            <v>ECOU HEXAGONAL M27 NUANCE MATIERE:ASTM A 194 GR 2H</v>
          </cell>
          <cell r="D929" t="str">
            <v>PE</v>
          </cell>
          <cell r="E929" t="str">
            <v>522.52201</v>
          </cell>
          <cell r="F929">
            <v>6.8978000000000002</v>
          </cell>
          <cell r="G929">
            <v>0</v>
          </cell>
          <cell r="H929">
            <v>0</v>
          </cell>
          <cell r="I929">
            <v>0</v>
          </cell>
          <cell r="J929">
            <v>0</v>
          </cell>
          <cell r="K929">
            <v>0</v>
          </cell>
          <cell r="L929">
            <v>0</v>
          </cell>
        </row>
        <row r="930">
          <cell r="A930" t="str">
            <v>10063.01358</v>
          </cell>
          <cell r="B930" t="str">
            <v>ECROU ACIER ASTM A 194 GR 2H-24MM</v>
          </cell>
          <cell r="C930" t="str">
            <v>ECOU HEXAGONAL M24 NUANCE MATIERE:ASTM A 194 GR 2H</v>
          </cell>
          <cell r="D930" t="str">
            <v>PE</v>
          </cell>
          <cell r="E930" t="str">
            <v>522.52201</v>
          </cell>
          <cell r="F930">
            <v>5.2159000000000004</v>
          </cell>
          <cell r="G930">
            <v>0</v>
          </cell>
          <cell r="H930">
            <v>0</v>
          </cell>
          <cell r="I930">
            <v>0</v>
          </cell>
          <cell r="J930">
            <v>0</v>
          </cell>
          <cell r="K930">
            <v>0</v>
          </cell>
          <cell r="L930">
            <v>0</v>
          </cell>
        </row>
        <row r="931">
          <cell r="A931" t="str">
            <v>10063.01359</v>
          </cell>
          <cell r="B931" t="str">
            <v>ECROU ACIER ASTM A 194 GR 2H-22MM</v>
          </cell>
          <cell r="C931" t="str">
            <v>ECOU HEXAGONAL M22 NUANCE MATIERE:ASTM A 194 GR 2H</v>
          </cell>
          <cell r="D931" t="str">
            <v>PE</v>
          </cell>
          <cell r="E931" t="str">
            <v>522.52201</v>
          </cell>
          <cell r="F931">
            <v>4.375</v>
          </cell>
          <cell r="G931">
            <v>0</v>
          </cell>
          <cell r="H931">
            <v>0</v>
          </cell>
          <cell r="I931">
            <v>0</v>
          </cell>
          <cell r="J931">
            <v>0</v>
          </cell>
          <cell r="K931">
            <v>0</v>
          </cell>
          <cell r="L931">
            <v>658</v>
          </cell>
        </row>
        <row r="932">
          <cell r="A932" t="str">
            <v>10063.01360</v>
          </cell>
          <cell r="B932" t="str">
            <v>ECROU ACIER ASTM A 194 GR 2H-20MM</v>
          </cell>
          <cell r="C932" t="str">
            <v>ECOU HEXAGONAL M20 NUANCE MATIERE:ASTM A 194 GR 2H</v>
          </cell>
          <cell r="D932" t="str">
            <v>PE</v>
          </cell>
          <cell r="E932" t="str">
            <v>522.52201</v>
          </cell>
          <cell r="F932">
            <v>2.8639000000000001</v>
          </cell>
          <cell r="G932">
            <v>0</v>
          </cell>
          <cell r="H932">
            <v>0</v>
          </cell>
          <cell r="I932">
            <v>0</v>
          </cell>
          <cell r="J932">
            <v>0</v>
          </cell>
          <cell r="K932">
            <v>0</v>
          </cell>
          <cell r="L932">
            <v>0</v>
          </cell>
        </row>
        <row r="933">
          <cell r="A933" t="str">
            <v>10063.01361</v>
          </cell>
          <cell r="B933" t="str">
            <v>ECROU ACIER ASTM A 194 GR 2H-18MM</v>
          </cell>
          <cell r="C933" t="str">
            <v>ECOU HEXAGONAL M18 NUANCE MATIERE:ASTM A 194 GR 2H</v>
          </cell>
          <cell r="D933" t="str">
            <v>PE</v>
          </cell>
          <cell r="E933" t="str">
            <v>522.52201</v>
          </cell>
          <cell r="F933">
            <v>2.5226000000000002</v>
          </cell>
          <cell r="G933">
            <v>0</v>
          </cell>
          <cell r="H933">
            <v>46</v>
          </cell>
          <cell r="I933">
            <v>4</v>
          </cell>
          <cell r="J933">
            <v>0</v>
          </cell>
          <cell r="K933">
            <v>4</v>
          </cell>
          <cell r="L933">
            <v>118</v>
          </cell>
        </row>
        <row r="934">
          <cell r="A934" t="str">
            <v>10063.01362</v>
          </cell>
          <cell r="B934" t="str">
            <v>ECROU ACIER ASTM A 194 GR 2H-16MM</v>
          </cell>
          <cell r="C934" t="str">
            <v>ECOU HEXAGONAL M16 NUANCE MATIERE:ASTM A 194 GR 2H</v>
          </cell>
          <cell r="D934" t="str">
            <v>PE</v>
          </cell>
          <cell r="E934" t="str">
            <v>522.52201</v>
          </cell>
          <cell r="F934">
            <v>1.6817</v>
          </cell>
          <cell r="G934">
            <v>0</v>
          </cell>
          <cell r="H934">
            <v>0</v>
          </cell>
          <cell r="I934">
            <v>0</v>
          </cell>
          <cell r="J934">
            <v>0</v>
          </cell>
          <cell r="K934">
            <v>0</v>
          </cell>
          <cell r="L934">
            <v>0</v>
          </cell>
        </row>
        <row r="935">
          <cell r="A935" t="str">
            <v>10065.00696</v>
          </cell>
          <cell r="B935" t="str">
            <v>POULIE 4 SPC/C 280 MGT 80</v>
          </cell>
          <cell r="C935" t="str">
            <v xml:space="preserve">QUINCAILLERIE POULIES . . DESIGNATION : POULIE A 4 GORGES AVEC MOYEU ET DOUILLE DE SERRAGE , ALESAGE:32-80,EXECUTION:ATOILE,NUMERO DE LA DOUILLE:80DIAMETRE PRIMITIF:280MM SECTION : SPC/C TYPE MAGIC GRIP T </v>
          </cell>
          <cell r="D935" t="str">
            <v>PE</v>
          </cell>
          <cell r="E935" t="str">
            <v>515.51515</v>
          </cell>
          <cell r="F935">
            <v>1157.277</v>
          </cell>
          <cell r="G935">
            <v>0</v>
          </cell>
          <cell r="H935">
            <v>1</v>
          </cell>
          <cell r="I935">
            <v>0</v>
          </cell>
          <cell r="J935">
            <v>0</v>
          </cell>
          <cell r="K935">
            <v>0</v>
          </cell>
          <cell r="L935">
            <v>0</v>
          </cell>
        </row>
        <row r="936">
          <cell r="A936" t="str">
            <v>10065.00937</v>
          </cell>
          <cell r="B936" t="str">
            <v>POULI DIA355 3GOR DOUI 80</v>
          </cell>
          <cell r="C936" t="str">
            <v xml:space="preserve">QUINCAILLERIE POULIES AVEC MOYEU ET DOUILLE DE SERRAGE . DIAMETRE PRIMITIF = 355 MM SECTION : SPB/B NUMERO DE LA DOUILLE = 80 ALESAGE MINI = 32 - MAXI = 80 TYPE MAGIC GRIP T NOMBRE DE GORGES : 3 EXECUTION A BRAS </v>
          </cell>
          <cell r="D936" t="str">
            <v>PE</v>
          </cell>
          <cell r="E936" t="str">
            <v>515.51515</v>
          </cell>
          <cell r="F936">
            <v>780</v>
          </cell>
          <cell r="G936">
            <v>0</v>
          </cell>
          <cell r="H936">
            <v>0</v>
          </cell>
          <cell r="I936">
            <v>1</v>
          </cell>
          <cell r="J936">
            <v>0</v>
          </cell>
          <cell r="K936">
            <v>0</v>
          </cell>
          <cell r="L936">
            <v>1</v>
          </cell>
        </row>
        <row r="937">
          <cell r="A937" t="str">
            <v>10065.00938</v>
          </cell>
          <cell r="B937" t="str">
            <v>POULI DIA212 4GOR DOUI 63</v>
          </cell>
          <cell r="C937" t="str">
            <v xml:space="preserve">QUINCAILLERIE POULIES AVEC MOYEU ET DOUILLE DE SERRAGE . DIAMETRE PRIMITIF : 212 MM SECTION : SPB/B NUMERO DE DOUILLE : 63 ALESAGE MINI : 25 - MAXI : 63 TYPE MAGIC GRIP T NOMBRE DE GORGES : 4 EXECUTION PLEINE </v>
          </cell>
          <cell r="D937" t="str">
            <v>PE</v>
          </cell>
          <cell r="E937" t="str">
            <v>515.51515</v>
          </cell>
          <cell r="F937">
            <v>470</v>
          </cell>
          <cell r="G937">
            <v>0</v>
          </cell>
          <cell r="H937">
            <v>0</v>
          </cell>
          <cell r="I937">
            <v>0</v>
          </cell>
          <cell r="J937">
            <v>0</v>
          </cell>
          <cell r="K937">
            <v>0</v>
          </cell>
          <cell r="L937">
            <v>2</v>
          </cell>
        </row>
        <row r="938">
          <cell r="A938" t="str">
            <v>10062.05693</v>
          </cell>
          <cell r="B938" t="str">
            <v>BOULON A50</v>
          </cell>
          <cell r="C938" t="str">
            <v>BOULON HMN 16 X 110 X 38 VIS TETE HEXAGONALE PARTIELEMENT FILETEE ET ECROU HEXAGONAL EN ACIER GALVANISE A50SUIVANT NORME NFE 25 115 ET NFE 25 401  /  FILETAGE ISO</v>
          </cell>
          <cell r="D938" t="str">
            <v>PE</v>
          </cell>
          <cell r="E938" t="str">
            <v>522.52201</v>
          </cell>
          <cell r="F938">
            <v>7.4</v>
          </cell>
          <cell r="G938">
            <v>0</v>
          </cell>
          <cell r="H938">
            <v>0</v>
          </cell>
          <cell r="I938">
            <v>0</v>
          </cell>
          <cell r="J938">
            <v>0</v>
          </cell>
          <cell r="K938">
            <v>0</v>
          </cell>
          <cell r="L938">
            <v>0</v>
          </cell>
        </row>
        <row r="939">
          <cell r="A939" t="str">
            <v>10065.00711</v>
          </cell>
          <cell r="B939" t="str">
            <v>POULIE A.MOYEU SPC/C D280</v>
          </cell>
          <cell r="C939" t="str">
            <v xml:space="preserve">QUINCAILLERIE POULIES . . DESIGNATION : POULIE AVEC MOYEU ET DOUILLE DE SERRAGE A 8 GORGES , NUMERO DE LA DOUILLE:100 , ALESAGE:MINI=40-MAXI=100 , EXECUTION: PLEINE DIAMETRE PRIMITIF = 280 SECTION : SPC/C TYPE MAGIC GRIP T </v>
          </cell>
          <cell r="D939" t="str">
            <v>PE</v>
          </cell>
          <cell r="E939" t="str">
            <v>515.51515</v>
          </cell>
          <cell r="F939">
            <v>2300</v>
          </cell>
          <cell r="G939">
            <v>0</v>
          </cell>
          <cell r="H939">
            <v>1</v>
          </cell>
          <cell r="I939">
            <v>0</v>
          </cell>
          <cell r="J939">
            <v>0</v>
          </cell>
          <cell r="K939">
            <v>0</v>
          </cell>
          <cell r="L939">
            <v>0</v>
          </cell>
        </row>
        <row r="940">
          <cell r="A940" t="str">
            <v>10065.00144</v>
          </cell>
          <cell r="B940" t="str">
            <v>AGRAF SER CAB 12</v>
          </cell>
          <cell r="C940" t="str">
            <v xml:space="preserve">AGRAFES SERR CABLE EN ACIER ESTAMPE POUR FIXATION DE CABLES ACIER DE :12 MM </v>
          </cell>
          <cell r="D940" t="str">
            <v>PE</v>
          </cell>
          <cell r="E940" t="str">
            <v>522.52203</v>
          </cell>
          <cell r="F940">
            <v>3.6</v>
          </cell>
          <cell r="G940">
            <v>0</v>
          </cell>
          <cell r="H940">
            <v>0</v>
          </cell>
          <cell r="I940">
            <v>0</v>
          </cell>
          <cell r="J940">
            <v>0</v>
          </cell>
          <cell r="K940">
            <v>0</v>
          </cell>
          <cell r="L940">
            <v>0</v>
          </cell>
        </row>
        <row r="941">
          <cell r="A941" t="str">
            <v>10067.05388</v>
          </cell>
          <cell r="B941" t="str">
            <v>MANCHON COMPENSATEUR EN HYPALON DN1600</v>
          </cell>
          <cell r="C941" t="str">
            <v>MANCHON COMPENSATEUR EN HYPALON TYPE EJ4 DN1600 PN20 LONGUEUR:350MM TEMPERATURE DE SERVICE:110°C AVEC ANNEAU DE RENFORCEMENT POUR LE VIDE EN INOX UB6,BRIDES EN ACIER GALVANISE EPAISSEUR:25MM PERCEES ANSI 150LBS,FLUIDE VEHICULE:GAZ D'ASSAINISSEMENT,</v>
          </cell>
          <cell r="D941" t="str">
            <v>PE</v>
          </cell>
          <cell r="E941" t="str">
            <v>522.52207</v>
          </cell>
          <cell r="F941">
            <v>72523.75</v>
          </cell>
          <cell r="G941">
            <v>0</v>
          </cell>
          <cell r="H941">
            <v>2</v>
          </cell>
          <cell r="I941">
            <v>0</v>
          </cell>
          <cell r="J941">
            <v>0</v>
          </cell>
          <cell r="K941">
            <v>0</v>
          </cell>
          <cell r="L941">
            <v>0</v>
          </cell>
        </row>
        <row r="942">
          <cell r="A942" t="str">
            <v>10065.00146</v>
          </cell>
          <cell r="B942" t="str">
            <v>AGRAF SER CAB 16</v>
          </cell>
          <cell r="C942" t="str">
            <v xml:space="preserve">AGRAFES SERR CABLE EN ACIER ESTAMPE POUR FIXATION DE CABLE ACIER DE : 16 MM </v>
          </cell>
          <cell r="D942" t="str">
            <v>PE</v>
          </cell>
          <cell r="E942" t="str">
            <v>522.52203</v>
          </cell>
          <cell r="F942">
            <v>4.3456000000000001</v>
          </cell>
          <cell r="G942">
            <v>0</v>
          </cell>
          <cell r="H942">
            <v>0</v>
          </cell>
          <cell r="I942">
            <v>0</v>
          </cell>
          <cell r="J942">
            <v>0</v>
          </cell>
          <cell r="K942">
            <v>0</v>
          </cell>
          <cell r="L942">
            <v>0</v>
          </cell>
        </row>
        <row r="943">
          <cell r="A943" t="str">
            <v>10065.00143</v>
          </cell>
          <cell r="B943" t="str">
            <v>AGRAF SER CAB 10</v>
          </cell>
          <cell r="C943" t="str">
            <v xml:space="preserve">AGRAFES SERR CABLE EN ACIER ESTAMPE POUR FIXATION DE CABLES ACIER DE :10 MM </v>
          </cell>
          <cell r="D943" t="str">
            <v>PE</v>
          </cell>
          <cell r="E943" t="str">
            <v>522.52203</v>
          </cell>
          <cell r="F943">
            <v>1.7072000000000001</v>
          </cell>
          <cell r="G943">
            <v>0</v>
          </cell>
          <cell r="H943">
            <v>0</v>
          </cell>
          <cell r="I943">
            <v>0</v>
          </cell>
          <cell r="J943">
            <v>0</v>
          </cell>
          <cell r="K943">
            <v>6</v>
          </cell>
          <cell r="L943">
            <v>0</v>
          </cell>
        </row>
        <row r="944">
          <cell r="A944" t="str">
            <v>10065.00185</v>
          </cell>
          <cell r="B944" t="str">
            <v>ELINGUES 4 BRINS FORCE 8T</v>
          </cell>
          <cell r="C944" t="str">
            <v xml:space="preserve">QUINCAILLERIE ELINGUES , , COMPOSITION : AVEC CROCHET GRIFFES LONGUEUR : BRINS 2,50 METRES A 3 METRES FORCE 8 TONNES NBRE DE BRINS 4 </v>
          </cell>
          <cell r="D944" t="str">
            <v>PE</v>
          </cell>
          <cell r="E944" t="str">
            <v>522.52203</v>
          </cell>
          <cell r="F944">
            <v>599.47199999999998</v>
          </cell>
          <cell r="G944">
            <v>0</v>
          </cell>
          <cell r="H944">
            <v>0</v>
          </cell>
          <cell r="I944">
            <v>0</v>
          </cell>
          <cell r="J944">
            <v>0</v>
          </cell>
          <cell r="K944">
            <v>0</v>
          </cell>
          <cell r="L944">
            <v>0</v>
          </cell>
        </row>
        <row r="945">
          <cell r="A945" t="str">
            <v>10065.00187</v>
          </cell>
          <cell r="B945" t="str">
            <v>ELINGUE LONG 1,5M FORCE 2T</v>
          </cell>
          <cell r="C945" t="str">
            <v xml:space="preserve">QUINCAILLERIE ELINGUES , , DESIGNATION : ELINGUES EN CABLE AVEC CROCHET,GRIFFES A 4 BRINS LONGUEUR : DE BRIN = 1,5 M FORCE 2 TONNES </v>
          </cell>
          <cell r="D945" t="str">
            <v>PE</v>
          </cell>
          <cell r="E945" t="str">
            <v>522.52203</v>
          </cell>
          <cell r="F945">
            <v>252.21600000000001</v>
          </cell>
          <cell r="G945">
            <v>0</v>
          </cell>
          <cell r="H945">
            <v>0</v>
          </cell>
          <cell r="I945">
            <v>0</v>
          </cell>
          <cell r="J945">
            <v>0</v>
          </cell>
          <cell r="K945">
            <v>0</v>
          </cell>
          <cell r="L945">
            <v>0</v>
          </cell>
        </row>
        <row r="946">
          <cell r="A946" t="str">
            <v>10053.08586</v>
          </cell>
          <cell r="B946" t="str">
            <v>PROJECTEUR COMPLET</v>
          </cell>
          <cell r="C946" t="str">
            <v xml:space="preserve">PROJECTEUR COMPLET  SYMETRIQUE      POUR LAMPE 400W A VAPEUR DE MERCURE MAC400CULOT : E40 TENSION : 230VINDICE DE PROTECTION : IP65 TYPE C3  GENRE : MAZDA                                                                                            </v>
          </cell>
          <cell r="D946" t="str">
            <v>PE</v>
          </cell>
          <cell r="E946" t="str">
            <v>522.52206</v>
          </cell>
          <cell r="F946">
            <v>589</v>
          </cell>
          <cell r="G946">
            <v>0</v>
          </cell>
          <cell r="H946">
            <v>0</v>
          </cell>
          <cell r="I946">
            <v>0</v>
          </cell>
          <cell r="J946">
            <v>0</v>
          </cell>
          <cell r="K946">
            <v>0</v>
          </cell>
          <cell r="L946">
            <v>0</v>
          </cell>
        </row>
        <row r="947">
          <cell r="A947" t="str">
            <v>10063.00098</v>
          </cell>
          <cell r="B947" t="str">
            <v>ECROU DECOL 33 6PA</v>
          </cell>
          <cell r="C947" t="str">
            <v xml:space="preserve">ECROU EN ACIER HEXAGONAL USUEL DIMENSIONS : DIAMETRE ET PAS NF-E 03 014 FILETAGE : ISO NF-E 03 001 M ETAT DE FINITION : FINE NF-E 27 002 U SYMBOLE : ECROU ACIER HU M 33 U </v>
          </cell>
          <cell r="D947" t="str">
            <v>PE</v>
          </cell>
          <cell r="E947" t="str">
            <v>522.52201</v>
          </cell>
          <cell r="F947">
            <v>8.1164000000000005</v>
          </cell>
          <cell r="G947">
            <v>0</v>
          </cell>
          <cell r="H947">
            <v>0</v>
          </cell>
          <cell r="I947">
            <v>0</v>
          </cell>
          <cell r="J947">
            <v>30</v>
          </cell>
          <cell r="K947">
            <v>0</v>
          </cell>
          <cell r="L947">
            <v>0</v>
          </cell>
        </row>
        <row r="948">
          <cell r="A948" t="str">
            <v>10060.02728</v>
          </cell>
          <cell r="B948" t="str">
            <v>MANOMETRE BOURDON   0-10</v>
          </cell>
          <cell r="C948" t="str">
            <v xml:space="preserve">MANOMETRE A TUBE DE BOURDON CONSTRUCTION INOX 316L BAIN GLYCERINE ETANCHEITE DU BOITIER IP55 CLASSE DE PRECISION : 1 DIAMETRE DU BOITIER EN (MM) : 100MM DIAMETRE DU RACCORD 1/2 POUCE NPTM ECHELLE 0-10 BAR POSITION DU RACCORD : BAS COLLERETTE SANS </v>
          </cell>
          <cell r="D948" t="str">
            <v>PE</v>
          </cell>
          <cell r="E948" t="str">
            <v>512.51201</v>
          </cell>
          <cell r="F948">
            <v>308</v>
          </cell>
          <cell r="G948">
            <v>0</v>
          </cell>
          <cell r="H948">
            <v>0</v>
          </cell>
          <cell r="I948">
            <v>3</v>
          </cell>
          <cell r="J948">
            <v>0</v>
          </cell>
          <cell r="K948">
            <v>0</v>
          </cell>
          <cell r="L948">
            <v>0</v>
          </cell>
        </row>
        <row r="949">
          <cell r="A949" t="str">
            <v>10060.02732</v>
          </cell>
          <cell r="B949" t="str">
            <v>MANOMETRE BOURDON   0-40</v>
          </cell>
          <cell r="C949" t="str">
            <v xml:space="preserve">MANOMETRE A TUBE DE BOURDON CONSTRUCTION INOX 316L BAIN GLYCERINE ETANCHEITE DU BOITIER IP 55 CLASSE DE PRECISION : 1 DIAMETRE DU BOITIER EN (MM) : 100 MM ECHELLE 0-40 BARS POSITION DU RACCORD : BAS COLLERETTE SANS MATIERE ELEMENT PRIMAIRE INOX 316L RACCORDEMENT : 1/2 POUCE NPTM </v>
          </cell>
          <cell r="D949" t="str">
            <v>PE</v>
          </cell>
          <cell r="E949" t="str">
            <v>512.51201</v>
          </cell>
          <cell r="F949">
            <v>324</v>
          </cell>
          <cell r="G949">
            <v>0</v>
          </cell>
          <cell r="H949">
            <v>0</v>
          </cell>
          <cell r="I949">
            <v>0</v>
          </cell>
          <cell r="J949">
            <v>0</v>
          </cell>
          <cell r="K949">
            <v>0</v>
          </cell>
          <cell r="L949">
            <v>1</v>
          </cell>
        </row>
        <row r="950">
          <cell r="A950" t="str">
            <v>10060.02734</v>
          </cell>
          <cell r="B950" t="str">
            <v>MANOMETRE BOURDON   0-100</v>
          </cell>
          <cell r="C950" t="str">
            <v xml:space="preserve">MANOMETRE A TUBE DE BOURDON CONSTRUCTION INOX 316L BAIN GLYCERINE ETANCHEITE DU BOITIER IP 55 CLASSE 1 DIAMETRE DU BOITIER EN (MM) : 100 MM ECHELLE 0 - 100 MM POSITION DU RACCORD : BAS COLLERETTE SANS MATIERE ELEMENT PRIMAIRE INOX 316L RACCORDEMENT : 1/2 POUCE NPTM </v>
          </cell>
          <cell r="D950" t="str">
            <v>PE</v>
          </cell>
          <cell r="E950" t="str">
            <v>512.51201</v>
          </cell>
          <cell r="F950">
            <v>341</v>
          </cell>
          <cell r="G950">
            <v>0</v>
          </cell>
          <cell r="H950">
            <v>0</v>
          </cell>
          <cell r="I950">
            <v>0</v>
          </cell>
          <cell r="J950">
            <v>0</v>
          </cell>
          <cell r="K950">
            <v>0</v>
          </cell>
          <cell r="L950">
            <v>1</v>
          </cell>
        </row>
        <row r="951">
          <cell r="A951" t="str">
            <v>10065.00194</v>
          </cell>
          <cell r="B951" t="str">
            <v>ELING 6TOR 37FIL TYPE E1</v>
          </cell>
          <cell r="C951" t="str">
            <v xml:space="preserve">QUINCAILLERIE ELINGUES , , DESIGNATION : ELINGUES CABLE EN ACIER GALVANISE SOUPLE 6 TORONS , 37 FILS : SUIVANT CATALOGUE MANUTAN-CHARGE UTILE3500KGLONGUEUR : TOTALE = 2100 MM TYPE E1 NBRE DE BRINS 1 </v>
          </cell>
          <cell r="D951" t="str">
            <v>PE</v>
          </cell>
          <cell r="E951" t="str">
            <v>522.52203</v>
          </cell>
          <cell r="F951">
            <v>208.05600000000001</v>
          </cell>
          <cell r="G951">
            <v>0</v>
          </cell>
          <cell r="H951">
            <v>0</v>
          </cell>
          <cell r="I951">
            <v>0</v>
          </cell>
          <cell r="J951">
            <v>0</v>
          </cell>
          <cell r="K951">
            <v>0</v>
          </cell>
          <cell r="L951">
            <v>0</v>
          </cell>
        </row>
        <row r="952">
          <cell r="A952" t="str">
            <v>10065.00188</v>
          </cell>
          <cell r="B952" t="str">
            <v>ELINGUES LONG 2M FORCE 4T</v>
          </cell>
          <cell r="C952" t="str">
            <v xml:space="preserve">QUINCAILLERIE ELINGUES , , COMPOSITION : EN CHAINE COMPORTANT UN ANNEAU A UNE EXTREMITE ET , CROCHETS A OEIL LONGUEUR : 2 METRES FORCE 4 TONNES NBRE DE BRINS 2 </v>
          </cell>
          <cell r="D952" t="str">
            <v>PE</v>
          </cell>
          <cell r="E952" t="str">
            <v>522.52203</v>
          </cell>
          <cell r="F952">
            <v>73.894599999999997</v>
          </cell>
          <cell r="G952">
            <v>0</v>
          </cell>
          <cell r="H952">
            <v>0</v>
          </cell>
          <cell r="I952">
            <v>0</v>
          </cell>
          <cell r="J952">
            <v>0</v>
          </cell>
          <cell r="K952">
            <v>2</v>
          </cell>
          <cell r="L952">
            <v>0</v>
          </cell>
        </row>
        <row r="953">
          <cell r="A953" t="str">
            <v>10065.00189</v>
          </cell>
          <cell r="B953" t="str">
            <v>ELINGUES LONG 4M FORCE 4T</v>
          </cell>
          <cell r="C953" t="str">
            <v xml:space="preserve">QUINCAILLERIE ELINGUES  COMPOSITION : EN CHAINE COMPORTANT UN ANNEAU A UNE EXTREMITE ET , CROCHETS A OEIL LONGUEUR : 4 METRES FORCE 4 TONNES NBRE DE BRINS 2 </v>
          </cell>
          <cell r="D953" t="str">
            <v>PE</v>
          </cell>
          <cell r="E953" t="str">
            <v>522.52203</v>
          </cell>
          <cell r="F953">
            <v>927.75649999999996</v>
          </cell>
          <cell r="G953">
            <v>0</v>
          </cell>
          <cell r="H953">
            <v>0</v>
          </cell>
          <cell r="I953">
            <v>0</v>
          </cell>
          <cell r="J953">
            <v>0</v>
          </cell>
          <cell r="K953">
            <v>1</v>
          </cell>
          <cell r="L953">
            <v>0</v>
          </cell>
        </row>
        <row r="954">
          <cell r="A954" t="str">
            <v>10065.00745</v>
          </cell>
          <cell r="B954" t="str">
            <v>POULIE A MOYEU SPB/B D250</v>
          </cell>
          <cell r="C954" t="str">
            <v xml:space="preserve">QUINCAILLERIE POULIES . . DESIGNATION : POULIE A MOYEU ET DOUILLE DE SERRAGE , TYPE : MAGIC GRIP.T , SECTION : SPB/B , DIAMETRE PRIMITIF : 250 MM , NOMBRE DE GORGES : 3 , NUMERO DE DOUILLE : 63 , ALESAGE MINI MAXI : 25-63 </v>
          </cell>
          <cell r="D954" t="str">
            <v>PE</v>
          </cell>
          <cell r="E954" t="str">
            <v>515.51515</v>
          </cell>
          <cell r="F954">
            <v>520</v>
          </cell>
          <cell r="G954">
            <v>0</v>
          </cell>
          <cell r="H954">
            <v>1</v>
          </cell>
          <cell r="I954">
            <v>0</v>
          </cell>
          <cell r="J954">
            <v>0</v>
          </cell>
          <cell r="K954">
            <v>0</v>
          </cell>
          <cell r="L954">
            <v>1</v>
          </cell>
        </row>
        <row r="955">
          <cell r="A955" t="str">
            <v>10060.02196</v>
          </cell>
          <cell r="B955" t="str">
            <v>MANOMETRE ECHELLE 0-100</v>
          </cell>
          <cell r="C955" t="str">
            <v xml:space="preserve">MANOMETRE A TUBE DE BOURDON CONSTRUCTION INOX 316L BAIN GLYCERINE ETANCHEITE DU BOITIER IP 55 CLASSE DE PRECISION : 1 DIAMETRE DU BOITIER EN (MM) : 100 MM DIAMETRE DU RACCORD 1/2 POUCE NPTM ECHELLE 0 A 100 BARS POSITION DU RACCORD : EN BAS COLLERETTE SANS </v>
          </cell>
          <cell r="D955" t="str">
            <v>PE</v>
          </cell>
          <cell r="E955" t="str">
            <v>512.51201</v>
          </cell>
          <cell r="F955">
            <v>341</v>
          </cell>
          <cell r="G955">
            <v>0</v>
          </cell>
          <cell r="H955">
            <v>0</v>
          </cell>
          <cell r="I955">
            <v>0</v>
          </cell>
          <cell r="J955">
            <v>2</v>
          </cell>
          <cell r="K955">
            <v>0</v>
          </cell>
          <cell r="L955">
            <v>5</v>
          </cell>
        </row>
        <row r="956">
          <cell r="A956" t="str">
            <v>10062.06467</v>
          </cell>
          <cell r="B956" t="str">
            <v>BOULON HR CLASSE 8.8</v>
          </cell>
          <cell r="C956" t="str">
            <v xml:space="preserve">BOULON HMN 36 X 150 X 84  VIS A TETE HEXAGONALE PARTIELLEMENT FILETEE ET ECROU HEXAGONALEN ACIER A HAUTE RESISTANCE XC 42 CLASSE ISO 8.8SUIVANT NORME NFE 25 115 ET NFE 25 401  /  FILETAGE  ISO  </v>
          </cell>
          <cell r="D956" t="str">
            <v>PE</v>
          </cell>
          <cell r="E956" t="str">
            <v>522.52201</v>
          </cell>
          <cell r="F956">
            <v>70.816500000000005</v>
          </cell>
          <cell r="G956">
            <v>0</v>
          </cell>
          <cell r="H956">
            <v>0</v>
          </cell>
          <cell r="I956">
            <v>0</v>
          </cell>
          <cell r="J956">
            <v>0</v>
          </cell>
          <cell r="K956">
            <v>27</v>
          </cell>
          <cell r="L956">
            <v>0</v>
          </cell>
        </row>
        <row r="957">
          <cell r="A957" t="str">
            <v>10062.06446</v>
          </cell>
          <cell r="B957" t="str">
            <v>BOULON HMN ACIE 8.8 30X80</v>
          </cell>
          <cell r="C957" t="str">
            <v xml:space="preserve">BOULON HMN 30 X 80  VIS A TETE HEXAGONALE PARTIELLEMENT FILETEE ET ECROU HEXAGONALEN ACIER A HAUTE RESISTANCE XC 42 CLASSE ISO 8.8SUIVANT NORME NFE 25 115 ET NFE 25 401  /  FILETAGE  ISO  </v>
          </cell>
          <cell r="D957" t="str">
            <v>PE</v>
          </cell>
          <cell r="E957" t="str">
            <v>522.52201</v>
          </cell>
          <cell r="F957">
            <v>29.218</v>
          </cell>
          <cell r="G957">
            <v>0</v>
          </cell>
          <cell r="H957">
            <v>0</v>
          </cell>
          <cell r="I957">
            <v>0</v>
          </cell>
          <cell r="J957">
            <v>0</v>
          </cell>
          <cell r="K957">
            <v>0</v>
          </cell>
          <cell r="L957">
            <v>0</v>
          </cell>
        </row>
        <row r="958">
          <cell r="A958" t="str">
            <v>10062.06452</v>
          </cell>
          <cell r="B958" t="str">
            <v>BOULON HR CLASSE 8.8</v>
          </cell>
          <cell r="C958" t="str">
            <v xml:space="preserve">BOULON HMN 30 X 130 X 72  VIS A TETE HEXAGONALE PARTIELLEMENT FILETEE ET ECROU HEXAGONALEN ACIER A HAUTE RESISTANCE XC 42 CLASSE ISO 8.8SUIVANT NORME NFE 25 115 ET NFE 25 401  /  FILETAGE  ISO  </v>
          </cell>
          <cell r="D958" t="str">
            <v>PE</v>
          </cell>
          <cell r="E958" t="str">
            <v>522.52201</v>
          </cell>
          <cell r="F958">
            <v>39.947699999999998</v>
          </cell>
          <cell r="G958">
            <v>0</v>
          </cell>
          <cell r="H958">
            <v>0</v>
          </cell>
          <cell r="I958">
            <v>0</v>
          </cell>
          <cell r="J958">
            <v>0</v>
          </cell>
          <cell r="K958">
            <v>0</v>
          </cell>
          <cell r="L958">
            <v>0</v>
          </cell>
        </row>
        <row r="959">
          <cell r="A959" t="str">
            <v>10066.01409</v>
          </cell>
          <cell r="B959" t="str">
            <v>TUBE ACIER MARTIN GRADE B</v>
          </cell>
          <cell r="C959" t="str">
            <v>TUBE EN ACIER MARTIN GRADE B S/NORME : ASTM = A 53-62T COMPOSITION : C: 0,30  Mg: 1,20  P: 0,05  S: 0,06 RESISTANCE : 60.000 PSI , 42,2 KG/MM2 LIMITE ELASTIQUE : 35.000 PSI , 24,6 KG/MM2LONGUEUR : A LA LIVRAISON 6 METRES EP: 3,38MM P/TUBE 1''STD SCHED40 D.EXT.33,40 TEST PRES.700 POIDS 1,68P/PIED</v>
          </cell>
          <cell r="D959" t="str">
            <v>M</v>
          </cell>
          <cell r="E959" t="str">
            <v>313.31301</v>
          </cell>
          <cell r="F959">
            <v>34</v>
          </cell>
          <cell r="G959">
            <v>0</v>
          </cell>
          <cell r="H959">
            <v>0</v>
          </cell>
          <cell r="I959">
            <v>0</v>
          </cell>
          <cell r="J959">
            <v>0</v>
          </cell>
          <cell r="K959">
            <v>39.799999999999997</v>
          </cell>
          <cell r="L959">
            <v>6.6</v>
          </cell>
        </row>
        <row r="960">
          <cell r="A960" t="str">
            <v>10062.04335</v>
          </cell>
          <cell r="B960" t="str">
            <v>BOULON Z2CND 17-13</v>
          </cell>
          <cell r="C960" t="str">
            <v xml:space="preserve">BOULON HMN 6 X 30VIS A TETE HEXAGONALE ENTIEREMENT FILETEE ET ECROU HEXAGONAL EN ACIER INOXYDABLE NUANCE AFNOR  Z2 CND 17 . 13  -  AISI 316 L  /  GENRE UGINE NSM 22 S SUIVANT NORME NFE 25 114 ET NFE 25 401 / FILETAGE  ISO </v>
          </cell>
          <cell r="D960" t="str">
            <v>PE</v>
          </cell>
          <cell r="E960" t="str">
            <v>522.52201</v>
          </cell>
          <cell r="F960">
            <v>1.1000000000000001</v>
          </cell>
          <cell r="G960">
            <v>0</v>
          </cell>
          <cell r="H960">
            <v>0</v>
          </cell>
          <cell r="I960">
            <v>0</v>
          </cell>
          <cell r="J960">
            <v>0</v>
          </cell>
          <cell r="K960">
            <v>0</v>
          </cell>
          <cell r="L960">
            <v>0</v>
          </cell>
        </row>
        <row r="961">
          <cell r="A961" t="str">
            <v>10066.01520</v>
          </cell>
          <cell r="B961" t="str">
            <v>TUB AC INOX      25 EP2,5</v>
          </cell>
          <cell r="C961" t="str">
            <v xml:space="preserve">TUBE SANS SOUDURE EN ACIER INOXYDABLE  S/NORME : (AFNOR Z2CND17.13)  (DIN X2CRNIMO18.12) (AISI 316L) (UGINE NSM 22S)  (CREUSOT-LOIRE ICL166BC) LONGUEUR : 6 METRES DIAMETRE : EXT.25MM EPAISSEUR 2,5MM </v>
          </cell>
          <cell r="D961" t="str">
            <v>M</v>
          </cell>
          <cell r="E961" t="str">
            <v>313.31301</v>
          </cell>
          <cell r="F961">
            <v>190</v>
          </cell>
          <cell r="G961">
            <v>0</v>
          </cell>
          <cell r="H961">
            <v>0</v>
          </cell>
          <cell r="I961">
            <v>0</v>
          </cell>
          <cell r="J961">
            <v>0</v>
          </cell>
          <cell r="K961">
            <v>0</v>
          </cell>
          <cell r="L961">
            <v>0</v>
          </cell>
        </row>
        <row r="962">
          <cell r="A962" t="str">
            <v>10062.04337</v>
          </cell>
          <cell r="B962" t="str">
            <v>BOULON Z2CND 17-13</v>
          </cell>
          <cell r="C962" t="str">
            <v xml:space="preserve">BOULON HMN 6 X 40VIS A TETE HEXAGONALE ENTIEREMENT FILETEE ET ECROU HEXAGONAL EN ACIER INOXYDABLE NUANCE AFNOR  Z2 CND 17 . 13  -  AISI 316 L  /  GENRE UGINE NSM 22 S SUIVANT NORME NFE 25 114 ET NFE 25 401 / FILETAGE  ISO </v>
          </cell>
          <cell r="D962" t="str">
            <v>PE</v>
          </cell>
          <cell r="E962" t="str">
            <v>522.52201</v>
          </cell>
          <cell r="F962">
            <v>3.4222000000000001</v>
          </cell>
          <cell r="G962">
            <v>0</v>
          </cell>
          <cell r="H962">
            <v>0</v>
          </cell>
          <cell r="I962">
            <v>0</v>
          </cell>
          <cell r="J962">
            <v>0</v>
          </cell>
          <cell r="K962">
            <v>0</v>
          </cell>
          <cell r="L962">
            <v>0</v>
          </cell>
        </row>
        <row r="963">
          <cell r="A963" t="str">
            <v>10060.02409</v>
          </cell>
          <cell r="B963" t="str">
            <v>MANOMET.AVEC SEPAR.0-6BAR</v>
          </cell>
          <cell r="C963" t="str">
            <v xml:space="preserve">MANOMETRE A TUBE DE BOURDON AVEC SEPARATEUR RACCORD 1/2 POUCE NPT MATIERE ELEMENT PRIMAIRE : INOX 316L ETANCHEITE DU BOITIER IP 55 (CONTRE POUSSIERE ET JET D'EAU) CONSTRUCTION : INOX 316L CLASSE DE PRECISION : 1 DIAMETRE DU BOITIER EN (MM) : 160 MM ECHELLE 0-6 BAR POSITION DU RACCORD : EN BAS COLLERETTE SANS TYPE SEPARATEUR OUVERT MATERIAU SEPARATEUR INOX 316L RACCORDEMENT SEPARATEUR DN50 PN10 MATERIAU DE LA MEMBRANE DU SEPARATEUR HASTELLOY-C (EN CONTACT AVEC FLUIDE) </v>
          </cell>
          <cell r="D963" t="str">
            <v>PE</v>
          </cell>
          <cell r="E963" t="str">
            <v>512.51201</v>
          </cell>
          <cell r="F963">
            <v>2315</v>
          </cell>
          <cell r="G963">
            <v>0</v>
          </cell>
          <cell r="H963">
            <v>0</v>
          </cell>
          <cell r="I963">
            <v>0</v>
          </cell>
          <cell r="J963">
            <v>0</v>
          </cell>
          <cell r="K963">
            <v>0</v>
          </cell>
          <cell r="L963">
            <v>2</v>
          </cell>
        </row>
        <row r="964">
          <cell r="A964" t="str">
            <v>10062.04407</v>
          </cell>
          <cell r="B964" t="str">
            <v>BOULON Z2CND 17-13</v>
          </cell>
          <cell r="C964" t="str">
            <v xml:space="preserve">BOULON HMN 16 X 65VIS A TETE HEXAGONALE ENTIEREMENT FILETEE ET ECROU HEXAGONAL EN ACIER INOXYDABLE NUANCE AFNOR  Z2 CND 17 . 13  -  AISI 316 L  /  GENRE UGINE NSM 22 S SUIVANT NORME NFE 25 114 ET NFE 25 401 / FILETAGE  ISO </v>
          </cell>
          <cell r="D964" t="str">
            <v>PE</v>
          </cell>
          <cell r="E964" t="str">
            <v>522.52201</v>
          </cell>
          <cell r="F964">
            <v>40.681800000000003</v>
          </cell>
          <cell r="G964">
            <v>0</v>
          </cell>
          <cell r="H964">
            <v>0</v>
          </cell>
          <cell r="I964">
            <v>0</v>
          </cell>
          <cell r="J964">
            <v>0</v>
          </cell>
          <cell r="K964">
            <v>0</v>
          </cell>
          <cell r="L964">
            <v>0</v>
          </cell>
        </row>
        <row r="965">
          <cell r="A965" t="str">
            <v>10062.04408</v>
          </cell>
          <cell r="B965" t="str">
            <v>BOULON Z2CND 17-13</v>
          </cell>
          <cell r="C965" t="str">
            <v xml:space="preserve">BOULON HMN 16 X 70VIS A TETE HEXAGONALE ENTIEREMENT FILETEE ET ECROU HEXAGONAL EN ACIER INOXYDABLE NUANCE AFNOR  Z2 CND 17 . 13  -  AISI 316 L  /  GENRE UGINE NSM 22 S SUIVANT NORME NFE 25 114 ET NFE 25 401 / FILETAGE  ISO </v>
          </cell>
          <cell r="D965" t="str">
            <v>PE</v>
          </cell>
          <cell r="E965" t="str">
            <v>522.52201</v>
          </cell>
          <cell r="F965">
            <v>45.396000000000001</v>
          </cell>
          <cell r="G965">
            <v>0</v>
          </cell>
          <cell r="H965">
            <v>0</v>
          </cell>
          <cell r="I965">
            <v>0</v>
          </cell>
          <cell r="J965">
            <v>0</v>
          </cell>
          <cell r="K965">
            <v>0</v>
          </cell>
          <cell r="L965">
            <v>0</v>
          </cell>
        </row>
        <row r="966">
          <cell r="A966" t="str">
            <v>10062.04665</v>
          </cell>
          <cell r="B966" t="str">
            <v>BOULON Z1CNDU 25-20</v>
          </cell>
          <cell r="C966" t="str">
            <v xml:space="preserve">BOULON HMN 10 X 70VIS A TETE HEXAGONALE ENTIEREMENT FILETEE ET ECROU HEXAGONAL EN ACIER INOXYDABLE NUANCE AFNOR Z1 CNDU 25.20 GENRE CREUSOT LOIRE URANUS B6 SUIVANT NORME NF E 25-114 ET NF E 25-401  /  FILETAGE  ISO </v>
          </cell>
          <cell r="D966" t="str">
            <v>PE</v>
          </cell>
          <cell r="E966" t="str">
            <v>522.52201</v>
          </cell>
          <cell r="F966">
            <v>70.846699999999998</v>
          </cell>
          <cell r="G966">
            <v>0</v>
          </cell>
          <cell r="H966">
            <v>0</v>
          </cell>
          <cell r="I966">
            <v>0</v>
          </cell>
          <cell r="J966">
            <v>0</v>
          </cell>
          <cell r="K966">
            <v>0</v>
          </cell>
          <cell r="L966">
            <v>0</v>
          </cell>
        </row>
        <row r="967">
          <cell r="A967" t="str">
            <v>10062.04339</v>
          </cell>
          <cell r="B967" t="str">
            <v>BOULON Z2CND 17-13</v>
          </cell>
          <cell r="C967" t="str">
            <v xml:space="preserve">BOULON HMN 6 X 50VIS A TETE HEXAGONALE ENTIEREMENT FILETEE ET ECROU HEXAGONAL EN ACIER INOXYDABLE NUANCE AFNOR  Z2 CND 17 . 13  -  AISI 316 L  /  GENRE UGINE NSM 22 S SUIVANT NORME NFE 25 114 ET NFE 25 401 / FILETAGE  ISO </v>
          </cell>
          <cell r="D967" t="str">
            <v>PE</v>
          </cell>
          <cell r="E967" t="str">
            <v>522.52201</v>
          </cell>
          <cell r="F967">
            <v>4.0739999999999998</v>
          </cell>
          <cell r="G967">
            <v>0</v>
          </cell>
          <cell r="H967">
            <v>0</v>
          </cell>
          <cell r="I967">
            <v>0</v>
          </cell>
          <cell r="J967">
            <v>0</v>
          </cell>
          <cell r="K967">
            <v>0</v>
          </cell>
          <cell r="L967">
            <v>0</v>
          </cell>
        </row>
        <row r="968">
          <cell r="A968" t="str">
            <v>10062.04346</v>
          </cell>
          <cell r="B968" t="str">
            <v>BOULON Z2CND 17-13</v>
          </cell>
          <cell r="C968" t="str">
            <v xml:space="preserve">BOULON HMN 8 X 35VIS A TETE HEXAGONALE ENTIEREMENT FILETEE ET ECROU HEXAGONAL EN ACIER INOXYDABLE NUANCE AFNOR  Z2 CND 17 . 13  -  AISI 316 L  /  GENRE UGINE NSM 22 S SUIVANT NORME NFE 25 114 ET NFE 25 401 / FILETAGE  ISO </v>
          </cell>
          <cell r="D968" t="str">
            <v>PE</v>
          </cell>
          <cell r="E968" t="str">
            <v>522.52201</v>
          </cell>
          <cell r="F968">
            <v>1.9</v>
          </cell>
          <cell r="G968">
            <v>0</v>
          </cell>
          <cell r="H968">
            <v>0</v>
          </cell>
          <cell r="I968">
            <v>0</v>
          </cell>
          <cell r="J968">
            <v>0</v>
          </cell>
          <cell r="K968">
            <v>0</v>
          </cell>
          <cell r="L968">
            <v>0</v>
          </cell>
        </row>
        <row r="969">
          <cell r="A969" t="str">
            <v>10063.00843</v>
          </cell>
          <cell r="B969" t="str">
            <v>ECROU HMN 14 EN ACIER E 26</v>
          </cell>
          <cell r="C969" t="str">
            <v>ECROU HEXAGONAL HMN 14 EN ACIER E 26 SUIVANT NORME  NF.E 25.401 - DIN 934  /  FILETAGE ISO</v>
          </cell>
          <cell r="D969" t="str">
            <v>PE</v>
          </cell>
          <cell r="E969" t="str">
            <v>522.52201</v>
          </cell>
          <cell r="F969">
            <v>0.71499999999999997</v>
          </cell>
          <cell r="G969">
            <v>0</v>
          </cell>
          <cell r="H969">
            <v>0</v>
          </cell>
          <cell r="I969">
            <v>0</v>
          </cell>
          <cell r="J969">
            <v>0</v>
          </cell>
          <cell r="K969">
            <v>0</v>
          </cell>
          <cell r="L969">
            <v>0</v>
          </cell>
        </row>
        <row r="970">
          <cell r="A970" t="str">
            <v>10066.01557</v>
          </cell>
          <cell r="B970" t="str">
            <v>TUBE ACIER INOX 88,9 5,49</v>
          </cell>
          <cell r="C970" t="str">
            <v xml:space="preserve">TUBE SANS SOUDURE EN ACIER INOXYDABLE  S/NORME : (AFNOR Z2CND17.13)  (DIN X2CRNIMO18.12) (AISI 316L) (UGINE NSM 22S)  (CREUSOT-LOIRE ICL166BC) LONGUEUR : 6 METRES DIAMETRE : EXT.88,9MM EPAISSEUR 5,49MM </v>
          </cell>
          <cell r="D970" t="str">
            <v>M</v>
          </cell>
          <cell r="E970" t="str">
            <v>313.31301</v>
          </cell>
          <cell r="F970">
            <v>650</v>
          </cell>
          <cell r="G970">
            <v>0</v>
          </cell>
          <cell r="H970">
            <v>0</v>
          </cell>
          <cell r="I970">
            <v>0</v>
          </cell>
          <cell r="J970">
            <v>0</v>
          </cell>
          <cell r="K970">
            <v>0</v>
          </cell>
          <cell r="L970">
            <v>5.92</v>
          </cell>
        </row>
        <row r="971">
          <cell r="A971" t="str">
            <v>10062.04675</v>
          </cell>
          <cell r="B971" t="str">
            <v>BOULON Z1CNDU 25-20</v>
          </cell>
          <cell r="C971" t="str">
            <v xml:space="preserve">BOULON HMN 12 X 45VIS A TETE HEXAGONALE ENTIEREMENT FILETEE ET ECROU HEXAGONAL EN ACIER INOXYDABLE NUANCE AFNOR Z1 CNDU 25.20 GENRE CREUSOT LOIRE URANUS B6 SUIVANT NORME NF E 25-114 ET NF E 25-401  /  FILETAGE  ISO </v>
          </cell>
          <cell r="D971" t="str">
            <v>PE</v>
          </cell>
          <cell r="E971" t="str">
            <v>522.52201</v>
          </cell>
          <cell r="F971">
            <v>76.030600000000007</v>
          </cell>
          <cell r="G971">
            <v>0</v>
          </cell>
          <cell r="H971">
            <v>0</v>
          </cell>
          <cell r="I971">
            <v>0</v>
          </cell>
          <cell r="J971">
            <v>0</v>
          </cell>
          <cell r="K971">
            <v>0</v>
          </cell>
          <cell r="L971">
            <v>0</v>
          </cell>
        </row>
        <row r="972">
          <cell r="A972" t="str">
            <v>10062.04676</v>
          </cell>
          <cell r="B972" t="str">
            <v>BOULON Z1CNDU 25-20</v>
          </cell>
          <cell r="C972" t="str">
            <v xml:space="preserve">BOULON HMN 12 X 50VIS A TETE HEXAGONALE ENTIEREMENT FILETEE ET ECROU HEXAGONAL EN ACIER INOXYDABLE NUANCE AFNOR Z1 CNDU 25.20 GENRE CREUSOT LOIRE URANUS B6 SUIVANT NORME NF E 25-114 ET NF E 25-401  /  FILETAGE  ISO </v>
          </cell>
          <cell r="D972" t="str">
            <v>PE</v>
          </cell>
          <cell r="E972" t="str">
            <v>522.52201</v>
          </cell>
          <cell r="F972">
            <v>79.486599999999996</v>
          </cell>
          <cell r="G972">
            <v>0</v>
          </cell>
          <cell r="H972">
            <v>0</v>
          </cell>
          <cell r="I972">
            <v>0</v>
          </cell>
          <cell r="J972">
            <v>0</v>
          </cell>
          <cell r="K972">
            <v>0</v>
          </cell>
          <cell r="L972">
            <v>0</v>
          </cell>
        </row>
        <row r="973">
          <cell r="A973" t="str">
            <v>10062.04678</v>
          </cell>
          <cell r="B973" t="str">
            <v>8OULON Z1CNDU 25-20</v>
          </cell>
          <cell r="C973" t="str">
            <v xml:space="preserve">BOULON HMN 12 X 60VIS A TETE HEXAGONALE ENTIEREMENT FILETEE ET ECROU HEXAGONAL EN ACIER INOXYDABLE NUANCE AFNOR Z1 CNDU 25.20 GENRE CREUSOT LOIRE URANUS B6 SUIVANT NORME NF E 25-114 ET NF E 25-401  /  FILETAGE  ISO </v>
          </cell>
          <cell r="D973" t="str">
            <v>PE</v>
          </cell>
          <cell r="E973" t="str">
            <v>522.52201</v>
          </cell>
          <cell r="F973">
            <v>86.555499999999995</v>
          </cell>
          <cell r="G973">
            <v>0</v>
          </cell>
          <cell r="H973">
            <v>0</v>
          </cell>
          <cell r="I973">
            <v>0</v>
          </cell>
          <cell r="J973">
            <v>0</v>
          </cell>
          <cell r="K973">
            <v>0</v>
          </cell>
          <cell r="L973">
            <v>0</v>
          </cell>
        </row>
        <row r="974">
          <cell r="A974" t="str">
            <v>10062.04667</v>
          </cell>
          <cell r="B974" t="str">
            <v>BOULON Z1CNDU 25-20</v>
          </cell>
          <cell r="C974" t="str">
            <v xml:space="preserve">BOULON HMN 10 X 80VIS A TETE HEXAGONALE ENTIEREMENT FILETEE ET ECROU HEXAGONAL EN ACIER INOXYDABLE NUANCE AFNOR Z1 CNDU 25.20 GENRE CREUSOT LOIRE URANUS B6 SUIVANT NORME NF E 25-114 ET NF E 25-401  /  FILETAGE  ISO </v>
          </cell>
          <cell r="D974" t="str">
            <v>PE</v>
          </cell>
          <cell r="E974" t="str">
            <v>522.52201</v>
          </cell>
          <cell r="F974">
            <v>75.559399999999997</v>
          </cell>
          <cell r="G974">
            <v>0</v>
          </cell>
          <cell r="H974">
            <v>0</v>
          </cell>
          <cell r="I974">
            <v>0</v>
          </cell>
          <cell r="J974">
            <v>0</v>
          </cell>
          <cell r="K974">
            <v>14</v>
          </cell>
          <cell r="L974">
            <v>0</v>
          </cell>
        </row>
        <row r="975">
          <cell r="A975" t="str">
            <v>10062.04669</v>
          </cell>
          <cell r="B975" t="str">
            <v>BOULON Z1CNDU 25-20</v>
          </cell>
          <cell r="C975" t="str">
            <v xml:space="preserve">BOULON HMN 10 X 90VIS A TETE HEXAGONALE ENTIEREMENT FILETEE ET ECROU HEXAGONAL EN ACIER INOXYDABLE NUANCE AFNOR Z1 CNDU 25.20 GENRE CREUSOT LOIRE URANUS B6 SUIVANT NORME NF E 25-114 ET NF E 25-401  /  FILETAGE  ISO </v>
          </cell>
          <cell r="D975" t="str">
            <v>PE</v>
          </cell>
          <cell r="E975" t="str">
            <v>522.52201</v>
          </cell>
          <cell r="F975">
            <v>59.577100000000002</v>
          </cell>
          <cell r="G975">
            <v>0</v>
          </cell>
          <cell r="H975">
            <v>0</v>
          </cell>
          <cell r="I975">
            <v>0</v>
          </cell>
          <cell r="J975">
            <v>0</v>
          </cell>
          <cell r="K975">
            <v>0</v>
          </cell>
          <cell r="L975">
            <v>0</v>
          </cell>
        </row>
        <row r="976">
          <cell r="A976" t="str">
            <v>10062.04672</v>
          </cell>
          <cell r="B976" t="str">
            <v>BOULON Z1CNDU 25-20</v>
          </cell>
          <cell r="C976" t="str">
            <v xml:space="preserve">BOULON HMN 12 X 30VIS A TETE HEXAGONALE ENTIEREMENT FILETEE ET ECROU HEXAGONAL EN ACIER INOXYDABLE NUANCE AFNOR Z1 CNDU 25.20 GENRE CREUSOT LOIRE URANUS B6 SUIVANT NORME NF E 25-114 ET NF E 25-401  /  FILETAGE  ISO </v>
          </cell>
          <cell r="D976" t="str">
            <v>PE</v>
          </cell>
          <cell r="E976" t="str">
            <v>522.52201</v>
          </cell>
          <cell r="F976">
            <v>65.819900000000004</v>
          </cell>
          <cell r="G976">
            <v>0</v>
          </cell>
          <cell r="H976">
            <v>0</v>
          </cell>
          <cell r="I976">
            <v>0</v>
          </cell>
          <cell r="J976">
            <v>0</v>
          </cell>
          <cell r="K976">
            <v>0</v>
          </cell>
          <cell r="L976">
            <v>0</v>
          </cell>
        </row>
        <row r="977">
          <cell r="A977" t="str">
            <v>10062.04703</v>
          </cell>
          <cell r="B977" t="str">
            <v>BOULON Z1CNDU 25-20</v>
          </cell>
          <cell r="C977" t="str">
            <v xml:space="preserve">BOULON HMN 16 X 50VIS A TETE HEXAGONALE ENTIEREMENT FILETEE ET ECROU HEXAGONAL EN ACIER INOXYDABLE NUANCE AFNOR Z1 CNDU 25.20 GENRE CREUSOT LOIRE URANUS B6 SUIVANT NORME NF E 25-114 ET NF E 25-401  /  FILETAGE  ISO </v>
          </cell>
          <cell r="D977" t="str">
            <v>PE</v>
          </cell>
          <cell r="E977" t="str">
            <v>522.52201</v>
          </cell>
          <cell r="F977">
            <v>130.5402</v>
          </cell>
          <cell r="G977">
            <v>0</v>
          </cell>
          <cell r="H977">
            <v>0</v>
          </cell>
          <cell r="I977">
            <v>0</v>
          </cell>
          <cell r="J977">
            <v>0</v>
          </cell>
          <cell r="K977">
            <v>0</v>
          </cell>
          <cell r="L977">
            <v>0</v>
          </cell>
        </row>
        <row r="978">
          <cell r="A978" t="str">
            <v>10062.04708</v>
          </cell>
          <cell r="B978" t="str">
            <v>BOULON Z1CNDU 25-20</v>
          </cell>
          <cell r="C978" t="str">
            <v xml:space="preserve">BOULON HMN 16 X 75VIS A TETE HEXAGONALE ENTIEREMENT FILETEE ET ECROU HEXAGONAL EN ACIER INOXYDABLE NUANCE AFNOR Z1 CNDU 25.20 GENRE CREUSOT LOIRE URANUS B6 SUIVANT NORME NF E 25-114 ET NF E 25-401  /  FILETAGE  ISO </v>
          </cell>
          <cell r="D978" t="str">
            <v>PE</v>
          </cell>
          <cell r="E978" t="str">
            <v>522.52201</v>
          </cell>
          <cell r="F978">
            <v>210</v>
          </cell>
          <cell r="G978">
            <v>0</v>
          </cell>
          <cell r="H978">
            <v>0</v>
          </cell>
          <cell r="I978">
            <v>0</v>
          </cell>
          <cell r="J978">
            <v>0</v>
          </cell>
          <cell r="K978">
            <v>0</v>
          </cell>
          <cell r="L978">
            <v>0</v>
          </cell>
        </row>
        <row r="979">
          <cell r="A979" t="str">
            <v>10062.04698</v>
          </cell>
          <cell r="B979" t="str">
            <v>BOULON Z1CNDU 25-20</v>
          </cell>
          <cell r="C979" t="str">
            <v xml:space="preserve">BOULON HMN 14 X 90VIS A TETE HEXAGONALE ENTIEREMENT FILETEE ET ECROU HEXAGONAL EN ACIER INOXYDABLE NUANCE AFNOR Z1 CNDU 25.20 GENRE CREUSOT LOIRE URANUS B6 SUIVANT NORME NF E 25-114 ET NF E 25-401  /  FILETAGE  ISO </v>
          </cell>
          <cell r="D979" t="str">
            <v>PE</v>
          </cell>
          <cell r="E979" t="str">
            <v>522.52201</v>
          </cell>
          <cell r="F979">
            <v>155.8314</v>
          </cell>
          <cell r="G979">
            <v>0</v>
          </cell>
          <cell r="H979">
            <v>0</v>
          </cell>
          <cell r="I979">
            <v>0</v>
          </cell>
          <cell r="J979">
            <v>0</v>
          </cell>
          <cell r="K979">
            <v>75</v>
          </cell>
          <cell r="L979">
            <v>0</v>
          </cell>
        </row>
        <row r="980">
          <cell r="A980" t="str">
            <v>10062.04700</v>
          </cell>
          <cell r="B980" t="str">
            <v>BOULON Z1CNDU 25-20</v>
          </cell>
          <cell r="C980" t="str">
            <v xml:space="preserve">BOULON HMN 16 X 35VIS A TETE HEXAGONALE ENTIEREMENT FILETEE ET ECROU HEXAGONAL EN ACIER INOXYDABLE NUANCE AFNOR Z1 CNDU 25.20 GENRE CREUSOT LOIRE URANUS B6 SUIVANT NORME NF E 25-114 ET NF E 25-401  /  FILETAGE  ISO </v>
          </cell>
          <cell r="D980" t="str">
            <v>PE</v>
          </cell>
          <cell r="E980" t="str">
            <v>522.52201</v>
          </cell>
          <cell r="F980">
            <v>115.3027</v>
          </cell>
          <cell r="G980">
            <v>0</v>
          </cell>
          <cell r="H980">
            <v>0</v>
          </cell>
          <cell r="I980">
            <v>0</v>
          </cell>
          <cell r="J980">
            <v>0</v>
          </cell>
          <cell r="K980">
            <v>0</v>
          </cell>
          <cell r="L980">
            <v>0</v>
          </cell>
        </row>
        <row r="981">
          <cell r="A981" t="str">
            <v>10062.04701</v>
          </cell>
          <cell r="B981" t="str">
            <v>BOULON Z1CNDU 25-20</v>
          </cell>
          <cell r="C981" t="str">
            <v xml:space="preserve">BOULON HMN 16 X 40VIS A TETE HEXAGONALE ENTIEREMENT FILETEE ET ECROU HEXAGONAL EN ACIER INOXYDABLE NUANCE AFNOR Z1 CNDU 25.20 GENRE CREUSOT LOIRE URANUS B6 SUIVANT NORME NF E 25-114 ET NF E 25-401  /  FILETAGE  ISO </v>
          </cell>
          <cell r="D981" t="str">
            <v>PE</v>
          </cell>
          <cell r="E981" t="str">
            <v>522.52201</v>
          </cell>
          <cell r="F981">
            <v>120.3295</v>
          </cell>
          <cell r="G981">
            <v>0</v>
          </cell>
          <cell r="H981">
            <v>0</v>
          </cell>
          <cell r="I981">
            <v>0</v>
          </cell>
          <cell r="J981">
            <v>0</v>
          </cell>
          <cell r="K981">
            <v>2</v>
          </cell>
          <cell r="L981">
            <v>0</v>
          </cell>
        </row>
        <row r="982">
          <cell r="A982" t="str">
            <v>10067.05269</v>
          </cell>
          <cell r="B982" t="str">
            <v>MANCH.COMPEN.DILAT.DN750</v>
          </cell>
          <cell r="C982" t="str">
            <v xml:space="preserve">MANCHON COMPENSATEUR DILATOFLEX , EQUIPE D'UN CERCEAU EN UB6 COTE FLUIDE QUALITE : HYPALAN , AVEC CONTRE BRIDES EN ACIER DOUX PRESSION : 60 TORR SERIE : NT , NOMBRE DE TROUS : 28 DE DIAMETRE 35MM , DIAMETRE NOMINAL : 750MM DIAMETRE : DE PERCAGE 914,4MM DIAMETRE EXTERIEUR : 984,2MM LONGUEUR : 300MM , FLUIDE VEHICULE : BOUILLIE ACIDE PHOSPHORIQUE 54% P2O5TEMPERATURE 90ªC </v>
          </cell>
          <cell r="D982" t="str">
            <v>PE</v>
          </cell>
          <cell r="E982" t="str">
            <v>522.52207</v>
          </cell>
          <cell r="F982">
            <v>21120</v>
          </cell>
          <cell r="G982">
            <v>0</v>
          </cell>
          <cell r="H982">
            <v>6</v>
          </cell>
          <cell r="I982">
            <v>4</v>
          </cell>
          <cell r="J982">
            <v>2</v>
          </cell>
          <cell r="K982">
            <v>8</v>
          </cell>
          <cell r="L982">
            <v>2</v>
          </cell>
        </row>
        <row r="983">
          <cell r="A983" t="str">
            <v>10066.01582</v>
          </cell>
          <cell r="B983" t="str">
            <v>TUBE 316L EXT114,3 EP=5,9</v>
          </cell>
          <cell r="C983" t="str">
            <v xml:space="preserve">TUBE SANS SOUDURE EN ACIER INOXYDABLE  S/NORME : (AFNOR Z2CND17.13)  (DIN X2CRNIMO18.12) (AISI 316L) (UGINE NSM 22S)  (CREUSOT-LOIRE ICL166BC) LONGUEUR : 6 METRES DIAMETRE : EXT.114,30MM EPAISSEUR 5,90MM </v>
          </cell>
          <cell r="D983" t="str">
            <v>M</v>
          </cell>
          <cell r="E983" t="str">
            <v>313.31301</v>
          </cell>
          <cell r="F983">
            <v>1100</v>
          </cell>
          <cell r="G983">
            <v>0</v>
          </cell>
          <cell r="H983">
            <v>0</v>
          </cell>
          <cell r="I983">
            <v>0</v>
          </cell>
          <cell r="J983">
            <v>0</v>
          </cell>
          <cell r="K983">
            <v>0</v>
          </cell>
          <cell r="L983">
            <v>5.48</v>
          </cell>
        </row>
        <row r="984">
          <cell r="A984" t="str">
            <v>10065.00608</v>
          </cell>
          <cell r="B984" t="str">
            <v>POULIE MGT D180 SPA 2G 56</v>
          </cell>
          <cell r="C984" t="str">
            <v xml:space="preserve">QUINCAILLERIE POULIES . . DESIGNATION : POULIE AVEC MOYEU ET DOUILLE DE SERRAGE AVEC 2 GORGES , EXECUTION: A TOILE-ALESAGE:MINI-22,MAXI-56 DIAMETRE PRIMITIF : 180 SECTION : SPA/A NUMERO DE LA DOUILLE : 56 TYPE MAGIC GRIP T </v>
          </cell>
          <cell r="D984" t="str">
            <v>PE</v>
          </cell>
          <cell r="E984" t="str">
            <v>515.51515</v>
          </cell>
          <cell r="F984">
            <v>240</v>
          </cell>
          <cell r="G984">
            <v>0</v>
          </cell>
          <cell r="H984">
            <v>0</v>
          </cell>
          <cell r="I984">
            <v>0</v>
          </cell>
          <cell r="J984">
            <v>0</v>
          </cell>
          <cell r="K984">
            <v>0</v>
          </cell>
          <cell r="L984">
            <v>2</v>
          </cell>
        </row>
        <row r="985">
          <cell r="A985" t="str">
            <v>10061.09711</v>
          </cell>
          <cell r="B985" t="str">
            <v>TIGE FILETEE DIA 18 MM</v>
          </cell>
          <cell r="C985" t="str">
            <v>TIGE FILETEE EN ACIER A 50 LONGUEUR 1 METRE   /  DIAMETRE 18 MM   /  PAS ISO</v>
          </cell>
          <cell r="D985" t="str">
            <v>M</v>
          </cell>
          <cell r="E985" t="str">
            <v>522.52201</v>
          </cell>
          <cell r="F985">
            <v>19.14</v>
          </cell>
          <cell r="G985">
            <v>0</v>
          </cell>
          <cell r="H985">
            <v>0</v>
          </cell>
          <cell r="I985">
            <v>0</v>
          </cell>
          <cell r="J985">
            <v>0</v>
          </cell>
          <cell r="K985">
            <v>2</v>
          </cell>
          <cell r="L985">
            <v>0</v>
          </cell>
        </row>
        <row r="986">
          <cell r="A986" t="str">
            <v>10061.09712</v>
          </cell>
          <cell r="B986" t="str">
            <v>TIGE FILETEE DIA 20 MM</v>
          </cell>
          <cell r="C986" t="str">
            <v>TIGE FILETEE EN ACIER A 50 LONGUEUR 1 METRE   /  DIAMETRE 20 MM   /  PAS ISO</v>
          </cell>
          <cell r="D986" t="str">
            <v>M</v>
          </cell>
          <cell r="E986" t="str">
            <v>522.52201</v>
          </cell>
          <cell r="F986">
            <v>42.448700000000002</v>
          </cell>
          <cell r="G986">
            <v>0</v>
          </cell>
          <cell r="H986">
            <v>0</v>
          </cell>
          <cell r="I986">
            <v>0</v>
          </cell>
          <cell r="J986">
            <v>0</v>
          </cell>
          <cell r="K986">
            <v>79</v>
          </cell>
          <cell r="L986">
            <v>0</v>
          </cell>
        </row>
        <row r="987">
          <cell r="A987" t="str">
            <v>10061.09713</v>
          </cell>
          <cell r="B987" t="str">
            <v>TIGE FILETEE DIA 22 MM</v>
          </cell>
          <cell r="C987" t="str">
            <v>TIGE FILETEE EN ACIER A 50 LONGUEUR 1 METRE   /  DIAMETRE 22 MM   /  PAS ISO</v>
          </cell>
          <cell r="D987" t="str">
            <v>M</v>
          </cell>
          <cell r="E987" t="str">
            <v>522.52201</v>
          </cell>
          <cell r="F987">
            <v>65.509200000000007</v>
          </cell>
          <cell r="G987">
            <v>0</v>
          </cell>
          <cell r="H987">
            <v>0</v>
          </cell>
          <cell r="I987">
            <v>0</v>
          </cell>
          <cell r="J987">
            <v>0</v>
          </cell>
          <cell r="K987">
            <v>0</v>
          </cell>
          <cell r="L987">
            <v>43</v>
          </cell>
        </row>
        <row r="988">
          <cell r="A988" t="str">
            <v>10061.09714</v>
          </cell>
          <cell r="B988" t="str">
            <v>TIGE FILETEE DIA 24 MM</v>
          </cell>
          <cell r="C988" t="str">
            <v>TIGE FILETEE EN ACIER A 50 LONGUEUR 1 METRE   /  DIAMETRE 24 MM   /  PAS ISO</v>
          </cell>
          <cell r="D988" t="str">
            <v>M</v>
          </cell>
          <cell r="E988" t="str">
            <v>522.52201</v>
          </cell>
          <cell r="F988">
            <v>66.215299999999999</v>
          </cell>
          <cell r="G988">
            <v>0</v>
          </cell>
          <cell r="H988">
            <v>3</v>
          </cell>
          <cell r="I988">
            <v>0</v>
          </cell>
          <cell r="J988">
            <v>0</v>
          </cell>
          <cell r="K988">
            <v>0</v>
          </cell>
          <cell r="L988">
            <v>0</v>
          </cell>
        </row>
        <row r="989">
          <cell r="A989" t="str">
            <v>10063.01350</v>
          </cell>
          <cell r="B989" t="str">
            <v>ECROU INOX 316L- 40MM</v>
          </cell>
          <cell r="C989" t="str">
            <v xml:space="preserve">ECROU ACIER INOXIDABLE HEXAGONAUX S/NORME:NF E 25-401 FILETAGE ISO ETAT DE FINITION:H DIAMETRE 40 MM ANALYSE MOYENNE C.INF.0,03-CR17,5-NI13-MO2,7,AFNOR:Z2 CND17-13-AISI:316L-UGINE:NSM 22S  </v>
          </cell>
          <cell r="D989" t="str">
            <v>PE</v>
          </cell>
          <cell r="E989" t="str">
            <v>522.52201</v>
          </cell>
          <cell r="F989">
            <v>201.8135</v>
          </cell>
          <cell r="G989">
            <v>0</v>
          </cell>
          <cell r="H989">
            <v>0</v>
          </cell>
          <cell r="I989">
            <v>0</v>
          </cell>
          <cell r="J989">
            <v>0</v>
          </cell>
          <cell r="K989">
            <v>0</v>
          </cell>
          <cell r="L989">
            <v>6</v>
          </cell>
        </row>
        <row r="990">
          <cell r="A990" t="str">
            <v>10063.01351</v>
          </cell>
          <cell r="B990" t="str">
            <v>ECROU ACIER ASTM A 194 GR 2H-62MM</v>
          </cell>
          <cell r="C990" t="str">
            <v>ECOU HEXAGONAL M62 NUANCE MATIERE:ASTM A 194 GR 2H</v>
          </cell>
          <cell r="D990" t="str">
            <v>PE</v>
          </cell>
          <cell r="E990" t="str">
            <v>522.52201</v>
          </cell>
          <cell r="F990">
            <v>95.897999999999996</v>
          </cell>
          <cell r="G990">
            <v>0</v>
          </cell>
          <cell r="H990">
            <v>0</v>
          </cell>
          <cell r="I990">
            <v>0</v>
          </cell>
          <cell r="J990">
            <v>0</v>
          </cell>
          <cell r="K990">
            <v>0</v>
          </cell>
          <cell r="L990">
            <v>20</v>
          </cell>
        </row>
        <row r="991">
          <cell r="A991" t="str">
            <v>10063.01352</v>
          </cell>
          <cell r="B991" t="str">
            <v>ECROU ACIER ASTM A 194 GR 2H-48MM</v>
          </cell>
          <cell r="C991" t="str">
            <v>ECOU HEXAGONAL M48 NUANCE MATIERE:ASTM A 194 GR 2H</v>
          </cell>
          <cell r="D991" t="str">
            <v>PE</v>
          </cell>
          <cell r="E991" t="str">
            <v>522.52201</v>
          </cell>
          <cell r="F991">
            <v>34.232700000000001</v>
          </cell>
          <cell r="G991">
            <v>0</v>
          </cell>
          <cell r="H991">
            <v>0</v>
          </cell>
          <cell r="I991">
            <v>0</v>
          </cell>
          <cell r="J991">
            <v>0</v>
          </cell>
          <cell r="K991">
            <v>0</v>
          </cell>
          <cell r="L991">
            <v>0</v>
          </cell>
        </row>
        <row r="992">
          <cell r="A992" t="str">
            <v>10063.01353</v>
          </cell>
          <cell r="B992" t="str">
            <v>ECROU ACIER ASTM A 194 GR 2H-40MM</v>
          </cell>
          <cell r="C992" t="str">
            <v>ECOU HEXAGONAL M40 NUANCE MATIERE:ASTM A 194 GR 2H</v>
          </cell>
          <cell r="D992" t="str">
            <v>PE</v>
          </cell>
          <cell r="E992" t="str">
            <v>522.52201</v>
          </cell>
          <cell r="F992">
            <v>20.729800000000001</v>
          </cell>
          <cell r="G992">
            <v>0</v>
          </cell>
          <cell r="H992">
            <v>20</v>
          </cell>
          <cell r="I992">
            <v>0</v>
          </cell>
          <cell r="J992">
            <v>0</v>
          </cell>
          <cell r="K992">
            <v>0</v>
          </cell>
          <cell r="L992">
            <v>0</v>
          </cell>
        </row>
        <row r="993">
          <cell r="A993" t="str">
            <v>10065.02218</v>
          </cell>
          <cell r="B993" t="str">
            <v>POULIE A 10GORGES TRAPEZOIDALES SPC1000</v>
          </cell>
          <cell r="C993" t="str">
            <v>POULIES A GORGES TRAPEZOIDALES POUR MOYEU AMOVIBLE TYPE 5050 SECTION : SPCDIAMETRE PRIMITIF : 1000 MMNOMBRE DES GORGES : 10</v>
          </cell>
          <cell r="D993" t="str">
            <v>PE</v>
          </cell>
          <cell r="E993" t="str">
            <v>515.51515</v>
          </cell>
          <cell r="F993">
            <v>39283.230000000003</v>
          </cell>
          <cell r="G993">
            <v>0</v>
          </cell>
          <cell r="H993">
            <v>2</v>
          </cell>
          <cell r="I993">
            <v>0</v>
          </cell>
          <cell r="J993">
            <v>0</v>
          </cell>
          <cell r="K993">
            <v>0</v>
          </cell>
          <cell r="L993">
            <v>0</v>
          </cell>
        </row>
        <row r="994">
          <cell r="A994" t="str">
            <v>10063.00973</v>
          </cell>
          <cell r="B994" t="str">
            <v>ECROU HEXAGONAL D12 SYM.H</v>
          </cell>
          <cell r="C994" t="str">
            <v>ECROU HEXAGONAL HMU 12 EN ACIER A 50 SUIVANT NORME NF.E 25.401- DIN 934 / FILETAGE ISO</v>
          </cell>
          <cell r="D994" t="str">
            <v>PE</v>
          </cell>
          <cell r="E994" t="str">
            <v>522.52201</v>
          </cell>
          <cell r="F994">
            <v>0.37119999999999997</v>
          </cell>
          <cell r="G994">
            <v>0</v>
          </cell>
          <cell r="H994">
            <v>0</v>
          </cell>
          <cell r="I994">
            <v>0</v>
          </cell>
          <cell r="J994">
            <v>0</v>
          </cell>
          <cell r="K994">
            <v>0</v>
          </cell>
          <cell r="L994">
            <v>0</v>
          </cell>
        </row>
        <row r="995">
          <cell r="A995" t="str">
            <v>10063.00974</v>
          </cell>
          <cell r="B995" t="str">
            <v>ECROU HEXAGONAL D14 SYM.H</v>
          </cell>
          <cell r="C995" t="str">
            <v>ECROU HEXAGONAL HMU 14 EN ACIER A 50 SUIVANT NORME NF.E 25.401- DIN 934 / FILETAGE ISO</v>
          </cell>
          <cell r="D995" t="str">
            <v>PE</v>
          </cell>
          <cell r="E995" t="str">
            <v>522.52201</v>
          </cell>
          <cell r="F995">
            <v>0.63139999999999996</v>
          </cell>
          <cell r="G995">
            <v>0</v>
          </cell>
          <cell r="H995">
            <v>0</v>
          </cell>
          <cell r="I995">
            <v>0</v>
          </cell>
          <cell r="J995">
            <v>0</v>
          </cell>
          <cell r="K995">
            <v>0</v>
          </cell>
          <cell r="L995">
            <v>0</v>
          </cell>
        </row>
        <row r="996">
          <cell r="A996" t="str">
            <v>10063.00975</v>
          </cell>
          <cell r="B996" t="str">
            <v>ECROU HEXAGONAL D16 SYM.H</v>
          </cell>
          <cell r="C996" t="str">
            <v>ECROU HEXAGONAL HMU 16 EN ACIER A 50 SUIVANT NORME NF.E 25.401- DIN 934 / FILETAGE ISO</v>
          </cell>
          <cell r="D996" t="str">
            <v>PE</v>
          </cell>
          <cell r="E996" t="str">
            <v>522.52201</v>
          </cell>
          <cell r="F996">
            <v>0.75060000000000004</v>
          </cell>
          <cell r="G996">
            <v>0</v>
          </cell>
          <cell r="H996">
            <v>0</v>
          </cell>
          <cell r="I996">
            <v>0</v>
          </cell>
          <cell r="J996">
            <v>0</v>
          </cell>
          <cell r="K996">
            <v>0</v>
          </cell>
          <cell r="L996">
            <v>0</v>
          </cell>
        </row>
        <row r="997">
          <cell r="A997" t="str">
            <v>10063.00969</v>
          </cell>
          <cell r="B997" t="str">
            <v>ECROU HEXAGONAL D.6 SYM.H</v>
          </cell>
          <cell r="C997" t="str">
            <v>ECROU HEXAGONAL HMU 6 EN ACIER A 50 SUIVANT NORME NF.E 25.401- DIN 934 / FILETAGE ISO</v>
          </cell>
          <cell r="D997" t="str">
            <v>PE</v>
          </cell>
          <cell r="E997" t="str">
            <v>522.52201</v>
          </cell>
          <cell r="F997">
            <v>0.33939999999999998</v>
          </cell>
          <cell r="G997">
            <v>0</v>
          </cell>
          <cell r="H997">
            <v>0</v>
          </cell>
          <cell r="I997">
            <v>0</v>
          </cell>
          <cell r="J997">
            <v>0</v>
          </cell>
          <cell r="K997">
            <v>52</v>
          </cell>
          <cell r="L997">
            <v>0</v>
          </cell>
        </row>
        <row r="998">
          <cell r="A998" t="str">
            <v>10063.00970</v>
          </cell>
          <cell r="B998" t="str">
            <v>ECROU HEXAGONL D.7 A 50</v>
          </cell>
          <cell r="C998" t="str">
            <v>ECROU HEXAGONAL HMU 7 EN ACIER A 50 SUIVANT NORME NF.E 25.401- DIN 934 / FILETAGE ISO</v>
          </cell>
          <cell r="D998" t="str">
            <v>PE</v>
          </cell>
          <cell r="E998" t="str">
            <v>522.52201</v>
          </cell>
          <cell r="F998">
            <v>0.42370000000000002</v>
          </cell>
          <cell r="G998">
            <v>0</v>
          </cell>
          <cell r="H998">
            <v>0</v>
          </cell>
          <cell r="I998">
            <v>0</v>
          </cell>
          <cell r="J998">
            <v>0</v>
          </cell>
          <cell r="K998">
            <v>99</v>
          </cell>
          <cell r="L998">
            <v>0</v>
          </cell>
        </row>
        <row r="999">
          <cell r="A999" t="str">
            <v>10063.00971</v>
          </cell>
          <cell r="B999" t="str">
            <v>ECROU HEXAGONAL D.8 SYM.H</v>
          </cell>
          <cell r="C999" t="str">
            <v>ECROU HEXAGONAL HMU 8 EN ACIER A 50 SUIVANT NORME NF.E 25.401- DIN 934 / FILETAGE ISO</v>
          </cell>
          <cell r="D999" t="str">
            <v>PE</v>
          </cell>
          <cell r="E999" t="str">
            <v>522.52201</v>
          </cell>
          <cell r="F999">
            <v>0.12529999999999999</v>
          </cell>
          <cell r="G999">
            <v>0</v>
          </cell>
          <cell r="H999">
            <v>0</v>
          </cell>
          <cell r="I999">
            <v>0</v>
          </cell>
          <cell r="J999">
            <v>0</v>
          </cell>
          <cell r="K999">
            <v>1</v>
          </cell>
          <cell r="L999">
            <v>0</v>
          </cell>
        </row>
        <row r="1000">
          <cell r="A1000" t="str">
            <v>10063.00972</v>
          </cell>
          <cell r="B1000" t="str">
            <v>ECROU HEXAGONAL D10 SYM.H</v>
          </cell>
          <cell r="C1000" t="str">
            <v>ECROU HEXAGONAL HMU 10 EN ACIER A 50 SUIVANT NORME NF.E 25.401- DIN 934 / FILETAGE ISO</v>
          </cell>
          <cell r="D1000" t="str">
            <v>PE</v>
          </cell>
          <cell r="E1000" t="str">
            <v>522.52201</v>
          </cell>
          <cell r="F1000">
            <v>0.26019999999999999</v>
          </cell>
          <cell r="G1000">
            <v>0</v>
          </cell>
          <cell r="H1000">
            <v>0</v>
          </cell>
          <cell r="I1000">
            <v>0</v>
          </cell>
          <cell r="J1000">
            <v>0</v>
          </cell>
          <cell r="K1000">
            <v>35</v>
          </cell>
          <cell r="L1000">
            <v>0</v>
          </cell>
        </row>
        <row r="1001">
          <cell r="A1001" t="str">
            <v>10065.00121</v>
          </cell>
          <cell r="B1001" t="str">
            <v>MANILLES LYRE 8         *</v>
          </cell>
          <cell r="C1001" t="str">
            <v xml:space="preserve">MANILLES EN ACIER ESTAMPE  FORME : LYRE A VIS DIAMETRE FIL 8 MM FORCE 140 KG </v>
          </cell>
          <cell r="D1001" t="str">
            <v>PE</v>
          </cell>
          <cell r="E1001" t="str">
            <v>522.52203</v>
          </cell>
          <cell r="F1001">
            <v>4.6947999999999999</v>
          </cell>
          <cell r="G1001">
            <v>0</v>
          </cell>
          <cell r="H1001">
            <v>0</v>
          </cell>
          <cell r="I1001">
            <v>0</v>
          </cell>
          <cell r="J1001">
            <v>0</v>
          </cell>
          <cell r="K1001">
            <v>0</v>
          </cell>
          <cell r="L1001">
            <v>0</v>
          </cell>
        </row>
        <row r="1002">
          <cell r="A1002" t="str">
            <v>10065.00122</v>
          </cell>
          <cell r="B1002" t="str">
            <v>MANILLES LYRE 12        *</v>
          </cell>
          <cell r="C1002" t="str">
            <v xml:space="preserve">MANILLES EN ACIER ESTAMPE  FORME : LYRE A VIS DIAMETRE FIL 12 MM FORCE 340 KG </v>
          </cell>
          <cell r="D1002" t="str">
            <v>PE</v>
          </cell>
          <cell r="E1002" t="str">
            <v>522.52203</v>
          </cell>
          <cell r="F1002">
            <v>5.1700999999999997</v>
          </cell>
          <cell r="G1002">
            <v>0</v>
          </cell>
          <cell r="H1002">
            <v>0</v>
          </cell>
          <cell r="I1002">
            <v>0</v>
          </cell>
          <cell r="J1002">
            <v>0</v>
          </cell>
          <cell r="K1002">
            <v>0</v>
          </cell>
          <cell r="L1002">
            <v>0</v>
          </cell>
        </row>
        <row r="1003">
          <cell r="A1003" t="str">
            <v>10065.02612</v>
          </cell>
          <cell r="B1003" t="str">
            <v>ANNEAU DE LEVAGE M27</v>
          </cell>
          <cell r="C1003" t="str">
            <v>QUINCAILLERIE ANNEAU DE LEVAGE A TIGE EN ACIER ALLIE DIAMETRE TIGE SELON ISO M27</v>
          </cell>
          <cell r="D1003" t="str">
            <v>PE</v>
          </cell>
          <cell r="E1003" t="str">
            <v>522.52203</v>
          </cell>
          <cell r="F1003">
            <v>42.68</v>
          </cell>
          <cell r="G1003">
            <v>0</v>
          </cell>
          <cell r="H1003">
            <v>0</v>
          </cell>
          <cell r="I1003">
            <v>0</v>
          </cell>
          <cell r="J1003">
            <v>0</v>
          </cell>
          <cell r="K1003">
            <v>4</v>
          </cell>
          <cell r="L1003">
            <v>0</v>
          </cell>
        </row>
        <row r="1004">
          <cell r="A1004" t="str">
            <v>10063.02852</v>
          </cell>
          <cell r="B1004" t="str">
            <v>RONDEL PLATE ACIER Z D 36</v>
          </cell>
          <cell r="C1004" t="str">
            <v xml:space="preserve">RONDELLE BRUTE PLATE  ETROITE M 36 EN ACIER E 26SUIVANT NORME NF.E 25.513 - NF.E 25.514 - DIN 125  </v>
          </cell>
          <cell r="D1004" t="str">
            <v>PE</v>
          </cell>
          <cell r="E1004" t="str">
            <v>522.52201</v>
          </cell>
          <cell r="F1004">
            <v>3.3664000000000001</v>
          </cell>
          <cell r="G1004">
            <v>0</v>
          </cell>
          <cell r="H1004">
            <v>0</v>
          </cell>
          <cell r="I1004">
            <v>0</v>
          </cell>
          <cell r="J1004">
            <v>0</v>
          </cell>
          <cell r="K1004">
            <v>0</v>
          </cell>
          <cell r="L1004">
            <v>0</v>
          </cell>
        </row>
        <row r="1005">
          <cell r="A1005" t="str">
            <v>10065.00127</v>
          </cell>
          <cell r="B1005" t="str">
            <v>MANILLES LYRE 30</v>
          </cell>
          <cell r="C1005" t="str">
            <v xml:space="preserve">MANILLES EN ACIER ESTAMPE  FORME : LYRE A VIS DIAMETRE FIL 30 MM FORCE 6500 KG </v>
          </cell>
          <cell r="D1005" t="str">
            <v>PE</v>
          </cell>
          <cell r="E1005" t="str">
            <v>522.52203</v>
          </cell>
          <cell r="F1005">
            <v>80.907700000000006</v>
          </cell>
          <cell r="G1005">
            <v>0</v>
          </cell>
          <cell r="H1005">
            <v>0</v>
          </cell>
          <cell r="I1005">
            <v>0</v>
          </cell>
          <cell r="J1005">
            <v>0</v>
          </cell>
          <cell r="K1005">
            <v>0</v>
          </cell>
          <cell r="L1005">
            <v>0</v>
          </cell>
        </row>
        <row r="1006">
          <cell r="A1006" t="str">
            <v>10060.01309</v>
          </cell>
          <cell r="B1006" t="str">
            <v>THERMOMETRE BIMETALLIQUE 0-400°C D:100MM</v>
          </cell>
          <cell r="C1006" t="str">
            <v xml:space="preserve">THERMOMETRE BIMETALLIQUE CONSTRUCTION INOX 316L MODELE ORIENTABLE RACCORD FILETE TOURNANT ET COULISSANT ETANCHEITE DU BOITIER IP 55 CLASSE DE PRECISION : 1 DIAMETRE DU BOITIER EN (MM) : 100 MM DIAMETRE DU RACCORD 1/2 POUCE NPT DIAMETRE DE LA TIGE 8 MM LONGUEUR DE LA TIGE 400 MM ECHELLE 0 + 400 DEGRE </v>
          </cell>
          <cell r="D1006" t="str">
            <v>PE</v>
          </cell>
          <cell r="E1006" t="str">
            <v>512.51201</v>
          </cell>
          <cell r="F1006">
            <v>900</v>
          </cell>
          <cell r="G1006">
            <v>0</v>
          </cell>
          <cell r="H1006">
            <v>0</v>
          </cell>
          <cell r="I1006">
            <v>0</v>
          </cell>
          <cell r="J1006">
            <v>0</v>
          </cell>
          <cell r="K1006">
            <v>0</v>
          </cell>
          <cell r="L1006">
            <v>3</v>
          </cell>
        </row>
        <row r="1007">
          <cell r="A1007" t="str">
            <v>10065.02614</v>
          </cell>
          <cell r="B1007" t="str">
            <v>ANNEAU DE LEVAGE M30</v>
          </cell>
          <cell r="C1007" t="str">
            <v>QUINCAILLERIE ANNEAU DE LEVAGE A TIGE EN ACIER ALLIE DIAMETRE TIGE SELON ISO M30</v>
          </cell>
          <cell r="D1007" t="str">
            <v>PE</v>
          </cell>
          <cell r="E1007" t="str">
            <v>522.52203</v>
          </cell>
          <cell r="F1007">
            <v>59.17</v>
          </cell>
          <cell r="G1007">
            <v>0</v>
          </cell>
          <cell r="H1007">
            <v>0</v>
          </cell>
          <cell r="I1007">
            <v>0</v>
          </cell>
          <cell r="J1007">
            <v>0</v>
          </cell>
          <cell r="K1007">
            <v>4</v>
          </cell>
          <cell r="L1007">
            <v>0</v>
          </cell>
        </row>
        <row r="1008">
          <cell r="A1008" t="str">
            <v>10065.00123</v>
          </cell>
          <cell r="B1008" t="str">
            <v>MANILLES LYRE 16</v>
          </cell>
          <cell r="C1008" t="str">
            <v xml:space="preserve">MANILLES EN ACIER ESTAMPE  FORME : LYRE A VIS DIAMETRE FIL 16 MM FORCE 1200 KG </v>
          </cell>
          <cell r="D1008" t="str">
            <v>PE</v>
          </cell>
          <cell r="E1008" t="str">
            <v>522.52203</v>
          </cell>
          <cell r="F1008">
            <v>8.4292999999999996</v>
          </cell>
          <cell r="G1008">
            <v>0</v>
          </cell>
          <cell r="H1008">
            <v>0</v>
          </cell>
          <cell r="I1008">
            <v>0</v>
          </cell>
          <cell r="J1008">
            <v>0</v>
          </cell>
          <cell r="K1008">
            <v>0</v>
          </cell>
          <cell r="L1008">
            <v>0</v>
          </cell>
        </row>
        <row r="1009">
          <cell r="A1009" t="str">
            <v>10065.00125</v>
          </cell>
          <cell r="B1009" t="str">
            <v>MANILLES LYRE 22</v>
          </cell>
          <cell r="C1009" t="str">
            <v xml:space="preserve">MANILLES EN ACIER ESTAMPE  FORME : LYRE A VIS DIAMETRE FIL 22 MM FORCE 2800 KG </v>
          </cell>
          <cell r="D1009" t="str">
            <v>PE</v>
          </cell>
          <cell r="E1009" t="str">
            <v>522.52203</v>
          </cell>
          <cell r="F1009">
            <v>31.214600000000001</v>
          </cell>
          <cell r="G1009">
            <v>0</v>
          </cell>
          <cell r="H1009">
            <v>0</v>
          </cell>
          <cell r="I1009">
            <v>0</v>
          </cell>
          <cell r="J1009">
            <v>0</v>
          </cell>
          <cell r="K1009">
            <v>0</v>
          </cell>
          <cell r="L1009">
            <v>0</v>
          </cell>
        </row>
        <row r="1010">
          <cell r="A1010" t="str">
            <v>10065.00126</v>
          </cell>
          <cell r="B1010" t="str">
            <v>MANILLES LYRE 28</v>
          </cell>
          <cell r="C1010" t="str">
            <v xml:space="preserve">MANILLES EN ACIER ESTAMPE  FORME : LYRE A VIS DIAMETRE FIL 28 MM FORCE 5000 KG </v>
          </cell>
          <cell r="D1010" t="str">
            <v>PE</v>
          </cell>
          <cell r="E1010" t="str">
            <v>522.52203</v>
          </cell>
          <cell r="F1010">
            <v>62.4</v>
          </cell>
          <cell r="G1010">
            <v>0</v>
          </cell>
          <cell r="H1010">
            <v>0</v>
          </cell>
          <cell r="I1010">
            <v>0</v>
          </cell>
          <cell r="J1010">
            <v>0</v>
          </cell>
          <cell r="K1010">
            <v>2</v>
          </cell>
          <cell r="L1010">
            <v>0</v>
          </cell>
        </row>
        <row r="1011">
          <cell r="A1011" t="str">
            <v>10062.06460</v>
          </cell>
          <cell r="B1011" t="str">
            <v>BOULON TETE HEXAGONALE 30X60X3,5 EN ACIER H.R.</v>
          </cell>
          <cell r="C1011" t="str">
            <v xml:space="preserve">BOULON HMN 30 X 60  VIS A TETE HEXAGONALE PARTIELLEMENT FILETEE ET ECROU HEXAGONALEN ACIER A HAUTE RESISTANCE XC 42 CLASSE ISO 8.8SUIVANT NORME NFE 25 115 ET NFE 25 401  /  FILETAGE  ISO  </v>
          </cell>
          <cell r="D1011" t="str">
            <v>PE</v>
          </cell>
          <cell r="E1011" t="str">
            <v>522.52201</v>
          </cell>
          <cell r="F1011">
            <v>18.276</v>
          </cell>
          <cell r="G1011">
            <v>0</v>
          </cell>
          <cell r="H1011">
            <v>0</v>
          </cell>
          <cell r="I1011">
            <v>0</v>
          </cell>
          <cell r="J1011">
            <v>0</v>
          </cell>
          <cell r="K1011">
            <v>0</v>
          </cell>
          <cell r="L1011">
            <v>0</v>
          </cell>
        </row>
        <row r="1012">
          <cell r="A1012" t="str">
            <v>10063.01151</v>
          </cell>
          <cell r="B1012" t="str">
            <v>ECROU H EN ACIER HR  8 M18</v>
          </cell>
          <cell r="C1012" t="str">
            <v>ECROU HEXAGONAL HM 18 EN ACIER A HAUTE RESISTANCE NUANCE XC 38  -  CLASSE ISO 8  /  SUVANT NORME 934</v>
          </cell>
          <cell r="D1012" t="str">
            <v>PE</v>
          </cell>
          <cell r="E1012" t="str">
            <v>522.52201</v>
          </cell>
          <cell r="F1012">
            <v>1.82</v>
          </cell>
          <cell r="G1012">
            <v>0</v>
          </cell>
          <cell r="H1012">
            <v>0</v>
          </cell>
          <cell r="I1012">
            <v>0</v>
          </cell>
          <cell r="J1012">
            <v>0</v>
          </cell>
          <cell r="K1012">
            <v>100</v>
          </cell>
          <cell r="L1012">
            <v>0</v>
          </cell>
        </row>
        <row r="1013">
          <cell r="A1013" t="str">
            <v>10063.01152</v>
          </cell>
          <cell r="B1013" t="str">
            <v>ECROU H EN ACIER HR 8 M27</v>
          </cell>
          <cell r="C1013" t="str">
            <v>ECROU HEXAGONAL HM 27 EN ACIER A HAUTE RESISTANCE NUANCE XC 38  -  CLASSE ISO 8  /  SUVANT NORME 934</v>
          </cell>
          <cell r="D1013" t="str">
            <v>PE</v>
          </cell>
          <cell r="E1013" t="str">
            <v>522.52201</v>
          </cell>
          <cell r="F1013">
            <v>7.11</v>
          </cell>
          <cell r="G1013">
            <v>0</v>
          </cell>
          <cell r="H1013">
            <v>0</v>
          </cell>
          <cell r="I1013">
            <v>52</v>
          </cell>
          <cell r="J1013">
            <v>0</v>
          </cell>
          <cell r="K1013">
            <v>13</v>
          </cell>
          <cell r="L1013">
            <v>85</v>
          </cell>
        </row>
        <row r="1014">
          <cell r="A1014" t="str">
            <v>10065.00277</v>
          </cell>
          <cell r="B1014" t="str">
            <v>ELINGUE SANGLE 1T LON 1M</v>
          </cell>
          <cell r="C1014" t="str">
            <v xml:space="preserve">QUINCAILLERIE ELINGUES ELINGUE A SANGLE PLATE A 2 MAILLES  LONGUEUR : 1 METRE LARGEUR 50 MM EPAISSEUR 5 MM MATIERE POLYESTER FORCE 1 TONNE </v>
          </cell>
          <cell r="D1014" t="str">
            <v>PE</v>
          </cell>
          <cell r="E1014" t="str">
            <v>522.52203</v>
          </cell>
          <cell r="F1014">
            <v>64.02</v>
          </cell>
          <cell r="G1014">
            <v>0</v>
          </cell>
          <cell r="H1014">
            <v>0</v>
          </cell>
          <cell r="I1014">
            <v>0</v>
          </cell>
          <cell r="J1014">
            <v>0</v>
          </cell>
          <cell r="K1014">
            <v>0</v>
          </cell>
          <cell r="L1014">
            <v>0</v>
          </cell>
        </row>
        <row r="1015">
          <cell r="A1015" t="str">
            <v>10063.01153</v>
          </cell>
          <cell r="B1015" t="str">
            <v>ECROU H EN ACIER HR 8 M33</v>
          </cell>
          <cell r="C1015" t="str">
            <v>ECROU HEXAGONAL HM 33 EN ACIER A HAUTE RESISTANCE NUANCE XC 38  -  CLASSE ISO 8  /  SUVANT NORME 934</v>
          </cell>
          <cell r="D1015" t="str">
            <v>PE</v>
          </cell>
          <cell r="E1015" t="str">
            <v>522.52201</v>
          </cell>
          <cell r="F1015">
            <v>10.8</v>
          </cell>
          <cell r="G1015">
            <v>0</v>
          </cell>
          <cell r="H1015">
            <v>0</v>
          </cell>
          <cell r="I1015">
            <v>0</v>
          </cell>
          <cell r="J1015">
            <v>0</v>
          </cell>
          <cell r="K1015">
            <v>0</v>
          </cell>
          <cell r="L1015">
            <v>0</v>
          </cell>
        </row>
        <row r="1016">
          <cell r="A1016" t="str">
            <v>10065.00278</v>
          </cell>
          <cell r="B1016" t="str">
            <v>ELINGUE SANGLE 2T LON 1M</v>
          </cell>
          <cell r="C1016" t="str">
            <v xml:space="preserve">QUINCAILLERIE ELINGUES ELINGUE A SANGLE PLATE A 2 MAILLES  LONGUEUR : 1 METRE LARGEUR 65 MM EPAISSEUR 11 MM MATIERE POLYESTER FORCE 2 TONNES </v>
          </cell>
          <cell r="D1016" t="str">
            <v>PE</v>
          </cell>
          <cell r="E1016" t="str">
            <v>522.52203</v>
          </cell>
          <cell r="F1016">
            <v>88.27</v>
          </cell>
          <cell r="G1016">
            <v>0</v>
          </cell>
          <cell r="H1016">
            <v>0</v>
          </cell>
          <cell r="I1016">
            <v>0</v>
          </cell>
          <cell r="J1016">
            <v>0</v>
          </cell>
          <cell r="K1016">
            <v>0</v>
          </cell>
          <cell r="L1016">
            <v>0</v>
          </cell>
        </row>
        <row r="1017">
          <cell r="A1017" t="str">
            <v>10060.01317</v>
          </cell>
          <cell r="B1017" t="str">
            <v>THERMOMETRE BIMETALLIQUE 0-200°C D:100MM</v>
          </cell>
          <cell r="C1017" t="str">
            <v xml:space="preserve">THERMOMETRE BIMETALLIQUE CONSTRUCTION INOX 316L MODELE ORIENTABLE ETANCHEITE DU BOITIER IP55 CLASSE DE PRECISION : 1 DIAMETRE DU BOITIER EN (MM) : 100 MM DIAMETRE DU RACCORD 1/2 POUCE NPT TYPE DU RACCORD FILETAGE TOURNANT ET COULISSANT DIAMETRE DE LA TIGE 8 MM LONGUEUR DE LA TIGE 500 MM ECHELLE 0 A 200 DEGRE CELCIUS LONGUEUR DU CAPILLAIRE SANS </v>
          </cell>
          <cell r="D1017" t="str">
            <v>PE</v>
          </cell>
          <cell r="E1017" t="str">
            <v>512.51201</v>
          </cell>
          <cell r="F1017">
            <v>950</v>
          </cell>
          <cell r="G1017">
            <v>1</v>
          </cell>
          <cell r="H1017">
            <v>1</v>
          </cell>
          <cell r="I1017">
            <v>0</v>
          </cell>
          <cell r="J1017">
            <v>0</v>
          </cell>
          <cell r="K1017">
            <v>0</v>
          </cell>
          <cell r="L1017">
            <v>0</v>
          </cell>
        </row>
        <row r="1018">
          <cell r="A1018" t="str">
            <v>10063.01141</v>
          </cell>
          <cell r="B1018" t="str">
            <v>ECROU HR XC38 DIA 14MM HE</v>
          </cell>
          <cell r="C1018" t="str">
            <v>ECROU HEXAGONAL HMT 14 EN ACIER A HAUTE RESISTANCE XC 38CLASSE ISO 8 / SUIVANT NORME NF E 25.401- DIN 934 / FILETAGE ISO</v>
          </cell>
          <cell r="D1018" t="str">
            <v>PE</v>
          </cell>
          <cell r="E1018" t="str">
            <v>522.52201</v>
          </cell>
          <cell r="F1018">
            <v>0.8</v>
          </cell>
          <cell r="G1018">
            <v>0</v>
          </cell>
          <cell r="H1018">
            <v>68</v>
          </cell>
          <cell r="I1018">
            <v>32</v>
          </cell>
          <cell r="J1018">
            <v>0</v>
          </cell>
          <cell r="K1018">
            <v>0</v>
          </cell>
          <cell r="L1018">
            <v>0</v>
          </cell>
        </row>
        <row r="1019">
          <cell r="A1019" t="str">
            <v>10063.01147</v>
          </cell>
          <cell r="B1019" t="str">
            <v>ECROU HEX.M16 ACIER HR</v>
          </cell>
          <cell r="C1019" t="str">
            <v>ECROU HEXAGONAL HMT 16 EN ACIER A HAUTE RESISTANCE XC 38CLASSE ISO 8 / SUIVANT NORME NF E 25.401- DIN 934 / FILETAGE ISO</v>
          </cell>
          <cell r="D1019" t="str">
            <v>PE</v>
          </cell>
          <cell r="E1019" t="str">
            <v>522.52201</v>
          </cell>
          <cell r="F1019">
            <v>0.86380000000000001</v>
          </cell>
          <cell r="G1019">
            <v>200</v>
          </cell>
          <cell r="H1019">
            <v>0</v>
          </cell>
          <cell r="I1019">
            <v>0</v>
          </cell>
          <cell r="J1019">
            <v>0</v>
          </cell>
          <cell r="K1019">
            <v>150</v>
          </cell>
          <cell r="L1019">
            <v>0</v>
          </cell>
        </row>
        <row r="1020">
          <cell r="A1020" t="str">
            <v>10063.01148</v>
          </cell>
          <cell r="B1020" t="str">
            <v>ECROU HR XC38 DIA 20MM HE</v>
          </cell>
          <cell r="C1020" t="str">
            <v>ECROU HEXAGONAL HMT 20 EN ACIER A HAUTE RESISTANCE XC 38CLASSE ISO 8 / SUIVANT NORME NF E 25.401- DIN 934 / FILETAGE ISO</v>
          </cell>
          <cell r="D1020" t="str">
            <v>PE</v>
          </cell>
          <cell r="E1020" t="str">
            <v>522.52201</v>
          </cell>
          <cell r="F1020">
            <v>2.15</v>
          </cell>
          <cell r="G1020">
            <v>0</v>
          </cell>
          <cell r="H1020">
            <v>0</v>
          </cell>
          <cell r="I1020">
            <v>0</v>
          </cell>
          <cell r="J1020">
            <v>0</v>
          </cell>
          <cell r="K1020">
            <v>150</v>
          </cell>
          <cell r="L1020">
            <v>0</v>
          </cell>
        </row>
        <row r="1021">
          <cell r="A1021" t="str">
            <v>10063.01149</v>
          </cell>
          <cell r="B1021" t="str">
            <v>ECROU HEX. M24 ACIER HR</v>
          </cell>
          <cell r="C1021" t="str">
            <v>ECROU HEXAGONAL HMT 24 EN ACIER A HAUTE RESISTANCE XC 38CLASSE ISO 8 / SUIVANT NORME NF E 25.401- DIN 934 / FILETAGE ISO</v>
          </cell>
          <cell r="D1021" t="str">
            <v>PE</v>
          </cell>
          <cell r="E1021" t="str">
            <v>522.52201</v>
          </cell>
          <cell r="F1021">
            <v>4.08</v>
          </cell>
          <cell r="G1021">
            <v>0</v>
          </cell>
          <cell r="H1021">
            <v>0</v>
          </cell>
          <cell r="I1021">
            <v>0</v>
          </cell>
          <cell r="J1021">
            <v>0</v>
          </cell>
          <cell r="K1021">
            <v>100</v>
          </cell>
          <cell r="L1021">
            <v>50</v>
          </cell>
        </row>
        <row r="1022">
          <cell r="A1022" t="str">
            <v>10063.01138</v>
          </cell>
          <cell r="B1022" t="str">
            <v>ECROU H EN ACIER 8 M8</v>
          </cell>
          <cell r="C1022" t="str">
            <v>ECROU HEXAGONAL HMT 8 EN ACIER A HAUTE RESISTANCE XC 38CLASSE ISO 8 / SUIVANT NORME NF E 25.401- DIN 934 / FILETAGE ISO</v>
          </cell>
          <cell r="D1022" t="str">
            <v>PE</v>
          </cell>
          <cell r="E1022" t="str">
            <v>522.52201</v>
          </cell>
          <cell r="F1022">
            <v>0.16800000000000001</v>
          </cell>
          <cell r="G1022">
            <v>0</v>
          </cell>
          <cell r="H1022">
            <v>0</v>
          </cell>
          <cell r="I1022">
            <v>0</v>
          </cell>
          <cell r="J1022">
            <v>0</v>
          </cell>
          <cell r="K1022">
            <v>29</v>
          </cell>
          <cell r="L1022">
            <v>0</v>
          </cell>
        </row>
        <row r="1023">
          <cell r="A1023" t="str">
            <v>10063.01139</v>
          </cell>
          <cell r="B1023" t="str">
            <v>ECROU H EN ACIER 8 M10</v>
          </cell>
          <cell r="C1023" t="str">
            <v>ECROU HEXAGONAL HMT 10 EN ACIER A HAUTE RESISTANCE XC 38CLASSE ISO 8 / SUIVANT NORME NF E 25.401- DIN 934 / FILETAGE ISO</v>
          </cell>
          <cell r="D1023" t="str">
            <v>PE</v>
          </cell>
          <cell r="E1023" t="str">
            <v>522.52201</v>
          </cell>
          <cell r="F1023">
            <v>0.38</v>
          </cell>
          <cell r="G1023">
            <v>0</v>
          </cell>
          <cell r="H1023">
            <v>0</v>
          </cell>
          <cell r="I1023">
            <v>0</v>
          </cell>
          <cell r="J1023">
            <v>0</v>
          </cell>
          <cell r="K1023">
            <v>0</v>
          </cell>
          <cell r="L1023">
            <v>100</v>
          </cell>
        </row>
        <row r="1024">
          <cell r="A1024" t="str">
            <v>10063.01140</v>
          </cell>
          <cell r="B1024" t="str">
            <v>ECROU HR XC38 DIA 12MM HE</v>
          </cell>
          <cell r="C1024" t="str">
            <v>ECROU HEXAGONAL HMT 12 EN ACIER A HAUTE RESISTANCE XC 38CLASSE ISO 8 / SUIVANT NORME NF E 25.401- DIN 934 / FILETAGE ISO</v>
          </cell>
          <cell r="D1024" t="str">
            <v>PE</v>
          </cell>
          <cell r="E1024" t="str">
            <v>522.52201</v>
          </cell>
          <cell r="F1024">
            <v>0.5</v>
          </cell>
          <cell r="G1024">
            <v>0</v>
          </cell>
          <cell r="H1024">
            <v>0</v>
          </cell>
          <cell r="I1024">
            <v>100</v>
          </cell>
          <cell r="J1024">
            <v>0</v>
          </cell>
          <cell r="K1024">
            <v>0</v>
          </cell>
          <cell r="L1024">
            <v>0</v>
          </cell>
        </row>
        <row r="1025">
          <cell r="A1025" t="str">
            <v>10065.00804</v>
          </cell>
          <cell r="B1025" t="str">
            <v>POULIE MGT 6G SPC/C 265</v>
          </cell>
          <cell r="C1025" t="str">
            <v xml:space="preserve">QUINCAILLERIE POULIES AVEC MOYEU ET DOUILLE DE SERRAGE TYPE MAGIC GRIP T DIAMETRE PRIMITIF :265 SECTION : SPC/C NUMERO DE LA DOUILLE 100 ALESAGE MINI:40 - MAXI:100 NOMBRE DE GORGES : 6 EXECUTION PLEINE </v>
          </cell>
          <cell r="D1025" t="str">
            <v>PE</v>
          </cell>
          <cell r="E1025" t="str">
            <v>515.51515</v>
          </cell>
          <cell r="F1025">
            <v>5602.9049000000005</v>
          </cell>
          <cell r="G1025">
            <v>0</v>
          </cell>
          <cell r="H1025">
            <v>1</v>
          </cell>
          <cell r="I1025">
            <v>0</v>
          </cell>
          <cell r="J1025">
            <v>0</v>
          </cell>
          <cell r="K1025">
            <v>0</v>
          </cell>
          <cell r="L1025">
            <v>0</v>
          </cell>
        </row>
        <row r="1026">
          <cell r="A1026" t="str">
            <v>10065.00806</v>
          </cell>
          <cell r="B1026" t="str">
            <v>POULIE MGT 6G SPC/C 315</v>
          </cell>
          <cell r="C1026" t="str">
            <v xml:space="preserve">QUINCAILLERIE POULIES AVEC MOYEU ET DOUILLE DE SERRAGE TYPE MAGIC GRIP T DIAMETRE PRIMITIF :315 SECTION : SPC/C NUMERO DE LA DOUILLE 100 ALESAGE MINI:40 - MAXI:100 NOMBRE DE GORGES : 6 EXECUTION A TOILE </v>
          </cell>
          <cell r="D1026" t="str">
            <v>PE</v>
          </cell>
          <cell r="E1026" t="str">
            <v>515.51515</v>
          </cell>
          <cell r="F1026">
            <v>2217.8411000000001</v>
          </cell>
          <cell r="G1026">
            <v>0</v>
          </cell>
          <cell r="H1026">
            <v>3</v>
          </cell>
          <cell r="I1026">
            <v>0</v>
          </cell>
          <cell r="J1026">
            <v>0</v>
          </cell>
          <cell r="K1026">
            <v>0</v>
          </cell>
          <cell r="L1026">
            <v>2</v>
          </cell>
        </row>
        <row r="1027">
          <cell r="A1027" t="str">
            <v>10061.09815</v>
          </cell>
          <cell r="B1027" t="str">
            <v>TIGE FILETEE L.1M D.8MM</v>
          </cell>
          <cell r="C1027" t="str">
            <v>TIGE FILETEE EN ACIER INOXYDABLE EN LONGUEUR DE 1 METRESUIVANT NORME AFNOR Z2 CND 17-13  /  AISI 316L /  UGINE NSM 22S FILETAGE  ISO / DIAMETRE 8 MM</v>
          </cell>
          <cell r="D1027" t="str">
            <v>PE</v>
          </cell>
          <cell r="E1027" t="str">
            <v>522.52201</v>
          </cell>
          <cell r="F1027">
            <v>27</v>
          </cell>
          <cell r="G1027">
            <v>0</v>
          </cell>
          <cell r="H1027">
            <v>0</v>
          </cell>
          <cell r="I1027">
            <v>0</v>
          </cell>
          <cell r="J1027">
            <v>0</v>
          </cell>
          <cell r="K1027">
            <v>0</v>
          </cell>
          <cell r="L1027">
            <v>0</v>
          </cell>
        </row>
        <row r="1028">
          <cell r="A1028" t="str">
            <v>10061.09816</v>
          </cell>
          <cell r="B1028" t="str">
            <v>TIGE FILETEE L.1M D.10MM</v>
          </cell>
          <cell r="C1028" t="str">
            <v>TIGE FILETEE EN ACIER INOXYDABLE EN LONGUEUR DE 1 METRESUIVANT NORME AFNOR Z2 CND 17-13  /  AISI 316L /  UGINE NSM 22S FILETAGE  ISO / DIAMETRE 10 MM</v>
          </cell>
          <cell r="D1028" t="str">
            <v>PE</v>
          </cell>
          <cell r="E1028" t="str">
            <v>522.52201</v>
          </cell>
          <cell r="F1028">
            <v>85.448400000000007</v>
          </cell>
          <cell r="G1028">
            <v>4</v>
          </cell>
          <cell r="H1028">
            <v>2</v>
          </cell>
          <cell r="I1028">
            <v>3</v>
          </cell>
          <cell r="J1028">
            <v>0</v>
          </cell>
          <cell r="K1028">
            <v>5</v>
          </cell>
          <cell r="L1028">
            <v>65</v>
          </cell>
        </row>
        <row r="1029">
          <cell r="A1029" t="str">
            <v>10061.09817</v>
          </cell>
          <cell r="B1029" t="str">
            <v>TIGE FILETEE L.1M D.12MM</v>
          </cell>
          <cell r="C1029" t="str">
            <v>TIGE FILETEE EN ACIER INOXYDABLE EN LONGUEUR DE 1 METRESUIVANT NORME AFNOR Z2 CND 17-13  /  AISI 316L /  UGINE NSM 22S FILETAGE  ISO / DIAMETRE 12 MM</v>
          </cell>
          <cell r="D1029" t="str">
            <v>PE</v>
          </cell>
          <cell r="E1029" t="str">
            <v>522.52201</v>
          </cell>
          <cell r="F1029">
            <v>35.5</v>
          </cell>
          <cell r="G1029">
            <v>0</v>
          </cell>
          <cell r="H1029">
            <v>0</v>
          </cell>
          <cell r="I1029">
            <v>0</v>
          </cell>
          <cell r="J1029">
            <v>0</v>
          </cell>
          <cell r="K1029">
            <v>0</v>
          </cell>
          <cell r="L1029">
            <v>0</v>
          </cell>
        </row>
        <row r="1030">
          <cell r="A1030" t="str">
            <v>10061.09820</v>
          </cell>
          <cell r="B1030" t="str">
            <v>TIGE FILETEE L.1M D.18MM</v>
          </cell>
          <cell r="C1030" t="str">
            <v>TIGE FILETEE EN ACIER INOXYDABLE EN LONGUEUR DE 1 METRESUIVANT NORME AFNOR Z2 CND 17-13  /  AISI 316L /  UGINE NSM 22S FILETAGE  ISO / DIAMETRE 18 MM</v>
          </cell>
          <cell r="D1030" t="str">
            <v>PE</v>
          </cell>
          <cell r="E1030" t="str">
            <v>522.52201</v>
          </cell>
          <cell r="F1030">
            <v>107.9113</v>
          </cell>
          <cell r="G1030">
            <v>0</v>
          </cell>
          <cell r="H1030">
            <v>0</v>
          </cell>
          <cell r="I1030">
            <v>0</v>
          </cell>
          <cell r="J1030">
            <v>13</v>
          </cell>
          <cell r="K1030">
            <v>1</v>
          </cell>
          <cell r="L1030">
            <v>0</v>
          </cell>
        </row>
        <row r="1031">
          <cell r="A1031" t="str">
            <v>10061.09857</v>
          </cell>
          <cell r="B1031" t="str">
            <v>TIGE FILETEE L.1M D.24MM</v>
          </cell>
          <cell r="C1031" t="str">
            <v xml:space="preserve">TIGE FILETEE EN LONGUEUR DE 1 METRE  DIAMETRE 24 MMEN ACIER A 193 B7(C0,38/0,48- Mn0,75/1- P0,040MAXI-S0,04MAXI- Si0,20/0,35- Cr0,8/1,1-Mo0,15/0,25 RESISTANCE MINI 88 Kg/mm2      -   LIMITE ELASTIQUE MINI 74 Kg/MM2ALLONGEMENT MINI SUR 2" 16% -   STRICTION MINI 50% </v>
          </cell>
          <cell r="D1031" t="str">
            <v>PE</v>
          </cell>
          <cell r="E1031" t="str">
            <v>522.52201</v>
          </cell>
          <cell r="F1031">
            <v>151.36009999999999</v>
          </cell>
          <cell r="G1031">
            <v>0</v>
          </cell>
          <cell r="H1031">
            <v>23</v>
          </cell>
          <cell r="I1031">
            <v>0</v>
          </cell>
          <cell r="J1031">
            <v>0</v>
          </cell>
          <cell r="K1031">
            <v>0</v>
          </cell>
          <cell r="L1031">
            <v>0</v>
          </cell>
        </row>
        <row r="1032">
          <cell r="A1032" t="str">
            <v>10061.09861</v>
          </cell>
          <cell r="B1032" t="str">
            <v>TIGE FILETEE M8X1000 8.8</v>
          </cell>
          <cell r="C1032" t="str">
            <v>TIGE FILETEE M8 X 1000 MM EN ACIER A HAUTE RESISTANCE 8.8</v>
          </cell>
          <cell r="D1032" t="str">
            <v>PE</v>
          </cell>
          <cell r="E1032" t="str">
            <v>522.52201</v>
          </cell>
          <cell r="F1032">
            <v>18.492000000000001</v>
          </cell>
          <cell r="G1032">
            <v>0</v>
          </cell>
          <cell r="H1032">
            <v>0</v>
          </cell>
          <cell r="I1032">
            <v>0</v>
          </cell>
          <cell r="J1032">
            <v>0</v>
          </cell>
          <cell r="K1032">
            <v>12</v>
          </cell>
          <cell r="L1032">
            <v>0</v>
          </cell>
        </row>
        <row r="1033">
          <cell r="A1033" t="str">
            <v>10061.01092</v>
          </cell>
          <cell r="B1033" t="str">
            <v>RIVET AVEUGLE POP  5X21</v>
          </cell>
          <cell r="C1033" t="str">
            <v>RIVET AVEUGLE "POP" EN ALUMINIUM LONGUEUR  21 MM  / DIAMETRE 5 MM</v>
          </cell>
          <cell r="D1033" t="str">
            <v>PE</v>
          </cell>
          <cell r="E1033" t="str">
            <v>522.52201</v>
          </cell>
          <cell r="F1033">
            <v>0.18</v>
          </cell>
          <cell r="G1033">
            <v>0</v>
          </cell>
          <cell r="H1033">
            <v>0</v>
          </cell>
          <cell r="I1033">
            <v>0</v>
          </cell>
          <cell r="J1033">
            <v>0</v>
          </cell>
          <cell r="K1033">
            <v>0</v>
          </cell>
          <cell r="L1033">
            <v>0</v>
          </cell>
        </row>
        <row r="1034">
          <cell r="A1034" t="str">
            <v>10061.01083</v>
          </cell>
          <cell r="B1034" t="str">
            <v>RIVET AVEUGLE POP 4X12</v>
          </cell>
          <cell r="C1034" t="str">
            <v xml:space="preserve">RIVET AVEUGLE "POP" EN ALUMINIUM LONGUEUR  12 MM  / DIAMETRE 4 MM </v>
          </cell>
          <cell r="D1034" t="str">
            <v>PE</v>
          </cell>
          <cell r="E1034" t="str">
            <v>522.52201</v>
          </cell>
          <cell r="F1034">
            <v>7.9200000000000007E-2</v>
          </cell>
          <cell r="G1034">
            <v>0</v>
          </cell>
          <cell r="H1034">
            <v>0</v>
          </cell>
          <cell r="I1034">
            <v>0</v>
          </cell>
          <cell r="J1034">
            <v>0</v>
          </cell>
          <cell r="K1034">
            <v>0</v>
          </cell>
          <cell r="L1034">
            <v>0</v>
          </cell>
        </row>
        <row r="1035">
          <cell r="A1035" t="str">
            <v>10061.01090</v>
          </cell>
          <cell r="B1035" t="str">
            <v>RIVET AVEUGLE POP 5X16</v>
          </cell>
          <cell r="C1035" t="str">
            <v>RIVET AVEUGLE "POP" EN ALUMINIUM LONGUEUR  16 MM  / DIAMETRE 5 MM</v>
          </cell>
          <cell r="D1035" t="str">
            <v>PE</v>
          </cell>
          <cell r="E1035" t="str">
            <v>522.52201</v>
          </cell>
          <cell r="F1035">
            <v>0.24</v>
          </cell>
          <cell r="G1035">
            <v>0</v>
          </cell>
          <cell r="H1035">
            <v>0</v>
          </cell>
          <cell r="I1035">
            <v>0</v>
          </cell>
          <cell r="J1035">
            <v>0</v>
          </cell>
          <cell r="K1035">
            <v>0</v>
          </cell>
          <cell r="L1035">
            <v>0</v>
          </cell>
        </row>
        <row r="1036">
          <cell r="A1036" t="str">
            <v>10061.09718</v>
          </cell>
          <cell r="B1036" t="str">
            <v>TIGE FILETEE DIA 30 MM</v>
          </cell>
          <cell r="C1036" t="str">
            <v>TIGE FILETEE EN ACIER A 50 LONGUEUR 1 METRE   /  DIAMETRE 30 MM   /  PAS ISO</v>
          </cell>
          <cell r="D1036" t="str">
            <v>M</v>
          </cell>
          <cell r="E1036" t="str">
            <v>522.52201</v>
          </cell>
          <cell r="F1036">
            <v>114.36669999999999</v>
          </cell>
          <cell r="G1036">
            <v>0</v>
          </cell>
          <cell r="H1036">
            <v>0</v>
          </cell>
          <cell r="I1036">
            <v>0</v>
          </cell>
          <cell r="J1036">
            <v>0</v>
          </cell>
          <cell r="K1036">
            <v>0</v>
          </cell>
          <cell r="L1036">
            <v>104</v>
          </cell>
        </row>
        <row r="1037">
          <cell r="A1037" t="str">
            <v>10061.09719</v>
          </cell>
          <cell r="B1037" t="str">
            <v>TIGE FILETEE DIA 32 MM</v>
          </cell>
          <cell r="C1037" t="str">
            <v>TIGE FILETEE EN ACIER A 50 LONGUEUR 1 METRE   /  DIAMETRE 32 MM   /  PAS ISO</v>
          </cell>
          <cell r="D1037" t="str">
            <v>M</v>
          </cell>
          <cell r="E1037" t="str">
            <v>522.52201</v>
          </cell>
          <cell r="F1037">
            <v>239.37950000000001</v>
          </cell>
          <cell r="G1037">
            <v>0</v>
          </cell>
          <cell r="H1037">
            <v>0</v>
          </cell>
          <cell r="I1037">
            <v>0</v>
          </cell>
          <cell r="J1037">
            <v>0</v>
          </cell>
          <cell r="K1037">
            <v>0</v>
          </cell>
          <cell r="L1037">
            <v>0</v>
          </cell>
        </row>
        <row r="1038">
          <cell r="A1038" t="str">
            <v>10061.09720</v>
          </cell>
          <cell r="B1038" t="str">
            <v>TIGE FILETEE DIA 34 MM</v>
          </cell>
          <cell r="C1038" t="str">
            <v>TIGE FILETEE EN ACIER A 50 LONGUEUR 1 METRE   /  DIAMETRE 34 MM   /  PAS ISO</v>
          </cell>
          <cell r="D1038" t="str">
            <v>M</v>
          </cell>
          <cell r="E1038" t="str">
            <v>522.52201</v>
          </cell>
          <cell r="F1038">
            <v>285.80259999999998</v>
          </cell>
          <cell r="G1038">
            <v>0</v>
          </cell>
          <cell r="H1038">
            <v>0</v>
          </cell>
          <cell r="I1038">
            <v>0</v>
          </cell>
          <cell r="J1038">
            <v>0</v>
          </cell>
          <cell r="K1038">
            <v>0</v>
          </cell>
          <cell r="L1038">
            <v>27</v>
          </cell>
        </row>
        <row r="1039">
          <cell r="A1039" t="str">
            <v>10061.09721</v>
          </cell>
          <cell r="B1039" t="str">
            <v>TIGE FILETEE DIA 36 MM</v>
          </cell>
          <cell r="C1039" t="str">
            <v>TIGE FILETEE EN ACIER A 50 LONGUEUR 1 METRE   /  DIAMETRE 36 MM   /  PAS ISO</v>
          </cell>
          <cell r="D1039" t="str">
            <v>M</v>
          </cell>
          <cell r="E1039" t="str">
            <v>522.52201</v>
          </cell>
          <cell r="F1039">
            <v>112.68</v>
          </cell>
          <cell r="G1039">
            <v>0</v>
          </cell>
          <cell r="H1039">
            <v>0</v>
          </cell>
          <cell r="I1039">
            <v>0</v>
          </cell>
          <cell r="J1039">
            <v>0</v>
          </cell>
          <cell r="K1039">
            <v>29</v>
          </cell>
          <cell r="L1039">
            <v>0</v>
          </cell>
        </row>
        <row r="1040">
          <cell r="A1040" t="str">
            <v>10067.01371</v>
          </cell>
          <cell r="B1040" t="str">
            <v>FLEXIBLE EN CAOUTCHOUC DN150 L1,90M</v>
          </cell>
          <cell r="C1040" t="str">
            <v>FLEXIBLE EN CAOUTCHOUC, AVEC ARMATURE EN ACIER NOYE, EQUIPE DE 2 BRIDES END FLEX FOLLES EN ACIER INOX 316LPRESSION DE SERVICE : 6 BARPRESSION NOMINALE : 8 BAR GENRE: KLEBER TYPE: PERFORMER CDIDESTINATION: PULPE DE PHOSPHATEDIAMETRE NOMINAL: 150MMLONGUEUR : 1,90 METRE</v>
          </cell>
          <cell r="D1040" t="str">
            <v>PE</v>
          </cell>
          <cell r="E1040" t="str">
            <v>522.52209</v>
          </cell>
          <cell r="F1040">
            <v>8528</v>
          </cell>
          <cell r="G1040">
            <v>0</v>
          </cell>
          <cell r="H1040">
            <v>0</v>
          </cell>
          <cell r="I1040">
            <v>0</v>
          </cell>
          <cell r="J1040">
            <v>0</v>
          </cell>
          <cell r="K1040">
            <v>0</v>
          </cell>
          <cell r="L1040">
            <v>0</v>
          </cell>
        </row>
        <row r="1041">
          <cell r="A1041" t="str">
            <v>10067.01372</v>
          </cell>
          <cell r="B1041" t="str">
            <v>FLEXIBLE EN CAOUTCHOUC DN150 L3,10M</v>
          </cell>
          <cell r="C1041" t="str">
            <v>FLEXIBLE EN CAOUTCHOUC, AVEC ARMATURE EN ACIER NOYE, EQUIPE DE 2 BRIDES END FLEX FOLLES EN ACIER INOX 316LPRESSION DE SERVICE : 6 BARPRESSION NOMINALE : 8 BAR GENRE: KLEBER TYPE: PERFORMER CDIDESTINATION: PULPE DE PHOSPHATEDIAMETRE NOMINAL: 150MMLONGUEUR : 3,10 METRE</v>
          </cell>
          <cell r="D1041" t="str">
            <v>PE</v>
          </cell>
          <cell r="E1041" t="str">
            <v>522.52209</v>
          </cell>
          <cell r="F1041">
            <v>9776</v>
          </cell>
          <cell r="G1041">
            <v>0</v>
          </cell>
          <cell r="H1041">
            <v>0</v>
          </cell>
          <cell r="I1041">
            <v>0</v>
          </cell>
          <cell r="J1041">
            <v>0</v>
          </cell>
          <cell r="K1041">
            <v>0</v>
          </cell>
          <cell r="L1041">
            <v>0</v>
          </cell>
        </row>
        <row r="1042">
          <cell r="A1042" t="str">
            <v>10067.01373</v>
          </cell>
          <cell r="B1042" t="str">
            <v>FLEXIBLE EN CAOUTCHOUC DN150 L4,00M</v>
          </cell>
          <cell r="C1042" t="str">
            <v>FLEXIBLE EN CAOUTCHOUC, AVEC ARMATURE EN ACIER NOYE, EQUIPE DE 2 BRIDES END FLEX FOLLES EN ACIER INOX 316LPRESSION DE SERVICE : 6 BARPRESSION NOMINALE : 8 BAR GENRE: KLEBER TYPE: PERFORMER CDIDESTINATION: PULPE DE PHOSPHATEDIAMETRE NOMINAL: 150MMLONGUEUR : 4,00 METRE</v>
          </cell>
          <cell r="D1042" t="str">
            <v>PE</v>
          </cell>
          <cell r="E1042" t="str">
            <v>522.52209</v>
          </cell>
          <cell r="F1042">
            <v>10686</v>
          </cell>
          <cell r="G1042">
            <v>0</v>
          </cell>
          <cell r="H1042">
            <v>0</v>
          </cell>
          <cell r="I1042">
            <v>0</v>
          </cell>
          <cell r="J1042">
            <v>0</v>
          </cell>
          <cell r="K1042">
            <v>0</v>
          </cell>
          <cell r="L1042">
            <v>0</v>
          </cell>
        </row>
        <row r="1043">
          <cell r="A1043" t="str">
            <v>10061.09931</v>
          </cell>
          <cell r="B1043" t="str">
            <v>TIGE FILETE 28X290+2ECROU</v>
          </cell>
          <cell r="C1043" t="str">
            <v xml:space="preserve">TIGE FILETEE 28X290 MM EN ACIER A 193 GR B7 AVEC 2 ECROUS HEXAGONAUX FILETAGE ISO </v>
          </cell>
          <cell r="D1043" t="str">
            <v>PE</v>
          </cell>
          <cell r="E1043" t="str">
            <v>522.52201</v>
          </cell>
          <cell r="F1043">
            <v>67.813800000000001</v>
          </cell>
          <cell r="G1043">
            <v>0</v>
          </cell>
          <cell r="H1043">
            <v>0</v>
          </cell>
          <cell r="I1043">
            <v>0</v>
          </cell>
          <cell r="J1043">
            <v>0</v>
          </cell>
          <cell r="K1043">
            <v>0</v>
          </cell>
          <cell r="L1043">
            <v>0</v>
          </cell>
        </row>
        <row r="1044">
          <cell r="A1044" t="str">
            <v>10061.09934</v>
          </cell>
          <cell r="B1044" t="str">
            <v>TIGE FILETE 32X170+2ECROU</v>
          </cell>
          <cell r="C1044" t="str">
            <v xml:space="preserve">TIGE FILETEE 32X170 MM EN ACIER A 193 GR B7 AVEC 2 ECROUS HEXAGONAUX FILETAGE ISO </v>
          </cell>
          <cell r="D1044" t="str">
            <v>PE</v>
          </cell>
          <cell r="E1044" t="str">
            <v>522.52201</v>
          </cell>
          <cell r="F1044">
            <v>77.945599999999999</v>
          </cell>
          <cell r="G1044">
            <v>0</v>
          </cell>
          <cell r="H1044">
            <v>0</v>
          </cell>
          <cell r="I1044">
            <v>0</v>
          </cell>
          <cell r="J1044">
            <v>0</v>
          </cell>
          <cell r="K1044">
            <v>2</v>
          </cell>
          <cell r="L1044">
            <v>0</v>
          </cell>
        </row>
        <row r="1045">
          <cell r="A1045" t="str">
            <v>10067.01370</v>
          </cell>
          <cell r="B1045" t="str">
            <v>FLEXIBLE EN CAOUTCHOUC DN150 L1,30M</v>
          </cell>
          <cell r="C1045" t="str">
            <v>FLEXIBLE EN CAOUTCHOUC,AVEC ARMATURE EN ACIER NOYE,EQUIPE DE 2 BRIDES END FLEX FOLLES EN ACIER INOX 316LPRESSION DE SERVICE : 6 BARPRESSION NOMINALE : 8 BAR GENRE: KLEBER TYPE: PERFORMER CDIDESTINATION: PULPE DE PHOSPHATEDIAMETRE NOMINAL: 150MMLONGUEUR : 1,30 METRE</v>
          </cell>
          <cell r="D1045" t="str">
            <v>PE</v>
          </cell>
          <cell r="E1045" t="str">
            <v>522.52209</v>
          </cell>
          <cell r="F1045">
            <v>7904</v>
          </cell>
          <cell r="G1045">
            <v>0</v>
          </cell>
          <cell r="H1045">
            <v>0</v>
          </cell>
          <cell r="I1045">
            <v>0</v>
          </cell>
          <cell r="J1045">
            <v>0</v>
          </cell>
          <cell r="K1045">
            <v>0</v>
          </cell>
          <cell r="L1045">
            <v>0</v>
          </cell>
        </row>
        <row r="1046">
          <cell r="A1046" t="str">
            <v>10061.09900</v>
          </cell>
          <cell r="B1046" t="str">
            <v>TIGE FILETE 12X70+2 ECROU</v>
          </cell>
          <cell r="C1046" t="str">
            <v xml:space="preserve">TIGE FILETEE 12X70 MM EN ACIER A 193 GR B7 AVEC 2 ECROUS HEXAGONAUX FILETAGE ISO </v>
          </cell>
          <cell r="D1046" t="str">
            <v>PE</v>
          </cell>
          <cell r="E1046" t="str">
            <v>522.52201</v>
          </cell>
          <cell r="F1046">
            <v>28.005099999999999</v>
          </cell>
          <cell r="G1046">
            <v>0</v>
          </cell>
          <cell r="H1046">
            <v>0</v>
          </cell>
          <cell r="I1046">
            <v>0</v>
          </cell>
          <cell r="J1046">
            <v>0</v>
          </cell>
          <cell r="K1046">
            <v>0</v>
          </cell>
          <cell r="L1046">
            <v>140</v>
          </cell>
        </row>
        <row r="1047">
          <cell r="A1047" t="str">
            <v>10061.09957</v>
          </cell>
          <cell r="B1047" t="str">
            <v>TIGE FIL A193B8M 36X230MM</v>
          </cell>
          <cell r="C1047" t="str">
            <v>TIGE FILETEE 36 X 230 MM  AVEC DEUX ECROUS HEXAGONAUX MATIERE : TIGE EN ACIER A 193 B 8 M  /  ECROU EN ACIER A 194 GR 8 M</v>
          </cell>
          <cell r="D1047" t="str">
            <v>PE</v>
          </cell>
          <cell r="E1047" t="str">
            <v>522.52201</v>
          </cell>
          <cell r="F1047">
            <v>721.55370000000005</v>
          </cell>
          <cell r="G1047">
            <v>0</v>
          </cell>
          <cell r="H1047">
            <v>0</v>
          </cell>
          <cell r="I1047">
            <v>0</v>
          </cell>
          <cell r="J1047">
            <v>0</v>
          </cell>
          <cell r="K1047">
            <v>0</v>
          </cell>
          <cell r="L1047">
            <v>0</v>
          </cell>
        </row>
        <row r="1048">
          <cell r="A1048" t="str">
            <v>10061.09950</v>
          </cell>
          <cell r="B1048" t="str">
            <v>TIGE FIL A193B8M 20X125MM</v>
          </cell>
          <cell r="C1048" t="str">
            <v xml:space="preserve">TIGE FILETEE 20 X 125 MM  AVEC DEUX ECROUS HEXAGONAUX MATIERE : TIGE EN ACIER A 193 B 8 M  /  ECROU EN ACIER A 194 GR 8 M </v>
          </cell>
          <cell r="D1048" t="str">
            <v>PE</v>
          </cell>
          <cell r="E1048" t="str">
            <v>522.52201</v>
          </cell>
          <cell r="F1048">
            <v>104.2244</v>
          </cell>
          <cell r="G1048">
            <v>0</v>
          </cell>
          <cell r="H1048">
            <v>0</v>
          </cell>
          <cell r="I1048">
            <v>0</v>
          </cell>
          <cell r="J1048">
            <v>0</v>
          </cell>
          <cell r="K1048">
            <v>0</v>
          </cell>
          <cell r="L1048">
            <v>0</v>
          </cell>
        </row>
        <row r="1049">
          <cell r="A1049" t="str">
            <v>10061.09953</v>
          </cell>
          <cell r="B1049" t="str">
            <v>TIGE FIL A193B8M 27X175MM</v>
          </cell>
          <cell r="C1049" t="str">
            <v>TIGE FILETEE 27 X 175 MM  AVEC DEUX ECROUS HEXAGONAUX MATIERE : TIGE EN ACIER A 193 B 8 M  /  ECROU EN ACIER A 194 GR 8 M</v>
          </cell>
          <cell r="D1049" t="str">
            <v>PE</v>
          </cell>
          <cell r="E1049" t="str">
            <v>522.52201</v>
          </cell>
          <cell r="F1049">
            <v>287.06259999999997</v>
          </cell>
          <cell r="G1049">
            <v>0</v>
          </cell>
          <cell r="H1049">
            <v>0</v>
          </cell>
          <cell r="I1049">
            <v>0</v>
          </cell>
          <cell r="J1049">
            <v>0</v>
          </cell>
          <cell r="K1049">
            <v>0</v>
          </cell>
          <cell r="L1049">
            <v>0</v>
          </cell>
        </row>
        <row r="1050">
          <cell r="A1050" t="str">
            <v>10061.09954</v>
          </cell>
          <cell r="B1050" t="str">
            <v>TIGE FIL A193B8M 30X180MM</v>
          </cell>
          <cell r="C1050" t="str">
            <v>TIGE FILETEE 30 X 180 MM  AVEC DEUX ECROUS HEXAGONAUX MATIERE : TIGE EN ACIER A 193 B 8 M  /  ECROU EN ACIER A 194 GR 8 M</v>
          </cell>
          <cell r="D1050" t="str">
            <v>PE</v>
          </cell>
          <cell r="E1050" t="str">
            <v>522.52201</v>
          </cell>
          <cell r="F1050">
            <v>388.2817</v>
          </cell>
          <cell r="G1050">
            <v>0</v>
          </cell>
          <cell r="H1050">
            <v>0</v>
          </cell>
          <cell r="I1050">
            <v>0</v>
          </cell>
          <cell r="J1050">
            <v>0</v>
          </cell>
          <cell r="K1050">
            <v>0</v>
          </cell>
          <cell r="L1050">
            <v>0</v>
          </cell>
        </row>
        <row r="1051">
          <cell r="A1051" t="str">
            <v>10061.09965</v>
          </cell>
          <cell r="B1051" t="str">
            <v>TIGE FIL INOX 304L 16X100</v>
          </cell>
          <cell r="C1051" t="str">
            <v xml:space="preserve">TIGE FILETEE 16X100 MM  AVEC DEUX ECROUS HEXAGONAUX EN ACIER INOXYDABLE 304L  </v>
          </cell>
          <cell r="D1051" t="str">
            <v>PE</v>
          </cell>
          <cell r="E1051" t="str">
            <v>522.52201</v>
          </cell>
          <cell r="F1051">
            <v>16.059999999999999</v>
          </cell>
          <cell r="G1051">
            <v>0</v>
          </cell>
          <cell r="H1051">
            <v>0</v>
          </cell>
          <cell r="I1051">
            <v>0</v>
          </cell>
          <cell r="J1051">
            <v>0</v>
          </cell>
          <cell r="K1051">
            <v>0</v>
          </cell>
          <cell r="L1051">
            <v>0</v>
          </cell>
        </row>
        <row r="1052">
          <cell r="A1052" t="str">
            <v>10061.09960</v>
          </cell>
          <cell r="B1052" t="str">
            <v>TIGE FILETEE A 193 B8 M 36X350MM</v>
          </cell>
          <cell r="C1052" t="str">
            <v>TIGE FILETEE 36 X 350 MM  AVEC DEUX ECROUS HEXAGONAUX MATIERE : TIGE EN ACIER A 193 B 8 M  /  ECROU EN ACIER A 194 GR 8 M</v>
          </cell>
          <cell r="D1052" t="str">
            <v>PE</v>
          </cell>
          <cell r="E1052" t="str">
            <v>522.52201</v>
          </cell>
          <cell r="F1052">
            <v>901.94219999999996</v>
          </cell>
          <cell r="G1052">
            <v>0</v>
          </cell>
          <cell r="H1052">
            <v>0</v>
          </cell>
          <cell r="I1052">
            <v>0</v>
          </cell>
          <cell r="J1052">
            <v>0</v>
          </cell>
          <cell r="K1052">
            <v>25</v>
          </cell>
          <cell r="L1052">
            <v>0</v>
          </cell>
        </row>
        <row r="1053">
          <cell r="A1053" t="str">
            <v>10066.01635</v>
          </cell>
          <cell r="B1053" t="str">
            <v>TUBE EN ACIER INOX ZECOR DN 2" EP 3</v>
          </cell>
          <cell r="C1053" t="str">
            <v>TUBE EN ACIER INOXYDABLE ZECOR DN 2"  EP 3MM   LONGUEUR : 6 METRESNORME : SCH 40S / ASTM A-312 / TP310SCOMPOSITION CHIMIQUE: - CARBONE       = 0,030 MAX                                          - SILICONE         = 5,5 - 6,5                                          - MANGANESE  = 2,00 MAX                                          - PHOPHORUS   = 0,040 MAX                                          - SULFUR           = 0,020 MAX                                          - CHROMIUM      = 13,0 - 15,0                                          - MOLYBDENE   = 0,75 - 1,50                                          - NICKELE          = 13,0 - 17,0                                          - CUIVRE           = 0,75 - 1,50                                          - ALUMINIUM     = 0,30 MAX                                          - FER                 = BALSUIVANT FICHE TECHNIQUE N.B : A LIVRER AVEC CERTIFICAT MATIERE</v>
          </cell>
          <cell r="D1053" t="str">
            <v>M</v>
          </cell>
          <cell r="E1053" t="str">
            <v>313.31301</v>
          </cell>
          <cell r="F1053">
            <v>369.39</v>
          </cell>
          <cell r="G1053">
            <v>0</v>
          </cell>
          <cell r="H1053">
            <v>0</v>
          </cell>
          <cell r="I1053">
            <v>0</v>
          </cell>
          <cell r="J1053">
            <v>0</v>
          </cell>
          <cell r="K1053">
            <v>0</v>
          </cell>
          <cell r="L1053">
            <v>6</v>
          </cell>
        </row>
        <row r="1054">
          <cell r="A1054" t="str">
            <v>10066.01631</v>
          </cell>
          <cell r="B1054" t="str">
            <v>TUBE EN ACIER INOX ZECOR DN1/2" EP 3</v>
          </cell>
          <cell r="C1054" t="str">
            <v>TUBE EN ACIER INOXYDABLE ZECOR-310M DN 1/2" EP 3MM   LONGUEUR : 6 METRESNORME : SCH 40S / ASTM A-312 / TP310SCOMPOSITION CHIMIQUE: - CARBONE       = 0,030 MAX                                          - SILICONE         = 5,5 - 6,5                                          - MANGANESE  = 2,00 MAX                                          - PHOPHORUS   = 0,040 MAX                                          - SULFUR           = 0,020 MAX                                          - CHROMIUM      = 13,0 - 15,0                                          - MOLYBDENE   = 0,75 - 1,50                                          - NICKELE          = 13,0 - 17,0                                          - CUIVRE           = 0,75 - 1,50                                          - ALUMINIUM     = 0,30 MAX                                          - FER                 = BALSUIVANT FICHE TECHNIQUE N.B: A LIVRER AVEC CERTIFICAT MATIERE</v>
          </cell>
          <cell r="D1054" t="str">
            <v>M</v>
          </cell>
          <cell r="E1054" t="str">
            <v>313.31301</v>
          </cell>
          <cell r="F1054">
            <v>260</v>
          </cell>
          <cell r="G1054">
            <v>6</v>
          </cell>
          <cell r="H1054">
            <v>0</v>
          </cell>
          <cell r="I1054">
            <v>0</v>
          </cell>
          <cell r="J1054">
            <v>0</v>
          </cell>
          <cell r="K1054">
            <v>0</v>
          </cell>
          <cell r="L1054">
            <v>0</v>
          </cell>
        </row>
        <row r="1055">
          <cell r="A1055" t="str">
            <v>10066.01501</v>
          </cell>
          <cell r="B1055" t="str">
            <v>TUB AC INOX SS D EX 6 EP1</v>
          </cell>
          <cell r="C1055" t="str">
            <v xml:space="preserve">TUBE SANS SOUDURE EN ACIER INOXYDABLE  S/NORME : (AFNOR Z2CND17.13)  (DIN X2CRNIMO18.12) (AISI 316L) (UGINE NSM 22S)  (CREUSOT-LOIRE ICL166BC) LONGUEUR : 6 METRES DIAMETRE : EXT.6MM EPAISSEUR 1MM </v>
          </cell>
          <cell r="D1055" t="str">
            <v>M</v>
          </cell>
          <cell r="E1055" t="str">
            <v>313.31301</v>
          </cell>
          <cell r="F1055">
            <v>45.287999999999997</v>
          </cell>
          <cell r="G1055">
            <v>0</v>
          </cell>
          <cell r="H1055">
            <v>0</v>
          </cell>
          <cell r="I1055">
            <v>0</v>
          </cell>
          <cell r="J1055">
            <v>0</v>
          </cell>
          <cell r="K1055">
            <v>0</v>
          </cell>
          <cell r="L1055">
            <v>0</v>
          </cell>
        </row>
        <row r="1056">
          <cell r="A1056" t="str">
            <v>10066.01502</v>
          </cell>
          <cell r="B1056" t="str">
            <v>TUB AC INOX         8 EP1</v>
          </cell>
          <cell r="C1056" t="str">
            <v xml:space="preserve">TUBE SANS SOUDURE EN ACIER INOXYDABLE  S/NORME : (AFNOR Z2CND17.13)  (DIN X2CRNIMO18.12) (AISI 316L) (UGINE NSM 22S)  (CREUSOT-LOIRE ICL166BC) LONGUEUR : 6 METRES DIAMETRE : EXT.8MM EPAISSEUR 1MM </v>
          </cell>
          <cell r="D1056" t="str">
            <v>M</v>
          </cell>
          <cell r="E1056" t="str">
            <v>313.31301</v>
          </cell>
          <cell r="F1056">
            <v>50</v>
          </cell>
          <cell r="G1056">
            <v>0</v>
          </cell>
          <cell r="H1056">
            <v>0</v>
          </cell>
          <cell r="I1056">
            <v>0</v>
          </cell>
          <cell r="J1056">
            <v>0</v>
          </cell>
          <cell r="K1056">
            <v>60</v>
          </cell>
          <cell r="L1056">
            <v>0</v>
          </cell>
        </row>
        <row r="1057">
          <cell r="A1057" t="str">
            <v>10066.01506</v>
          </cell>
          <cell r="B1057" t="str">
            <v>TUB AC INOX   D EX 12 EP1</v>
          </cell>
          <cell r="C1057" t="str">
            <v xml:space="preserve">TUBE SANS SOUDURE EN ACIER INOXYDABLE  S/NORME : (AFNOR Z2CND17.13)  (DIN X2CRNIMO18.12) (AISI 316L) (UGINE NSM 22S)  (CREUSOT-LOIRE ICL166BC) LONGUEUR : 6 METRES DIAMETRE : EXT.12MM EPAISSEUR 1MM </v>
          </cell>
          <cell r="D1057" t="str">
            <v>M</v>
          </cell>
          <cell r="E1057" t="str">
            <v>313.31301</v>
          </cell>
          <cell r="F1057">
            <v>60</v>
          </cell>
          <cell r="G1057">
            <v>0</v>
          </cell>
          <cell r="H1057">
            <v>0</v>
          </cell>
          <cell r="I1057">
            <v>0</v>
          </cell>
          <cell r="J1057">
            <v>0</v>
          </cell>
          <cell r="K1057">
            <v>60</v>
          </cell>
          <cell r="L1057">
            <v>0</v>
          </cell>
        </row>
        <row r="1058">
          <cell r="A1058" t="str">
            <v>10066.01508</v>
          </cell>
          <cell r="B1058" t="str">
            <v>TUB ACIE INOX DIA EX 10-1</v>
          </cell>
          <cell r="C1058" t="str">
            <v xml:space="preserve">TUBE SANS SOUDURE EN ACIER INOXYDABLE  S/NORME : (AFNOR Z2CND17.13)  (DIN X2CRNIMO18.12) (AISI 316L) (UGINE NSM 22S)  (CREUSOT-LOIRE ICL166BC) LONGUEUR : 6 METRES DIAMETRE : EXT.10MM EPAISSEUR 1MM </v>
          </cell>
          <cell r="D1058" t="str">
            <v>M</v>
          </cell>
          <cell r="E1058" t="str">
            <v>313.31301</v>
          </cell>
          <cell r="F1058">
            <v>55</v>
          </cell>
          <cell r="G1058">
            <v>0</v>
          </cell>
          <cell r="H1058">
            <v>0</v>
          </cell>
          <cell r="I1058">
            <v>0</v>
          </cell>
          <cell r="J1058">
            <v>0</v>
          </cell>
          <cell r="K1058">
            <v>60</v>
          </cell>
          <cell r="L1058">
            <v>0</v>
          </cell>
        </row>
        <row r="1059">
          <cell r="A1059" t="str">
            <v>10066.01511</v>
          </cell>
          <cell r="B1059" t="str">
            <v>TUB ACIER INOX 14X1 316 L</v>
          </cell>
          <cell r="C1059" t="str">
            <v xml:space="preserve">TUBE SANS SOUDURE EN ACIER INOXYDABLE  S/NORME : (AFNOR Z2CND17.13)  (DIN X2CRNIMO18.12) (AISI 316L) (UGINE NSM 22S)  (CREUSOT-LOIRE ICL166BC) LONGUEUR : 6 METRES DIAMETRE : EXT.14MM EPAISSEUR 1MM </v>
          </cell>
          <cell r="D1059" t="str">
            <v>M</v>
          </cell>
          <cell r="E1059" t="str">
            <v>313.31301</v>
          </cell>
          <cell r="F1059">
            <v>90</v>
          </cell>
          <cell r="G1059">
            <v>0</v>
          </cell>
          <cell r="H1059">
            <v>0</v>
          </cell>
          <cell r="I1059">
            <v>0</v>
          </cell>
          <cell r="J1059">
            <v>0</v>
          </cell>
          <cell r="K1059">
            <v>60</v>
          </cell>
          <cell r="L1059">
            <v>0</v>
          </cell>
        </row>
        <row r="1060">
          <cell r="A1060" t="str">
            <v>10066.01531</v>
          </cell>
          <cell r="B1060" t="str">
            <v>TUB AC INOX   33,4 EP3,38</v>
          </cell>
          <cell r="C1060" t="str">
            <v xml:space="preserve">TUBE SANS SOUDURE EN ACIER INOXYDABLE  S/NORME : (AFNOR Z2CND17.13)  (DIN X2CRNIMO18.12) (AISI 316L) (UGINE NSM 22S)  (CREUSOT-LOIRE ICL166BC) LONGUEUR : 6 METRES DIAMETRE : EXT.33,4MM EPAISSEUR 3,38MM </v>
          </cell>
          <cell r="D1060" t="str">
            <v>M</v>
          </cell>
          <cell r="E1060" t="str">
            <v>313.31301</v>
          </cell>
          <cell r="F1060">
            <v>275</v>
          </cell>
          <cell r="G1060">
            <v>0</v>
          </cell>
          <cell r="H1060">
            <v>0</v>
          </cell>
          <cell r="I1060">
            <v>0</v>
          </cell>
          <cell r="J1060">
            <v>0</v>
          </cell>
          <cell r="K1060">
            <v>16</v>
          </cell>
          <cell r="L1060">
            <v>0</v>
          </cell>
        </row>
        <row r="1061">
          <cell r="A1061" t="str">
            <v>10066.01543</v>
          </cell>
          <cell r="B1061" t="str">
            <v>TUB AC INOX   48,3 EP3,69</v>
          </cell>
          <cell r="C1061" t="str">
            <v xml:space="preserve">TUBE SANS SOUDURE EN ACIER INOXYDABLE  S/NORME : (AFNOR Z2CND17.13)  (DIN X2CRNIMO18.12) (AISI 316L) (UGINE NSM 22S)  (CREUSOT-LOIRE ICL166BC) LONGUEUR : 6 METRES DIAMETRE : EXT.48,3MM EPAISSEUR 3,69MM </v>
          </cell>
          <cell r="D1061" t="str">
            <v>M</v>
          </cell>
          <cell r="E1061" t="str">
            <v>313.31301</v>
          </cell>
          <cell r="F1061">
            <v>290</v>
          </cell>
          <cell r="G1061">
            <v>0</v>
          </cell>
          <cell r="H1061">
            <v>0</v>
          </cell>
          <cell r="I1061">
            <v>0</v>
          </cell>
          <cell r="J1061">
            <v>5</v>
          </cell>
          <cell r="K1061">
            <v>0</v>
          </cell>
          <cell r="L1061">
            <v>25</v>
          </cell>
        </row>
        <row r="1062">
          <cell r="A1062" t="str">
            <v>10066.01553</v>
          </cell>
          <cell r="B1062" t="str">
            <v>TUB AC INOX   60,3 EP3,91</v>
          </cell>
          <cell r="C1062" t="str">
            <v xml:space="preserve">TUBE SANS SOUDURE EN ACIER INOXYDABLE  S/NORME : (AFNOR Z2CND17.13)  (DIN X2CRNIMO18.12) (AISI 316L) (UGINE NSM 22S)  (CREUSOT-LOIRE ICL166BC) LONGUEUR : 6 METRES DIAMETRE : EXT.60,3MM EPAISSEUR 3,91MM </v>
          </cell>
          <cell r="D1062" t="str">
            <v>M</v>
          </cell>
          <cell r="E1062" t="str">
            <v>313.31301</v>
          </cell>
          <cell r="F1062">
            <v>390</v>
          </cell>
          <cell r="G1062">
            <v>0</v>
          </cell>
          <cell r="H1062">
            <v>0</v>
          </cell>
          <cell r="I1062">
            <v>0</v>
          </cell>
          <cell r="J1062">
            <v>0</v>
          </cell>
          <cell r="K1062">
            <v>6</v>
          </cell>
          <cell r="L1062">
            <v>0</v>
          </cell>
        </row>
        <row r="1063">
          <cell r="A1063" t="str">
            <v>10066.01554</v>
          </cell>
          <cell r="B1063" t="str">
            <v>TUB AC INOX   60,3 EP5,54</v>
          </cell>
          <cell r="C1063" t="str">
            <v xml:space="preserve">TUBE SANS SOUDURE EN ACIER INOXYDABLE  S/NORME : (AFNOR Z2CND17.13)  (DIN X2CRNIMO18.12) (AISI 316L) (UGINE NSM 22S)  (CREUSOT-LOIRE ICL166BC) LONGUEUR : 6 METRES DIAMETRE : EXT.60,3MM EPAISSEUR 5,54MM </v>
          </cell>
          <cell r="D1063" t="str">
            <v>M</v>
          </cell>
          <cell r="E1063" t="str">
            <v>313.31301</v>
          </cell>
          <cell r="F1063">
            <v>320</v>
          </cell>
          <cell r="G1063">
            <v>20</v>
          </cell>
          <cell r="H1063">
            <v>0</v>
          </cell>
          <cell r="I1063">
            <v>0</v>
          </cell>
          <cell r="J1063">
            <v>4</v>
          </cell>
          <cell r="K1063">
            <v>0</v>
          </cell>
          <cell r="L1063">
            <v>0</v>
          </cell>
        </row>
        <row r="1064">
          <cell r="A1064" t="str">
            <v>10065.00603</v>
          </cell>
          <cell r="B1064" t="str">
            <v>TOILE FILTRANTE POUR FILTRE A BOUILLIE</v>
          </cell>
          <cell r="C1064" t="str">
            <v xml:space="preserve">TOILE FILTRANTE POUR FILTRE A BOUILLIE 05-1001-K215MATIERE: PP,MONOFILAMENT - PRAYON 24-135EEALLONGEMENT A LA RUPTURE CHAINE/TRAME(%): 30/35RESISTANCE A LA RUPTURE CHAINE/TRAME(DaN/5cm): 260/155DIMENSION DES PORES (µm):215 - TRAITEMENT CALENDREARMURE SERGE - POIDS g/m2:250/7,4 - Ep:(µm): 480DIMENTION DE LA TOILE: 5080X2600X1270MM </v>
          </cell>
          <cell r="D1064" t="str">
            <v>PE</v>
          </cell>
          <cell r="E1064" t="str">
            <v>515.51506</v>
          </cell>
          <cell r="F1064">
            <v>400</v>
          </cell>
          <cell r="G1064">
            <v>0</v>
          </cell>
          <cell r="H1064">
            <v>0</v>
          </cell>
          <cell r="I1064">
            <v>13</v>
          </cell>
          <cell r="J1064">
            <v>50</v>
          </cell>
          <cell r="K1064">
            <v>580</v>
          </cell>
          <cell r="L1064">
            <v>0</v>
          </cell>
        </row>
        <row r="1065">
          <cell r="A1065" t="str">
            <v>10066.00253</v>
          </cell>
          <cell r="B1065" t="str">
            <v>TUBE SANS SOUDURE EN INOX 316L DN20</v>
          </cell>
          <cell r="C1065" t="str">
            <v>TUBE SANS SOUDURE EN INOX 316L  DN20EPAISSEUR : 3 MMDIAMETRE EXTERIEUR : 26 MM    LONGUEUR : 6 METRESNUANCE : Z2CND17-12  AISI</v>
          </cell>
          <cell r="D1065" t="str">
            <v>M</v>
          </cell>
          <cell r="E1065" t="str">
            <v>313.31301</v>
          </cell>
          <cell r="F1065">
            <v>120</v>
          </cell>
          <cell r="G1065">
            <v>0</v>
          </cell>
          <cell r="H1065">
            <v>0</v>
          </cell>
          <cell r="I1065">
            <v>0</v>
          </cell>
          <cell r="J1065">
            <v>11.8</v>
          </cell>
          <cell r="K1065">
            <v>0</v>
          </cell>
          <cell r="L1065">
            <v>0</v>
          </cell>
        </row>
        <row r="1066">
          <cell r="A1066" t="str">
            <v>10053.05128</v>
          </cell>
          <cell r="B1066" t="str">
            <v>LAMPE FLUORESCENTE G13</v>
          </cell>
          <cell r="C1066" t="str">
            <v xml:space="preserve">LAMPES FLUORESCENTES A ALLUMAGE PAR STARTER PUISSANCE 18/20 WDIAMETRE 26/38 MM LONGUEUR 590 MM CULOT G 13 GENRE MAZDA-TF , PHILIPS-TL OU EQUIVALENT NUANCE BLANC INDUSTRIE </v>
          </cell>
          <cell r="D1066" t="str">
            <v>PE</v>
          </cell>
          <cell r="E1066" t="str">
            <v>522.52206</v>
          </cell>
          <cell r="F1066">
            <v>5.8</v>
          </cell>
          <cell r="G1066">
            <v>0</v>
          </cell>
          <cell r="H1066">
            <v>0</v>
          </cell>
          <cell r="I1066">
            <v>0</v>
          </cell>
          <cell r="J1066">
            <v>0</v>
          </cell>
          <cell r="K1066">
            <v>0</v>
          </cell>
          <cell r="L1066">
            <v>25</v>
          </cell>
        </row>
        <row r="1067">
          <cell r="A1067" t="str">
            <v>10053.05134</v>
          </cell>
          <cell r="B1067" t="str">
            <v>LAMPE FLUORESCENTE G13</v>
          </cell>
          <cell r="C1067" t="str">
            <v xml:space="preserve">LAMPE  FLUORESCENTE A ALLUMAGE PAR STARTER PUISSANCE 36/40 W DIAMETRE 26/38 MM LONGUEUR 1200 MM CULOT G 13 GENRE MAZDA-TF , PHILIPS-TL OU EQUIVALENT NUANCE LUMIERE DU JOUR </v>
          </cell>
          <cell r="D1067" t="str">
            <v>PE</v>
          </cell>
          <cell r="E1067" t="str">
            <v>522.52206</v>
          </cell>
          <cell r="F1067">
            <v>5.29</v>
          </cell>
          <cell r="G1067">
            <v>0</v>
          </cell>
          <cell r="H1067">
            <v>0</v>
          </cell>
          <cell r="I1067">
            <v>75</v>
          </cell>
          <cell r="J1067">
            <v>75</v>
          </cell>
          <cell r="K1067">
            <v>0</v>
          </cell>
          <cell r="L1067">
            <v>125</v>
          </cell>
        </row>
        <row r="1068">
          <cell r="A1068" t="str">
            <v>10053.05170</v>
          </cell>
          <cell r="B1068" t="str">
            <v>LAMPE FLUORESCENTE G13</v>
          </cell>
          <cell r="C1068" t="str">
            <v xml:space="preserve">ECLAIRAGE ET MATERIEL UTILISANT L'ENERGIE ELECTRIQUE LAMPES FLUORESCENTES A ALLUMAGE INSTANTANE . DESIGNATION AVEC BANDE D'AMORCAGE EXTERNE (AMORCAGE A CHAUD) , RAPID STAR PUISSANCE 20 W DIAMETRE 26 OU 38MM LONGUEUR 600 MM CULOT G 13 NUANCE LUMIERE DU JOUR </v>
          </cell>
          <cell r="D1068" t="str">
            <v>PE</v>
          </cell>
          <cell r="E1068" t="str">
            <v>522.52206</v>
          </cell>
          <cell r="F1068">
            <v>7.2</v>
          </cell>
          <cell r="G1068">
            <v>0</v>
          </cell>
          <cell r="H1068">
            <v>0</v>
          </cell>
          <cell r="I1068">
            <v>0</v>
          </cell>
          <cell r="J1068">
            <v>0</v>
          </cell>
          <cell r="K1068">
            <v>0</v>
          </cell>
          <cell r="L1068">
            <v>0</v>
          </cell>
        </row>
        <row r="1069">
          <cell r="A1069" t="str">
            <v>10050.02565</v>
          </cell>
          <cell r="B1069" t="str">
            <v>CABL 1000 V 5X2,5 5DL1505</v>
          </cell>
          <cell r="C1069" t="str">
            <v xml:space="preserve">CONDUCTEURS ET CABLES ELECTRIQUES CABLE SOUPLE SOUS GAINE EN CAOUTCHOUC POUR LES MINES ET L'INDUSTRIE TENSION NOMINALE : 1 KV DESIGNATION= CABLE MULTICONDUCTEUR POURVU DE CHIFFRE NSSHOU J5X2,5 DIAMETRE EXTERIEUR 20 MM TEMPERATURE EN DEGRE CENTIGRADE SERVICE -20 DEGRE C A +80 DEGRE C AMBIANTE 25 DEGRE CCONSTITUTION= GAINES : EXTERIEURE EN PROTOFIRM JAUNE - INTERIEURE EN CAOUTCHOUC - BANDE DE TISSU - CONDUCTEURS : ISOLES AU PROTOLON - EN CUIVRE ETAME A BRINS FINS INTENSITE ADMISSIBLE SERVICE CONTINU 27 A GENRE SIEMENS 5DL 1505 NOMBRE DE FILS ET DIAMETRE : 50 X 0,26 - NOMINALE : 1000 VOLTS - SERVICE ADMISSIBLE COURANT TRIPHASE 50 HZ ,1150 VOLTS - ALTERNATIVE D'ESSAI 3000 VOLTS CHARGE STATIQUE 10 N/MM2 MAXIMIUM </v>
          </cell>
          <cell r="D1069" t="str">
            <v>M</v>
          </cell>
          <cell r="E1069" t="str">
            <v>522.52205</v>
          </cell>
          <cell r="F1069">
            <v>69.84</v>
          </cell>
          <cell r="G1069">
            <v>0</v>
          </cell>
          <cell r="H1069">
            <v>0</v>
          </cell>
          <cell r="I1069">
            <v>0</v>
          </cell>
          <cell r="J1069">
            <v>0</v>
          </cell>
          <cell r="K1069">
            <v>0</v>
          </cell>
          <cell r="L1069">
            <v>200</v>
          </cell>
        </row>
        <row r="1070">
          <cell r="A1070" t="str">
            <v>10050.01336</v>
          </cell>
          <cell r="B1070" t="str">
            <v>CABLE U1000RO2V  4X 16</v>
          </cell>
          <cell r="C1070" t="str">
            <v xml:space="preserve">CONDUCTEURS ET CABLES ELECTRIQUES CABLE BT INDUSTRIEL SERIE U1000RO2V , TENSION NOMINALE 1000V SUIVANT NORME NF.C 32-321 NBRE DE COND.ET SECTIONS: 4 X 16 MM2 </v>
          </cell>
          <cell r="D1070" t="str">
            <v>M</v>
          </cell>
          <cell r="E1070" t="str">
            <v>522.52205</v>
          </cell>
          <cell r="F1070">
            <v>48.9</v>
          </cell>
          <cell r="G1070">
            <v>0</v>
          </cell>
          <cell r="H1070">
            <v>0</v>
          </cell>
          <cell r="I1070">
            <v>0</v>
          </cell>
          <cell r="J1070">
            <v>0</v>
          </cell>
          <cell r="K1070">
            <v>0</v>
          </cell>
          <cell r="L1070">
            <v>1000</v>
          </cell>
        </row>
        <row r="1071">
          <cell r="A1071" t="str">
            <v>10050.01337</v>
          </cell>
          <cell r="B1071" t="str">
            <v>CABLE U1000RO2V  4X 25</v>
          </cell>
          <cell r="C1071" t="str">
            <v xml:space="preserve">CONDUCTEURS ET CABLES ELECTRIQUES CABLE BT INDUSTRIEL SERIE U1000RO2V , TENSION NOMINALE 1000V SUIVANT NORME NF.C 32-321 NBRE DE COND.ET SECTIONS: 4 X 25 MM2 </v>
          </cell>
          <cell r="D1071" t="str">
            <v>M</v>
          </cell>
          <cell r="E1071" t="str">
            <v>522.52205</v>
          </cell>
          <cell r="F1071">
            <v>87.214299999999994</v>
          </cell>
          <cell r="G1071">
            <v>0</v>
          </cell>
          <cell r="H1071">
            <v>0</v>
          </cell>
          <cell r="I1071">
            <v>0</v>
          </cell>
          <cell r="J1071">
            <v>0</v>
          </cell>
          <cell r="K1071">
            <v>0</v>
          </cell>
          <cell r="L1071">
            <v>700</v>
          </cell>
        </row>
        <row r="1072">
          <cell r="A1072" t="str">
            <v>10050.01338</v>
          </cell>
          <cell r="B1072" t="str">
            <v>CABLE U1000RO2V  4X 35</v>
          </cell>
          <cell r="C1072" t="str">
            <v xml:space="preserve">CONDUCTEURS ET CABLES ELECTRIQUES CABLE BT INDUSTRIEL SERIE U1000RO2V , TENSION NOMINALE 1000V SUIVANT NORME NF.C 32-321 NBRE DE COND.ET SECTIONS: 4 X 35 MM2 </v>
          </cell>
          <cell r="D1072" t="str">
            <v>M</v>
          </cell>
          <cell r="E1072" t="str">
            <v>522.52205</v>
          </cell>
          <cell r="F1072">
            <v>108.2</v>
          </cell>
          <cell r="G1072">
            <v>0</v>
          </cell>
          <cell r="H1072">
            <v>0</v>
          </cell>
          <cell r="I1072">
            <v>0</v>
          </cell>
          <cell r="J1072">
            <v>0</v>
          </cell>
          <cell r="K1072">
            <v>0</v>
          </cell>
          <cell r="L1072">
            <v>0</v>
          </cell>
        </row>
        <row r="1073">
          <cell r="A1073" t="str">
            <v>10050.01341</v>
          </cell>
          <cell r="B1073" t="str">
            <v>CABLE U1000RO2V  3X 70+50</v>
          </cell>
          <cell r="C1073" t="str">
            <v xml:space="preserve">CONDUCTEURS ET CABLES ELECTRIQUES CABLE BT INDUSTRIEL SERIE U1000RO2V , TENSION NOMINALE 1000V SUIVANT NORME NF.C 32-321 NBRE DE COND.ET SECTIONS: 3 X 70 + 1 X 50 MM2 </v>
          </cell>
          <cell r="D1073" t="str">
            <v>M</v>
          </cell>
          <cell r="E1073" t="str">
            <v>522.52205</v>
          </cell>
          <cell r="F1073">
            <v>218</v>
          </cell>
          <cell r="G1073">
            <v>0</v>
          </cell>
          <cell r="H1073">
            <v>0</v>
          </cell>
          <cell r="I1073">
            <v>0</v>
          </cell>
          <cell r="J1073">
            <v>40</v>
          </cell>
          <cell r="K1073">
            <v>0</v>
          </cell>
          <cell r="L1073">
            <v>160</v>
          </cell>
        </row>
        <row r="1074">
          <cell r="A1074" t="str">
            <v>10050.01335</v>
          </cell>
          <cell r="B1074" t="str">
            <v>CABLE U1000RO2V  4X 10</v>
          </cell>
          <cell r="C1074" t="str">
            <v xml:space="preserve">CONDUCTEURS ET CABLES ELECTRIQUES CABLE BT INDUSTRIEL SERIE U1000RO2V , TENSION NOMINALE 1000V SUIVANT NORME NF.C 32-321 NBRE DE COND.ET SECTIONS: 4 X 10 MM2 </v>
          </cell>
          <cell r="D1074" t="str">
            <v>M</v>
          </cell>
          <cell r="E1074" t="str">
            <v>522.52205</v>
          </cell>
          <cell r="F1074">
            <v>39.5</v>
          </cell>
          <cell r="G1074">
            <v>0</v>
          </cell>
          <cell r="H1074">
            <v>0</v>
          </cell>
          <cell r="I1074">
            <v>0</v>
          </cell>
          <cell r="J1074">
            <v>0</v>
          </cell>
          <cell r="K1074">
            <v>0</v>
          </cell>
          <cell r="L1074">
            <v>500</v>
          </cell>
        </row>
        <row r="1075">
          <cell r="A1075" t="str">
            <v>10050.01342</v>
          </cell>
          <cell r="B1075" t="str">
            <v>CABLE U1000R02V 3X95+70</v>
          </cell>
          <cell r="C1075" t="str">
            <v xml:space="preserve">CONDUCTEURS ET CABLES ELECTRIQUES CABLE BT INDUSTRIEL SERIE U1000RO2V , TENSION NOMINALE 1000V SUIVANT NORME NF.C 32-321 NBRE DE COND.ET SECTIONS: 3X95 + 1X70 MM2 </v>
          </cell>
          <cell r="D1075" t="str">
            <v>M</v>
          </cell>
          <cell r="E1075" t="str">
            <v>522.52205</v>
          </cell>
          <cell r="F1075">
            <v>280</v>
          </cell>
          <cell r="G1075">
            <v>0</v>
          </cell>
          <cell r="H1075">
            <v>0</v>
          </cell>
          <cell r="I1075">
            <v>0</v>
          </cell>
          <cell r="J1075">
            <v>1000</v>
          </cell>
          <cell r="K1075">
            <v>0</v>
          </cell>
          <cell r="L1075">
            <v>0</v>
          </cell>
        </row>
        <row r="1076">
          <cell r="A1076" t="str">
            <v>10053.05173</v>
          </cell>
          <cell r="B1076" t="str">
            <v>LAMPE FLUORESCENTE G13</v>
          </cell>
          <cell r="C1076" t="str">
            <v xml:space="preserve">ECLAIRAGE ET MATERIEL UTILISANT L'ENERGIE ELECTRIQUE LAMPES FLUORESCENTES A ALLUMAGE INSTANTANE . DESIGNATION AVEC BANDE D'AMORCAGE EXTERNE (AMORCAGE A CHAUD) , RAPID-STAR PUISSANCE 20 W DIAMETRE 38 MM LONGUEUR 590 MM CULOT G 13 GENRE MAZDA-TFRS , PHILIPS-TLM OU EQUIVALENT NUANCE BLANC INDUSTRIE </v>
          </cell>
          <cell r="D1076" t="str">
            <v>PE</v>
          </cell>
          <cell r="E1076" t="str">
            <v>522.52206</v>
          </cell>
          <cell r="F1076">
            <v>21</v>
          </cell>
          <cell r="G1076">
            <v>0</v>
          </cell>
          <cell r="H1076">
            <v>0</v>
          </cell>
          <cell r="I1076">
            <v>0</v>
          </cell>
          <cell r="J1076">
            <v>0</v>
          </cell>
          <cell r="K1076">
            <v>468</v>
          </cell>
          <cell r="L1076">
            <v>0</v>
          </cell>
        </row>
        <row r="1077">
          <cell r="A1077" t="str">
            <v>10053.05146</v>
          </cell>
          <cell r="B1077" t="str">
            <v>LAMPE FLUORESCENTE G13</v>
          </cell>
          <cell r="C1077" t="str">
            <v xml:space="preserve">LAMPES FLUORESCENTES A ALLUMAGE PAR STARTER PUISSANCE 58/65 W DIAMETRE 26/38 MM LONGUEUR 1500 MM CULOT G 13 GENRE MAZDA-TF , PHILIPS-TL OU EQUIVALENT NUANCE BLANC INDUSTRIE </v>
          </cell>
          <cell r="D1077" t="str">
            <v>PE</v>
          </cell>
          <cell r="E1077" t="str">
            <v>522.52206</v>
          </cell>
          <cell r="F1077">
            <v>7.9333</v>
          </cell>
          <cell r="G1077">
            <v>0</v>
          </cell>
          <cell r="H1077">
            <v>0</v>
          </cell>
          <cell r="I1077">
            <v>0</v>
          </cell>
          <cell r="J1077">
            <v>0</v>
          </cell>
          <cell r="K1077">
            <v>0</v>
          </cell>
          <cell r="L1077">
            <v>300</v>
          </cell>
        </row>
        <row r="1078">
          <cell r="A1078" t="str">
            <v>10050.01044</v>
          </cell>
          <cell r="B1078" t="str">
            <v>CABLE FRN05VV-U 2X4 MM2</v>
          </cell>
          <cell r="C1078" t="str">
            <v xml:space="preserve">CONDUCTEURS ET CABLES ELECTRIQUES CABLE BT DOMESTIQUE SERIE FRN05 VV-U NORME NF C 32-207-CEI 227-10- UN 300/500V NBRE DE COND.ET SECTIONS: 2 X 4 MM2 </v>
          </cell>
          <cell r="D1078" t="str">
            <v>M</v>
          </cell>
          <cell r="E1078" t="str">
            <v>522.52206</v>
          </cell>
          <cell r="F1078">
            <v>10.8</v>
          </cell>
          <cell r="G1078">
            <v>0</v>
          </cell>
          <cell r="H1078">
            <v>0</v>
          </cell>
          <cell r="I1078">
            <v>0</v>
          </cell>
          <cell r="J1078">
            <v>0</v>
          </cell>
          <cell r="K1078">
            <v>0</v>
          </cell>
          <cell r="L1078">
            <v>200</v>
          </cell>
        </row>
        <row r="1079">
          <cell r="A1079" t="str">
            <v>10062.07086</v>
          </cell>
          <cell r="B1079" t="str">
            <v>BOULON Z2CND 17-13</v>
          </cell>
          <cell r="C1079" t="str">
            <v xml:space="preserve">BOULON HMN 20 X 110 X 46 VIS A TETE HEXAGONALE PARTIELEMENT FILETEE ET ECROU HEXAGONALEN ACIER INOXYDABLE: AFNOR Z 2 CND 17.13  / AISI 316 L GENRE UGINE NSM 22 S SUIVANT NORME  NFE 25 115 ET NFE 25 401  /  FILETAGE ISO </v>
          </cell>
          <cell r="D1079" t="str">
            <v>PE</v>
          </cell>
          <cell r="E1079" t="str">
            <v>522.52201</v>
          </cell>
          <cell r="F1079">
            <v>79.035600000000002</v>
          </cell>
          <cell r="G1079">
            <v>0</v>
          </cell>
          <cell r="H1079">
            <v>0</v>
          </cell>
          <cell r="I1079">
            <v>0</v>
          </cell>
          <cell r="J1079">
            <v>0</v>
          </cell>
          <cell r="K1079">
            <v>0</v>
          </cell>
          <cell r="L1079">
            <v>0</v>
          </cell>
        </row>
        <row r="1080">
          <cell r="A1080" t="str">
            <v>10062.07091</v>
          </cell>
          <cell r="B1080" t="str">
            <v>BOULON Z2CND 17-13</v>
          </cell>
          <cell r="C1080" t="str">
            <v xml:space="preserve">BOULON HMN 20 X 160 X 52 VIS A TETE HEXAGONALE PARTIELEMENT FILETEE ET ECROU HEXAGONALEN ACIER INOXYDABLE : AFNOR Z 2 CND 17.13  / AISI 316 L GENRE UGINE NSM 22 S SUIVANT NORME  NFE 25 115 ET NFE 25 401  /  FILETAGE ISO </v>
          </cell>
          <cell r="D1080" t="str">
            <v>PE</v>
          </cell>
          <cell r="E1080" t="str">
            <v>522.52201</v>
          </cell>
          <cell r="F1080">
            <v>104.15470000000001</v>
          </cell>
          <cell r="G1080">
            <v>0</v>
          </cell>
          <cell r="H1080">
            <v>0</v>
          </cell>
          <cell r="I1080">
            <v>0</v>
          </cell>
          <cell r="J1080">
            <v>0</v>
          </cell>
          <cell r="K1080">
            <v>34</v>
          </cell>
          <cell r="L1080">
            <v>0</v>
          </cell>
        </row>
        <row r="1081">
          <cell r="A1081" t="str">
            <v>10062.05977</v>
          </cell>
          <cell r="B1081" t="str">
            <v>BOULON A50</v>
          </cell>
          <cell r="C1081" t="str">
            <v>BOULON HMT 16 X 150 X 44 VIS TETE HEXAGONALE PARTIELEMENT FILETEE ET ECROU HEXAGONAL EN ACIER A50SUIVANT NORME NFE 25 115 ET NFE 25 401  /  FILETAGE ISO</v>
          </cell>
          <cell r="D1081" t="str">
            <v>PE</v>
          </cell>
          <cell r="E1081" t="str">
            <v>522.52201</v>
          </cell>
          <cell r="F1081">
            <v>4.5599999999999996</v>
          </cell>
          <cell r="G1081">
            <v>0</v>
          </cell>
          <cell r="H1081">
            <v>0</v>
          </cell>
          <cell r="I1081">
            <v>0</v>
          </cell>
          <cell r="J1081">
            <v>0</v>
          </cell>
          <cell r="K1081">
            <v>0</v>
          </cell>
          <cell r="L1081">
            <v>0</v>
          </cell>
        </row>
        <row r="1082">
          <cell r="A1082" t="str">
            <v>10062.05982</v>
          </cell>
          <cell r="B1082" t="str">
            <v>BOULON A50</v>
          </cell>
          <cell r="C1082" t="str">
            <v>BOULON HMT 20 X 80 X 46 VIS TETE HEXAGONALE PARTIELEMENT FILETEE ET ECROU HEXAGONAL EN ACIER A50SUIVANT NORME NFE 25 115 ET NFE 25 401  /  FILETAGE ISO</v>
          </cell>
          <cell r="D1082" t="str">
            <v>PE</v>
          </cell>
          <cell r="E1082" t="str">
            <v>522.52201</v>
          </cell>
          <cell r="F1082">
            <v>4.08</v>
          </cell>
          <cell r="G1082">
            <v>0</v>
          </cell>
          <cell r="H1082">
            <v>0</v>
          </cell>
          <cell r="I1082">
            <v>0</v>
          </cell>
          <cell r="J1082">
            <v>0</v>
          </cell>
          <cell r="K1082">
            <v>0</v>
          </cell>
          <cell r="L1082">
            <v>0</v>
          </cell>
        </row>
        <row r="1083">
          <cell r="A1083" t="str">
            <v>10062.05984</v>
          </cell>
          <cell r="B1083" t="str">
            <v>BOULON A50</v>
          </cell>
          <cell r="C1083" t="str">
            <v>BOULON HMT 20 X 90 X 46 VIS TETE HEXAGONALE PARTIELEMENT FILETEE ET ECROU HEXAGONAL EN ACIER A50SUIVANT NORME NFE 25 115 ET NFE 25 401  /  FILETAGE ISO</v>
          </cell>
          <cell r="D1083" t="str">
            <v>PE</v>
          </cell>
          <cell r="E1083" t="str">
            <v>522.52201</v>
          </cell>
          <cell r="F1083">
            <v>4.4400000000000004</v>
          </cell>
          <cell r="G1083">
            <v>0</v>
          </cell>
          <cell r="H1083">
            <v>0</v>
          </cell>
          <cell r="I1083">
            <v>0</v>
          </cell>
          <cell r="J1083">
            <v>0</v>
          </cell>
          <cell r="K1083">
            <v>0</v>
          </cell>
          <cell r="L1083">
            <v>0</v>
          </cell>
        </row>
        <row r="1084">
          <cell r="A1084" t="str">
            <v>10062.05989</v>
          </cell>
          <cell r="B1084" t="str">
            <v>BOULON A50</v>
          </cell>
          <cell r="C1084" t="str">
            <v>BOULON HMT 20 X 140 X 52 VIS TETE HEXAGONALE PARTIELEMENT FILETEE ET ECROU HEXAGONAL EN ACIER A50SUIVANT NORME NFE 25 115 ET NFE 25 401  /  FILETAGE ISO</v>
          </cell>
          <cell r="D1084" t="str">
            <v>PE</v>
          </cell>
          <cell r="E1084" t="str">
            <v>522.52201</v>
          </cell>
          <cell r="F1084">
            <v>6.72</v>
          </cell>
          <cell r="G1084">
            <v>0</v>
          </cell>
          <cell r="H1084">
            <v>0</v>
          </cell>
          <cell r="I1084">
            <v>0</v>
          </cell>
          <cell r="J1084">
            <v>0</v>
          </cell>
          <cell r="K1084">
            <v>0</v>
          </cell>
          <cell r="L1084">
            <v>0</v>
          </cell>
        </row>
        <row r="1085">
          <cell r="A1085" t="str">
            <v>10062.05985</v>
          </cell>
          <cell r="B1085" t="str">
            <v>BOULON A50</v>
          </cell>
          <cell r="C1085" t="str">
            <v>BOULON HMT 16 X 70 X 38 VIS TETE HEXAGONALE PARTIELEMENT FILETEE ET ECROU HEXAGONAL EN ACIER A50SUIVANT NORME NFE 25 115 ET NFE 25 401  /  FILETAGE ISO</v>
          </cell>
          <cell r="D1085" t="str">
            <v>PE</v>
          </cell>
          <cell r="E1085" t="str">
            <v>522.52201</v>
          </cell>
          <cell r="F1085">
            <v>2.1</v>
          </cell>
          <cell r="G1085">
            <v>0</v>
          </cell>
          <cell r="H1085">
            <v>0</v>
          </cell>
          <cell r="I1085">
            <v>0</v>
          </cell>
          <cell r="J1085">
            <v>0</v>
          </cell>
          <cell r="K1085">
            <v>0</v>
          </cell>
          <cell r="L1085">
            <v>0</v>
          </cell>
        </row>
        <row r="1086">
          <cell r="A1086" t="str">
            <v>10062.05987</v>
          </cell>
          <cell r="B1086" t="str">
            <v>BOULON A50</v>
          </cell>
          <cell r="C1086" t="str">
            <v>BOULON HMT 20 X 120 X 46 VIS TETE HEXAGONALE PARTIELEMENT FILETEE ET ECROU HEXAGONAL EN ACIER A50SUIVANT NORME NFE 25 115 ET NFE 25 401  /  FILETAGE ISO</v>
          </cell>
          <cell r="D1086" t="str">
            <v>PE</v>
          </cell>
          <cell r="E1086" t="str">
            <v>522.52201</v>
          </cell>
          <cell r="F1086">
            <v>5.7</v>
          </cell>
          <cell r="G1086">
            <v>0</v>
          </cell>
          <cell r="H1086">
            <v>0</v>
          </cell>
          <cell r="I1086">
            <v>0</v>
          </cell>
          <cell r="J1086">
            <v>0</v>
          </cell>
          <cell r="K1086">
            <v>0</v>
          </cell>
          <cell r="L1086">
            <v>0</v>
          </cell>
        </row>
        <row r="1087">
          <cell r="A1087" t="str">
            <v>10062.05911</v>
          </cell>
          <cell r="B1087" t="str">
            <v>BOULON A50</v>
          </cell>
          <cell r="C1087" t="str">
            <v>BOULON HMT 6 X 50 X 18 VIS TETE HEXAGONALE PARTIELEMENT FILETEE ET ECROU HEXAGONAL EN ACIER A50SUIVANT NORME NFE 25 115 ET NFE 25 401  /  FILETAGE ISO</v>
          </cell>
          <cell r="D1087" t="str">
            <v>PE</v>
          </cell>
          <cell r="E1087" t="str">
            <v>522.52201</v>
          </cell>
          <cell r="F1087">
            <v>0.28799999999999998</v>
          </cell>
          <cell r="G1087">
            <v>0</v>
          </cell>
          <cell r="H1087">
            <v>0</v>
          </cell>
          <cell r="I1087">
            <v>0</v>
          </cell>
          <cell r="J1087">
            <v>0</v>
          </cell>
          <cell r="K1087">
            <v>0</v>
          </cell>
          <cell r="L1087">
            <v>0</v>
          </cell>
        </row>
        <row r="1088">
          <cell r="A1088" t="str">
            <v>10062.05913</v>
          </cell>
          <cell r="B1088" t="str">
            <v>BOULON A50</v>
          </cell>
          <cell r="C1088" t="str">
            <v>BOULON HMT 6 X 60 X 18 VIS TETE HEXAGONALE PARTIELEMENT FILETEE ET ECROU HEXAGONAL EN ACIER A50SUIVANT NORME NFE 25 115 ET NFE 25 401  /  FILETAGE ISO</v>
          </cell>
          <cell r="D1088" t="str">
            <v>PE</v>
          </cell>
          <cell r="E1088" t="str">
            <v>522.52201</v>
          </cell>
          <cell r="F1088">
            <v>0.33600000000000002</v>
          </cell>
          <cell r="G1088">
            <v>0</v>
          </cell>
          <cell r="H1088">
            <v>0</v>
          </cell>
          <cell r="I1088">
            <v>0</v>
          </cell>
          <cell r="J1088">
            <v>0</v>
          </cell>
          <cell r="K1088">
            <v>0</v>
          </cell>
          <cell r="L1088">
            <v>0</v>
          </cell>
        </row>
        <row r="1089">
          <cell r="A1089" t="str">
            <v>10062.05915</v>
          </cell>
          <cell r="B1089" t="str">
            <v>BOULON A50</v>
          </cell>
          <cell r="C1089" t="str">
            <v>BOULON HMT 8 X 40 X 22 VIS TETE HEXAGONALE PARTIELEMENT FILETEE ET ECROU HEXAGONAL EN ACIER A50SUIVANT NORME NFE 25 115 ET NFE 25 401  /  FILETAGE ISO</v>
          </cell>
          <cell r="D1089" t="str">
            <v>PE</v>
          </cell>
          <cell r="E1089" t="str">
            <v>522.52201</v>
          </cell>
          <cell r="F1089">
            <v>0.36</v>
          </cell>
          <cell r="G1089">
            <v>0</v>
          </cell>
          <cell r="H1089">
            <v>0</v>
          </cell>
          <cell r="I1089">
            <v>0</v>
          </cell>
          <cell r="J1089">
            <v>0</v>
          </cell>
          <cell r="K1089">
            <v>0</v>
          </cell>
          <cell r="L1089">
            <v>0</v>
          </cell>
        </row>
        <row r="1090">
          <cell r="A1090" t="str">
            <v>10062.05917</v>
          </cell>
          <cell r="B1090" t="str">
            <v>BOULON A50</v>
          </cell>
          <cell r="C1090" t="str">
            <v>BOULON HMT 8 X 50 X 22 VIS TETE HEXAGONALE PARTIELEMENT FILETEE ET ECROU HEXAGONAL EN ACIER A50SUIVANT NORME NFE 25 115 ET NFE 25 401  /  FILETAGE ISO</v>
          </cell>
          <cell r="D1090" t="str">
            <v>PE</v>
          </cell>
          <cell r="E1090" t="str">
            <v>522.52201</v>
          </cell>
          <cell r="F1090">
            <v>0.40799999999999997</v>
          </cell>
          <cell r="G1090">
            <v>0</v>
          </cell>
          <cell r="H1090">
            <v>0</v>
          </cell>
          <cell r="I1090">
            <v>0</v>
          </cell>
          <cell r="J1090">
            <v>0</v>
          </cell>
          <cell r="K1090">
            <v>0</v>
          </cell>
          <cell r="L1090">
            <v>0</v>
          </cell>
        </row>
        <row r="1091">
          <cell r="A1091" t="str">
            <v>10062.07102</v>
          </cell>
          <cell r="B1091" t="str">
            <v>BOULON Z2CND 17-13</v>
          </cell>
          <cell r="C1091" t="str">
            <v xml:space="preserve">BOULON HMN 24 X 150 X 60 VIS A TETE HEXAGONALE PARTIELEMENT FILETEE ET ECROU HEXAGONALEN ACIER INOXYDABLE : AFNOR Z 2 CND 17.13  / AISI 316 L GENRE UGINE NSM 22 S SUIVANT NORME  NFE 25 115 ET NFE 25 401  /  FILETAGE ISO </v>
          </cell>
          <cell r="D1091" t="str">
            <v>PE</v>
          </cell>
          <cell r="E1091" t="str">
            <v>522.52201</v>
          </cell>
          <cell r="F1091">
            <v>155.3707</v>
          </cell>
          <cell r="G1091">
            <v>0</v>
          </cell>
          <cell r="H1091">
            <v>0</v>
          </cell>
          <cell r="I1091">
            <v>0</v>
          </cell>
          <cell r="J1091">
            <v>0</v>
          </cell>
          <cell r="K1091">
            <v>34</v>
          </cell>
          <cell r="L1091">
            <v>0</v>
          </cell>
        </row>
        <row r="1092">
          <cell r="A1092" t="str">
            <v>10061.07464</v>
          </cell>
          <cell r="B1092" t="str">
            <v>VIS T.HEXAG EN ACIER INOX</v>
          </cell>
          <cell r="C1092" t="str">
            <v xml:space="preserve">VIS A TETE HEXAGONALE HMN  EN ACIER INOXYDABLE NUANCE AFNOR Z2 CND 17-13/AISI 316L/UGINE NSM 22 S NORME DE REFERENCE NF E 25.115  /  FILETAGE ISO DIAMETRE 22 mm / LONGUEUR 160 mm / LONGUEUR FILETEE  145 mm </v>
          </cell>
          <cell r="D1092" t="str">
            <v>PE</v>
          </cell>
          <cell r="E1092" t="str">
            <v>522.52201</v>
          </cell>
          <cell r="F1092">
            <v>251.65299999999999</v>
          </cell>
          <cell r="G1092">
            <v>0</v>
          </cell>
          <cell r="H1092">
            <v>0</v>
          </cell>
          <cell r="I1092">
            <v>0</v>
          </cell>
          <cell r="J1092">
            <v>0</v>
          </cell>
          <cell r="K1092">
            <v>85</v>
          </cell>
          <cell r="L1092">
            <v>0</v>
          </cell>
        </row>
        <row r="1093">
          <cell r="A1093" t="str">
            <v>10061.07472</v>
          </cell>
          <cell r="B1093" t="str">
            <v>VIS T.HEXAG EN ACIER INOX</v>
          </cell>
          <cell r="C1093" t="str">
            <v xml:space="preserve">VIS A TETE HEXAGONALE HMN  EN ACIER INOXYDABLE NUANCE AFNOR Z2 CND 17-13/AISI 316L/UGINE NSM 22 S NORME DE REFERENCE NF E 25.115  /  FILETAGE ISO DIAMETRE 24 mm / LONGUEUR 240 mm / LONGUEUR FILETEE  220 mm </v>
          </cell>
          <cell r="D1093" t="str">
            <v>PE</v>
          </cell>
          <cell r="E1093" t="str">
            <v>522.52201</v>
          </cell>
          <cell r="F1093">
            <v>443.72519999999997</v>
          </cell>
          <cell r="G1093">
            <v>0</v>
          </cell>
          <cell r="H1093">
            <v>0</v>
          </cell>
          <cell r="I1093">
            <v>0</v>
          </cell>
          <cell r="J1093">
            <v>0</v>
          </cell>
          <cell r="K1093">
            <v>42</v>
          </cell>
          <cell r="L1093">
            <v>0</v>
          </cell>
        </row>
        <row r="1094">
          <cell r="A1094" t="str">
            <v>10061.07476</v>
          </cell>
          <cell r="B1094" t="str">
            <v>VIS T.HEXAG EN ACIER INOX</v>
          </cell>
          <cell r="C1094" t="str">
            <v xml:space="preserve">VIS A TETE HEXAGONALE HMN  EN ACIER INOXYDABLE NUANCE AFNOR Z2 CND 17-13/AISI 316L/UGINE NSM 22 S NORME DE REFERENCE NF E 25.115  /  FILETAGE ISO DIAMETRE 27 mm / LONGUEUR 150 mm / LONGUEUR FILETEE  150 mm </v>
          </cell>
          <cell r="D1094" t="str">
            <v>PE</v>
          </cell>
          <cell r="E1094" t="str">
            <v>522.52201</v>
          </cell>
          <cell r="F1094">
            <v>372.6</v>
          </cell>
          <cell r="G1094">
            <v>0</v>
          </cell>
          <cell r="H1094">
            <v>0</v>
          </cell>
          <cell r="I1094">
            <v>0</v>
          </cell>
          <cell r="J1094">
            <v>0</v>
          </cell>
          <cell r="K1094">
            <v>0</v>
          </cell>
          <cell r="L1094">
            <v>0</v>
          </cell>
        </row>
        <row r="1095">
          <cell r="A1095" t="str">
            <v>10061.07470</v>
          </cell>
          <cell r="B1095" t="str">
            <v>VIS T.HEXAG EN ACIER INOX</v>
          </cell>
          <cell r="C1095" t="str">
            <v xml:space="preserve">VIS A TETE HEXAGONALE HMN  EN ACIER INOXYDABLE NUANCE AFNOR Z2 CND 17-13/AISI 316L/UGINE NSM 22 S NORME DE REFERENCE NF E 25.115  /  FILETAGE ISO DIAMETRE 24 mm / LONGUEUR 150 mm / LONGUEUR FILETEE  130 mm </v>
          </cell>
          <cell r="D1095" t="str">
            <v>PE</v>
          </cell>
          <cell r="E1095" t="str">
            <v>522.52201</v>
          </cell>
          <cell r="F1095">
            <v>184.23</v>
          </cell>
          <cell r="G1095">
            <v>0</v>
          </cell>
          <cell r="H1095">
            <v>0</v>
          </cell>
          <cell r="I1095">
            <v>0</v>
          </cell>
          <cell r="J1095">
            <v>0</v>
          </cell>
          <cell r="K1095">
            <v>36</v>
          </cell>
          <cell r="L1095">
            <v>0</v>
          </cell>
        </row>
        <row r="1096">
          <cell r="A1096" t="str">
            <v>10061.10061</v>
          </cell>
          <cell r="B1096" t="str">
            <v>TIGE FILETEE ACIER A 50 -42MM</v>
          </cell>
          <cell r="C1096" t="str">
            <v>TIGE FILETEE EN ACIER A 50 LONGUEUR 1 MERTE / DIAMETRE 42 MM / PAS ISO</v>
          </cell>
          <cell r="D1096" t="str">
            <v>PE</v>
          </cell>
          <cell r="E1096" t="str">
            <v>522.52201</v>
          </cell>
          <cell r="F1096">
            <v>261.79770000000002</v>
          </cell>
          <cell r="G1096">
            <v>0</v>
          </cell>
          <cell r="H1096">
            <v>44</v>
          </cell>
          <cell r="I1096">
            <v>0</v>
          </cell>
          <cell r="J1096">
            <v>0</v>
          </cell>
          <cell r="K1096">
            <v>0</v>
          </cell>
          <cell r="L1096">
            <v>0</v>
          </cell>
        </row>
        <row r="1097">
          <cell r="A1097" t="str">
            <v>10061.10062</v>
          </cell>
          <cell r="B1097" t="str">
            <v>TIGE FILETEE INOX 316L-33MM</v>
          </cell>
          <cell r="C1097" t="str">
            <v>TGE FILETEE EN ACIER INOXIDABLE EN LONGUEUR DE 1 METRE SUIVANT NORME AFNOR Z2 CND 17-13 / AISI 316L/ UGINE NSM 22SFILETAGE ISO / DIAMETRE 33 MM</v>
          </cell>
          <cell r="D1097" t="str">
            <v>PE</v>
          </cell>
          <cell r="E1097" t="str">
            <v>522.52201</v>
          </cell>
          <cell r="F1097">
            <v>557</v>
          </cell>
          <cell r="G1097">
            <v>0</v>
          </cell>
          <cell r="H1097">
            <v>0</v>
          </cell>
          <cell r="I1097">
            <v>0</v>
          </cell>
          <cell r="J1097">
            <v>0</v>
          </cell>
          <cell r="K1097">
            <v>2</v>
          </cell>
          <cell r="L1097">
            <v>0</v>
          </cell>
        </row>
        <row r="1098">
          <cell r="A1098" t="str">
            <v>10061.10063</v>
          </cell>
          <cell r="B1098" t="str">
            <v>TIGE FILETEE INOX 316L-40MM</v>
          </cell>
          <cell r="C1098" t="str">
            <v>TGE FILETEE EN ACIER INOXIDABLE EN LONGUEUR DE 1 METRE SUIVANT NORME AFNOR Z2 CND 17-13 / AISI 316L/ UGINE NSM 22SFILETAGE ISO / DIAMETRE 40 MM</v>
          </cell>
          <cell r="D1098" t="str">
            <v>PE</v>
          </cell>
          <cell r="E1098" t="str">
            <v>522.52201</v>
          </cell>
          <cell r="F1098">
            <v>1136.8828000000001</v>
          </cell>
          <cell r="G1098">
            <v>0</v>
          </cell>
          <cell r="H1098">
            <v>0</v>
          </cell>
          <cell r="I1098">
            <v>0</v>
          </cell>
          <cell r="J1098">
            <v>0</v>
          </cell>
          <cell r="K1098">
            <v>0</v>
          </cell>
          <cell r="L1098">
            <v>0</v>
          </cell>
        </row>
        <row r="1099">
          <cell r="A1099" t="str">
            <v>10061.10064</v>
          </cell>
          <cell r="B1099" t="str">
            <v>TIGE FILETEE ASTM A 193 GR B16 -62MM</v>
          </cell>
          <cell r="C1099" t="str">
            <v>TIGE FILETEE M62 EN LONGUEUR DE 1 METRE NUANCE MATIERE:ASTM A 193 GR B16</v>
          </cell>
          <cell r="D1099" t="str">
            <v>PE</v>
          </cell>
          <cell r="E1099" t="str">
            <v>522.52201</v>
          </cell>
          <cell r="F1099">
            <v>1681.7792999999999</v>
          </cell>
          <cell r="G1099">
            <v>0</v>
          </cell>
          <cell r="H1099">
            <v>0</v>
          </cell>
          <cell r="I1099">
            <v>0</v>
          </cell>
          <cell r="J1099">
            <v>0</v>
          </cell>
          <cell r="K1099">
            <v>0</v>
          </cell>
          <cell r="L1099">
            <v>5</v>
          </cell>
        </row>
        <row r="1100">
          <cell r="A1100" t="str">
            <v>10061.10060</v>
          </cell>
          <cell r="B1100" t="str">
            <v>TIGE FILETEE ACIER A 50 -40MM</v>
          </cell>
          <cell r="C1100" t="str">
            <v>TIGE FILETEE EN ACIER A 50 LONGUEUR 1 MERTE / DIAMETRE 40 MM / PAS ISO</v>
          </cell>
          <cell r="D1100" t="str">
            <v>PE</v>
          </cell>
          <cell r="E1100" t="str">
            <v>522.52201</v>
          </cell>
          <cell r="F1100">
            <v>228.26900000000001</v>
          </cell>
          <cell r="G1100">
            <v>0</v>
          </cell>
          <cell r="H1100">
            <v>8</v>
          </cell>
          <cell r="I1100">
            <v>0</v>
          </cell>
          <cell r="J1100">
            <v>0</v>
          </cell>
          <cell r="K1100">
            <v>0</v>
          </cell>
          <cell r="L1100">
            <v>0</v>
          </cell>
        </row>
        <row r="1101">
          <cell r="A1101" t="str">
            <v>10061.09885</v>
          </cell>
          <cell r="B1101" t="str">
            <v>TIGE FILETE/2 ECROU.D.33</v>
          </cell>
          <cell r="C1101" t="str">
            <v xml:space="preserve">QUINCAILLERIE  TIGE FILETEE AVEC DEUX ECROUS  COMPOSITION : CHIMIQUE:TIGE=C0,38/0,48-MN0,75/1,00-P0,040MAXI , S0,040-SI0,20/0,35- CR0,80/1,10- MO0,15/0,25 . ECROU=C.SUP.0,40- P.0,40MAXI- SI.0,05MAXI LONGUEUR : 240 MM DIAMETRE 33 MM TIGE:R=88KG/MM2 LIMITE ELAST.=74KG/MM2 TIGE:R=88KG/MM2 LIMITE ELAST.=74KG/MM2 , ALL./2POUCES=16% -STRICTION=50% , ECROU=DURETE BRINELL 248/352 </v>
          </cell>
          <cell r="D1101" t="str">
            <v>PE</v>
          </cell>
          <cell r="E1101" t="str">
            <v>522.52201</v>
          </cell>
          <cell r="F1101">
            <v>130.1985</v>
          </cell>
          <cell r="G1101">
            <v>0</v>
          </cell>
          <cell r="H1101">
            <v>0</v>
          </cell>
          <cell r="I1101">
            <v>0</v>
          </cell>
          <cell r="J1101">
            <v>0</v>
          </cell>
          <cell r="K1101">
            <v>0</v>
          </cell>
          <cell r="L1101">
            <v>0</v>
          </cell>
        </row>
        <row r="1102">
          <cell r="A1102" t="str">
            <v>10061.09967</v>
          </cell>
          <cell r="B1102" t="str">
            <v>TIGE FIL INOX 304L 20X135</v>
          </cell>
          <cell r="C1102" t="str">
            <v>TIGE FILETEE 20X135 MM  AVEC DEUX ECROUS HEXAGONAUX EN ACIER INOXYDABLE 304L</v>
          </cell>
          <cell r="D1102" t="str">
            <v>PE</v>
          </cell>
          <cell r="E1102" t="str">
            <v>522.52201</v>
          </cell>
          <cell r="F1102">
            <v>24.64</v>
          </cell>
          <cell r="G1102">
            <v>0</v>
          </cell>
          <cell r="H1102">
            <v>0</v>
          </cell>
          <cell r="I1102">
            <v>0</v>
          </cell>
          <cell r="J1102">
            <v>0</v>
          </cell>
          <cell r="K1102">
            <v>20</v>
          </cell>
          <cell r="L1102">
            <v>0</v>
          </cell>
        </row>
        <row r="1103">
          <cell r="A1103" t="str">
            <v>10061.09880</v>
          </cell>
          <cell r="B1103" t="str">
            <v>TIGE FILETE AVEC 2 ECROUS 30 X 207</v>
          </cell>
          <cell r="C1103" t="str">
            <v xml:space="preserve">TIGE FILETEE 30 X 207 MM AVEC DEUX ECROUS HEXAGONAUXTIGE MU 7 EN ACIER A 193 B7(C0,38/0,48- Mn0,75/1- P0,040MAXI-S0,04MAXI- Si0,20/0,35- Cr0,8/1,1-Mo0,15/0,25 RESISTANCE MINI 88 Kg/mm2      -   LIMITE ELASTIQUE MINI 74 Kg/MM2ALLONGEMENT MINI SUR 2" 16% -   STRICTION MINI 50% ECROU HN EN ACIER ASTM 194 GRADE 2 R(C &gt; 0,40- P0,40MAXI-Si0,05MAXI) - DURETE BRINELL 248/352 </v>
          </cell>
          <cell r="D1103" t="str">
            <v>PE</v>
          </cell>
          <cell r="E1103" t="str">
            <v>522.52201</v>
          </cell>
          <cell r="F1103">
            <v>111.313</v>
          </cell>
          <cell r="G1103">
            <v>0</v>
          </cell>
          <cell r="H1103">
            <v>0</v>
          </cell>
          <cell r="I1103">
            <v>0</v>
          </cell>
          <cell r="J1103">
            <v>0</v>
          </cell>
          <cell r="K1103">
            <v>0</v>
          </cell>
          <cell r="L1103">
            <v>0</v>
          </cell>
        </row>
        <row r="1104">
          <cell r="A1104" t="str">
            <v>10061.10003</v>
          </cell>
          <cell r="B1104" t="str">
            <v>TIGES FILETEES M27X200</v>
          </cell>
          <cell r="C1104" t="str">
            <v>TIGES FILETEES EN ACIER A HAUTE RESISTANCE M27X200</v>
          </cell>
          <cell r="D1104" t="str">
            <v>PE</v>
          </cell>
          <cell r="E1104" t="str">
            <v>522.52201</v>
          </cell>
          <cell r="F1104">
            <v>71.080699999999993</v>
          </cell>
          <cell r="G1104">
            <v>38</v>
          </cell>
          <cell r="H1104">
            <v>0</v>
          </cell>
          <cell r="I1104">
            <v>2</v>
          </cell>
          <cell r="J1104">
            <v>0</v>
          </cell>
          <cell r="K1104">
            <v>0</v>
          </cell>
          <cell r="L1104">
            <v>0</v>
          </cell>
        </row>
        <row r="1105">
          <cell r="A1105" t="str">
            <v>10061.10005</v>
          </cell>
          <cell r="B1105" t="str">
            <v>TIGES FILETEES M30X200</v>
          </cell>
          <cell r="C1105" t="str">
            <v>TIGES FILETEES EN ACIER A HAUTE RESISTANCE M30X200</v>
          </cell>
          <cell r="D1105" t="str">
            <v>PE</v>
          </cell>
          <cell r="E1105" t="str">
            <v>522.52201</v>
          </cell>
          <cell r="F1105">
            <v>213.48</v>
          </cell>
          <cell r="G1105">
            <v>0</v>
          </cell>
          <cell r="H1105">
            <v>0</v>
          </cell>
          <cell r="I1105">
            <v>0</v>
          </cell>
          <cell r="J1105">
            <v>0</v>
          </cell>
          <cell r="K1105">
            <v>0</v>
          </cell>
          <cell r="L1105">
            <v>20</v>
          </cell>
        </row>
        <row r="1106">
          <cell r="A1106" t="str">
            <v>10061.10006</v>
          </cell>
          <cell r="B1106" t="str">
            <v>TIGES FILETEES M33X200</v>
          </cell>
          <cell r="C1106" t="str">
            <v>TIGES FILETEES EN ACIER A HAUTE RESISTANCE M33X200</v>
          </cell>
          <cell r="D1106" t="str">
            <v>PE</v>
          </cell>
          <cell r="E1106" t="str">
            <v>522.52201</v>
          </cell>
          <cell r="F1106">
            <v>293.39999999999998</v>
          </cell>
          <cell r="G1106">
            <v>0</v>
          </cell>
          <cell r="H1106">
            <v>0</v>
          </cell>
          <cell r="I1106">
            <v>0</v>
          </cell>
          <cell r="J1106">
            <v>7</v>
          </cell>
          <cell r="K1106">
            <v>0</v>
          </cell>
          <cell r="L1106">
            <v>17</v>
          </cell>
        </row>
        <row r="1107">
          <cell r="A1107" t="str">
            <v>10061.09997</v>
          </cell>
          <cell r="B1107" t="str">
            <v>TIGE FILETEE M22X210</v>
          </cell>
          <cell r="C1107" t="str">
            <v>TIGE FILETEE EN ACIER A HAUTE RESISTANCE M22 X 210 MM</v>
          </cell>
          <cell r="D1107" t="str">
            <v>PE</v>
          </cell>
          <cell r="E1107" t="str">
            <v>522.52201</v>
          </cell>
          <cell r="F1107">
            <v>31.234200000000001</v>
          </cell>
          <cell r="G1107">
            <v>0</v>
          </cell>
          <cell r="H1107">
            <v>0</v>
          </cell>
          <cell r="I1107">
            <v>0</v>
          </cell>
          <cell r="J1107">
            <v>0</v>
          </cell>
          <cell r="K1107">
            <v>0</v>
          </cell>
          <cell r="L1107">
            <v>36</v>
          </cell>
        </row>
        <row r="1108">
          <cell r="A1108" t="str">
            <v>10061.10000</v>
          </cell>
          <cell r="B1108" t="str">
            <v>TIGES FILETEES M24X200</v>
          </cell>
          <cell r="C1108" t="str">
            <v>TIGES FILETEES EN ACIER A HAUTE RESISTANCE M24X200</v>
          </cell>
          <cell r="D1108" t="str">
            <v>PE</v>
          </cell>
          <cell r="E1108" t="str">
            <v>522.52201</v>
          </cell>
          <cell r="F1108">
            <v>43.0075</v>
          </cell>
          <cell r="G1108">
            <v>0</v>
          </cell>
          <cell r="H1108">
            <v>0</v>
          </cell>
          <cell r="I1108">
            <v>0</v>
          </cell>
          <cell r="J1108">
            <v>70</v>
          </cell>
          <cell r="K1108">
            <v>0</v>
          </cell>
          <cell r="L1108">
            <v>0</v>
          </cell>
        </row>
        <row r="1109">
          <cell r="A1109" t="str">
            <v>10061.10070</v>
          </cell>
          <cell r="B1109" t="str">
            <v>TIGE FILETEE ASTM A 193 GR B7-33MM</v>
          </cell>
          <cell r="C1109" t="str">
            <v>TIGE FILETEE M33 EN LONGUEUR DE 1 METRE NUANCE MATIERE:ASTM A 193 GR B7</v>
          </cell>
          <cell r="D1109" t="str">
            <v>PE</v>
          </cell>
          <cell r="E1109" t="str">
            <v>522.52201</v>
          </cell>
          <cell r="F1109">
            <v>253.10990000000001</v>
          </cell>
          <cell r="G1109">
            <v>0</v>
          </cell>
          <cell r="H1109">
            <v>0</v>
          </cell>
          <cell r="I1109">
            <v>0</v>
          </cell>
          <cell r="J1109">
            <v>0</v>
          </cell>
          <cell r="K1109">
            <v>0</v>
          </cell>
          <cell r="L1109">
            <v>0</v>
          </cell>
        </row>
        <row r="1110">
          <cell r="A1110" t="str">
            <v>10061.10071</v>
          </cell>
          <cell r="B1110" t="str">
            <v>TIGE FILETEE ASTM A 193 GR B7-30MM</v>
          </cell>
          <cell r="C1110" t="str">
            <v>TIGE FILETEE M30 EN LONGUEUR DE 1 METRE NUANCE MATIERE:ASTM A 193 GR B7</v>
          </cell>
          <cell r="D1110" t="str">
            <v>PE</v>
          </cell>
          <cell r="E1110" t="str">
            <v>522.52201</v>
          </cell>
          <cell r="F1110">
            <v>220.3142</v>
          </cell>
          <cell r="G1110">
            <v>0</v>
          </cell>
          <cell r="H1110">
            <v>0</v>
          </cell>
          <cell r="I1110">
            <v>0</v>
          </cell>
          <cell r="J1110">
            <v>0</v>
          </cell>
          <cell r="K1110">
            <v>0</v>
          </cell>
          <cell r="L1110">
            <v>6</v>
          </cell>
        </row>
        <row r="1111">
          <cell r="A1111" t="str">
            <v>10061.10072</v>
          </cell>
          <cell r="B1111" t="str">
            <v>TIGE FILETEE ASTM A 193 GR B7-27MM</v>
          </cell>
          <cell r="C1111" t="str">
            <v>TIGE FILETEE M27 EN LONGUEUR DE 1 METRE NUANCE MATIERE:ASTM A 193 GR B7</v>
          </cell>
          <cell r="D1111" t="str">
            <v>PE</v>
          </cell>
          <cell r="E1111" t="str">
            <v>522.52201</v>
          </cell>
          <cell r="F1111">
            <v>174.90440000000001</v>
          </cell>
          <cell r="G1111">
            <v>0</v>
          </cell>
          <cell r="H1111">
            <v>0</v>
          </cell>
          <cell r="I1111">
            <v>0</v>
          </cell>
          <cell r="J1111">
            <v>0</v>
          </cell>
          <cell r="K1111">
            <v>0</v>
          </cell>
          <cell r="L1111">
            <v>0</v>
          </cell>
        </row>
        <row r="1112">
          <cell r="A1112" t="str">
            <v>10061.10065</v>
          </cell>
          <cell r="B1112" t="str">
            <v>TIGE FILETEE ASTM A 193 GR B16 -48MM</v>
          </cell>
          <cell r="C1112" t="str">
            <v>TIGE FILETEE M48 EN LONGUEUR DE 1 METRE NUANCE MATIERE:ASTM A 193 GR B16</v>
          </cell>
          <cell r="D1112" t="str">
            <v>PE</v>
          </cell>
          <cell r="E1112" t="str">
            <v>522.52201</v>
          </cell>
          <cell r="F1112">
            <v>1076.3387</v>
          </cell>
          <cell r="G1112">
            <v>0</v>
          </cell>
          <cell r="H1112">
            <v>0</v>
          </cell>
          <cell r="I1112">
            <v>0</v>
          </cell>
          <cell r="J1112">
            <v>0</v>
          </cell>
          <cell r="K1112">
            <v>0</v>
          </cell>
          <cell r="L1112">
            <v>0</v>
          </cell>
        </row>
        <row r="1113">
          <cell r="A1113" t="str">
            <v>10061.10066</v>
          </cell>
          <cell r="B1113" t="str">
            <v>TIGE FILETEE ASTM A 193 GR B16 -40MM</v>
          </cell>
          <cell r="C1113" t="str">
            <v>TIGE FILETEE M40 EN LONGUEUR DE 1 METRE NUANCE MATIERE:ASTM A 193 GR B16</v>
          </cell>
          <cell r="D1113" t="str">
            <v>PE</v>
          </cell>
          <cell r="E1113" t="str">
            <v>522.52201</v>
          </cell>
          <cell r="F1113">
            <v>840.88959999999997</v>
          </cell>
          <cell r="G1113">
            <v>0</v>
          </cell>
          <cell r="H1113">
            <v>0</v>
          </cell>
          <cell r="I1113">
            <v>0</v>
          </cell>
          <cell r="J1113">
            <v>0</v>
          </cell>
          <cell r="K1113">
            <v>0</v>
          </cell>
          <cell r="L1113">
            <v>5</v>
          </cell>
        </row>
        <row r="1114">
          <cell r="A1114" t="str">
            <v>10061.10067</v>
          </cell>
          <cell r="B1114" t="str">
            <v>TIGE FILETEE ASTM A 193 GR B16 -33MM</v>
          </cell>
          <cell r="C1114" t="str">
            <v>TIGE FILETEE M33 EN LONGUEUR DE 1 METRE NUANCE MATIERE:ASTM A 193 GR B16</v>
          </cell>
          <cell r="D1114" t="str">
            <v>PE</v>
          </cell>
          <cell r="E1114" t="str">
            <v>522.52201</v>
          </cell>
          <cell r="F1114">
            <v>622.25829999999996</v>
          </cell>
          <cell r="G1114">
            <v>0</v>
          </cell>
          <cell r="H1114">
            <v>0</v>
          </cell>
          <cell r="I1114">
            <v>0</v>
          </cell>
          <cell r="J1114">
            <v>0</v>
          </cell>
          <cell r="K1114">
            <v>0</v>
          </cell>
          <cell r="L1114">
            <v>0</v>
          </cell>
        </row>
        <row r="1115">
          <cell r="A1115" t="str">
            <v>10061.10068</v>
          </cell>
          <cell r="B1115" t="str">
            <v>TIGE FILETEE ASTM A 193 GR B16 -27MM</v>
          </cell>
          <cell r="C1115" t="str">
            <v>TIGE FILETEE M27 EN LONGUEUR DE 1 METRE NUANCE MATIERE:ASTM A 193 GR B16</v>
          </cell>
          <cell r="D1115" t="str">
            <v>PE</v>
          </cell>
          <cell r="E1115" t="str">
            <v>522.52201</v>
          </cell>
          <cell r="F1115">
            <v>420.44479999999999</v>
          </cell>
          <cell r="G1115">
            <v>0</v>
          </cell>
          <cell r="H1115">
            <v>0</v>
          </cell>
          <cell r="I1115">
            <v>0</v>
          </cell>
          <cell r="J1115">
            <v>0</v>
          </cell>
          <cell r="K1115">
            <v>0</v>
          </cell>
          <cell r="L1115">
            <v>0</v>
          </cell>
        </row>
        <row r="1116">
          <cell r="A1116" t="str">
            <v>10061.10069</v>
          </cell>
          <cell r="B1116" t="str">
            <v>TIGE FILETEE ASTM A 193 GR B16 -24MM</v>
          </cell>
          <cell r="C1116" t="str">
            <v>TIGE FILETEE M24 EN LONGUEUR DE 1 METRE NUANCE MATIERE:ASTM A 193 GR B16</v>
          </cell>
          <cell r="D1116" t="str">
            <v>PE</v>
          </cell>
          <cell r="E1116" t="str">
            <v>522.52201</v>
          </cell>
          <cell r="F1116">
            <v>369.9914</v>
          </cell>
          <cell r="G1116">
            <v>0</v>
          </cell>
          <cell r="H1116">
            <v>0</v>
          </cell>
          <cell r="I1116">
            <v>0</v>
          </cell>
          <cell r="J1116">
            <v>0</v>
          </cell>
          <cell r="K1116">
            <v>0</v>
          </cell>
          <cell r="L1116">
            <v>0</v>
          </cell>
        </row>
        <row r="1117">
          <cell r="A1117" t="str">
            <v>10061.10074</v>
          </cell>
          <cell r="B1117" t="str">
            <v>TIGE FILETEE ASTM A 193 GR B7-18MM</v>
          </cell>
          <cell r="C1117" t="str">
            <v>TIGE FILETEE M18 EN LONGUEUR DE 1 METRE NUANCE MATIERE:ASTM A 193 GR B7</v>
          </cell>
          <cell r="D1117" t="str">
            <v>PE</v>
          </cell>
          <cell r="E1117" t="str">
            <v>522.52201</v>
          </cell>
          <cell r="F1117">
            <v>114.35939999999999</v>
          </cell>
          <cell r="G1117">
            <v>0</v>
          </cell>
          <cell r="H1117">
            <v>2</v>
          </cell>
          <cell r="I1117">
            <v>1</v>
          </cell>
          <cell r="J1117">
            <v>0</v>
          </cell>
          <cell r="K1117">
            <v>0</v>
          </cell>
          <cell r="L1117">
            <v>20</v>
          </cell>
        </row>
        <row r="1118">
          <cell r="A1118" t="str">
            <v>10061.10075</v>
          </cell>
          <cell r="B1118" t="str">
            <v>TIGE FILETEE ASTM A 193 GR B7-14MM</v>
          </cell>
          <cell r="C1118" t="str">
            <v>TIGE FILETEE M14 EN LONGUEUR DE 1 METRE NUANCE MATIERE:ASTM A 193 GR B7</v>
          </cell>
          <cell r="D1118" t="str">
            <v>PE</v>
          </cell>
          <cell r="E1118" t="str">
            <v>522.52201</v>
          </cell>
          <cell r="F1118">
            <v>72.316500000000005</v>
          </cell>
          <cell r="G1118">
            <v>0</v>
          </cell>
          <cell r="H1118">
            <v>0</v>
          </cell>
          <cell r="I1118">
            <v>0</v>
          </cell>
          <cell r="J1118">
            <v>0</v>
          </cell>
          <cell r="K1118">
            <v>0</v>
          </cell>
          <cell r="L1118">
            <v>0</v>
          </cell>
        </row>
        <row r="1119">
          <cell r="A1119" t="str">
            <v>10061.10076</v>
          </cell>
          <cell r="B1119" t="str">
            <v>TIGE FILETEE ASTM A 193 GR B7-40MM</v>
          </cell>
          <cell r="C1119" t="str">
            <v>TIGE FILETEE M40 EN LONGUEUR DE 1 METRE NUANCE MATIERE:ASTM A 193 GR B7</v>
          </cell>
          <cell r="D1119" t="str">
            <v>PE</v>
          </cell>
          <cell r="E1119" t="str">
            <v>522.52201</v>
          </cell>
          <cell r="F1119">
            <v>349.80200000000002</v>
          </cell>
          <cell r="G1119">
            <v>0</v>
          </cell>
          <cell r="H1119">
            <v>0</v>
          </cell>
          <cell r="I1119">
            <v>0</v>
          </cell>
          <cell r="J1119">
            <v>0</v>
          </cell>
          <cell r="K1119">
            <v>0</v>
          </cell>
          <cell r="L1119">
            <v>6</v>
          </cell>
        </row>
        <row r="1120">
          <cell r="A1120" t="str">
            <v>10061.10077</v>
          </cell>
          <cell r="B1120" t="str">
            <v>TIGE FILETEE ASTM A 193 GR B-16MM</v>
          </cell>
          <cell r="C1120" t="str">
            <v>TIGE FILETEE M16 EN LONGUEUR DE 1 METRE NUANCE MATIERE:ASTM A 193 GR B</v>
          </cell>
          <cell r="D1120" t="str">
            <v>PE</v>
          </cell>
          <cell r="E1120" t="str">
            <v>522.52201</v>
          </cell>
          <cell r="F1120">
            <v>80.724100000000007</v>
          </cell>
          <cell r="G1120">
            <v>0</v>
          </cell>
          <cell r="H1120">
            <v>0</v>
          </cell>
          <cell r="I1120">
            <v>18</v>
          </cell>
          <cell r="J1120">
            <v>0</v>
          </cell>
          <cell r="K1120">
            <v>0</v>
          </cell>
          <cell r="L1120">
            <v>10</v>
          </cell>
        </row>
        <row r="1121">
          <cell r="A1121" t="str">
            <v>10061.10078</v>
          </cell>
          <cell r="B1121" t="str">
            <v>TIGE FILETEE ASTM A 193 GR B-12MM</v>
          </cell>
          <cell r="C1121" t="str">
            <v>TIGE FILETEE M12 EN LONGUEUR DE 1 METRE NUANCE MATIERE:ASTM A 193 GR B</v>
          </cell>
          <cell r="D1121" t="str">
            <v>PE</v>
          </cell>
          <cell r="E1121" t="str">
            <v>522.52201</v>
          </cell>
          <cell r="F1121">
            <v>65.589399999999998</v>
          </cell>
          <cell r="G1121">
            <v>0</v>
          </cell>
          <cell r="H1121">
            <v>0</v>
          </cell>
          <cell r="I1121">
            <v>0</v>
          </cell>
          <cell r="J1121">
            <v>0</v>
          </cell>
          <cell r="K1121">
            <v>0</v>
          </cell>
          <cell r="L1121">
            <v>40</v>
          </cell>
        </row>
        <row r="1122">
          <cell r="A1122" t="str">
            <v>10061.10073</v>
          </cell>
          <cell r="B1122" t="str">
            <v>TIGE FILETEE ASTM A 193 GR B7-22MM</v>
          </cell>
          <cell r="C1122" t="str">
            <v>TIGE FILETEE M22 EN LONGUEUR DE 1 METRE NUANCE MATIERE:ASTM A 193 GR B7</v>
          </cell>
          <cell r="D1122" t="str">
            <v>PE</v>
          </cell>
          <cell r="E1122" t="str">
            <v>522.52201</v>
          </cell>
          <cell r="F1122">
            <v>116.04340000000001</v>
          </cell>
          <cell r="G1122">
            <v>0</v>
          </cell>
          <cell r="H1122">
            <v>0</v>
          </cell>
          <cell r="I1122">
            <v>0</v>
          </cell>
          <cell r="J1122">
            <v>0</v>
          </cell>
          <cell r="K1122">
            <v>0</v>
          </cell>
          <cell r="L1122">
            <v>64</v>
          </cell>
        </row>
        <row r="1123">
          <cell r="A1123" t="str">
            <v>10061.09972</v>
          </cell>
          <cell r="B1123" t="str">
            <v>TIGE FILETEE</v>
          </cell>
          <cell r="C1123" t="str">
            <v>TIGE FILLETEE EN ACIER INOXYDABLE A2 NUANCE AISI 304LDIMENSIONS : HM 16X1000</v>
          </cell>
          <cell r="D1123" t="str">
            <v>PE</v>
          </cell>
          <cell r="E1123" t="str">
            <v>522.52201</v>
          </cell>
          <cell r="F1123">
            <v>80.881600000000006</v>
          </cell>
          <cell r="G1123">
            <v>0</v>
          </cell>
          <cell r="H1123">
            <v>0</v>
          </cell>
          <cell r="I1123">
            <v>0</v>
          </cell>
          <cell r="J1123">
            <v>0</v>
          </cell>
          <cell r="K1123">
            <v>15</v>
          </cell>
          <cell r="L1123">
            <v>0</v>
          </cell>
        </row>
        <row r="1124">
          <cell r="A1124" t="str">
            <v>10061.09973</v>
          </cell>
          <cell r="B1124" t="str">
            <v>TIGE FILETEE</v>
          </cell>
          <cell r="C1124" t="str">
            <v>TIGE FILLETEE EN ACIER INOXYDABLE A2 NUANCE AISI 304LDIMENSIONS : HM 20X1000</v>
          </cell>
          <cell r="D1124" t="str">
            <v>PE</v>
          </cell>
          <cell r="E1124" t="str">
            <v>522.52201</v>
          </cell>
          <cell r="F1124">
            <v>110.7077</v>
          </cell>
          <cell r="G1124">
            <v>0</v>
          </cell>
          <cell r="H1124">
            <v>0</v>
          </cell>
          <cell r="I1124">
            <v>0</v>
          </cell>
          <cell r="J1124">
            <v>0</v>
          </cell>
          <cell r="K1124">
            <v>35</v>
          </cell>
          <cell r="L1124">
            <v>0</v>
          </cell>
        </row>
        <row r="1125">
          <cell r="A1125" t="str">
            <v>10062.05925</v>
          </cell>
          <cell r="B1125" t="str">
            <v>BOULON A50</v>
          </cell>
          <cell r="C1125" t="str">
            <v>BOULON HMT 10 X 40 X 26 VIS TETE HEXAGONALE PARTIELEMENT FILETEE ET ECROU HEXAGONAL EN ACIER A50SUIVANT NORME NFE 25 115 ET NFE 25 401  /  FILETAGE ISO</v>
          </cell>
          <cell r="D1125" t="str">
            <v>PE</v>
          </cell>
          <cell r="E1125" t="str">
            <v>522.52201</v>
          </cell>
          <cell r="F1125">
            <v>0.56399999999999995</v>
          </cell>
          <cell r="G1125">
            <v>0</v>
          </cell>
          <cell r="H1125">
            <v>0</v>
          </cell>
          <cell r="I1125">
            <v>0</v>
          </cell>
          <cell r="J1125">
            <v>0</v>
          </cell>
          <cell r="K1125">
            <v>0</v>
          </cell>
          <cell r="L1125">
            <v>0</v>
          </cell>
        </row>
        <row r="1126">
          <cell r="A1126" t="str">
            <v>10062.05927</v>
          </cell>
          <cell r="B1126" t="str">
            <v>BOULON A50</v>
          </cell>
          <cell r="C1126" t="str">
            <v>BOULON HMT 10 X 50 X 26 VIS TETE HEXAGONALE PARTIELEMENT FILETEE ET ECROU HEXAGONAL EN ACIER A50SUIVANT NORME NFE 25 115 ET NFE 25 401  /  FILETAGE ISO</v>
          </cell>
          <cell r="D1126" t="str">
            <v>PE</v>
          </cell>
          <cell r="E1126" t="str">
            <v>522.52201</v>
          </cell>
          <cell r="F1126">
            <v>0.64800000000000002</v>
          </cell>
          <cell r="G1126">
            <v>0</v>
          </cell>
          <cell r="H1126">
            <v>0</v>
          </cell>
          <cell r="I1126">
            <v>0</v>
          </cell>
          <cell r="J1126">
            <v>0</v>
          </cell>
          <cell r="K1126">
            <v>0</v>
          </cell>
          <cell r="L1126">
            <v>0</v>
          </cell>
        </row>
        <row r="1127">
          <cell r="A1127" t="str">
            <v>10062.05996</v>
          </cell>
          <cell r="B1127" t="str">
            <v>BOULON A50</v>
          </cell>
          <cell r="C1127" t="str">
            <v>BOULON HMT 24 X 90 X 54 VIS TETE HEXAGONALE PARTIELEMENT FILETEE ET ECROU HEXAGONAL EN ACIER A50SUIVANT NORME NFE 25 115 ET NFE 25 401  /  FILETAGE ISO</v>
          </cell>
          <cell r="D1127" t="str">
            <v>PE</v>
          </cell>
          <cell r="E1127" t="str">
            <v>522.52201</v>
          </cell>
          <cell r="F1127">
            <v>8.64</v>
          </cell>
          <cell r="G1127">
            <v>0</v>
          </cell>
          <cell r="H1127">
            <v>0</v>
          </cell>
          <cell r="I1127">
            <v>0</v>
          </cell>
          <cell r="J1127">
            <v>0</v>
          </cell>
          <cell r="K1127">
            <v>0</v>
          </cell>
          <cell r="L1127">
            <v>0</v>
          </cell>
        </row>
        <row r="1128">
          <cell r="A1128" t="str">
            <v>10062.05931</v>
          </cell>
          <cell r="B1128" t="str">
            <v>BOULON A50</v>
          </cell>
          <cell r="C1128" t="str">
            <v>BOULON HMT 10 X 70 X 26 VIS TETE HEXAGONALE PARTIELEMENT FILETEE ET ECROU HEXAGONAL EN ACIER A50SUIVANT NORME NFE 25 115 ET NFE 25 401  /  FILETAGE ISO</v>
          </cell>
          <cell r="D1128" t="str">
            <v>PE</v>
          </cell>
          <cell r="E1128" t="str">
            <v>522.52201</v>
          </cell>
          <cell r="F1128">
            <v>0.91200000000000003</v>
          </cell>
          <cell r="G1128">
            <v>0</v>
          </cell>
          <cell r="H1128">
            <v>0</v>
          </cell>
          <cell r="I1128">
            <v>0</v>
          </cell>
          <cell r="J1128">
            <v>0</v>
          </cell>
          <cell r="K1128">
            <v>0</v>
          </cell>
          <cell r="L1128">
            <v>0</v>
          </cell>
        </row>
        <row r="1129">
          <cell r="A1129" t="str">
            <v>10062.05929</v>
          </cell>
          <cell r="B1129" t="str">
            <v>BOULON A50</v>
          </cell>
          <cell r="C1129" t="str">
            <v>BOULON HMT 10 X 60 X 26 VIS A TETE HEXAGONALE PARTIELLEMENT FILETEE ET ECROU HEXAGONAL EN ACIER A50SUIVANT NORME NFE 25 115 ET NFE 25 401  /  FILETAGE ISO</v>
          </cell>
          <cell r="D1129" t="str">
            <v>PE</v>
          </cell>
          <cell r="E1129" t="str">
            <v>522.52201</v>
          </cell>
          <cell r="F1129">
            <v>0.78</v>
          </cell>
          <cell r="G1129">
            <v>0</v>
          </cell>
          <cell r="H1129">
            <v>0</v>
          </cell>
          <cell r="I1129">
            <v>0</v>
          </cell>
          <cell r="J1129">
            <v>0</v>
          </cell>
          <cell r="K1129">
            <v>0</v>
          </cell>
          <cell r="L1129">
            <v>0</v>
          </cell>
        </row>
        <row r="1130">
          <cell r="A1130" t="str">
            <v>10062.07112</v>
          </cell>
          <cell r="B1130" t="str">
            <v>BOULON Z2CND 17-13</v>
          </cell>
          <cell r="C1130" t="str">
            <v xml:space="preserve">BOULON HMN 30 X 130 X 72 VIS A TETE HEXAGONALE PARTIELEMENT FILETEE ET ECROU HEXAGONALEN ACIER INOXYDABLE : AFNOR Z 2 CND 17.13  / AISI 316 L GENRE UGINE NSM 22 S SUIVANT NORME  NFE 25 115 ET NFE 25 401  /  FILETAGE ISO </v>
          </cell>
          <cell r="D1130" t="str">
            <v>PE</v>
          </cell>
          <cell r="E1130" t="str">
            <v>522.52201</v>
          </cell>
          <cell r="F1130">
            <v>0</v>
          </cell>
          <cell r="G1130">
            <v>0</v>
          </cell>
          <cell r="H1130">
            <v>0</v>
          </cell>
          <cell r="I1130">
            <v>0</v>
          </cell>
          <cell r="J1130">
            <v>0</v>
          </cell>
          <cell r="K1130">
            <v>0</v>
          </cell>
          <cell r="L1130">
            <v>0</v>
          </cell>
        </row>
        <row r="1131">
          <cell r="A1131" t="str">
            <v>10062.05936</v>
          </cell>
          <cell r="B1131" t="str">
            <v>BOULON A50</v>
          </cell>
          <cell r="C1131" t="str">
            <v>BOULON HMT 10 X 100 X 26 VIS TETE HEXAGONALE PARTIELEMENT FILETEE ET ECROU HEXAGONAL EN ACIER A50SUIVANT NORME NFE 25 115 ET NFE 25 401  /  FILETAGE ISO</v>
          </cell>
          <cell r="D1131" t="str">
            <v>PE</v>
          </cell>
          <cell r="E1131" t="str">
            <v>522.52201</v>
          </cell>
          <cell r="F1131">
            <v>1.3440000000000001</v>
          </cell>
          <cell r="G1131">
            <v>0</v>
          </cell>
          <cell r="H1131">
            <v>0</v>
          </cell>
          <cell r="I1131">
            <v>0</v>
          </cell>
          <cell r="J1131">
            <v>0</v>
          </cell>
          <cell r="K1131">
            <v>0</v>
          </cell>
          <cell r="L1131">
            <v>0</v>
          </cell>
        </row>
        <row r="1132">
          <cell r="A1132" t="str">
            <v>10062.05939</v>
          </cell>
          <cell r="B1132" t="str">
            <v>BOULON A50</v>
          </cell>
          <cell r="C1132" t="str">
            <v>BOULON HMT 12 X 55 X 30 VIS TETE HEXAGONALE PARTIELEMENT FILETEE ET ECROU HEXAGONAL EN ACIER A50SUIVANT NORME NFE 25 115 ET NFE 25 401  /  FILETAGE ISO</v>
          </cell>
          <cell r="D1132" t="str">
            <v>PE</v>
          </cell>
          <cell r="E1132" t="str">
            <v>522.52201</v>
          </cell>
          <cell r="F1132">
            <v>1.02</v>
          </cell>
          <cell r="G1132">
            <v>0</v>
          </cell>
          <cell r="H1132">
            <v>0</v>
          </cell>
          <cell r="I1132">
            <v>0</v>
          </cell>
          <cell r="J1132">
            <v>0</v>
          </cell>
          <cell r="K1132">
            <v>0</v>
          </cell>
          <cell r="L1132">
            <v>0</v>
          </cell>
        </row>
        <row r="1133">
          <cell r="A1133" t="str">
            <v>10062.05940</v>
          </cell>
          <cell r="B1133" t="str">
            <v>BOULON A50</v>
          </cell>
          <cell r="C1133" t="str">
            <v>BOULON HMT 12 X 60 X 30 VIS TETE HEXAGONALE PARTIELEMENT FILETEE ET ECROU HEXAGONAL EN ACIER A50SUIVANT NORME NFE 25 115 ET NFE 25 401  /  FILETAGE ISO</v>
          </cell>
          <cell r="D1133" t="str">
            <v>PE</v>
          </cell>
          <cell r="E1133" t="str">
            <v>522.52201</v>
          </cell>
          <cell r="F1133">
            <v>1.008</v>
          </cell>
          <cell r="G1133">
            <v>0</v>
          </cell>
          <cell r="H1133">
            <v>0</v>
          </cell>
          <cell r="I1133">
            <v>0</v>
          </cell>
          <cell r="J1133">
            <v>0</v>
          </cell>
          <cell r="K1133">
            <v>0</v>
          </cell>
          <cell r="L1133">
            <v>0</v>
          </cell>
        </row>
        <row r="1134">
          <cell r="A1134" t="str">
            <v>10062.05933</v>
          </cell>
          <cell r="B1134" t="str">
            <v>BOULON A50</v>
          </cell>
          <cell r="C1134" t="str">
            <v>BOULON HMT 10 X 80 X 26 VIS TETE HEXAGONALE PARTIELEMENT FILETEE ET ECROU HEXAGONAL EN ACIER A50SUIVANT NORME NFE 25 115 ET NFE 25 401  /  FILETAGE ISO</v>
          </cell>
          <cell r="D1134" t="str">
            <v>PE</v>
          </cell>
          <cell r="E1134" t="str">
            <v>522.52201</v>
          </cell>
          <cell r="F1134">
            <v>1.02</v>
          </cell>
          <cell r="G1134">
            <v>0</v>
          </cell>
          <cell r="H1134">
            <v>0</v>
          </cell>
          <cell r="I1134">
            <v>0</v>
          </cell>
          <cell r="J1134">
            <v>0</v>
          </cell>
          <cell r="K1134">
            <v>0</v>
          </cell>
          <cell r="L1134">
            <v>0</v>
          </cell>
        </row>
        <row r="1135">
          <cell r="A1135" t="str">
            <v>10061.06800</v>
          </cell>
          <cell r="B1135" t="str">
            <v>VIS TET HEXAGO  INOX 8X15</v>
          </cell>
          <cell r="C1135" t="str">
            <v xml:space="preserve">VIS ATETE HEXAGONALE 8 X 15 MM ACIER INOXYDABLE AISI 316 LSUIVANT NORME NF. E 25 115 </v>
          </cell>
          <cell r="D1135" t="str">
            <v>PE</v>
          </cell>
          <cell r="E1135" t="str">
            <v>522.52201</v>
          </cell>
          <cell r="F1135">
            <v>0.8</v>
          </cell>
          <cell r="G1135">
            <v>0</v>
          </cell>
          <cell r="H1135">
            <v>0</v>
          </cell>
          <cell r="I1135">
            <v>0</v>
          </cell>
          <cell r="J1135">
            <v>0</v>
          </cell>
          <cell r="K1135">
            <v>0</v>
          </cell>
          <cell r="L1135">
            <v>0</v>
          </cell>
        </row>
        <row r="1136">
          <cell r="A1136" t="str">
            <v>10061.06805</v>
          </cell>
          <cell r="B1136" t="str">
            <v>VIS H M10X25 EN INOX 316L</v>
          </cell>
          <cell r="C1136" t="str">
            <v>VIS A TETE HEXAGONALE HMN 10 X 25 MM EN ACIER INOXYDABLE NUANCE AFNOR Z2 CND 17-13  /  AISI  316 L   /  UGINE NSM 22S SUIVANT NORME  NF.E 25 114 / FILETAGE ISO</v>
          </cell>
          <cell r="D1136" t="str">
            <v>PE</v>
          </cell>
          <cell r="E1136" t="str">
            <v>522.52201</v>
          </cell>
          <cell r="F1136">
            <v>1.75</v>
          </cell>
          <cell r="G1136">
            <v>0</v>
          </cell>
          <cell r="H1136">
            <v>0</v>
          </cell>
          <cell r="I1136">
            <v>0</v>
          </cell>
          <cell r="J1136">
            <v>0</v>
          </cell>
          <cell r="K1136">
            <v>0</v>
          </cell>
          <cell r="L1136">
            <v>0</v>
          </cell>
        </row>
        <row r="1137">
          <cell r="A1137" t="str">
            <v>10062.05942</v>
          </cell>
          <cell r="B1137" t="str">
            <v>BOULON A50</v>
          </cell>
          <cell r="C1137" t="str">
            <v>BOULON HMT 12 X 70 X 30 VIS TETE HEXAGONALE PARTIELEMENT FILETEE ET ECROU HEXAGONAL EN ACIER A50SUIVANT NORME NFE 25 115 ET NFE 25 401  /  FILETAGE ISO</v>
          </cell>
          <cell r="D1137" t="str">
            <v>PE</v>
          </cell>
          <cell r="E1137" t="str">
            <v>522.52201</v>
          </cell>
          <cell r="F1137">
            <v>1.08</v>
          </cell>
          <cell r="G1137">
            <v>0</v>
          </cell>
          <cell r="H1137">
            <v>0</v>
          </cell>
          <cell r="I1137">
            <v>0</v>
          </cell>
          <cell r="J1137">
            <v>0</v>
          </cell>
          <cell r="K1137">
            <v>0</v>
          </cell>
          <cell r="L1137">
            <v>0</v>
          </cell>
        </row>
        <row r="1138">
          <cell r="A1138" t="str">
            <v>10062.05944</v>
          </cell>
          <cell r="B1138" t="str">
            <v>BOULON A50</v>
          </cell>
          <cell r="C1138" t="str">
            <v>BOULON HMT 12 X 80 X 30 VIS TETE HEXAGONALE PARTIELEMENT FILETEE ET ECROU HEXAGONAL EN ACIER A50SUIVANT NORME NFE 25 115 ET NFE 25 401  /  FILETAGE ISO</v>
          </cell>
          <cell r="D1138" t="str">
            <v>PE</v>
          </cell>
          <cell r="E1138" t="str">
            <v>522.52201</v>
          </cell>
          <cell r="F1138">
            <v>1.296</v>
          </cell>
          <cell r="G1138">
            <v>0</v>
          </cell>
          <cell r="H1138">
            <v>0</v>
          </cell>
          <cell r="I1138">
            <v>0</v>
          </cell>
          <cell r="J1138">
            <v>0</v>
          </cell>
          <cell r="K1138">
            <v>0</v>
          </cell>
          <cell r="L1138">
            <v>0</v>
          </cell>
        </row>
        <row r="1139">
          <cell r="A1139" t="str">
            <v>10061.07478</v>
          </cell>
          <cell r="B1139" t="str">
            <v>VIS T.HEXAG EN ACIER INOX</v>
          </cell>
          <cell r="C1139" t="str">
            <v xml:space="preserve">VIS A TETE HEXAGONALE HMN  EN ACIER INOXYDABLE NUANCE AFNOR Z2 CND 17-13/AISI 316L/UGINE NSM 22 S NORME DE REFERENCE NF E 25.115  /  FILETAGE ISO DIAMETRE 27 mm / LONGUEUR 230 mm / LONGUEUR FILETEE  130 mm </v>
          </cell>
          <cell r="D1139" t="str">
            <v>PE</v>
          </cell>
          <cell r="E1139" t="str">
            <v>522.52201</v>
          </cell>
          <cell r="F1139">
            <v>625.12390000000005</v>
          </cell>
          <cell r="G1139">
            <v>0</v>
          </cell>
          <cell r="H1139">
            <v>0</v>
          </cell>
          <cell r="I1139">
            <v>0</v>
          </cell>
          <cell r="J1139">
            <v>0</v>
          </cell>
          <cell r="K1139">
            <v>0</v>
          </cell>
          <cell r="L1139">
            <v>0</v>
          </cell>
        </row>
        <row r="1140">
          <cell r="A1140" t="str">
            <v>10061.08974</v>
          </cell>
          <cell r="B1140" t="str">
            <v>VIS CHC M10X55 EN 316L</v>
          </cell>
          <cell r="C1140" t="str">
            <v xml:space="preserve">VIS A TETE CYLINDRIQUE A SIX PANS CREUX  10 X 55 MM  EN ACIER INOXYDABLE AFNOR Z2 CND 17-13 / AISI 316L / UGINE NSM 22 S GRADE  A   /   SUIVAT NORME NF.E  25.125   /   FILETAGE ISO </v>
          </cell>
          <cell r="D1140" t="str">
            <v>PE</v>
          </cell>
          <cell r="E1140" t="str">
            <v>522.52201</v>
          </cell>
          <cell r="F1140">
            <v>4.4203999999999999</v>
          </cell>
          <cell r="G1140">
            <v>0</v>
          </cell>
          <cell r="H1140">
            <v>0</v>
          </cell>
          <cell r="I1140">
            <v>60</v>
          </cell>
          <cell r="J1140">
            <v>0</v>
          </cell>
          <cell r="K1140">
            <v>0</v>
          </cell>
          <cell r="L1140">
            <v>0</v>
          </cell>
        </row>
        <row r="1141">
          <cell r="A1141" t="str">
            <v>10061.07938</v>
          </cell>
          <cell r="B1141" t="str">
            <v>ETRIER EN INOX 304-A2 P/TUBE DN40</v>
          </cell>
          <cell r="C1141" t="str">
            <v>ETRIER EN INOX AVEC 2 RONDELLES ET 4 ECROUS SUIVANT DIN 934,FILETAGE M10FORME A2 NUANCE AISI 304 SELON DIN 3570 APOUR TUBE DN40</v>
          </cell>
          <cell r="D1141" t="str">
            <v>PE</v>
          </cell>
          <cell r="E1141" t="str">
            <v>522.52201</v>
          </cell>
          <cell r="F1141">
            <v>27.74</v>
          </cell>
          <cell r="G1141">
            <v>0</v>
          </cell>
          <cell r="H1141">
            <v>0</v>
          </cell>
          <cell r="I1141">
            <v>0</v>
          </cell>
          <cell r="J1141">
            <v>0</v>
          </cell>
          <cell r="K1141">
            <v>0</v>
          </cell>
          <cell r="L1141">
            <v>0</v>
          </cell>
        </row>
        <row r="1142">
          <cell r="A1142" t="str">
            <v>10061.10105</v>
          </cell>
          <cell r="B1142" t="str">
            <v>TIGE FILETEE EN INOX M16X1000MM</v>
          </cell>
          <cell r="C1142" t="str">
            <v>TIGE FILETEE EN ACIER INOXYDABLE 304 A2 M16X1000MM</v>
          </cell>
          <cell r="D1142" t="str">
            <v>PE</v>
          </cell>
          <cell r="E1142" t="str">
            <v>522.52201</v>
          </cell>
          <cell r="F1142">
            <v>49.189100000000003</v>
          </cell>
          <cell r="G1142">
            <v>0</v>
          </cell>
          <cell r="H1142">
            <v>20</v>
          </cell>
          <cell r="I1142">
            <v>0</v>
          </cell>
          <cell r="J1142">
            <v>0</v>
          </cell>
          <cell r="K1142">
            <v>0</v>
          </cell>
          <cell r="L1142">
            <v>0</v>
          </cell>
        </row>
        <row r="1143">
          <cell r="A1143" t="str">
            <v>10061.10107</v>
          </cell>
          <cell r="B1143" t="str">
            <v>TIGE FILETEE EN INOX M20X1000MM</v>
          </cell>
          <cell r="C1143" t="str">
            <v>TIGE FILETEE EN ACIER INOXYDABLE 304 A2 M20X1000MM</v>
          </cell>
          <cell r="D1143" t="str">
            <v>PE</v>
          </cell>
          <cell r="E1143" t="str">
            <v>522.52201</v>
          </cell>
          <cell r="F1143">
            <v>73.499899999999997</v>
          </cell>
          <cell r="G1143">
            <v>0</v>
          </cell>
          <cell r="H1143">
            <v>0</v>
          </cell>
          <cell r="I1143">
            <v>0</v>
          </cell>
          <cell r="J1143">
            <v>40</v>
          </cell>
          <cell r="K1143">
            <v>0</v>
          </cell>
          <cell r="L1143">
            <v>0</v>
          </cell>
        </row>
        <row r="1144">
          <cell r="A1144" t="str">
            <v>10061.10100</v>
          </cell>
          <cell r="B1144" t="str">
            <v>TIGE FILETEE EN INOX M6X1000MM</v>
          </cell>
          <cell r="C1144" t="str">
            <v>TIGE FILETEE EN ACIER INOXYDABLE 304 A2 M6X1000MM</v>
          </cell>
          <cell r="D1144" t="str">
            <v>PE</v>
          </cell>
          <cell r="E1144" t="str">
            <v>522.52201</v>
          </cell>
          <cell r="F1144">
            <v>21.31</v>
          </cell>
          <cell r="G1144">
            <v>0</v>
          </cell>
          <cell r="H1144">
            <v>0</v>
          </cell>
          <cell r="I1144">
            <v>0</v>
          </cell>
          <cell r="J1144">
            <v>0</v>
          </cell>
          <cell r="K1144">
            <v>0</v>
          </cell>
          <cell r="L1144">
            <v>0</v>
          </cell>
        </row>
        <row r="1145">
          <cell r="A1145" t="str">
            <v>10061.10103</v>
          </cell>
          <cell r="B1145" t="str">
            <v>TIGE FILETEE EN INOX M12X1000MM</v>
          </cell>
          <cell r="C1145" t="str">
            <v>TIGE FILETEE EN ACIER INOXYDABLE 304 A2 M12X1000MM</v>
          </cell>
          <cell r="D1145" t="str">
            <v>PE</v>
          </cell>
          <cell r="E1145" t="str">
            <v>522.52201</v>
          </cell>
          <cell r="F1145">
            <v>25.501100000000001</v>
          </cell>
          <cell r="G1145">
            <v>0</v>
          </cell>
          <cell r="H1145">
            <v>0</v>
          </cell>
          <cell r="I1145">
            <v>0</v>
          </cell>
          <cell r="J1145">
            <v>0</v>
          </cell>
          <cell r="K1145">
            <v>0</v>
          </cell>
          <cell r="L1145">
            <v>30</v>
          </cell>
        </row>
        <row r="1146">
          <cell r="A1146" t="str">
            <v>10061.10104</v>
          </cell>
          <cell r="B1146" t="str">
            <v>TIGE FILETEE EN INOX M14X1000MM</v>
          </cell>
          <cell r="C1146" t="str">
            <v>TIGE FILETEE EN ACIER INOXYDABLE 304 A2 M14X1000MM</v>
          </cell>
          <cell r="D1146" t="str">
            <v>PE</v>
          </cell>
          <cell r="E1146" t="str">
            <v>522.52201</v>
          </cell>
          <cell r="F1146">
            <v>35.9724</v>
          </cell>
          <cell r="G1146">
            <v>0</v>
          </cell>
          <cell r="H1146">
            <v>0</v>
          </cell>
          <cell r="I1146">
            <v>0</v>
          </cell>
          <cell r="J1146">
            <v>0</v>
          </cell>
          <cell r="K1146">
            <v>0</v>
          </cell>
          <cell r="L1146">
            <v>23</v>
          </cell>
        </row>
        <row r="1147">
          <cell r="A1147" t="str">
            <v>10061.05255</v>
          </cell>
          <cell r="B1147" t="str">
            <v>VIS A TETE FRAISEE  F/90° EN INOX M8X20</v>
          </cell>
          <cell r="C1147" t="str">
            <v>VIS A TETE FRAISEE EN ACIER INOXYDABLE FILETAGE ISO SYMBOLE F/90° NUANCE AFNOR Z1 NCDU25-20URANUS B6 ANALYSE MOYENNE C:INF OU EGALE 0.02 - CR 20-NI 25-MO 4.3-CU 1.5DIMENSION : M8X20MM</v>
          </cell>
          <cell r="D1147" t="str">
            <v>PE</v>
          </cell>
          <cell r="E1147" t="str">
            <v>522.52201</v>
          </cell>
          <cell r="F1147">
            <v>35.75</v>
          </cell>
          <cell r="G1147">
            <v>0</v>
          </cell>
          <cell r="H1147">
            <v>0</v>
          </cell>
          <cell r="I1147">
            <v>0</v>
          </cell>
          <cell r="J1147">
            <v>0</v>
          </cell>
          <cell r="K1147">
            <v>500</v>
          </cell>
          <cell r="L1147">
            <v>0</v>
          </cell>
        </row>
        <row r="1148">
          <cell r="A1148" t="str">
            <v>10061.10109</v>
          </cell>
          <cell r="B1148" t="str">
            <v>TIGE FILETEE EN INOX M24X1000MM</v>
          </cell>
          <cell r="C1148" t="str">
            <v>TIGE FILETEE EN ACIER INOXYDABLE 304 A2 M24X1000MM</v>
          </cell>
          <cell r="D1148" t="str">
            <v>PE</v>
          </cell>
          <cell r="E1148" t="str">
            <v>522.52201</v>
          </cell>
          <cell r="F1148">
            <v>104.5043</v>
          </cell>
          <cell r="G1148">
            <v>0</v>
          </cell>
          <cell r="H1148">
            <v>5</v>
          </cell>
          <cell r="I1148">
            <v>25</v>
          </cell>
          <cell r="J1148">
            <v>0</v>
          </cell>
          <cell r="K1148">
            <v>0</v>
          </cell>
          <cell r="L1148">
            <v>0</v>
          </cell>
        </row>
        <row r="1149">
          <cell r="A1149" t="str">
            <v>10061.10110</v>
          </cell>
          <cell r="B1149" t="str">
            <v>TIGE FILETEE EN INOX M27X1000MM</v>
          </cell>
          <cell r="C1149" t="str">
            <v>TIGE FILETEE EN ACIER INOXYDABLE 304 A2 M27X1000MM</v>
          </cell>
          <cell r="D1149" t="str">
            <v>PE</v>
          </cell>
          <cell r="E1149" t="str">
            <v>522.52201</v>
          </cell>
          <cell r="F1149">
            <v>231.77979999999999</v>
          </cell>
          <cell r="G1149">
            <v>0</v>
          </cell>
          <cell r="H1149">
            <v>0</v>
          </cell>
          <cell r="I1149">
            <v>0</v>
          </cell>
          <cell r="J1149">
            <v>30</v>
          </cell>
          <cell r="K1149">
            <v>0</v>
          </cell>
          <cell r="L1149">
            <v>0</v>
          </cell>
        </row>
        <row r="1150">
          <cell r="A1150" t="str">
            <v>10061.10111</v>
          </cell>
          <cell r="B1150" t="str">
            <v>TIGE FILETEE EN INOX M30X1000MM</v>
          </cell>
          <cell r="C1150" t="str">
            <v>TIGE FILETEE EN ACIER INOXYDABLE 304 A2 M30X1000MM</v>
          </cell>
          <cell r="D1150" t="str">
            <v>PE</v>
          </cell>
          <cell r="E1150" t="str">
            <v>522.52201</v>
          </cell>
          <cell r="F1150">
            <v>320</v>
          </cell>
          <cell r="G1150">
            <v>0</v>
          </cell>
          <cell r="H1150">
            <v>0</v>
          </cell>
          <cell r="I1150">
            <v>0</v>
          </cell>
          <cell r="J1150">
            <v>0</v>
          </cell>
          <cell r="K1150">
            <v>0</v>
          </cell>
          <cell r="L1150">
            <v>0</v>
          </cell>
        </row>
        <row r="1151">
          <cell r="A1151" t="str">
            <v>10061.07136</v>
          </cell>
          <cell r="B1151" t="str">
            <v>VIS A TETE HEXAGONALE H.R</v>
          </cell>
          <cell r="C1151" t="str">
            <v>VIS A TETE HEXAGONALE 8 X 40 mm EN ACIER DE HAUTE RESISTANCE XC 38 CLASSE ISO 8.8 SUIVANT NORME NF.E 25.115 / DIN 933</v>
          </cell>
          <cell r="D1151" t="str">
            <v>PE</v>
          </cell>
          <cell r="E1151" t="str">
            <v>522.52201</v>
          </cell>
          <cell r="F1151">
            <v>0.91080000000000005</v>
          </cell>
          <cell r="G1151">
            <v>0</v>
          </cell>
          <cell r="H1151">
            <v>0</v>
          </cell>
          <cell r="I1151">
            <v>0</v>
          </cell>
          <cell r="J1151">
            <v>0</v>
          </cell>
          <cell r="K1151">
            <v>7</v>
          </cell>
          <cell r="L1151">
            <v>0</v>
          </cell>
        </row>
        <row r="1152">
          <cell r="A1152" t="str">
            <v>10062.05952</v>
          </cell>
          <cell r="B1152" t="str">
            <v>BOULON A50</v>
          </cell>
          <cell r="C1152" t="str">
            <v>BOULON HMT 14 X 60 X 34 VIS TETE HEXAGONALE PARTIELEMENT FILETEE ET ECROU HEXAGONAL EN ACIER A50SUIVANT NORME NFE 25 115 ET NFE 25 401  /  FILETAGE ISO</v>
          </cell>
          <cell r="D1152" t="str">
            <v>PE</v>
          </cell>
          <cell r="E1152" t="str">
            <v>522.52201</v>
          </cell>
          <cell r="F1152">
            <v>1.5</v>
          </cell>
          <cell r="G1152">
            <v>0</v>
          </cell>
          <cell r="H1152">
            <v>0</v>
          </cell>
          <cell r="I1152">
            <v>0</v>
          </cell>
          <cell r="J1152">
            <v>0</v>
          </cell>
          <cell r="K1152">
            <v>0</v>
          </cell>
          <cell r="L1152">
            <v>0</v>
          </cell>
        </row>
        <row r="1153">
          <cell r="A1153" t="str">
            <v>10062.05954</v>
          </cell>
          <cell r="B1153" t="str">
            <v>BOULON A50</v>
          </cell>
          <cell r="C1153" t="str">
            <v>BOULON HMT 14 X 70 X 34 VIS TETE HEXAGONALE PARTIELEMENT FILETEE ET ECROU HEXAGONAL EN ACIER A50SUIVANT NORME NFE 25 115 ET NFE 25 401  /  FILETAGE ISO</v>
          </cell>
          <cell r="D1153" t="str">
            <v>PE</v>
          </cell>
          <cell r="E1153" t="str">
            <v>522.52201</v>
          </cell>
          <cell r="F1153">
            <v>1.62</v>
          </cell>
          <cell r="G1153">
            <v>0</v>
          </cell>
          <cell r="H1153">
            <v>0</v>
          </cell>
          <cell r="I1153">
            <v>0</v>
          </cell>
          <cell r="J1153">
            <v>0</v>
          </cell>
          <cell r="K1153">
            <v>0</v>
          </cell>
          <cell r="L1153">
            <v>0</v>
          </cell>
        </row>
        <row r="1154">
          <cell r="A1154" t="str">
            <v>10061.07140</v>
          </cell>
          <cell r="B1154" t="str">
            <v>VIS TET HEXAG ACIER H.R.</v>
          </cell>
          <cell r="C1154" t="str">
            <v>VIS A TETE HEXAGONALE 8 X 60 mm EN ACIER DE HAUTE RESISTANCE XC 38 CLASSE ISO 8.8 SUIVANT NORME NF.E 25.115 / DIN 933</v>
          </cell>
          <cell r="D1154" t="str">
            <v>PE</v>
          </cell>
          <cell r="E1154" t="str">
            <v>522.52201</v>
          </cell>
          <cell r="F1154">
            <v>1.1724000000000001</v>
          </cell>
          <cell r="G1154">
            <v>0</v>
          </cell>
          <cell r="H1154">
            <v>0</v>
          </cell>
          <cell r="I1154">
            <v>0</v>
          </cell>
          <cell r="J1154">
            <v>0</v>
          </cell>
          <cell r="K1154">
            <v>98</v>
          </cell>
          <cell r="L1154">
            <v>0</v>
          </cell>
        </row>
        <row r="1155">
          <cell r="A1155" t="str">
            <v>10061.07146</v>
          </cell>
          <cell r="B1155" t="str">
            <v>VIS A TETE HEXAGONALE H.R</v>
          </cell>
          <cell r="C1155" t="str">
            <v>VIS A TETE HEXAGONALE 10 X 20 mm EN ACIER DE HAUTE RESISTANCE XC 38 CLASSE ISO 8.8 SUIVANT NORME NF.E 25.115 / DIN 933</v>
          </cell>
          <cell r="D1155" t="str">
            <v>PE</v>
          </cell>
          <cell r="E1155" t="str">
            <v>522.52201</v>
          </cell>
          <cell r="F1155">
            <v>1.2</v>
          </cell>
          <cell r="G1155">
            <v>0</v>
          </cell>
          <cell r="H1155">
            <v>0</v>
          </cell>
          <cell r="I1155">
            <v>0</v>
          </cell>
          <cell r="J1155">
            <v>0</v>
          </cell>
          <cell r="K1155">
            <v>74</v>
          </cell>
          <cell r="L1155">
            <v>0</v>
          </cell>
        </row>
        <row r="1156">
          <cell r="A1156" t="str">
            <v>10062.05967</v>
          </cell>
          <cell r="B1156" t="str">
            <v>BOULON A50</v>
          </cell>
          <cell r="C1156" t="str">
            <v>BOULON HMT 16 X 70 X 38 VIS TETE HEXAGONALE PARTIELEMENT FILETEE ET ECROU HEXAGONAL EN ACIER A50SUIVANT NORME NFE 25 115 ET NFE 25 401  /  FILETAGE ISO</v>
          </cell>
          <cell r="D1156" t="str">
            <v>PE</v>
          </cell>
          <cell r="E1156" t="str">
            <v>522.52201</v>
          </cell>
          <cell r="F1156">
            <v>2.0760000000000001</v>
          </cell>
          <cell r="G1156">
            <v>0</v>
          </cell>
          <cell r="H1156">
            <v>0</v>
          </cell>
          <cell r="I1156">
            <v>0</v>
          </cell>
          <cell r="J1156">
            <v>0</v>
          </cell>
          <cell r="K1156">
            <v>0</v>
          </cell>
          <cell r="L1156">
            <v>0</v>
          </cell>
        </row>
        <row r="1157">
          <cell r="A1157" t="str">
            <v>10062.05969</v>
          </cell>
          <cell r="B1157" t="str">
            <v>BOULON A50</v>
          </cell>
          <cell r="C1157" t="str">
            <v>BOULON HMT 16 X 80 X 38 VIS TETE HEXAGONALE PARTIELEMENT FILETEE ET ECROU HEXAGONAL EN ACIER A50SUIVANT NORME NFE 25 115 ET NFE 25 401  /  FILETAGE ISO</v>
          </cell>
          <cell r="D1157" t="str">
            <v>PE</v>
          </cell>
          <cell r="E1157" t="str">
            <v>522.52201</v>
          </cell>
          <cell r="F1157">
            <v>2.34</v>
          </cell>
          <cell r="G1157">
            <v>0</v>
          </cell>
          <cell r="H1157">
            <v>0</v>
          </cell>
          <cell r="I1157">
            <v>0</v>
          </cell>
          <cell r="J1157">
            <v>0</v>
          </cell>
          <cell r="K1157">
            <v>0</v>
          </cell>
          <cell r="L1157">
            <v>0</v>
          </cell>
        </row>
        <row r="1158">
          <cell r="A1158" t="str">
            <v>10062.05965</v>
          </cell>
          <cell r="B1158" t="str">
            <v>BOULON A50</v>
          </cell>
          <cell r="C1158" t="str">
            <v>BOULON HMT 16 X 60 X 38 VIS TETE HEXAGONALE PARTIELEMENT FILETEE ET ECROU HEXAGONAL EN ACIER A50SUIVANT NORME NFE 25 115 ET NFE 25 401  /  FILETAGE ISO</v>
          </cell>
          <cell r="D1158" t="str">
            <v>PE</v>
          </cell>
          <cell r="E1158" t="str">
            <v>522.52201</v>
          </cell>
          <cell r="F1158">
            <v>1.92</v>
          </cell>
          <cell r="G1158">
            <v>0</v>
          </cell>
          <cell r="H1158">
            <v>0</v>
          </cell>
          <cell r="I1158">
            <v>0</v>
          </cell>
          <cell r="J1158">
            <v>0</v>
          </cell>
          <cell r="K1158">
            <v>0</v>
          </cell>
          <cell r="L1158">
            <v>0</v>
          </cell>
        </row>
        <row r="1159">
          <cell r="A1159" t="str">
            <v>10061.07156</v>
          </cell>
          <cell r="B1159" t="str">
            <v>VIS TET HEXAG ACIER H.R.</v>
          </cell>
          <cell r="C1159" t="str">
            <v>VIS A TETE HEXAGONALE 10 X 70 mm EN ACIER DE HAUTE RESISTANCE XC 38 CLASSE ISO 8.8 SUIVANT NORME NF.E 25.115 / DIN 933</v>
          </cell>
          <cell r="D1159" t="str">
            <v>PE</v>
          </cell>
          <cell r="E1159" t="str">
            <v>522.52201</v>
          </cell>
          <cell r="F1159">
            <v>2.2355999999999998</v>
          </cell>
          <cell r="G1159">
            <v>0</v>
          </cell>
          <cell r="H1159">
            <v>0</v>
          </cell>
          <cell r="I1159">
            <v>0</v>
          </cell>
          <cell r="J1159">
            <v>0</v>
          </cell>
          <cell r="K1159">
            <v>92</v>
          </cell>
          <cell r="L1159">
            <v>0</v>
          </cell>
        </row>
        <row r="1160">
          <cell r="A1160" t="str">
            <v>10061.07150</v>
          </cell>
          <cell r="B1160" t="str">
            <v>VIS TET HEXAG ACIER H.R.</v>
          </cell>
          <cell r="C1160" t="str">
            <v>VIS A TETE HEXAGONALE 10 X 40 mm EN ACIER DE HAUTE RESISTANCE XC 38 CLASSE ISO 8.8 SUIVANT NORME NF.E 25.115 / DIN 933</v>
          </cell>
          <cell r="D1160" t="str">
            <v>PE</v>
          </cell>
          <cell r="E1160" t="str">
            <v>522.52201</v>
          </cell>
          <cell r="F1160">
            <v>1.3</v>
          </cell>
          <cell r="G1160">
            <v>0</v>
          </cell>
          <cell r="H1160">
            <v>0</v>
          </cell>
          <cell r="I1160">
            <v>0</v>
          </cell>
          <cell r="J1160">
            <v>0</v>
          </cell>
          <cell r="K1160">
            <v>0</v>
          </cell>
          <cell r="L1160">
            <v>0</v>
          </cell>
        </row>
        <row r="1161">
          <cell r="A1161" t="str">
            <v>10062.05997</v>
          </cell>
          <cell r="B1161" t="str">
            <v>BOULON A50</v>
          </cell>
          <cell r="C1161" t="str">
            <v>BOULON HMT 24 X 100 X 54 VIS TETE HEXAGONALE PARTIELEMENT FILETEE ET ECROU HEXAGONAL EN ACIER A50SUIVANT NORME NFE 25 115 ET NFE 25 401  /  FILETAGE ISO</v>
          </cell>
          <cell r="D1161" t="str">
            <v>PE</v>
          </cell>
          <cell r="E1161" t="str">
            <v>522.52201</v>
          </cell>
          <cell r="F1161">
            <v>9.1199999999999992</v>
          </cell>
          <cell r="G1161">
            <v>0</v>
          </cell>
          <cell r="H1161">
            <v>0</v>
          </cell>
          <cell r="I1161">
            <v>0</v>
          </cell>
          <cell r="J1161">
            <v>0</v>
          </cell>
          <cell r="K1161">
            <v>0</v>
          </cell>
          <cell r="L1161">
            <v>0</v>
          </cell>
        </row>
        <row r="1162">
          <cell r="A1162" t="str">
            <v>10062.06000</v>
          </cell>
          <cell r="B1162" t="str">
            <v>BOULON A50</v>
          </cell>
          <cell r="C1162" t="str">
            <v>BOULON HMT 24 X 130 X 60 VIS TETE HEXAGONALE PARTIELEMENT FILETEE ET ECROU HEXAGONAL EN ACIER A50SUIVANT NORME NFE 25 115 ET NFE 25 401  /  FILETAGE ISO</v>
          </cell>
          <cell r="D1162" t="str">
            <v>PE</v>
          </cell>
          <cell r="E1162" t="str">
            <v>522.52201</v>
          </cell>
          <cell r="F1162">
            <v>11.94</v>
          </cell>
          <cell r="G1162">
            <v>0</v>
          </cell>
          <cell r="H1162">
            <v>0</v>
          </cell>
          <cell r="I1162">
            <v>0</v>
          </cell>
          <cell r="J1162">
            <v>0</v>
          </cell>
          <cell r="K1162">
            <v>0</v>
          </cell>
          <cell r="L1162">
            <v>0</v>
          </cell>
        </row>
        <row r="1163">
          <cell r="A1163" t="str">
            <v>10062.05972</v>
          </cell>
          <cell r="B1163" t="str">
            <v>BOULON A50</v>
          </cell>
          <cell r="C1163" t="str">
            <v>BOULON HMT 16 X 100 X 38 VIS TETE HEXAGONALE PARTIELEMENT FILETEE ET ECROU HEXAGONAL EN ACIER A50SUIVANT NORME NFE 25 115 ET NFE 25 401  /  FILETAGE ISO</v>
          </cell>
          <cell r="D1163" t="str">
            <v>PE</v>
          </cell>
          <cell r="E1163" t="str">
            <v>522.52201</v>
          </cell>
          <cell r="F1163">
            <v>3</v>
          </cell>
          <cell r="G1163">
            <v>0</v>
          </cell>
          <cell r="H1163">
            <v>0</v>
          </cell>
          <cell r="I1163">
            <v>0</v>
          </cell>
          <cell r="J1163">
            <v>0</v>
          </cell>
          <cell r="K1163">
            <v>0</v>
          </cell>
          <cell r="L1163">
            <v>0</v>
          </cell>
        </row>
        <row r="1164">
          <cell r="A1164" t="str">
            <v>10062.08139</v>
          </cell>
          <cell r="B1164" t="str">
            <v>BOULON TETE H INOX 18X80</v>
          </cell>
          <cell r="C1164" t="str">
            <v xml:space="preserve">QUINCAILLERIE BOULON  DESIGNATION : BOULON A TETE HEXAGONALE S/NORME : AFNOR : Z2 CND 17-13 , AISI : 316L , UGINE : NSM 22S DIMENSIONS : 18 X 80 MM FILETAGE : ISO SYMBOLE : HMN PAS : 2,5 MM MATIERE ACIER INOXYDABLE ANALYSE MOYENNE C INF OU EGAL A 0,03-CR17,5-NI13-M02,7 </v>
          </cell>
          <cell r="D1164" t="str">
            <v>PE</v>
          </cell>
          <cell r="E1164" t="str">
            <v>522.52201</v>
          </cell>
          <cell r="F1164">
            <v>21.5</v>
          </cell>
          <cell r="G1164">
            <v>0</v>
          </cell>
          <cell r="H1164">
            <v>0</v>
          </cell>
          <cell r="I1164">
            <v>0</v>
          </cell>
          <cell r="J1164">
            <v>0</v>
          </cell>
          <cell r="K1164">
            <v>0</v>
          </cell>
          <cell r="L1164">
            <v>0</v>
          </cell>
        </row>
        <row r="1165">
          <cell r="A1165" t="str">
            <v>10061.09709</v>
          </cell>
          <cell r="B1165" t="str">
            <v>TIGE FILETEE DIA 14 MM</v>
          </cell>
          <cell r="C1165" t="str">
            <v>TIGE FILETEE EN ACIER A 50 LONGUEUR 1 METRE   /  DIAMETRE 14 MM   /  PAS ISO</v>
          </cell>
          <cell r="D1165" t="str">
            <v>M</v>
          </cell>
          <cell r="E1165" t="str">
            <v>522.52201</v>
          </cell>
          <cell r="F1165">
            <v>11.88</v>
          </cell>
          <cell r="G1165">
            <v>0</v>
          </cell>
          <cell r="H1165">
            <v>0</v>
          </cell>
          <cell r="I1165">
            <v>0</v>
          </cell>
          <cell r="J1165">
            <v>0</v>
          </cell>
          <cell r="K1165">
            <v>28</v>
          </cell>
          <cell r="L1165">
            <v>0</v>
          </cell>
        </row>
        <row r="1166">
          <cell r="A1166" t="str">
            <v>10061.09818</v>
          </cell>
          <cell r="B1166" t="str">
            <v>TIGE FILETEE L.1M D.14MM</v>
          </cell>
          <cell r="C1166" t="str">
            <v>TIGE FILETEE EN ACIER INOXYDABLE EN LONGUEUR DE 1 METRESUIVANT NORME AFNOR Z2 CND 17-13  /  AISI 316L /  UGINE NSM 22S FILETAGE  ISO / DIAMETRE 14 MM</v>
          </cell>
          <cell r="D1166" t="str">
            <v>PE</v>
          </cell>
          <cell r="E1166" t="str">
            <v>522.52201</v>
          </cell>
          <cell r="F1166">
            <v>58.9</v>
          </cell>
          <cell r="G1166">
            <v>0</v>
          </cell>
          <cell r="H1166">
            <v>0</v>
          </cell>
          <cell r="I1166">
            <v>0</v>
          </cell>
          <cell r="J1166">
            <v>0</v>
          </cell>
          <cell r="K1166">
            <v>0</v>
          </cell>
          <cell r="L1166">
            <v>0</v>
          </cell>
        </row>
        <row r="1167">
          <cell r="A1167" t="str">
            <v>10061.09995</v>
          </cell>
          <cell r="B1167" t="str">
            <v>TIGE FILETEE ACIER HR M10X1000</v>
          </cell>
          <cell r="C1167" t="str">
            <v>TIGE FILETEE EN ACIER A HAUTE RESISTANCE CLASSE 8.8 DIAMETRE M10 LONGUEUR 1METRE PAS 1,5</v>
          </cell>
          <cell r="D1167" t="str">
            <v>PE</v>
          </cell>
          <cell r="E1167" t="str">
            <v>522.52201</v>
          </cell>
          <cell r="F1167">
            <v>24</v>
          </cell>
          <cell r="G1167">
            <v>0</v>
          </cell>
          <cell r="H1167">
            <v>4</v>
          </cell>
          <cell r="I1167">
            <v>0</v>
          </cell>
          <cell r="J1167">
            <v>4</v>
          </cell>
          <cell r="K1167">
            <v>0</v>
          </cell>
          <cell r="L1167">
            <v>2</v>
          </cell>
        </row>
        <row r="1168">
          <cell r="A1168" t="str">
            <v>10061.09999</v>
          </cell>
          <cell r="B1168" t="str">
            <v>TIGE FILETEE ACIER HR M12X1000</v>
          </cell>
          <cell r="C1168" t="str">
            <v>TIGE FILETEE EN ACIER A HAUTE RESISTANCE CLASSE 8.8 DIAMETRE M12 LONGUEUR 1METRE PAS 1,75</v>
          </cell>
          <cell r="D1168" t="str">
            <v>PE</v>
          </cell>
          <cell r="E1168" t="str">
            <v>522.52201</v>
          </cell>
          <cell r="F1168">
            <v>31.347999999999999</v>
          </cell>
          <cell r="G1168">
            <v>0</v>
          </cell>
          <cell r="H1168">
            <v>2</v>
          </cell>
          <cell r="I1168">
            <v>2</v>
          </cell>
          <cell r="J1168">
            <v>0</v>
          </cell>
          <cell r="K1168">
            <v>0</v>
          </cell>
          <cell r="L1168">
            <v>13</v>
          </cell>
        </row>
        <row r="1169">
          <cell r="A1169" t="str">
            <v>10061.10007</v>
          </cell>
          <cell r="B1169" t="str">
            <v>TIGE FILETEE ACIER HR M14X1000</v>
          </cell>
          <cell r="C1169" t="str">
            <v>TIGE FILETEE EN ACIER A HAUTE RESISTANCE CLASSE 8.8 DIAMETRE M14 LONGUEUR 1METRE PAS 2</v>
          </cell>
          <cell r="D1169" t="str">
            <v>PE</v>
          </cell>
          <cell r="E1169" t="str">
            <v>522.52201</v>
          </cell>
          <cell r="F1169">
            <v>37</v>
          </cell>
          <cell r="G1169">
            <v>2</v>
          </cell>
          <cell r="H1169">
            <v>0</v>
          </cell>
          <cell r="I1169">
            <v>2</v>
          </cell>
          <cell r="J1169">
            <v>0</v>
          </cell>
          <cell r="K1169">
            <v>0</v>
          </cell>
          <cell r="L1169">
            <v>6</v>
          </cell>
        </row>
        <row r="1170">
          <cell r="A1170" t="str">
            <v>10061.09881</v>
          </cell>
          <cell r="B1170" t="str">
            <v>TIGE FILETEE ACIER HR M18X1000</v>
          </cell>
          <cell r="C1170" t="str">
            <v>TIGE FILETEE EN ACIER A HAUTE RESISTANCE CLASSE 8.8 DIAMETRE M18 LONGUEUR 1METRE PAS 2,5</v>
          </cell>
          <cell r="D1170" t="str">
            <v>PE</v>
          </cell>
          <cell r="E1170" t="str">
            <v>522.52201</v>
          </cell>
          <cell r="F1170">
            <v>49.16</v>
          </cell>
          <cell r="G1170">
            <v>0</v>
          </cell>
          <cell r="H1170">
            <v>5</v>
          </cell>
          <cell r="I1170">
            <v>0</v>
          </cell>
          <cell r="J1170">
            <v>0</v>
          </cell>
          <cell r="K1170">
            <v>0</v>
          </cell>
          <cell r="L1170">
            <v>5</v>
          </cell>
        </row>
        <row r="1171">
          <cell r="A1171" t="str">
            <v>10061.09990</v>
          </cell>
          <cell r="B1171" t="str">
            <v>TIGE FILETEE ACIER HR M20X1000</v>
          </cell>
          <cell r="C1171" t="str">
            <v>TIGE FILETEE EN ACIER A HAUTE RESISTANCE CLASSE 8.8 DIAMETRE M20 LONGUEUR 1METRE PAS 2,5</v>
          </cell>
          <cell r="D1171" t="str">
            <v>PE</v>
          </cell>
          <cell r="E1171" t="str">
            <v>522.52201</v>
          </cell>
          <cell r="F1171">
            <v>60</v>
          </cell>
          <cell r="G1171">
            <v>0</v>
          </cell>
          <cell r="H1171">
            <v>0</v>
          </cell>
          <cell r="I1171">
            <v>0</v>
          </cell>
          <cell r="J1171">
            <v>0</v>
          </cell>
          <cell r="K1171">
            <v>20</v>
          </cell>
          <cell r="L1171">
            <v>0</v>
          </cell>
        </row>
        <row r="1172">
          <cell r="A1172" t="str">
            <v>10061.07758</v>
          </cell>
          <cell r="B1172" t="str">
            <v>VIS M12X25</v>
          </cell>
          <cell r="C1172" t="str">
            <v>VIS M12X25 DIN933 EN INOX 316</v>
          </cell>
          <cell r="D1172" t="str">
            <v>PE</v>
          </cell>
          <cell r="E1172" t="str">
            <v>522.52201</v>
          </cell>
          <cell r="F1172">
            <v>2.7</v>
          </cell>
          <cell r="G1172">
            <v>0</v>
          </cell>
          <cell r="H1172">
            <v>0</v>
          </cell>
          <cell r="I1172">
            <v>0</v>
          </cell>
          <cell r="J1172">
            <v>0</v>
          </cell>
          <cell r="K1172">
            <v>0</v>
          </cell>
          <cell r="L1172">
            <v>0</v>
          </cell>
        </row>
        <row r="1173">
          <cell r="A1173" t="str">
            <v>10061.10008</v>
          </cell>
          <cell r="B1173" t="str">
            <v>TIGE FILETEE ACIER HR M16X1000</v>
          </cell>
          <cell r="C1173" t="str">
            <v>TIGE FILETEE EN ACIER A HAUTE RESISTANCE CLASSE 8.8 DIAMETRE M16 LONGUEUR 1METRE PAS 2</v>
          </cell>
          <cell r="D1173" t="str">
            <v>PE</v>
          </cell>
          <cell r="E1173" t="str">
            <v>522.52201</v>
          </cell>
          <cell r="F1173">
            <v>38</v>
          </cell>
          <cell r="G1173">
            <v>1</v>
          </cell>
          <cell r="H1173">
            <v>0</v>
          </cell>
          <cell r="I1173">
            <v>0</v>
          </cell>
          <cell r="J1173">
            <v>0</v>
          </cell>
          <cell r="K1173">
            <v>0</v>
          </cell>
          <cell r="L1173">
            <v>19</v>
          </cell>
        </row>
        <row r="1174">
          <cell r="A1174" t="str">
            <v>10061.10009</v>
          </cell>
          <cell r="B1174" t="str">
            <v>TIGE FILETEE ACIER HR 22X1000</v>
          </cell>
          <cell r="C1174" t="str">
            <v>TIGE FILETEE EN ACIER A HAUTE RESISTANCE CLASSE 8.8 NUANCE AFNOR XC42 DIAMETRE 22MM LONGUEUR 1METRE PAS 2,5</v>
          </cell>
          <cell r="D1174" t="str">
            <v>PE</v>
          </cell>
          <cell r="E1174" t="str">
            <v>522.52201</v>
          </cell>
          <cell r="F1174">
            <v>114.3</v>
          </cell>
          <cell r="G1174">
            <v>0</v>
          </cell>
          <cell r="H1174">
            <v>0</v>
          </cell>
          <cell r="I1174">
            <v>0</v>
          </cell>
          <cell r="J1174">
            <v>0</v>
          </cell>
          <cell r="K1174">
            <v>0</v>
          </cell>
          <cell r="L1174">
            <v>6</v>
          </cell>
        </row>
        <row r="1175">
          <cell r="A1175" t="str">
            <v>10061.10011</v>
          </cell>
          <cell r="B1175" t="str">
            <v>TIGE FILETEE ACIER HR 24X1000</v>
          </cell>
          <cell r="C1175" t="str">
            <v>TIGE FILETEE EN ACIER A HAUTE RESISTANCE CLASSE 8.8 NUANCE AFNOR XC42 DIAMETRE 24MM LONGUEUR 1METRE PAS 3</v>
          </cell>
          <cell r="D1175" t="str">
            <v>PE</v>
          </cell>
          <cell r="E1175" t="str">
            <v>522.52201</v>
          </cell>
          <cell r="F1175">
            <v>88</v>
          </cell>
          <cell r="G1175">
            <v>0</v>
          </cell>
          <cell r="H1175">
            <v>5</v>
          </cell>
          <cell r="I1175">
            <v>0</v>
          </cell>
          <cell r="J1175">
            <v>0</v>
          </cell>
          <cell r="K1175">
            <v>0</v>
          </cell>
          <cell r="L1175">
            <v>10</v>
          </cell>
        </row>
        <row r="1176">
          <cell r="A1176" t="str">
            <v>10061.10013</v>
          </cell>
          <cell r="B1176" t="str">
            <v>TIGE FILETEE ACIER HR 27X1000</v>
          </cell>
          <cell r="C1176" t="str">
            <v>TIGE FILETEE EN ACIER A HAUTE RESISTANCE CLASSE 8.8 NUANCE AFNOR XC42 DIAMETRE 27MM LONGUEUR 1METRE PAS 3</v>
          </cell>
          <cell r="D1176" t="str">
            <v>PE</v>
          </cell>
          <cell r="E1176" t="str">
            <v>522.52201</v>
          </cell>
          <cell r="F1176">
            <v>120</v>
          </cell>
          <cell r="G1176">
            <v>0</v>
          </cell>
          <cell r="H1176">
            <v>0</v>
          </cell>
          <cell r="I1176">
            <v>15</v>
          </cell>
          <cell r="J1176">
            <v>0</v>
          </cell>
          <cell r="K1176">
            <v>0</v>
          </cell>
          <cell r="L1176">
            <v>0</v>
          </cell>
        </row>
        <row r="1177">
          <cell r="A1177" t="str">
            <v>10061.07932</v>
          </cell>
          <cell r="B1177" t="str">
            <v>ETRIER EN INOX 304L POUR TUBE DN50</v>
          </cell>
          <cell r="C1177" t="str">
            <v>ETRIER EN INOX 304L SELON DIN 3570 AAVEC 2 RONDELLES DIN 125A ET 4 ECROUS DIN 934FILETAGE M12POUR TUBE DIA EXT 61 MM</v>
          </cell>
          <cell r="D1177" t="str">
            <v>PE</v>
          </cell>
          <cell r="E1177" t="str">
            <v>522.52201</v>
          </cell>
          <cell r="F1177">
            <v>5.14</v>
          </cell>
          <cell r="G1177">
            <v>0</v>
          </cell>
          <cell r="H1177">
            <v>0</v>
          </cell>
          <cell r="I1177">
            <v>0</v>
          </cell>
          <cell r="J1177">
            <v>0</v>
          </cell>
          <cell r="K1177">
            <v>0</v>
          </cell>
          <cell r="L1177">
            <v>0</v>
          </cell>
        </row>
        <row r="1178">
          <cell r="A1178" t="str">
            <v>10061.07936</v>
          </cell>
          <cell r="B1178" t="str">
            <v>ETRIER EN INOX 304L POUR TUBE DN15</v>
          </cell>
          <cell r="C1178" t="str">
            <v>ETRIER EN INOX 304L SELON DIN 3570 AAVEC 2 RONDELLES DIN 125A ET 4 ECROUS DIN 934FILETAGE M10POUR TUBE DIA EXT 22 MM</v>
          </cell>
          <cell r="D1178" t="str">
            <v>PE</v>
          </cell>
          <cell r="E1178" t="str">
            <v>522.52201</v>
          </cell>
          <cell r="F1178">
            <v>12.6</v>
          </cell>
          <cell r="G1178">
            <v>0</v>
          </cell>
          <cell r="H1178">
            <v>0</v>
          </cell>
          <cell r="I1178">
            <v>0</v>
          </cell>
          <cell r="J1178">
            <v>0</v>
          </cell>
          <cell r="K1178">
            <v>0</v>
          </cell>
          <cell r="L1178">
            <v>0</v>
          </cell>
        </row>
        <row r="1179">
          <cell r="A1179" t="str">
            <v>10061.09785</v>
          </cell>
          <cell r="B1179" t="str">
            <v>TIGE FILETEE GALVANISEE M16</v>
          </cell>
          <cell r="C1179" t="str">
            <v>TIGE FILETEE GALVANISEE M16EN LONGUEUR DE 1 METRENUANCE MATIERE : ASTM A 193 GR B7</v>
          </cell>
          <cell r="D1179" t="str">
            <v>M</v>
          </cell>
          <cell r="E1179" t="str">
            <v>522.52201</v>
          </cell>
          <cell r="F1179">
            <v>100.9068</v>
          </cell>
          <cell r="G1179">
            <v>0</v>
          </cell>
          <cell r="H1179">
            <v>10</v>
          </cell>
          <cell r="I1179">
            <v>0</v>
          </cell>
          <cell r="J1179">
            <v>0</v>
          </cell>
          <cell r="K1179">
            <v>0</v>
          </cell>
          <cell r="L1179">
            <v>21</v>
          </cell>
        </row>
        <row r="1180">
          <cell r="A1180" t="str">
            <v>10061.01084</v>
          </cell>
          <cell r="B1180" t="str">
            <v>RIVET AVEUGLE POP 4X15</v>
          </cell>
          <cell r="C1180" t="str">
            <v>RIVET AVEUGLE "POP" EN ALUMINIUM LONGUEUR  15 MM  / DIAMETRE 4 MM</v>
          </cell>
          <cell r="D1180" t="str">
            <v>PE</v>
          </cell>
          <cell r="E1180" t="str">
            <v>522.52201</v>
          </cell>
          <cell r="F1180">
            <v>9.2399999999999996E-2</v>
          </cell>
          <cell r="G1180">
            <v>0</v>
          </cell>
          <cell r="H1180">
            <v>0</v>
          </cell>
          <cell r="I1180">
            <v>0</v>
          </cell>
          <cell r="J1180">
            <v>0</v>
          </cell>
          <cell r="K1180">
            <v>0</v>
          </cell>
          <cell r="L1180">
            <v>0</v>
          </cell>
        </row>
        <row r="1181">
          <cell r="A1181" t="str">
            <v>10061.01085</v>
          </cell>
          <cell r="B1181" t="str">
            <v>RIVET AVEUGLE POP 4X20</v>
          </cell>
          <cell r="C1181" t="str">
            <v>RIVET AVEUGLE "POP" EN ALUMINIUM LONGUEUR  20 MM  / DIAMETRE 4 MM</v>
          </cell>
          <cell r="D1181" t="str">
            <v>PE</v>
          </cell>
          <cell r="E1181" t="str">
            <v>522.52201</v>
          </cell>
          <cell r="F1181">
            <v>0.192</v>
          </cell>
          <cell r="G1181">
            <v>0</v>
          </cell>
          <cell r="H1181">
            <v>0</v>
          </cell>
          <cell r="I1181">
            <v>0</v>
          </cell>
          <cell r="J1181">
            <v>0</v>
          </cell>
          <cell r="K1181">
            <v>0</v>
          </cell>
          <cell r="L1181">
            <v>0</v>
          </cell>
        </row>
        <row r="1182">
          <cell r="A1182" t="str">
            <v>10061.01086</v>
          </cell>
          <cell r="B1182" t="str">
            <v>RIVET AVEUGLE POP  5X8</v>
          </cell>
          <cell r="C1182" t="str">
            <v>RIVET AVEUGLE "POP" EN ALUMINIUM LONGUEUR  8 MM  / DIAMETRE 5 MM</v>
          </cell>
          <cell r="D1182" t="str">
            <v>PE</v>
          </cell>
          <cell r="E1182" t="str">
            <v>522.52201</v>
          </cell>
          <cell r="F1182">
            <v>0.192</v>
          </cell>
          <cell r="G1182">
            <v>0</v>
          </cell>
          <cell r="H1182">
            <v>0</v>
          </cell>
          <cell r="I1182">
            <v>0</v>
          </cell>
          <cell r="J1182">
            <v>0</v>
          </cell>
          <cell r="K1182">
            <v>0</v>
          </cell>
          <cell r="L1182">
            <v>0</v>
          </cell>
        </row>
        <row r="1183">
          <cell r="A1183" t="str">
            <v>10061.01088</v>
          </cell>
          <cell r="B1183" t="str">
            <v>RIVET AVEUGLE POP 5X12</v>
          </cell>
          <cell r="C1183" t="str">
            <v>RIVET AVEUGLE "POP" EN ALUMINIUM LONGUEUR  12 MM  / DIAMETRE 5 MM</v>
          </cell>
          <cell r="D1183" t="str">
            <v>PE</v>
          </cell>
          <cell r="E1183" t="str">
            <v>522.52201</v>
          </cell>
          <cell r="F1183">
            <v>0.216</v>
          </cell>
          <cell r="G1183">
            <v>0</v>
          </cell>
          <cell r="H1183">
            <v>0</v>
          </cell>
          <cell r="I1183">
            <v>0</v>
          </cell>
          <cell r="J1183">
            <v>0</v>
          </cell>
          <cell r="K1183">
            <v>0</v>
          </cell>
          <cell r="L1183">
            <v>0</v>
          </cell>
        </row>
        <row r="1184">
          <cell r="A1184" t="str">
            <v>10061.07216</v>
          </cell>
          <cell r="B1184" t="str">
            <v>VIS A TETE HEXAGONALE H.R</v>
          </cell>
          <cell r="C1184" t="str">
            <v>VIS A TETE HEXAGONALE 20 X 40 mm EN ACIER DE HAUTE RESISTANCE XC 38 CLASSE ISO 8.8 SUIVANT NORME NF.E 25.115 / DIN 933</v>
          </cell>
          <cell r="D1184" t="str">
            <v>PE</v>
          </cell>
          <cell r="E1184" t="str">
            <v>522.52201</v>
          </cell>
          <cell r="F1184">
            <v>6.6791999999999998</v>
          </cell>
          <cell r="G1184">
            <v>0</v>
          </cell>
          <cell r="H1184">
            <v>0</v>
          </cell>
          <cell r="I1184">
            <v>0</v>
          </cell>
          <cell r="J1184">
            <v>0</v>
          </cell>
          <cell r="K1184">
            <v>75</v>
          </cell>
          <cell r="L1184">
            <v>0</v>
          </cell>
        </row>
        <row r="1185">
          <cell r="A1185" t="str">
            <v>10061.02170</v>
          </cell>
          <cell r="B1185" t="str">
            <v>GOUJON INOX 304 M20X130MM</v>
          </cell>
          <cell r="C1185" t="str">
            <v xml:space="preserve">GOUJONS EN ACIER INOXYDABLE 304 FILETAGE  ISO DIMENSIONS  M 20 X 130 </v>
          </cell>
          <cell r="D1185" t="str">
            <v>PE</v>
          </cell>
          <cell r="E1185" t="str">
            <v>522.52201</v>
          </cell>
          <cell r="F1185">
            <v>16.5</v>
          </cell>
          <cell r="G1185">
            <v>0</v>
          </cell>
          <cell r="H1185">
            <v>0</v>
          </cell>
          <cell r="I1185">
            <v>0</v>
          </cell>
          <cell r="J1185">
            <v>0</v>
          </cell>
          <cell r="K1185">
            <v>10</v>
          </cell>
          <cell r="L1185">
            <v>0</v>
          </cell>
        </row>
        <row r="1186">
          <cell r="A1186" t="str">
            <v>10061.07166</v>
          </cell>
          <cell r="B1186" t="str">
            <v>VIS A TETE HEXAGONALE H.R</v>
          </cell>
          <cell r="C1186" t="str">
            <v>VIS A TETE HEXAGONALE 12 X 40 mm EN ACIER DE HAUTE RESISTANCE XC 38 CLASSE ISO 8.8 SUIVANT NORME NF.E 25.115 / DIN 933</v>
          </cell>
          <cell r="D1186" t="str">
            <v>PE</v>
          </cell>
          <cell r="E1186" t="str">
            <v>522.52201</v>
          </cell>
          <cell r="F1186">
            <v>1.9596</v>
          </cell>
          <cell r="G1186">
            <v>0</v>
          </cell>
          <cell r="H1186">
            <v>0</v>
          </cell>
          <cell r="I1186">
            <v>0</v>
          </cell>
          <cell r="J1186">
            <v>0</v>
          </cell>
          <cell r="K1186">
            <v>76</v>
          </cell>
          <cell r="L1186">
            <v>0</v>
          </cell>
        </row>
        <row r="1187">
          <cell r="A1187" t="str">
            <v>10062.06106</v>
          </cell>
          <cell r="B1187" t="str">
            <v>BOULON HR CLASSE 8.8</v>
          </cell>
          <cell r="C1187" t="str">
            <v xml:space="preserve">BOULON HMN 5 X 50 X 16  VIS A TETE HEXAGONALE PARTIELLEMENT FILETEE ET ECROU HEXAGONALEN ACIER CADMIE A HAUTE RESISTANCE XC 42 CLASSE ISO 8.8SUIVANT NORME NFE 25 115 ET NFE 25 401  /  FILETAGE  ISO  </v>
          </cell>
          <cell r="D1187" t="str">
            <v>PE</v>
          </cell>
          <cell r="E1187" t="str">
            <v>522.52201</v>
          </cell>
          <cell r="F1187">
            <v>0.79200000000000004</v>
          </cell>
          <cell r="G1187">
            <v>0</v>
          </cell>
          <cell r="H1187">
            <v>0</v>
          </cell>
          <cell r="I1187">
            <v>0</v>
          </cell>
          <cell r="J1187">
            <v>0</v>
          </cell>
          <cell r="K1187">
            <v>0</v>
          </cell>
          <cell r="L1187">
            <v>0</v>
          </cell>
        </row>
        <row r="1188">
          <cell r="A1188" t="str">
            <v>10062.06113</v>
          </cell>
          <cell r="B1188" t="str">
            <v>BOULON HR CLASSE 8.8</v>
          </cell>
          <cell r="C1188" t="str">
            <v xml:space="preserve">BOULON HMN 6 X 60 X 18  VIS A TETE HEXAGONALE PARTIELLEMENT FILETEE ET ECROU HEXAGONALEN ACIER CADMIE A HAUTE RESISTANCE XC 42 CLASSE ISO 8.8SUIVANT NORME NFE 25 115 ET NFE 25 401  /  FILETAGE  ISO  </v>
          </cell>
          <cell r="D1188" t="str">
            <v>PE</v>
          </cell>
          <cell r="E1188" t="str">
            <v>522.52201</v>
          </cell>
          <cell r="F1188">
            <v>0.86399999999999999</v>
          </cell>
          <cell r="G1188">
            <v>0</v>
          </cell>
          <cell r="H1188">
            <v>0</v>
          </cell>
          <cell r="I1188">
            <v>0</v>
          </cell>
          <cell r="J1188">
            <v>0</v>
          </cell>
          <cell r="K1188">
            <v>0</v>
          </cell>
          <cell r="L1188">
            <v>0</v>
          </cell>
        </row>
        <row r="1189">
          <cell r="A1189" t="str">
            <v>10062.06119</v>
          </cell>
          <cell r="B1189" t="str">
            <v>BOULON HR CLASSE 8.8</v>
          </cell>
          <cell r="C1189" t="str">
            <v xml:space="preserve">BOULON HMN 8 X 60 X 22  VIS A TETE HEXAGONALE PARTIELLEMENT FILETEE ET ECROU HEXAGONALEN ACIER CADMIE A HAUTE RESISTANCE XC 42 CLASSE ISO 8.8SUIVANT NORME NFE 25 115 ET NFE 25 401  /  FILETAGE  ISO  </v>
          </cell>
          <cell r="D1189" t="str">
            <v>PE</v>
          </cell>
          <cell r="E1189" t="str">
            <v>522.52201</v>
          </cell>
          <cell r="F1189">
            <v>1.3680000000000001</v>
          </cell>
          <cell r="G1189">
            <v>0</v>
          </cell>
          <cell r="H1189">
            <v>0</v>
          </cell>
          <cell r="I1189">
            <v>0</v>
          </cell>
          <cell r="J1189">
            <v>0</v>
          </cell>
          <cell r="K1189">
            <v>0</v>
          </cell>
          <cell r="L1189">
            <v>0</v>
          </cell>
        </row>
        <row r="1190">
          <cell r="A1190" t="str">
            <v>10062.06001</v>
          </cell>
          <cell r="B1190" t="str">
            <v>BOULON A50</v>
          </cell>
          <cell r="C1190" t="str">
            <v>BOULON HMT 24 X 140 X 60 VIS TETE HEXAGONALE PARTIELEMENT FILETEE ET ECROU HEXAGONAL EN ACIER A50SUIVANT NORME NFE 25 115 ET NFE 25 401  /  FILETAGE ISO</v>
          </cell>
          <cell r="D1190" t="str">
            <v>PE</v>
          </cell>
          <cell r="E1190" t="str">
            <v>522.52201</v>
          </cell>
          <cell r="F1190">
            <v>12.48</v>
          </cell>
          <cell r="G1190">
            <v>0</v>
          </cell>
          <cell r="H1190">
            <v>0</v>
          </cell>
          <cell r="I1190">
            <v>0</v>
          </cell>
          <cell r="J1190">
            <v>0</v>
          </cell>
          <cell r="K1190">
            <v>20</v>
          </cell>
          <cell r="L1190">
            <v>0</v>
          </cell>
        </row>
        <row r="1191">
          <cell r="A1191" t="str">
            <v>10061.07202</v>
          </cell>
          <cell r="B1191" t="str">
            <v>VIS A TETE HEXAGONALE H.R</v>
          </cell>
          <cell r="C1191" t="str">
            <v>VIS A TETE HEXAGONALE 16 X 60 mm EN ACIER DE HAUTE RESISTANCE XC 38 CLASSE ISO 8.8 SUIVANT NORME NF.E 25.115 / DIN 933</v>
          </cell>
          <cell r="D1191" t="str">
            <v>PE</v>
          </cell>
          <cell r="E1191" t="str">
            <v>522.52201</v>
          </cell>
          <cell r="F1191">
            <v>4.6092000000000004</v>
          </cell>
          <cell r="G1191">
            <v>0</v>
          </cell>
          <cell r="H1191">
            <v>0</v>
          </cell>
          <cell r="I1191">
            <v>0</v>
          </cell>
          <cell r="J1191">
            <v>0</v>
          </cell>
          <cell r="K1191">
            <v>0</v>
          </cell>
          <cell r="L1191">
            <v>0</v>
          </cell>
        </row>
        <row r="1192">
          <cell r="A1192" t="str">
            <v>10062.05713</v>
          </cell>
          <cell r="B1192" t="str">
            <v>BOULON A50</v>
          </cell>
          <cell r="C1192" t="str">
            <v>BOULON HMN 20 X 160 X 52 VIS TETE HEXAGONALE PARTIELEMENT FILETEE ET ECROU HEXAGONAL EN ACIER GALVANISE A50SUIVANT NORME NFE 25 115 ET NFE 25 401  /  FILETAGE ISO</v>
          </cell>
          <cell r="D1192" t="str">
            <v>PE</v>
          </cell>
          <cell r="E1192" t="str">
            <v>522.52201</v>
          </cell>
          <cell r="F1192">
            <v>28.6</v>
          </cell>
          <cell r="G1192">
            <v>0</v>
          </cell>
          <cell r="H1192">
            <v>0</v>
          </cell>
          <cell r="I1192">
            <v>0</v>
          </cell>
          <cell r="J1192">
            <v>0</v>
          </cell>
          <cell r="K1192">
            <v>0</v>
          </cell>
          <cell r="L1192">
            <v>0</v>
          </cell>
        </row>
        <row r="1193">
          <cell r="A1193" t="str">
            <v>10062.06125</v>
          </cell>
          <cell r="B1193" t="str">
            <v>BOULON HR CLASSE 8.8</v>
          </cell>
          <cell r="C1193" t="str">
            <v xml:space="preserve">BOULON HMN 10 X 40 X 26  VIS A TETE HEXAGONALE PARTIELLEMENT FILETEE ET ECROU HEXAGONALEN ACIER CADMIE A HAUTE RESISTANCE XC 42 CLASSE ISO 8.8SUIVANT NORME NFE 25 115 ET NFE 25 401  /  FILETAGE  ISO  </v>
          </cell>
          <cell r="D1193" t="str">
            <v>PE</v>
          </cell>
          <cell r="E1193" t="str">
            <v>522.52201</v>
          </cell>
          <cell r="F1193">
            <v>1.8864000000000001</v>
          </cell>
          <cell r="G1193">
            <v>0</v>
          </cell>
          <cell r="H1193">
            <v>0</v>
          </cell>
          <cell r="I1193">
            <v>0</v>
          </cell>
          <cell r="J1193">
            <v>0</v>
          </cell>
          <cell r="K1193">
            <v>0</v>
          </cell>
          <cell r="L1193">
            <v>0</v>
          </cell>
        </row>
        <row r="1194">
          <cell r="A1194" t="str">
            <v>10062.06129</v>
          </cell>
          <cell r="B1194" t="str">
            <v>BOULON HR CLASSE 8.8</v>
          </cell>
          <cell r="C1194" t="str">
            <v xml:space="preserve">BOULON HMN 10 X 60 X 26  VIS A TETE HEXAGONALE PARTIELLEMENT FILETEE ET ECROU HEXAGONALEN ACIER CADMIE A HAUTE RESISTANCE XC 42 CLASSE ISO 8.8SUIVANT NORME NFE 25 115 ET NFE 25 401  /  FILETAGE  ISO  </v>
          </cell>
          <cell r="D1194" t="str">
            <v>PE</v>
          </cell>
          <cell r="E1194" t="str">
            <v>522.52201</v>
          </cell>
          <cell r="F1194">
            <v>2.3184</v>
          </cell>
          <cell r="G1194">
            <v>0</v>
          </cell>
          <cell r="H1194">
            <v>0</v>
          </cell>
          <cell r="I1194">
            <v>0</v>
          </cell>
          <cell r="J1194">
            <v>0</v>
          </cell>
          <cell r="K1194">
            <v>0</v>
          </cell>
          <cell r="L1194">
            <v>0</v>
          </cell>
        </row>
        <row r="1195">
          <cell r="A1195" t="str">
            <v>10062.06138</v>
          </cell>
          <cell r="B1195" t="str">
            <v>BOULON HR CLASSE 8.8</v>
          </cell>
          <cell r="C1195" t="str">
            <v xml:space="preserve">BOULON HMN 12 X 50 X 30  VIS A TETE HEXAGONALE PARTIELLEMENT FILETEE ET ECROU HEXAGONALEN ACIER CADMIE A HAUTE RESISTANCE XC 42 CLASSE ISO 8.8SUIVANT NORME NFE 25 115 ET NFE 25 401  /  FILETAGE  ISO  </v>
          </cell>
          <cell r="D1195" t="str">
            <v>PE</v>
          </cell>
          <cell r="E1195" t="str">
            <v>522.52201</v>
          </cell>
          <cell r="F1195">
            <v>2.9712000000000001</v>
          </cell>
          <cell r="G1195">
            <v>0</v>
          </cell>
          <cell r="H1195">
            <v>0</v>
          </cell>
          <cell r="I1195">
            <v>0</v>
          </cell>
          <cell r="J1195">
            <v>0</v>
          </cell>
          <cell r="K1195">
            <v>0</v>
          </cell>
          <cell r="L1195">
            <v>0</v>
          </cell>
        </row>
        <row r="1196">
          <cell r="A1196" t="str">
            <v>10062.07048</v>
          </cell>
          <cell r="B1196" t="str">
            <v>BOULON Z2CND 17-13</v>
          </cell>
          <cell r="C1196" t="str">
            <v xml:space="preserve">BOULON HMN 12 X 110 X 30 VIS A TETE HEXAGONALE PARTIELEMENT FILETEE ET ECROU HEXAGONALEN ACIER INOXYDABLE : AFNOR Z 2 CND 17.13  / AISI 316 L GENRE UGINE NSM 22 S SUIVANT NORME  NFE 25 115 ET NFE 25 401  /  FILETAGE ISO  </v>
          </cell>
          <cell r="D1196" t="str">
            <v>PE</v>
          </cell>
          <cell r="E1196" t="str">
            <v>522.52201</v>
          </cell>
          <cell r="F1196">
            <v>25.212199999999999</v>
          </cell>
          <cell r="G1196">
            <v>0</v>
          </cell>
          <cell r="H1196">
            <v>0</v>
          </cell>
          <cell r="I1196">
            <v>0</v>
          </cell>
          <cell r="J1196">
            <v>0</v>
          </cell>
          <cell r="K1196">
            <v>0</v>
          </cell>
          <cell r="L1196">
            <v>0</v>
          </cell>
        </row>
        <row r="1197">
          <cell r="A1197" t="str">
            <v>10062.07060</v>
          </cell>
          <cell r="B1197" t="str">
            <v>BOULON Z2CND 17-13</v>
          </cell>
          <cell r="C1197" t="str">
            <v xml:space="preserve">BOULON HMN 14 X 110 X 34 VIS A TETE HEXAGONALE PARTIELEMENT FILETEE ET ECROU HEXAGONALEN ACIER INOXYDABLE: AFNOR Z 2 CND 17.13  / AISI 316 L GENRE UGINE NSM 22 S SUIVANT NORME  NFE 25 115 ET NFE 25 401  /  FILETAGE ISO </v>
          </cell>
          <cell r="D1197" t="str">
            <v>PE</v>
          </cell>
          <cell r="E1197" t="str">
            <v>522.52201</v>
          </cell>
          <cell r="F1197">
            <v>38.2607</v>
          </cell>
          <cell r="G1197">
            <v>0</v>
          </cell>
          <cell r="H1197">
            <v>0</v>
          </cell>
          <cell r="I1197">
            <v>0</v>
          </cell>
          <cell r="J1197">
            <v>0</v>
          </cell>
          <cell r="K1197">
            <v>0</v>
          </cell>
          <cell r="L1197">
            <v>0</v>
          </cell>
        </row>
        <row r="1198">
          <cell r="A1198" t="str">
            <v>10061.07268</v>
          </cell>
          <cell r="B1198" t="str">
            <v>VIS A TETE HEXAGONALE H.R</v>
          </cell>
          <cell r="C1198" t="str">
            <v>VIS A TETE HEXAGONALE 30 X 140 mm EN ACIER DE HAUTE RESISTANCE XC 38 CLASSE ISO 8.8 SUIVANT NORME NF.E 25.115 / DIN 933</v>
          </cell>
          <cell r="D1198" t="str">
            <v>PE</v>
          </cell>
          <cell r="E1198" t="str">
            <v>522.52201</v>
          </cell>
          <cell r="F1198">
            <v>40.531700000000001</v>
          </cell>
          <cell r="G1198">
            <v>0</v>
          </cell>
          <cell r="H1198">
            <v>0</v>
          </cell>
          <cell r="I1198">
            <v>0</v>
          </cell>
          <cell r="J1198">
            <v>0</v>
          </cell>
          <cell r="K1198">
            <v>0</v>
          </cell>
          <cell r="L1198">
            <v>0</v>
          </cell>
        </row>
        <row r="1199">
          <cell r="A1199" t="str">
            <v>10061.07282</v>
          </cell>
          <cell r="B1199" t="str">
            <v>VIS T.HEXAG EN ACIER H.R</v>
          </cell>
          <cell r="C1199" t="str">
            <v>VIS A TETE HEXAGONALE 36 X 90 mm EN ACIER DE HAUTE RESISTANCE XC 38 CLASSE ISO 8.8 SUIVANT NORME NF.E 25.115 / DIN 933</v>
          </cell>
          <cell r="D1199" t="str">
            <v>PE</v>
          </cell>
          <cell r="E1199" t="str">
            <v>522.52201</v>
          </cell>
          <cell r="F1199">
            <v>41.199800000000003</v>
          </cell>
          <cell r="G1199">
            <v>0</v>
          </cell>
          <cell r="H1199">
            <v>0</v>
          </cell>
          <cell r="I1199">
            <v>0</v>
          </cell>
          <cell r="J1199">
            <v>0</v>
          </cell>
          <cell r="K1199">
            <v>46</v>
          </cell>
          <cell r="L1199">
            <v>0</v>
          </cell>
        </row>
        <row r="1200">
          <cell r="A1200" t="str">
            <v>10061.07304</v>
          </cell>
          <cell r="B1200" t="str">
            <v>VIS TET HEXAG ACIER H.R.</v>
          </cell>
          <cell r="C1200" t="str">
            <v>VIS A TETE HEXAGONALE 18 X 70 mm EN ACIER DE HAUTE RESISTANCE XC 38 CLASSE ISO 8.8 SUIVANT NORME NF.E 25.115 / DIN 933</v>
          </cell>
          <cell r="D1200" t="str">
            <v>PE</v>
          </cell>
          <cell r="E1200" t="str">
            <v>522.52201</v>
          </cell>
          <cell r="F1200">
            <v>9.3420000000000005</v>
          </cell>
          <cell r="G1200">
            <v>0</v>
          </cell>
          <cell r="H1200">
            <v>0</v>
          </cell>
          <cell r="I1200">
            <v>0</v>
          </cell>
          <cell r="J1200">
            <v>0</v>
          </cell>
          <cell r="K1200">
            <v>9</v>
          </cell>
          <cell r="L1200">
            <v>0</v>
          </cell>
        </row>
        <row r="1201">
          <cell r="A1201" t="str">
            <v>10061.07291</v>
          </cell>
          <cell r="B1201" t="str">
            <v>VIS T.HEXAG EN ACIER H.R</v>
          </cell>
          <cell r="C1201" t="str">
            <v>VIS A TETE HEXAGONALE 36 X 200 mm EN ACIER DE HAUTE RESISTANCE XC 38 CLASSE ISO 8.8 SUIVANT NORME NF.E 25.115 / DIN 933</v>
          </cell>
          <cell r="D1201" t="str">
            <v>PE</v>
          </cell>
          <cell r="E1201" t="str">
            <v>522.52201</v>
          </cell>
          <cell r="F1201">
            <v>114.5817</v>
          </cell>
          <cell r="G1201">
            <v>0</v>
          </cell>
          <cell r="H1201">
            <v>0</v>
          </cell>
          <cell r="I1201">
            <v>0</v>
          </cell>
          <cell r="J1201">
            <v>0</v>
          </cell>
          <cell r="K1201">
            <v>0</v>
          </cell>
          <cell r="L1201">
            <v>0</v>
          </cell>
        </row>
        <row r="1202">
          <cell r="A1202" t="str">
            <v>10061.03500</v>
          </cell>
          <cell r="B1202" t="str">
            <v>VIS A TETE FRAISEE FENDUE PLATE EN INOX</v>
          </cell>
          <cell r="C1202" t="str">
            <v>VIS A TETE FRAISEE FENDUE PLATE FILETEE SUR TOUTE LA LONGUEUR EN ACIER INOX 316L FILETAGE : ISO SYMBOLE : F/90 DIMENSIONS : 8X30MM</v>
          </cell>
          <cell r="D1202" t="str">
            <v>PE</v>
          </cell>
          <cell r="E1202" t="str">
            <v>522.52201</v>
          </cell>
          <cell r="F1202">
            <v>1.9139999999999999</v>
          </cell>
          <cell r="G1202">
            <v>0</v>
          </cell>
          <cell r="H1202">
            <v>0</v>
          </cell>
          <cell r="I1202">
            <v>0</v>
          </cell>
          <cell r="J1202">
            <v>0</v>
          </cell>
          <cell r="K1202">
            <v>500</v>
          </cell>
          <cell r="L1202">
            <v>0</v>
          </cell>
        </row>
        <row r="1203">
          <cell r="A1203" t="str">
            <v>10061.09790</v>
          </cell>
          <cell r="B1203" t="str">
            <v>TIGE FILETEE GALVANISEE M36</v>
          </cell>
          <cell r="C1203" t="str">
            <v>TIGE FILETEE GALVANISEE M36EN LONGUEUR DE 1 METRENUANCE MATIERE : ASTM A 193 GR B7</v>
          </cell>
          <cell r="D1203" t="str">
            <v>PE</v>
          </cell>
          <cell r="E1203" t="str">
            <v>522.52201</v>
          </cell>
          <cell r="F1203">
            <v>420.44479999999999</v>
          </cell>
          <cell r="G1203">
            <v>0</v>
          </cell>
          <cell r="H1203">
            <v>0</v>
          </cell>
          <cell r="I1203">
            <v>0</v>
          </cell>
          <cell r="J1203">
            <v>0</v>
          </cell>
          <cell r="K1203">
            <v>0</v>
          </cell>
          <cell r="L1203">
            <v>13</v>
          </cell>
        </row>
        <row r="1204">
          <cell r="A1204" t="str">
            <v>10061.09823</v>
          </cell>
          <cell r="B1204" t="str">
            <v>TIGE FILETEE L.1M D.24MM</v>
          </cell>
          <cell r="C1204" t="str">
            <v>TIGE FILETEE EN ACIER INOXYDABLE EN LONGUEUR DE 1 METRESUIVANT NORME AFNOR Z2 CND 17-13  /  AISI 316L /  UGINE NSM 22S FILETAGE  ISO / DIAMETRE 24 MM</v>
          </cell>
          <cell r="D1204" t="str">
            <v>PE</v>
          </cell>
          <cell r="E1204" t="str">
            <v>522.52201</v>
          </cell>
          <cell r="F1204">
            <v>305.22219999999999</v>
          </cell>
          <cell r="G1204">
            <v>0</v>
          </cell>
          <cell r="H1204">
            <v>0</v>
          </cell>
          <cell r="I1204">
            <v>0</v>
          </cell>
          <cell r="J1204">
            <v>0</v>
          </cell>
          <cell r="K1204">
            <v>0</v>
          </cell>
          <cell r="L1204">
            <v>0</v>
          </cell>
        </row>
        <row r="1205">
          <cell r="A1205" t="str">
            <v>10061.09824</v>
          </cell>
          <cell r="B1205" t="str">
            <v>TIGE FILETEE L.1M D.27MM</v>
          </cell>
          <cell r="C1205" t="str">
            <v>TIGE FILETEE EN ACIER INOXYDABLE EN LONGUEUR DE 1 METRESUIVANT NORME AFNOR Z2 CND 17-13  /  AISI 316L /  UGINE NSM 22S FILETAGE  ISO / DIAMETRE 27 MM</v>
          </cell>
          <cell r="D1205" t="str">
            <v>PE</v>
          </cell>
          <cell r="E1205" t="str">
            <v>522.52201</v>
          </cell>
          <cell r="F1205">
            <v>315.28410000000002</v>
          </cell>
          <cell r="G1205">
            <v>0</v>
          </cell>
          <cell r="H1205">
            <v>0</v>
          </cell>
          <cell r="I1205">
            <v>0</v>
          </cell>
          <cell r="J1205">
            <v>10</v>
          </cell>
          <cell r="K1205">
            <v>0</v>
          </cell>
          <cell r="L1205">
            <v>0</v>
          </cell>
        </row>
        <row r="1206">
          <cell r="A1206" t="str">
            <v>10061.09825</v>
          </cell>
          <cell r="B1206" t="str">
            <v>TIGE FILETEE L.1M D.30MM</v>
          </cell>
          <cell r="C1206" t="str">
            <v>TIGE FILETEE EN ACIER INOXYDABLE EN LONGUEUR DE 1 METRESUIVANT NORME AFNOR Z2 CND 17-13  /  AISI 316L /  UGINE NSM 22S FILETAGE  ISO / DIAMETRE 30 MM</v>
          </cell>
          <cell r="D1206" t="str">
            <v>PE</v>
          </cell>
          <cell r="E1206" t="str">
            <v>522.52201</v>
          </cell>
          <cell r="F1206">
            <v>404.19779999999997</v>
          </cell>
          <cell r="G1206">
            <v>0</v>
          </cell>
          <cell r="H1206">
            <v>49</v>
          </cell>
          <cell r="I1206">
            <v>1</v>
          </cell>
          <cell r="J1206">
            <v>22</v>
          </cell>
          <cell r="K1206">
            <v>0</v>
          </cell>
          <cell r="L1206">
            <v>0</v>
          </cell>
        </row>
        <row r="1207">
          <cell r="A1207" t="str">
            <v>10061.09819</v>
          </cell>
          <cell r="B1207" t="str">
            <v>TIGE FILETEE L.1M D.16MM</v>
          </cell>
          <cell r="C1207" t="str">
            <v>TIGE FILETEE EN ACIER INOXYDABLE EN LONGUEUR DE 1 METRESUIVANT NORME AFNOR Z2 CND 17-13  /  AISI 316L /  UGINE NSM 22S FILETAGE  ISO / DIAMETRE 16 MM</v>
          </cell>
          <cell r="D1207" t="str">
            <v>PE</v>
          </cell>
          <cell r="E1207" t="str">
            <v>522.52201</v>
          </cell>
          <cell r="F1207">
            <v>75.37</v>
          </cell>
          <cell r="G1207">
            <v>0</v>
          </cell>
          <cell r="H1207">
            <v>0</v>
          </cell>
          <cell r="I1207">
            <v>18</v>
          </cell>
          <cell r="J1207">
            <v>2</v>
          </cell>
          <cell r="K1207">
            <v>0</v>
          </cell>
          <cell r="L1207">
            <v>0</v>
          </cell>
        </row>
        <row r="1208">
          <cell r="A1208" t="str">
            <v>10061.09821</v>
          </cell>
          <cell r="B1208" t="str">
            <v>TIGE FILETEE L.1M D.20MM</v>
          </cell>
          <cell r="C1208" t="str">
            <v>TIGE FILETEE EN ACIER INOXYDABLE EN LONGUEUR DE 1 METRESUIVANT NORME AFNOR Z2 CND 17-13  /  AISI 316L /  UGINE NSM 22S FILETAGE  ISO / DIAMETRE 20 MM</v>
          </cell>
          <cell r="D1208" t="str">
            <v>PE</v>
          </cell>
          <cell r="E1208" t="str">
            <v>522.52201</v>
          </cell>
          <cell r="F1208">
            <v>115.82</v>
          </cell>
          <cell r="G1208">
            <v>0</v>
          </cell>
          <cell r="H1208">
            <v>0</v>
          </cell>
          <cell r="I1208">
            <v>1</v>
          </cell>
          <cell r="J1208">
            <v>0</v>
          </cell>
          <cell r="K1208">
            <v>19</v>
          </cell>
          <cell r="L1208">
            <v>0</v>
          </cell>
        </row>
        <row r="1209">
          <cell r="A1209" t="str">
            <v>10061.09822</v>
          </cell>
          <cell r="B1209" t="str">
            <v>TIGE FILETEE L.1M D.22MM</v>
          </cell>
          <cell r="C1209" t="str">
            <v>TIGE FILETEE EN ACIER INOXYDABLE EN LONGUEUR DE 1 METRESUIVANT NORME AFNOR Z2 CND 17-13  /  AISI 316L /  UGINE NSM 22S FILETAGE  ISO / DIAMETRE 22 MM</v>
          </cell>
          <cell r="D1209" t="str">
            <v>PE</v>
          </cell>
          <cell r="E1209" t="str">
            <v>522.52201</v>
          </cell>
          <cell r="F1209">
            <v>188</v>
          </cell>
          <cell r="G1209">
            <v>0</v>
          </cell>
          <cell r="H1209">
            <v>0</v>
          </cell>
          <cell r="I1209">
            <v>0</v>
          </cell>
          <cell r="J1209">
            <v>0</v>
          </cell>
          <cell r="K1209">
            <v>0</v>
          </cell>
          <cell r="L1209">
            <v>0</v>
          </cell>
        </row>
        <row r="1210">
          <cell r="A1210" t="str">
            <v>10061.09784</v>
          </cell>
          <cell r="B1210" t="str">
            <v>TIGE FILETEE GALVANISEE M20</v>
          </cell>
          <cell r="C1210" t="str">
            <v xml:space="preserve">TIGE FILETEE GALVANISEE M20EN LONGUEUR DE 1 METRENUANCE MATIERE : ASTM A 193 GR B7  </v>
          </cell>
          <cell r="D1210" t="str">
            <v>M</v>
          </cell>
          <cell r="E1210" t="str">
            <v>522.52201</v>
          </cell>
          <cell r="F1210">
            <v>136.22819999999999</v>
          </cell>
          <cell r="G1210">
            <v>0</v>
          </cell>
          <cell r="H1210">
            <v>0</v>
          </cell>
          <cell r="I1210">
            <v>0</v>
          </cell>
          <cell r="J1210">
            <v>0</v>
          </cell>
          <cell r="K1210">
            <v>0</v>
          </cell>
          <cell r="L1210">
            <v>0</v>
          </cell>
        </row>
        <row r="1211">
          <cell r="A1211" t="str">
            <v>10061.09835</v>
          </cell>
          <cell r="B1211" t="str">
            <v>TIGE FILETEE L.1M D.8MM</v>
          </cell>
          <cell r="C1211" t="str">
            <v xml:space="preserve">TIGE FILETEE EN ACIER INOXYDABLE Z1 NCDU 25 - 20 CREUSOT LOIRE UB6 EN LONGUEUR 1 METRE  /  DIAMETRE 8 MM </v>
          </cell>
          <cell r="D1211" t="str">
            <v>PE</v>
          </cell>
          <cell r="E1211" t="str">
            <v>522.52201</v>
          </cell>
          <cell r="F1211">
            <v>631.35950000000003</v>
          </cell>
          <cell r="G1211">
            <v>0</v>
          </cell>
          <cell r="H1211">
            <v>0</v>
          </cell>
          <cell r="I1211">
            <v>0</v>
          </cell>
          <cell r="J1211">
            <v>0</v>
          </cell>
          <cell r="K1211">
            <v>59</v>
          </cell>
          <cell r="L1211">
            <v>0</v>
          </cell>
        </row>
        <row r="1212">
          <cell r="A1212" t="str">
            <v>10061.09826</v>
          </cell>
          <cell r="B1212" t="str">
            <v>TIGE FILETEE L.1M DIAM.36</v>
          </cell>
          <cell r="C1212" t="str">
            <v>TIGE FILETEE EN ACIER INOXYDABLE EN LONGUEUR DE 1 METRESUIVANT NORME AFNOR Z2 CND 17-13  /  AISI 316L /  UGINE NSM 22S FILETAGE  ISO / DIAMETRE 36 MM</v>
          </cell>
          <cell r="D1212" t="str">
            <v>PE</v>
          </cell>
          <cell r="E1212" t="str">
            <v>522.52201</v>
          </cell>
          <cell r="F1212">
            <v>1146.8143</v>
          </cell>
          <cell r="G1212">
            <v>0</v>
          </cell>
          <cell r="H1212">
            <v>0</v>
          </cell>
          <cell r="I1212">
            <v>0</v>
          </cell>
          <cell r="J1212">
            <v>10</v>
          </cell>
          <cell r="K1212">
            <v>0</v>
          </cell>
          <cell r="L1212">
            <v>11</v>
          </cell>
        </row>
        <row r="1213">
          <cell r="A1213" t="str">
            <v>10061.09827</v>
          </cell>
          <cell r="B1213" t="str">
            <v>TIGE FILETEE INOX 20X100</v>
          </cell>
          <cell r="C1213" t="str">
            <v xml:space="preserve">TIGE FILETEE M 20 X 100 MM EN ACIER INOXYDABLE NUANCE AFNOR Z2 CND 17-13  /  AISI 316L  /  UGINE NSM 22 S  /  PROFIL ISO LIVREE AVEC 2 ECROUS HEXAGONAUX ET 2 RONDELLES PLATES M20 EN INOX 316L  </v>
          </cell>
          <cell r="D1213" t="str">
            <v>PE</v>
          </cell>
          <cell r="E1213" t="str">
            <v>522.52201</v>
          </cell>
          <cell r="F1213">
            <v>109.02</v>
          </cell>
          <cell r="G1213">
            <v>0</v>
          </cell>
          <cell r="H1213">
            <v>0</v>
          </cell>
          <cell r="I1213">
            <v>0</v>
          </cell>
          <cell r="J1213">
            <v>0</v>
          </cell>
          <cell r="K1213">
            <v>0</v>
          </cell>
          <cell r="L1213">
            <v>0</v>
          </cell>
        </row>
        <row r="1214">
          <cell r="A1214" t="str">
            <v>10061.09827</v>
          </cell>
          <cell r="B1214" t="str">
            <v>TIGE FILETEE INOX 20X100</v>
          </cell>
          <cell r="C1214" t="str">
            <v xml:space="preserve">TIGE FILETEE M 20 X 100 MM EN ACIER INOXYDABLE NUANCE AFNOR Z2 CND 17-13  /  AISI 316L  /  UGINE NSM 22 S  /  PROFIL ISO LIVREE AVEC 2 ECROUS HEXAGONAUX ET 2 RONDELLES PLATES M20 EN INOX 316L  </v>
          </cell>
          <cell r="D1214" t="str">
            <v>PE</v>
          </cell>
          <cell r="E1214" t="str">
            <v>522.52201</v>
          </cell>
          <cell r="F1214">
            <v>109.02</v>
          </cell>
          <cell r="G1214">
            <v>0</v>
          </cell>
          <cell r="H1214">
            <v>0</v>
          </cell>
          <cell r="I1214">
            <v>0</v>
          </cell>
          <cell r="J1214">
            <v>0</v>
          </cell>
          <cell r="K1214">
            <v>0</v>
          </cell>
          <cell r="L1214">
            <v>0</v>
          </cell>
        </row>
        <row r="1215">
          <cell r="A1215" t="str">
            <v>10061.09985</v>
          </cell>
          <cell r="B1215" t="str">
            <v>TIGE FILETEE M16X100</v>
          </cell>
          <cell r="C1215" t="str">
            <v>TIGE FILETEE EN ACIER A HAUTE RESISTANCE M16 X 100 MM</v>
          </cell>
          <cell r="D1215" t="str">
            <v>PE</v>
          </cell>
          <cell r="E1215" t="str">
            <v>522.52201</v>
          </cell>
          <cell r="F1215">
            <v>11.1936</v>
          </cell>
          <cell r="G1215">
            <v>0</v>
          </cell>
          <cell r="H1215">
            <v>0</v>
          </cell>
          <cell r="I1215">
            <v>0</v>
          </cell>
          <cell r="J1215">
            <v>80</v>
          </cell>
          <cell r="K1215">
            <v>0</v>
          </cell>
          <cell r="L1215">
            <v>0</v>
          </cell>
        </row>
        <row r="1216">
          <cell r="A1216" t="str">
            <v>10061.06822</v>
          </cell>
          <cell r="B1216" t="str">
            <v>VIS A TETE HEXAGONALE EN INOX 316L</v>
          </cell>
          <cell r="C1216" t="str">
            <v xml:space="preserve">VIS A TETE HEXAGONALE ENTIEREMENT FILETEE.SYMBOLE : HMN / FILETAGE : ISO.MATIERE : ACIER INOXYDABLE 316L.DIAMETRE : 8 MM  LONGUEUR : 30 MM </v>
          </cell>
          <cell r="D1216" t="str">
            <v>PE</v>
          </cell>
          <cell r="E1216" t="str">
            <v>522.52201</v>
          </cell>
          <cell r="F1216">
            <v>1.2</v>
          </cell>
          <cell r="G1216">
            <v>0</v>
          </cell>
          <cell r="H1216">
            <v>0</v>
          </cell>
          <cell r="I1216">
            <v>0</v>
          </cell>
          <cell r="J1216">
            <v>0</v>
          </cell>
          <cell r="K1216">
            <v>0</v>
          </cell>
          <cell r="L1216">
            <v>0</v>
          </cell>
        </row>
        <row r="1217">
          <cell r="A1217" t="str">
            <v>10061.09876</v>
          </cell>
          <cell r="B1217" t="str">
            <v>TIGE FILETE AVEC 2 ECROU  24 X 160</v>
          </cell>
          <cell r="C1217" t="str">
            <v xml:space="preserve">TIGE FILETEE 24 X 160 MM AVEC DEUX ECROUS HEXAGONAUXTIGE MU 7 EN ACIER A 193 B7(C0,38/0,48- Mn0,75/1- P0,040MAXI-S0,04MAXI- Si0,20/0,35- Cr0,8/1,1-Mo0,15/0,25 RESISTANCE MINI 88 Kg/mm2      -   LIMITE ELASTIQUE MINI 74 Kg/MM2ALLONGEMENT MINI SUR 2" 16% -   STRICTION MINI 50% ECROU HN EN ACIER ASTM 194 GRADE 2 R(C &gt; 0,40- P0,40MAXI-Si0,05MAXI) - DURETE BRINELL 248/352 </v>
          </cell>
          <cell r="D1217" t="str">
            <v>PE</v>
          </cell>
          <cell r="E1217" t="str">
            <v>522.52201</v>
          </cell>
          <cell r="F1217">
            <v>48.066099999999999</v>
          </cell>
          <cell r="G1217">
            <v>0</v>
          </cell>
          <cell r="H1217">
            <v>0</v>
          </cell>
          <cell r="I1217">
            <v>0</v>
          </cell>
          <cell r="J1217">
            <v>0</v>
          </cell>
          <cell r="K1217">
            <v>0</v>
          </cell>
          <cell r="L1217">
            <v>0</v>
          </cell>
        </row>
        <row r="1218">
          <cell r="A1218" t="str">
            <v>10061.09843</v>
          </cell>
          <cell r="B1218" t="str">
            <v>TIGE FILETEE L.1M D.24MM</v>
          </cell>
          <cell r="C1218" t="str">
            <v xml:space="preserve">TIGE FILETEE EN ACIER INOXYDABLE Z1 NCDU 25 - 20 CREUSOT LOIRE UB6 EN LONGUEUR 1 METRE  /  DIAMETRE 24 MM </v>
          </cell>
          <cell r="D1218" t="str">
            <v>PE</v>
          </cell>
          <cell r="E1218" t="str">
            <v>522.52201</v>
          </cell>
          <cell r="F1218">
            <v>808.995</v>
          </cell>
          <cell r="G1218">
            <v>0</v>
          </cell>
          <cell r="H1218">
            <v>4</v>
          </cell>
          <cell r="I1218">
            <v>0</v>
          </cell>
          <cell r="J1218">
            <v>0</v>
          </cell>
          <cell r="K1218">
            <v>0</v>
          </cell>
          <cell r="L1218">
            <v>0</v>
          </cell>
        </row>
        <row r="1219">
          <cell r="A1219" t="str">
            <v>10061.09986</v>
          </cell>
          <cell r="B1219" t="str">
            <v>TIGE FILETEE M16X120</v>
          </cell>
          <cell r="C1219" t="str">
            <v>TIGES FILETEES EN ACIER A HAUTE RESISTANCE M16 X 120 MM</v>
          </cell>
          <cell r="D1219" t="str">
            <v>PE</v>
          </cell>
          <cell r="E1219" t="str">
            <v>522.52201</v>
          </cell>
          <cell r="F1219">
            <v>11.449400000000001</v>
          </cell>
          <cell r="G1219">
            <v>0</v>
          </cell>
          <cell r="H1219">
            <v>0</v>
          </cell>
          <cell r="I1219">
            <v>0</v>
          </cell>
          <cell r="J1219">
            <v>0</v>
          </cell>
          <cell r="K1219">
            <v>0</v>
          </cell>
          <cell r="L1219">
            <v>0</v>
          </cell>
        </row>
        <row r="1220">
          <cell r="A1220" t="str">
            <v>10060.02075</v>
          </cell>
          <cell r="B1220" t="str">
            <v>MANOMETRE TUB.BOURDON.BAS</v>
          </cell>
          <cell r="C1220" t="str">
            <v xml:space="preserve">MANOMETRE A TUBE DE BOURDON CONSTRUCTION INOX 316L BAIN GLYCERINE ETANCHEITE DU BOITIER IP 55 CLASSE DE PRECISION : 1 DIAMETRE DU BOITIER EN (MM) : 100 MM DIAMETRE DU RACCORD 1/2 POUCE NPTM ECHELLE 0-16 BARS POSITION DU RACCORD : EN BAS COLLERETTE ARRIERE MATIERE ELEMENT PRIMAIRE INOX 316L </v>
          </cell>
          <cell r="D1220" t="str">
            <v>PE</v>
          </cell>
          <cell r="E1220" t="str">
            <v>512.51201</v>
          </cell>
          <cell r="F1220">
            <v>360</v>
          </cell>
          <cell r="G1220">
            <v>0</v>
          </cell>
          <cell r="H1220">
            <v>5</v>
          </cell>
          <cell r="I1220">
            <v>1</v>
          </cell>
          <cell r="J1220">
            <v>0</v>
          </cell>
          <cell r="K1220">
            <v>0</v>
          </cell>
          <cell r="L1220">
            <v>2</v>
          </cell>
        </row>
        <row r="1221">
          <cell r="A1221" t="str">
            <v>10060.01158</v>
          </cell>
          <cell r="B1221" t="str">
            <v>THERMOMETRE BIMETALLIQUE 0-100°C D:100MM</v>
          </cell>
          <cell r="C1221" t="str">
            <v xml:space="preserve">THERMOMETRE BIMETALLIQUE CONSTRUCTION INOX 316L MODELE HORIZONTAL ETANCHEITE DU BOITIER IP55 CLASSE DE PRECISION : 1 DIAMETRE DU BOITIER EN (MM) : 100 MM DIAMETRE DU RACCORD 1/2 POUCE NPT TYPE DU RACCORD FILETE TOURNANT ET COULISSANT DIAMETRE DE LA TIGE 8 MM LONGUEUR DE LA TIGE 375 MM ECHELLE 0 A 100 DEGRE CELCIUS </v>
          </cell>
          <cell r="D1221" t="str">
            <v>PE</v>
          </cell>
          <cell r="E1221" t="str">
            <v>512.51201</v>
          </cell>
          <cell r="F1221">
            <v>329</v>
          </cell>
          <cell r="G1221">
            <v>0</v>
          </cell>
          <cell r="H1221">
            <v>1</v>
          </cell>
          <cell r="I1221">
            <v>0</v>
          </cell>
          <cell r="J1221">
            <v>0</v>
          </cell>
          <cell r="K1221">
            <v>0</v>
          </cell>
          <cell r="L1221">
            <v>0</v>
          </cell>
        </row>
        <row r="1222">
          <cell r="A1222" t="str">
            <v>10060.01156</v>
          </cell>
          <cell r="B1222" t="str">
            <v>THERMOMETRE BIMETALLIQUE 0-50°C D:100MM</v>
          </cell>
          <cell r="C1222" t="str">
            <v xml:space="preserve">THERMOMETRE BIMETALIQUE CONSTRUCTION INOX 316L MODELE HORIZONTAL ETANCHEITE DU BOITIER IP55 CLASSE DE PRECISION : 1 DIAMETRE DU BOITIER : 100 MM DIAMETRE DU RACCORD 1/2 POUCE NPT TYPE DU RACCORD FILETE TOURNANT ET COULISSANT DIAMETRE DE LA TIGE 8 MM LONGUEUR DE LA TIGE 375 MM ECHELLE 0 A 50 DEGRE CELCIUS </v>
          </cell>
          <cell r="D1222" t="str">
            <v>PE</v>
          </cell>
          <cell r="E1222" t="str">
            <v>512.51201</v>
          </cell>
          <cell r="F1222">
            <v>329</v>
          </cell>
          <cell r="G1222">
            <v>0</v>
          </cell>
          <cell r="H1222">
            <v>2</v>
          </cell>
          <cell r="I1222">
            <v>0</v>
          </cell>
          <cell r="J1222">
            <v>0</v>
          </cell>
          <cell r="K1222">
            <v>0</v>
          </cell>
          <cell r="L1222">
            <v>0</v>
          </cell>
        </row>
        <row r="1223">
          <cell r="A1223" t="str">
            <v>10063.01198</v>
          </cell>
          <cell r="B1223" t="str">
            <v>ECROU HEXAGONAL D16 SYM.H</v>
          </cell>
          <cell r="C1223" t="str">
            <v xml:space="preserve">ECROU HEXAGONAL HMU 16 EN ACIER INOXYDABLE NUANCE : AFNOR  Z2 CND 17-13/AISI 316L/UGINE NSM 22 S SUIVANT NORME NF.E 25-401 / FILETAGE  ISO </v>
          </cell>
          <cell r="D1223" t="str">
            <v>PE</v>
          </cell>
          <cell r="E1223" t="str">
            <v>522.52201</v>
          </cell>
          <cell r="F1223">
            <v>3.3</v>
          </cell>
          <cell r="G1223">
            <v>0</v>
          </cell>
          <cell r="H1223">
            <v>0</v>
          </cell>
          <cell r="I1223">
            <v>0</v>
          </cell>
          <cell r="J1223">
            <v>0</v>
          </cell>
          <cell r="K1223">
            <v>150</v>
          </cell>
          <cell r="L1223">
            <v>0</v>
          </cell>
        </row>
        <row r="1224">
          <cell r="A1224" t="str">
            <v>10063.01244</v>
          </cell>
          <cell r="B1224" t="str">
            <v>ECROU HEXAG INOX UB6 20MM</v>
          </cell>
          <cell r="C1224" t="str">
            <v xml:space="preserve">ECROU HEXAGONAL HMU 20 EN ACIER INOXYDABLE NUANCE AFNOR Z1 NCDU 25.20 GENRE CREUSOT LOIRE UB6 SUIVANT NORME NF.E 25.401 / FILETAGE ISO </v>
          </cell>
          <cell r="D1224" t="str">
            <v>PE</v>
          </cell>
          <cell r="E1224" t="str">
            <v>522.52201</v>
          </cell>
          <cell r="F1224">
            <v>0</v>
          </cell>
          <cell r="G1224">
            <v>0</v>
          </cell>
          <cell r="H1224">
            <v>0</v>
          </cell>
          <cell r="I1224">
            <v>0</v>
          </cell>
          <cell r="J1224">
            <v>0</v>
          </cell>
          <cell r="K1224">
            <v>0</v>
          </cell>
          <cell r="L1224">
            <v>0</v>
          </cell>
        </row>
        <row r="1225">
          <cell r="A1225" t="str">
            <v>10063.00532</v>
          </cell>
          <cell r="B1225" t="str">
            <v>RONDELLE PLATE CADMIE M40</v>
          </cell>
          <cell r="C1225" t="str">
            <v>RONDELLE EN ACIER PLATE S/NORME:NF E 25.513- NF E 25.514- DIN125 SYMBOLE:M DIAMETRE 40 MM MATIERE ACIER A 50 (CADMIE) SERIE MOYENNE</v>
          </cell>
          <cell r="D1225" t="str">
            <v>PE</v>
          </cell>
          <cell r="E1225" t="str">
            <v>522.52201</v>
          </cell>
          <cell r="F1225">
            <v>7.7554999999999996</v>
          </cell>
          <cell r="G1225">
            <v>0</v>
          </cell>
          <cell r="H1225">
            <v>0</v>
          </cell>
          <cell r="I1225">
            <v>0</v>
          </cell>
          <cell r="J1225">
            <v>0</v>
          </cell>
          <cell r="K1225">
            <v>12</v>
          </cell>
          <cell r="L1225">
            <v>0</v>
          </cell>
        </row>
        <row r="1226">
          <cell r="A1226" t="str">
            <v>10063.00533</v>
          </cell>
          <cell r="B1226" t="str">
            <v>RONDELLE PLATE CADMIE M42</v>
          </cell>
          <cell r="C1226" t="str">
            <v>RONDELLE EN ACIER PLATE S/NORME:NF E 25.513- NF E 25.514- DIN125 SYMBOLE:M DIAMETRE 42 MM MATIERE ACIER A 50 (CADMIE) SERIE MOYENNE</v>
          </cell>
          <cell r="D1226" t="str">
            <v>PE</v>
          </cell>
          <cell r="E1226" t="str">
            <v>522.52201</v>
          </cell>
          <cell r="F1226">
            <v>2.9125999999999999</v>
          </cell>
          <cell r="G1226">
            <v>0</v>
          </cell>
          <cell r="H1226">
            <v>0</v>
          </cell>
          <cell r="I1226">
            <v>0</v>
          </cell>
          <cell r="J1226">
            <v>0</v>
          </cell>
          <cell r="K1226">
            <v>0</v>
          </cell>
          <cell r="L1226">
            <v>120</v>
          </cell>
        </row>
        <row r="1227">
          <cell r="A1227" t="str">
            <v>10063.00534</v>
          </cell>
          <cell r="B1227" t="str">
            <v>RONDELLE PLATE HR 8.8 M62</v>
          </cell>
          <cell r="C1227" t="str">
            <v>RONDELLE PLATE  ACIER ALLIE HAUTE RESISTANCE CLASSE 8.8 DIAMETRE 62 MM</v>
          </cell>
          <cell r="D1227" t="str">
            <v>PE</v>
          </cell>
          <cell r="E1227" t="str">
            <v>522.52201</v>
          </cell>
          <cell r="F1227">
            <v>126.25530000000001</v>
          </cell>
          <cell r="G1227">
            <v>0</v>
          </cell>
          <cell r="H1227">
            <v>0</v>
          </cell>
          <cell r="I1227">
            <v>0</v>
          </cell>
          <cell r="J1227">
            <v>0</v>
          </cell>
          <cell r="K1227">
            <v>0</v>
          </cell>
          <cell r="L1227">
            <v>20</v>
          </cell>
        </row>
        <row r="1228">
          <cell r="A1228" t="str">
            <v>10063.00535</v>
          </cell>
          <cell r="B1228" t="str">
            <v>RONDELLE PLATE HR 8.8 M48</v>
          </cell>
          <cell r="C1228" t="str">
            <v>RONDELLE PLATE  ACIER ALLIE HAUTE RESISTANCE CLASSE 8.8 DIAMETRE 48 MM</v>
          </cell>
          <cell r="D1228" t="str">
            <v>PE</v>
          </cell>
          <cell r="E1228" t="str">
            <v>522.52201</v>
          </cell>
          <cell r="F1228">
            <v>25.226700000000001</v>
          </cell>
          <cell r="G1228">
            <v>0</v>
          </cell>
          <cell r="H1228">
            <v>0</v>
          </cell>
          <cell r="I1228">
            <v>0</v>
          </cell>
          <cell r="J1228">
            <v>0</v>
          </cell>
          <cell r="K1228">
            <v>0</v>
          </cell>
          <cell r="L1228">
            <v>20</v>
          </cell>
        </row>
        <row r="1229">
          <cell r="A1229" t="str">
            <v>10063.00536</v>
          </cell>
          <cell r="B1229" t="str">
            <v>RONDELLE PLATE HR 8.8 M40</v>
          </cell>
          <cell r="C1229" t="str">
            <v>RONDELLE PLATE  ACIER ALLIE HAUTE RESISTANCE CLASSE 8.8 DIAMETRE 40 MM</v>
          </cell>
          <cell r="D1229" t="str">
            <v>PE</v>
          </cell>
          <cell r="E1229" t="str">
            <v>522.52201</v>
          </cell>
          <cell r="F1229">
            <v>16.232800000000001</v>
          </cell>
          <cell r="G1229">
            <v>0</v>
          </cell>
          <cell r="H1229">
            <v>0</v>
          </cell>
          <cell r="I1229">
            <v>0</v>
          </cell>
          <cell r="J1229">
            <v>0</v>
          </cell>
          <cell r="K1229">
            <v>0</v>
          </cell>
          <cell r="L1229">
            <v>20</v>
          </cell>
        </row>
        <row r="1230">
          <cell r="A1230" t="str">
            <v>10063.00537</v>
          </cell>
          <cell r="B1230" t="str">
            <v>RONDELLE PLATE HR 8.8 M36</v>
          </cell>
          <cell r="C1230" t="str">
            <v>RONDELLE PLATE  ACIER ALLIE HAUTE RESISTANCE CLASSE 8.8 DIAMETRE 36 MM</v>
          </cell>
          <cell r="D1230" t="str">
            <v>PE</v>
          </cell>
          <cell r="E1230" t="str">
            <v>522.52201</v>
          </cell>
          <cell r="F1230">
            <v>4.3</v>
          </cell>
          <cell r="G1230">
            <v>0</v>
          </cell>
          <cell r="H1230">
            <v>0</v>
          </cell>
          <cell r="I1230">
            <v>0</v>
          </cell>
          <cell r="J1230">
            <v>0</v>
          </cell>
          <cell r="K1230">
            <v>0</v>
          </cell>
          <cell r="L1230">
            <v>98</v>
          </cell>
        </row>
        <row r="1231">
          <cell r="A1231" t="str">
            <v>10065.00972</v>
          </cell>
          <cell r="B1231" t="str">
            <v>POULIE A MOYEU SPA D355MM</v>
          </cell>
          <cell r="C1231" t="str">
            <v>POULIE A MOYEU ET DOUILLE DE SERRAGE TYPE MAGIC GRIP.T.SECTION: SPA.DIAMETRE:355 MM.NOMBRE DE GORGES: 2.NUMERO DE LA DOUILLE: 60.ALESAGE MINI MAXI:16-60</v>
          </cell>
          <cell r="D1231" t="str">
            <v>PE</v>
          </cell>
          <cell r="E1231" t="str">
            <v>515.51515</v>
          </cell>
          <cell r="F1231">
            <v>530</v>
          </cell>
          <cell r="G1231">
            <v>0</v>
          </cell>
          <cell r="H1231">
            <v>0</v>
          </cell>
          <cell r="I1231">
            <v>0</v>
          </cell>
          <cell r="J1231">
            <v>0</v>
          </cell>
          <cell r="K1231">
            <v>0</v>
          </cell>
          <cell r="L1231">
            <v>2</v>
          </cell>
        </row>
        <row r="1232">
          <cell r="A1232" t="str">
            <v>10060.01183</v>
          </cell>
          <cell r="B1232" t="str">
            <v>THERMOMETRE BIMETALLIQUE 0-100°C D:100MM</v>
          </cell>
          <cell r="C1232" t="str">
            <v xml:space="preserve">THERMOMETRE BIMETALLIQUE CONSTRUCTION INOX 316L MODELE VERTICAL RACCORD FILETE TOURNANT ET COULISSANT ETANCHEITE DU BOITIER IP55 CLASSE DE PRECISION : 1 DIAMETRE DU BOITIER EN (MM) : 100 MM DIAMETRE DU RACCORD 1/2 POUCE NPT DIAMETRE DE LA TIGE 6 MM LONGUEUR DE LA TIGE 300 MM ECHELLE 0-100 DEG C LONGUEUR DU CAPILLAIRE 6 METRES. </v>
          </cell>
          <cell r="D1232" t="str">
            <v>PE</v>
          </cell>
          <cell r="E1232" t="str">
            <v>512.51201</v>
          </cell>
          <cell r="F1232">
            <v>1589.5</v>
          </cell>
          <cell r="G1232">
            <v>0</v>
          </cell>
          <cell r="H1232">
            <v>1</v>
          </cell>
          <cell r="I1232">
            <v>0</v>
          </cell>
          <cell r="J1232">
            <v>0</v>
          </cell>
          <cell r="K1232">
            <v>0</v>
          </cell>
          <cell r="L1232">
            <v>0</v>
          </cell>
        </row>
        <row r="1233">
          <cell r="A1233" t="str">
            <v>10060.01187</v>
          </cell>
          <cell r="B1233" t="str">
            <v>THERMOMETRE BIMETALLIQUE 0-40°C D:100MM</v>
          </cell>
          <cell r="C1233" t="str">
            <v xml:space="preserve">THERMOMETRE BIMETALLIQUE CONSTRUCTION INOX 316L MODELE VERTICAL ETANCHEITE DU BOITIER IP55 CLASSE DE PRECISION : 1 DIAMETRE DU BOITIER EN (MM) : 100 MM DIAMETRE DU RACCORD 1/2 POUCE NPT TYPE DU RACCORD FILETE TOURNANT ET COULISSANT DIAMETRE DE LA TIGE 6 MM LONGUEUR DE LA TIGE 360 MM ECHELLE 0A 40 DEGRE CELCIUS LONGUEUR DU CAPILLAIRE 6 METRES </v>
          </cell>
          <cell r="D1233" t="str">
            <v>PE</v>
          </cell>
          <cell r="E1233" t="str">
            <v>512.51201</v>
          </cell>
          <cell r="F1233">
            <v>639</v>
          </cell>
          <cell r="G1233">
            <v>0</v>
          </cell>
          <cell r="H1233">
            <v>0</v>
          </cell>
          <cell r="I1233">
            <v>0</v>
          </cell>
          <cell r="J1233">
            <v>0</v>
          </cell>
          <cell r="K1233">
            <v>0</v>
          </cell>
          <cell r="L1233">
            <v>6</v>
          </cell>
        </row>
        <row r="1234">
          <cell r="A1234" t="str">
            <v>10060.01169</v>
          </cell>
          <cell r="B1234" t="str">
            <v>THERMOMETRE BIMETALLIQUE 0-200°C D:100MM</v>
          </cell>
          <cell r="C1234" t="str">
            <v xml:space="preserve">THERMOMETRE BIMETALLIQUE CONSTRUCTION INOX 316L MODELE HORIZONTAL RACCORD FILETE TOURNANT ET COULISSANT ETANCHEITE DU BOITIER IP 55 CLASSE DE PRECISION : 1 DIAMETRE DU BOITIER: 100 MM DIAMETRE DU RACCORD 1/2 POUCE NPT DIAMETRE DE LA TIGE 6 MM LONGUEUR DE LA TIGE 300 MM ECHELLE 0+200 DEGRE </v>
          </cell>
          <cell r="D1234" t="str">
            <v>PE</v>
          </cell>
          <cell r="E1234" t="str">
            <v>512.51201</v>
          </cell>
          <cell r="F1234">
            <v>329</v>
          </cell>
          <cell r="G1234">
            <v>0</v>
          </cell>
          <cell r="H1234">
            <v>0</v>
          </cell>
          <cell r="I1234">
            <v>0</v>
          </cell>
          <cell r="J1234">
            <v>0</v>
          </cell>
          <cell r="K1234">
            <v>0</v>
          </cell>
          <cell r="L1234">
            <v>2</v>
          </cell>
        </row>
        <row r="1235">
          <cell r="A1235" t="str">
            <v>10060.01190</v>
          </cell>
          <cell r="B1235" t="str">
            <v>THERMO.S.BIMETAL:0-60</v>
          </cell>
          <cell r="C1235" t="str">
            <v xml:space="preserve">APPAREILS DE MESURE ET DE CONTROLE THERMOMETRE BIMETALIQUE CONSTRUCTION INOX 316L MODELE VERTICAL RACCORD FILETE TOURNANT ET COULISSANT ETANCHEITE DU BOITIER IP 55 CLASSE DE PRECISION : 1 DIAMETRE DU BOITIER EN (MM) : 100 MM DIAMETRE DE LA TIGE 6 MM LONGUEUR DE LA TIGE 300 MM ECHELLE 0-60 DEGRE RACCORDEMENT : 1/2 POUCE NPT </v>
          </cell>
          <cell r="D1235" t="str">
            <v>PE</v>
          </cell>
          <cell r="E1235" t="str">
            <v>512.51201</v>
          </cell>
          <cell r="F1235">
            <v>566</v>
          </cell>
          <cell r="G1235">
            <v>0</v>
          </cell>
          <cell r="H1235">
            <v>0</v>
          </cell>
          <cell r="I1235">
            <v>0</v>
          </cell>
          <cell r="J1235">
            <v>0</v>
          </cell>
          <cell r="K1235">
            <v>0</v>
          </cell>
          <cell r="L1235">
            <v>6</v>
          </cell>
        </row>
        <row r="1236">
          <cell r="A1236" t="str">
            <v>10064.00902</v>
          </cell>
          <cell r="B1236" t="str">
            <v>CADENAS DE CONSIGNATION CATU AL 230-FM</v>
          </cell>
          <cell r="C1236" t="str">
            <v>CADENAS DE CONSIGNATION GENRE CATU REFERENCE  AL-230-FM AVEC CLE REF. 1111</v>
          </cell>
          <cell r="D1236" t="str">
            <v>PE</v>
          </cell>
          <cell r="E1236" t="str">
            <v>522.52203</v>
          </cell>
          <cell r="F1236">
            <v>109.956</v>
          </cell>
          <cell r="G1236">
            <v>0</v>
          </cell>
          <cell r="H1236">
            <v>0</v>
          </cell>
          <cell r="I1236">
            <v>0</v>
          </cell>
          <cell r="J1236">
            <v>0</v>
          </cell>
          <cell r="K1236">
            <v>0</v>
          </cell>
          <cell r="L1236">
            <v>0</v>
          </cell>
        </row>
        <row r="1237">
          <cell r="A1237" t="str">
            <v>10060.01197</v>
          </cell>
          <cell r="B1237" t="str">
            <v>THERMOMETRE BIMETALLIQUE 0-160°C D:100MM</v>
          </cell>
          <cell r="C1237" t="str">
            <v xml:space="preserve">THERMOMETRE BIMETALLIQUE CONSTRUCTION INOX 316L MODELE VERTICAL ETANCHEITE DU BOITIER IP 55 CLASSE DE PRECISION : 1 DIAMETRE DU BOITIER EN (MM) : 100 MM DIAMETRE DU RACCORD 1/2 POUCE NPT TYPE DU RACCORD FILETE TOURNANT ET COULISSANT DIAMETRE DE LA TIGE 6 MM LONGUEUR DE LA TIGE 500 MM ECHELLE 0 A 160 DEGRE CELCIUS LONGUEUR DU CAPILLAIRE 6 METRES </v>
          </cell>
          <cell r="D1237" t="str">
            <v>PE</v>
          </cell>
          <cell r="E1237" t="str">
            <v>512.51201</v>
          </cell>
          <cell r="F1237">
            <v>2250</v>
          </cell>
          <cell r="G1237">
            <v>0</v>
          </cell>
          <cell r="H1237">
            <v>0</v>
          </cell>
          <cell r="I1237">
            <v>0</v>
          </cell>
          <cell r="J1237">
            <v>0</v>
          </cell>
          <cell r="K1237">
            <v>0</v>
          </cell>
          <cell r="L1237">
            <v>2</v>
          </cell>
        </row>
        <row r="1238">
          <cell r="A1238" t="str">
            <v>10061.09907</v>
          </cell>
          <cell r="B1238" t="str">
            <v>TIGE FILETE 16X90+2ECROU</v>
          </cell>
          <cell r="C1238" t="str">
            <v xml:space="preserve">TIGE FILETEE 16X90 MM EN ACIER A 193 GR B7 AVEC 2 ECROUS HEXAGONAUX FILETAGE ISO </v>
          </cell>
          <cell r="D1238" t="str">
            <v>PE</v>
          </cell>
          <cell r="E1238" t="str">
            <v>522.52201</v>
          </cell>
          <cell r="F1238">
            <v>36.516500000000001</v>
          </cell>
          <cell r="G1238">
            <v>0</v>
          </cell>
          <cell r="H1238">
            <v>0</v>
          </cell>
          <cell r="I1238">
            <v>0</v>
          </cell>
          <cell r="J1238">
            <v>100</v>
          </cell>
          <cell r="K1238">
            <v>0</v>
          </cell>
          <cell r="L1238">
            <v>0</v>
          </cell>
        </row>
        <row r="1239">
          <cell r="A1239" t="str">
            <v>10061.09913</v>
          </cell>
          <cell r="B1239" t="str">
            <v>TIGE FILETE 16X190+2ECROU</v>
          </cell>
          <cell r="C1239" t="str">
            <v xml:space="preserve">TIGE FILETEE 16X190 MM EN ACIER A 193 GR B7 AVEC 2 ECROUS HEXAGONAUX FILETAGE ISO </v>
          </cell>
          <cell r="D1239" t="str">
            <v>PE</v>
          </cell>
          <cell r="E1239" t="str">
            <v>522.52201</v>
          </cell>
          <cell r="F1239">
            <v>26.168600000000001</v>
          </cell>
          <cell r="G1239">
            <v>0</v>
          </cell>
          <cell r="H1239">
            <v>0</v>
          </cell>
          <cell r="I1239">
            <v>0</v>
          </cell>
          <cell r="J1239">
            <v>0</v>
          </cell>
          <cell r="K1239">
            <v>0</v>
          </cell>
          <cell r="L1239">
            <v>0</v>
          </cell>
        </row>
        <row r="1240">
          <cell r="A1240" t="str">
            <v>10061.09916</v>
          </cell>
          <cell r="B1240" t="str">
            <v>TIGE FILETE 18X100+2ECROU</v>
          </cell>
          <cell r="C1240" t="str">
            <v xml:space="preserve">TIGE FILETEE 18X100 MM EN ACIER A 193 GR B7 AVEC 2 ECROUS HEXAGONAUX FILETAGE ISO </v>
          </cell>
          <cell r="D1240" t="str">
            <v>PE</v>
          </cell>
          <cell r="E1240" t="str">
            <v>522.52201</v>
          </cell>
          <cell r="F1240">
            <v>17.928599999999999</v>
          </cell>
          <cell r="G1240">
            <v>0</v>
          </cell>
          <cell r="H1240">
            <v>0</v>
          </cell>
          <cell r="I1240">
            <v>0</v>
          </cell>
          <cell r="J1240">
            <v>0</v>
          </cell>
          <cell r="K1240">
            <v>0</v>
          </cell>
          <cell r="L1240">
            <v>0</v>
          </cell>
        </row>
        <row r="1241">
          <cell r="A1241" t="str">
            <v>10061.09918</v>
          </cell>
          <cell r="B1241" t="str">
            <v>TIGE FILETE 22X120+2ECROU</v>
          </cell>
          <cell r="C1241" t="str">
            <v xml:space="preserve">TIGE FILETEE 22X120 MM EN ACIER A 193 GR B7 AVEC 2 ECROUS HEXAGONAUX FILETAGE ISO </v>
          </cell>
          <cell r="D1241" t="str">
            <v>PE</v>
          </cell>
          <cell r="E1241" t="str">
            <v>522.52201</v>
          </cell>
          <cell r="F1241">
            <v>25.610700000000001</v>
          </cell>
          <cell r="G1241">
            <v>0</v>
          </cell>
          <cell r="H1241">
            <v>0</v>
          </cell>
          <cell r="I1241">
            <v>0</v>
          </cell>
          <cell r="J1241">
            <v>0</v>
          </cell>
          <cell r="K1241">
            <v>0</v>
          </cell>
          <cell r="L1241">
            <v>0</v>
          </cell>
        </row>
        <row r="1242">
          <cell r="A1242" t="str">
            <v>10060.01206</v>
          </cell>
          <cell r="B1242" t="str">
            <v>THERMO.S.BIMETAL:0-600</v>
          </cell>
          <cell r="C1242" t="str">
            <v xml:space="preserve">THERMOMETRE BIMETALIQUE CONSTRUCTION INOX 316L MODELE VERTICAL RACCORD FILETE TOURNANT ET COULISSANT ETANCHEITE DU BOITIER IP 55 CLASSE DE PRECISION : 1 DIAMETRE DU BOITIER EN (MM) : 100 MM DIAMETRE DE LA TIGE 6 MM LONGUEUR DE LA TIGE 400 MM ECHELLE 0-600 DEGRE RACCORDEMENT : 1/2 POUCE NPT </v>
          </cell>
          <cell r="D1242" t="str">
            <v>PE</v>
          </cell>
          <cell r="E1242" t="str">
            <v>512.51201</v>
          </cell>
          <cell r="F1242">
            <v>608</v>
          </cell>
          <cell r="G1242">
            <v>0</v>
          </cell>
          <cell r="H1242">
            <v>1</v>
          </cell>
          <cell r="I1242">
            <v>0</v>
          </cell>
          <cell r="J1242">
            <v>0</v>
          </cell>
          <cell r="K1242">
            <v>0</v>
          </cell>
          <cell r="L1242">
            <v>0</v>
          </cell>
        </row>
        <row r="1243">
          <cell r="A1243" t="str">
            <v>10054.00950</v>
          </cell>
          <cell r="B1243" t="str">
            <v>EXTRACTEUR D'AIR A VENTILATEUR HELICOIDALE DEBIT 3700 M3/H POURLES SALLES DE TRANSFORMATEUR BT ET MT</v>
          </cell>
          <cell r="C1243" t="str">
            <v>EXTRACTEUR D'AIR A VENTILATEUR HELICOIDALE  DEBIT 3700 M3/H POURLES SALLES DE TRANSFORMATEUR BT ET MT CARCASSE : CARREE / DIAMETRE : 420MM / DIM : 500X500X208MM /POIDS : 8,5KG / FINITION : ACIER / PRESSION MAXI : 16MM H2O / MOTEUR : VOLTAGE=50HZ 220V  PUISSANCE=190W  SECURITE=CLASSE 2</v>
          </cell>
          <cell r="D1243" t="str">
            <v>PE</v>
          </cell>
          <cell r="E1243" t="str">
            <v>522.52206</v>
          </cell>
          <cell r="F1243">
            <v>13037</v>
          </cell>
          <cell r="G1243">
            <v>0</v>
          </cell>
          <cell r="H1243">
            <v>0</v>
          </cell>
          <cell r="I1243">
            <v>2</v>
          </cell>
          <cell r="J1243">
            <v>0</v>
          </cell>
          <cell r="K1243">
            <v>0</v>
          </cell>
          <cell r="L1243">
            <v>0</v>
          </cell>
        </row>
        <row r="1244">
          <cell r="A1244" t="str">
            <v>10053.07588</v>
          </cell>
          <cell r="B1244" t="str">
            <v>BALLAST</v>
          </cell>
          <cell r="C1244" t="str">
            <v>BALLAST POUR TUBE FLUORESCENTE A ALLUMAGE PAR STARTER TENSION 220V - 50HZ NON COMPENSE PUISSANCE 1 X 40 W GENRE MAZDA = M40N20 , PHILIPS = BTP40L05 ,CLAUDE = SA 40.22</v>
          </cell>
          <cell r="D1244" t="str">
            <v>PE</v>
          </cell>
          <cell r="E1244" t="str">
            <v>522.52206</v>
          </cell>
          <cell r="F1244">
            <v>14.2187</v>
          </cell>
          <cell r="G1244">
            <v>0</v>
          </cell>
          <cell r="H1244">
            <v>0</v>
          </cell>
          <cell r="I1244">
            <v>0</v>
          </cell>
          <cell r="J1244">
            <v>0</v>
          </cell>
          <cell r="K1244">
            <v>0</v>
          </cell>
          <cell r="L1244">
            <v>212</v>
          </cell>
        </row>
        <row r="1245">
          <cell r="A1245" t="str">
            <v>10053.07563</v>
          </cell>
          <cell r="B1245" t="str">
            <v>CONDENSATEUR 10MF P/LUMINAIRE</v>
          </cell>
          <cell r="C1245" t="str">
            <v xml:space="preserve">CONDENSATEUR POUR LUMINAIRE TENSION 220V 50HZ , CAPACITE = 10 MF + OU - 10 POUR CENT DIMENSIONS 35 X 80 MM , LIVRE AVEC CONNECTEUR DE BRANCHEMENT , A RESISTANCE DE DECHARGE INCORPORE </v>
          </cell>
          <cell r="D1245" t="str">
            <v>PE</v>
          </cell>
          <cell r="E1245" t="str">
            <v>522.52206</v>
          </cell>
          <cell r="F1245">
            <v>12.36</v>
          </cell>
          <cell r="G1245">
            <v>0</v>
          </cell>
          <cell r="H1245">
            <v>0</v>
          </cell>
          <cell r="I1245">
            <v>0</v>
          </cell>
          <cell r="J1245">
            <v>0</v>
          </cell>
          <cell r="K1245">
            <v>0</v>
          </cell>
          <cell r="L1245">
            <v>450</v>
          </cell>
        </row>
        <row r="1246">
          <cell r="A1246" t="str">
            <v>10063.08210</v>
          </cell>
          <cell r="B1246" t="str">
            <v>RONDELLE PLATE EN INOX</v>
          </cell>
          <cell r="C1246" t="str">
            <v>RONDELLE PLATE EN INOX AISI 304 L NORME DIN 125 DIA 20 MM</v>
          </cell>
          <cell r="D1246" t="str">
            <v>PE</v>
          </cell>
          <cell r="E1246" t="str">
            <v>522.52201</v>
          </cell>
          <cell r="F1246">
            <v>1.48</v>
          </cell>
          <cell r="G1246">
            <v>0</v>
          </cell>
          <cell r="H1246">
            <v>0</v>
          </cell>
          <cell r="I1246">
            <v>0</v>
          </cell>
          <cell r="J1246">
            <v>0</v>
          </cell>
          <cell r="K1246">
            <v>0</v>
          </cell>
          <cell r="L1246">
            <v>0</v>
          </cell>
        </row>
        <row r="1247">
          <cell r="A1247" t="str">
            <v>10063.08212</v>
          </cell>
          <cell r="B1247" t="str">
            <v>RONDELLE PLATE EN INOX</v>
          </cell>
          <cell r="C1247" t="str">
            <v>RONDELLE PLATE EN INOX AISI 304 L NORME DIN 125DIA 16 MM</v>
          </cell>
          <cell r="D1247" t="str">
            <v>PE</v>
          </cell>
          <cell r="E1247" t="str">
            <v>522.52201</v>
          </cell>
          <cell r="F1247">
            <v>0.94399999999999995</v>
          </cell>
          <cell r="G1247">
            <v>0</v>
          </cell>
          <cell r="H1247">
            <v>0</v>
          </cell>
          <cell r="I1247">
            <v>0</v>
          </cell>
          <cell r="J1247">
            <v>0</v>
          </cell>
          <cell r="K1247">
            <v>0</v>
          </cell>
          <cell r="L1247">
            <v>0</v>
          </cell>
        </row>
        <row r="1248">
          <cell r="A1248" t="str">
            <v>10063.00530</v>
          </cell>
          <cell r="B1248" t="str">
            <v>RONDELLE PLATE CADMIE M30</v>
          </cell>
          <cell r="C1248" t="str">
            <v>RONDELLE EN ACIER PLATE S/NORME:NF E 25.513- NF E 25.514- DIN125 SYMBOLE:M DIAMETRE 30 MM MATIERE ACIER A 50 (CADMIE) SERIE MOYENNE</v>
          </cell>
          <cell r="D1248" t="str">
            <v>PE</v>
          </cell>
          <cell r="E1248" t="str">
            <v>522.52201</v>
          </cell>
          <cell r="F1248">
            <v>1.9377</v>
          </cell>
          <cell r="G1248">
            <v>0</v>
          </cell>
          <cell r="H1248">
            <v>0</v>
          </cell>
          <cell r="I1248">
            <v>0</v>
          </cell>
          <cell r="J1248">
            <v>0</v>
          </cell>
          <cell r="K1248">
            <v>60</v>
          </cell>
          <cell r="L1248">
            <v>0</v>
          </cell>
        </row>
        <row r="1249">
          <cell r="A1249" t="str">
            <v>10063.00531</v>
          </cell>
          <cell r="B1249" t="str">
            <v>RONDELLE PLATE CADMIE M33</v>
          </cell>
          <cell r="C1249" t="str">
            <v>RONDELLE EN ACIER PLATE S/NORME:NF E 25.513- NF E 25.514- DIN125 SYMBOLE:M DIAMETRE 33 MM MATIERE ACIER A 50 (CADMIE) SERIE MOYENNE</v>
          </cell>
          <cell r="D1249" t="str">
            <v>PE</v>
          </cell>
          <cell r="E1249" t="str">
            <v>522.52201</v>
          </cell>
          <cell r="F1249">
            <v>2.0960999999999999</v>
          </cell>
          <cell r="G1249">
            <v>0</v>
          </cell>
          <cell r="H1249">
            <v>0</v>
          </cell>
          <cell r="I1249">
            <v>0</v>
          </cell>
          <cell r="J1249">
            <v>0</v>
          </cell>
          <cell r="K1249">
            <v>32</v>
          </cell>
          <cell r="L1249">
            <v>0</v>
          </cell>
        </row>
        <row r="1250">
          <cell r="A1250" t="str">
            <v>10053.07638</v>
          </cell>
          <cell r="B1250" t="str">
            <v>BALLAST P/LAMP A DECHARGE</v>
          </cell>
          <cell r="C1250" t="str">
            <v xml:space="preserve">BALLAST POUR LAMPE  A VAPEUR DE MERCURE  TENSION   220V / 50HZ    PUISSANCE 400W                                                      GENRE MAZDA = M400 MA22  ;  PHILIPS = BHL 400                                   </v>
          </cell>
          <cell r="D1250" t="str">
            <v>PE</v>
          </cell>
          <cell r="E1250" t="str">
            <v>522.52206</v>
          </cell>
          <cell r="F1250">
            <v>152.16</v>
          </cell>
          <cell r="G1250">
            <v>0</v>
          </cell>
          <cell r="H1250">
            <v>0</v>
          </cell>
          <cell r="I1250">
            <v>0</v>
          </cell>
          <cell r="J1250">
            <v>0</v>
          </cell>
          <cell r="K1250">
            <v>0</v>
          </cell>
          <cell r="L1250">
            <v>80</v>
          </cell>
        </row>
        <row r="1251">
          <cell r="A1251" t="str">
            <v>10053.07668</v>
          </cell>
          <cell r="B1251" t="str">
            <v>BALLAST P/LAMP.A DECHARGE</v>
          </cell>
          <cell r="C1251" t="str">
            <v xml:space="preserve">ECLAIRAGE ET MATERIEL UTILISANT L'ENERGIE ELECTRIQUE APPAREILLAGE D'ALIMENTATION DES LAMPES BALLAST . DESIGNATION POUR LAMPE A DECHARGE DE 400 W , A VAPEUR DE SODIUM HAUTE PRESSION TENSION 220 V 50 HZ PUISSANCE 400 W GENRE MAZDA = M400MAC2 , PHILIPS = BSN 400 </v>
          </cell>
          <cell r="D1251" t="str">
            <v>PE</v>
          </cell>
          <cell r="E1251" t="str">
            <v>522.52206</v>
          </cell>
          <cell r="F1251">
            <v>145.9872</v>
          </cell>
          <cell r="G1251">
            <v>0</v>
          </cell>
          <cell r="H1251">
            <v>0</v>
          </cell>
          <cell r="I1251">
            <v>0</v>
          </cell>
          <cell r="J1251">
            <v>0</v>
          </cell>
          <cell r="K1251">
            <v>0</v>
          </cell>
          <cell r="L1251">
            <v>135</v>
          </cell>
        </row>
        <row r="1252">
          <cell r="A1252" t="str">
            <v>10064.00620</v>
          </cell>
          <cell r="B1252" t="str">
            <v>CADENA SURETE 50</v>
          </cell>
          <cell r="C1252" t="str">
            <v xml:space="preserve">QUINCAILLERIE CADENAS . . DIMENSIONS : 50 MM COMPOSITION : A 2 CLES EN ACIER VERNI QUALITE DE SURETE,AUTOMATIQUE </v>
          </cell>
          <cell r="D1252" t="str">
            <v>PE</v>
          </cell>
          <cell r="E1252" t="str">
            <v>522.52203</v>
          </cell>
          <cell r="F1252">
            <v>109.956</v>
          </cell>
          <cell r="G1252">
            <v>0</v>
          </cell>
          <cell r="H1252">
            <v>0</v>
          </cell>
          <cell r="I1252">
            <v>0</v>
          </cell>
          <cell r="J1252">
            <v>0</v>
          </cell>
          <cell r="K1252">
            <v>0</v>
          </cell>
          <cell r="L1252">
            <v>0</v>
          </cell>
        </row>
        <row r="1253">
          <cell r="A1253" t="str">
            <v>10064.00621</v>
          </cell>
          <cell r="B1253" t="str">
            <v>CADENA SURETE 60</v>
          </cell>
          <cell r="C1253" t="str">
            <v xml:space="preserve">CADENAS DE SURETE AUTOMATIQUE DE 60 MM A 2 CLES EN ACIER VERNI  </v>
          </cell>
          <cell r="D1253" t="str">
            <v>PE</v>
          </cell>
          <cell r="E1253" t="str">
            <v>522.52203</v>
          </cell>
          <cell r="F1253">
            <v>109.956</v>
          </cell>
          <cell r="G1253">
            <v>0</v>
          </cell>
          <cell r="H1253">
            <v>0</v>
          </cell>
          <cell r="I1253">
            <v>0</v>
          </cell>
          <cell r="J1253">
            <v>0</v>
          </cell>
          <cell r="K1253">
            <v>0</v>
          </cell>
          <cell r="L1253">
            <v>0</v>
          </cell>
        </row>
        <row r="1254">
          <cell r="A1254" t="str">
            <v>10060.02224</v>
          </cell>
          <cell r="B1254" t="str">
            <v>MANOMETRE.TUB.BOURDON.BAS</v>
          </cell>
          <cell r="C1254" t="str">
            <v xml:space="preserve">MANOMETRE A TUBE DE BOURDON CONSTRUCTION INOX 316L BAIN GLYCERINE ETANCHEITE DU BOITIER IP 55 CLASSE DE PRECISION : 1 DIAMETRE DU BOITIER EN (MM) : 100 MM ECHELLE 0-16 BARS POSITION DU RACCORD : EN BAS COLLERETTE SANS MATIERE ELEMENT PRIMAIRE INOX 316L RACCORDEMENT : 1/2 POUCE NPT </v>
          </cell>
          <cell r="D1254" t="str">
            <v>PE</v>
          </cell>
          <cell r="E1254" t="str">
            <v>512.51201</v>
          </cell>
          <cell r="F1254">
            <v>308</v>
          </cell>
          <cell r="G1254">
            <v>1</v>
          </cell>
          <cell r="H1254">
            <v>2</v>
          </cell>
          <cell r="I1254">
            <v>0</v>
          </cell>
          <cell r="J1254">
            <v>0</v>
          </cell>
          <cell r="K1254">
            <v>0</v>
          </cell>
          <cell r="L1254">
            <v>0</v>
          </cell>
        </row>
        <row r="1255">
          <cell r="A1255" t="str">
            <v>10060.02226</v>
          </cell>
          <cell r="B1255" t="str">
            <v>MANOMETRE.TUB.BOURDON.BAS</v>
          </cell>
          <cell r="C1255" t="str">
            <v xml:space="preserve">MANOMETRE A TUBE DE BOURDON CONSTRUCTION INOX 316L BAIN GLYCERINE ETANCHEITE DU BOITIER IP 55 CLASSE DE PRECISION : 1 DIAMETRE DU BOITIER EN (MM) : 100 MM DIAMETRE DU RACCORD 1/2 POUCE NPT ECHELLE 0-25 BARS POSITION DU RACCORD : EN BAS COLLERETTE SANS MATIERE ELEMENT PRIMAIRE INOX 316L </v>
          </cell>
          <cell r="D1255" t="str">
            <v>PE</v>
          </cell>
          <cell r="E1255" t="str">
            <v>512.51201</v>
          </cell>
          <cell r="F1255">
            <v>270</v>
          </cell>
          <cell r="G1255">
            <v>0</v>
          </cell>
          <cell r="H1255">
            <v>0</v>
          </cell>
          <cell r="I1255">
            <v>0</v>
          </cell>
          <cell r="J1255">
            <v>1</v>
          </cell>
          <cell r="K1255">
            <v>0</v>
          </cell>
          <cell r="L1255">
            <v>2</v>
          </cell>
        </row>
        <row r="1256">
          <cell r="A1256" t="str">
            <v>10064.00637</v>
          </cell>
          <cell r="B1256" t="str">
            <v>CADENAS DE SURETE DE 55</v>
          </cell>
          <cell r="C1256" t="str">
            <v xml:space="preserve">QUINCAILLERIE CADENAS . . DESIGNATION : CADENAS DE SURETE AVEC 3 CLES DE 55 GENRE : VACHETTE 1313. </v>
          </cell>
          <cell r="D1256" t="str">
            <v>PE</v>
          </cell>
          <cell r="E1256" t="str">
            <v>522.52203</v>
          </cell>
          <cell r="F1256">
            <v>109.956</v>
          </cell>
          <cell r="G1256">
            <v>0</v>
          </cell>
          <cell r="H1256">
            <v>0</v>
          </cell>
          <cell r="I1256">
            <v>0</v>
          </cell>
          <cell r="J1256">
            <v>0</v>
          </cell>
          <cell r="K1256">
            <v>0</v>
          </cell>
          <cell r="L1256">
            <v>0</v>
          </cell>
        </row>
        <row r="1257">
          <cell r="A1257" t="str">
            <v>10064.00638</v>
          </cell>
          <cell r="B1257" t="str">
            <v>CADENA CATU  AL 230</v>
          </cell>
          <cell r="C1257" t="str">
            <v xml:space="preserve">CADNAS DE CONSIGNATION GENRE CATU REFERENCE  AL- 230NUMEROTATION A PRECISER       </v>
          </cell>
          <cell r="D1257" t="str">
            <v>PE</v>
          </cell>
          <cell r="E1257" t="str">
            <v>522.52203</v>
          </cell>
          <cell r="F1257">
            <v>109.956</v>
          </cell>
          <cell r="G1257">
            <v>0</v>
          </cell>
          <cell r="H1257">
            <v>0</v>
          </cell>
          <cell r="I1257">
            <v>0</v>
          </cell>
          <cell r="J1257">
            <v>0</v>
          </cell>
          <cell r="K1257">
            <v>0</v>
          </cell>
          <cell r="L1257">
            <v>0</v>
          </cell>
        </row>
        <row r="1258">
          <cell r="A1258" t="str">
            <v>10064.00622</v>
          </cell>
          <cell r="B1258" t="str">
            <v>CADENA SURETE 70</v>
          </cell>
          <cell r="C1258" t="str">
            <v xml:space="preserve">QUINCAILLERIE CADENAS . . DIMENSIONS : 70 MM COMPOSITION : A 2 CLES EN ACIER VERNI QUALITE DE SURETE,AUTOMATIQUE </v>
          </cell>
          <cell r="D1258" t="str">
            <v>PE</v>
          </cell>
          <cell r="E1258" t="str">
            <v>522.52203</v>
          </cell>
          <cell r="F1258">
            <v>109.956</v>
          </cell>
          <cell r="G1258">
            <v>0</v>
          </cell>
          <cell r="H1258">
            <v>0</v>
          </cell>
          <cell r="I1258">
            <v>0</v>
          </cell>
          <cell r="J1258">
            <v>0</v>
          </cell>
          <cell r="K1258">
            <v>0</v>
          </cell>
          <cell r="L1258">
            <v>0</v>
          </cell>
        </row>
        <row r="1259">
          <cell r="A1259" t="str">
            <v>10065.00170</v>
          </cell>
          <cell r="B1259" t="str">
            <v>TENDEU LANTER 12</v>
          </cell>
          <cell r="C1259" t="str">
            <v xml:space="preserve">TENDEUR A LANTERNE EN ACIER GALVANISE COMPOSITION : 2 TIGES A CROCHET DIAMETRE 12 MM </v>
          </cell>
          <cell r="D1259" t="str">
            <v>PE</v>
          </cell>
          <cell r="E1259" t="str">
            <v>522.52203</v>
          </cell>
          <cell r="F1259">
            <v>13.211399999999999</v>
          </cell>
          <cell r="G1259">
            <v>0</v>
          </cell>
          <cell r="H1259">
            <v>0</v>
          </cell>
          <cell r="I1259">
            <v>0</v>
          </cell>
          <cell r="J1259">
            <v>0</v>
          </cell>
          <cell r="K1259">
            <v>10</v>
          </cell>
          <cell r="L1259">
            <v>0</v>
          </cell>
        </row>
        <row r="1260">
          <cell r="A1260" t="str">
            <v>10065.00171</v>
          </cell>
          <cell r="B1260" t="str">
            <v>LEVE FUT FORCE 500 KGS</v>
          </cell>
          <cell r="C1260" t="str">
            <v xml:space="preserve">LEVE FUTS,TRES MANIABLE POUR LEVAGE DES FUTS METALLIQUES A REBORDS DE DIAMTRE 500 A 600 MM FONCTIONNEMENT SEMI AUTOMATIQUE FORCE 500 KGS SERIE 604 SUIVANT CATALOGUE MANUTAN </v>
          </cell>
          <cell r="D1260" t="str">
            <v>PE</v>
          </cell>
          <cell r="E1260" t="str">
            <v>522.52203</v>
          </cell>
          <cell r="F1260">
            <v>9172.7999999999993</v>
          </cell>
          <cell r="G1260">
            <v>0</v>
          </cell>
          <cell r="H1260">
            <v>0</v>
          </cell>
          <cell r="I1260">
            <v>0</v>
          </cell>
          <cell r="J1260">
            <v>0</v>
          </cell>
          <cell r="K1260">
            <v>0</v>
          </cell>
          <cell r="L1260">
            <v>0</v>
          </cell>
        </row>
        <row r="1261">
          <cell r="A1261" t="str">
            <v>10065.00169</v>
          </cell>
          <cell r="B1261" t="str">
            <v>TENDEU LANTER 10</v>
          </cell>
          <cell r="C1261" t="str">
            <v xml:space="preserve">TENDEUR A LANTERNE EN ACIER GALVANISE COMPOSITION : 2 TIGES A CROCHET DIAMETRE 10 MM </v>
          </cell>
          <cell r="D1261" t="str">
            <v>PE</v>
          </cell>
          <cell r="E1261" t="str">
            <v>522.52203</v>
          </cell>
          <cell r="F1261">
            <v>8.0122</v>
          </cell>
          <cell r="G1261">
            <v>0</v>
          </cell>
          <cell r="H1261">
            <v>0</v>
          </cell>
          <cell r="I1261">
            <v>0</v>
          </cell>
          <cell r="J1261">
            <v>0</v>
          </cell>
          <cell r="K1261">
            <v>10</v>
          </cell>
          <cell r="L1261">
            <v>0</v>
          </cell>
        </row>
        <row r="1262">
          <cell r="A1262" t="str">
            <v>10064.00640</v>
          </cell>
          <cell r="B1262" t="str">
            <v>CADENA CATU  AL 203</v>
          </cell>
          <cell r="C1262" t="str">
            <v xml:space="preserve">QUINCAILLERIE CADENAS . . DESIGNATION : CADENA DE SURETE AVEC CLES GENRE : CATU - A 203 </v>
          </cell>
          <cell r="D1262" t="str">
            <v>PE</v>
          </cell>
          <cell r="E1262" t="str">
            <v>522.52203</v>
          </cell>
          <cell r="F1262">
            <v>109.956</v>
          </cell>
          <cell r="G1262">
            <v>0</v>
          </cell>
          <cell r="H1262">
            <v>0</v>
          </cell>
          <cell r="I1262">
            <v>0</v>
          </cell>
          <cell r="J1262">
            <v>0</v>
          </cell>
          <cell r="K1262">
            <v>0</v>
          </cell>
          <cell r="L1262">
            <v>0</v>
          </cell>
        </row>
        <row r="1263">
          <cell r="A1263" t="str">
            <v>10063.08240</v>
          </cell>
          <cell r="B1263" t="str">
            <v>RONDELLE PLATE EN ACIER INOXYDABLE AISI 304L</v>
          </cell>
          <cell r="C1263" t="str">
            <v>RONDELLE PLATE EN ACIER INOXYDABLE AISI 304LFORME : A2SUIVANT NORME DIN 125 SYMBOLE MDIAMETRE : 27MM</v>
          </cell>
          <cell r="D1263" t="str">
            <v>PE</v>
          </cell>
          <cell r="E1263" t="str">
            <v>522.52201</v>
          </cell>
          <cell r="F1263">
            <v>4</v>
          </cell>
          <cell r="G1263">
            <v>0</v>
          </cell>
          <cell r="H1263">
            <v>0</v>
          </cell>
          <cell r="I1263">
            <v>0</v>
          </cell>
          <cell r="J1263">
            <v>0</v>
          </cell>
          <cell r="K1263">
            <v>0</v>
          </cell>
          <cell r="L1263">
            <v>0</v>
          </cell>
        </row>
        <row r="1264">
          <cell r="A1264" t="str">
            <v>10063.08242</v>
          </cell>
          <cell r="B1264" t="str">
            <v>RONDELLE PLATE EN ACIER INOXYDABLE AISI 304L</v>
          </cell>
          <cell r="C1264" t="str">
            <v>RONDELLE PLATE EN ACIER INOXYDABLE AISI 304LFORME : A2SUIVANT NORME DIN 125 SYMBOLE MDIAMETRE : 30MM</v>
          </cell>
          <cell r="D1264" t="str">
            <v>PE</v>
          </cell>
          <cell r="E1264" t="str">
            <v>522.52201</v>
          </cell>
          <cell r="F1264">
            <v>4.5</v>
          </cell>
          <cell r="G1264">
            <v>0</v>
          </cell>
          <cell r="H1264">
            <v>0</v>
          </cell>
          <cell r="I1264">
            <v>0</v>
          </cell>
          <cell r="J1264">
            <v>0</v>
          </cell>
          <cell r="K1264">
            <v>0</v>
          </cell>
          <cell r="L1264">
            <v>0</v>
          </cell>
        </row>
        <row r="1265">
          <cell r="A1265" t="str">
            <v>10065.00184</v>
          </cell>
          <cell r="B1265" t="str">
            <v>ELINGUES 2 BRINS FORCE 4T</v>
          </cell>
          <cell r="C1265" t="str">
            <v xml:space="preserve">QUINCAILLERIE ELINGUES , , COMPOSITION : AVEC CROCHET GRIFFES LONGUEUR : BRINS 2,50 METRES A 3 METRES FORCE 4 TONNES NBRE DE BRINS 2 </v>
          </cell>
          <cell r="D1265" t="str">
            <v>PE</v>
          </cell>
          <cell r="E1265" t="str">
            <v>522.52203</v>
          </cell>
          <cell r="F1265">
            <v>328.7525</v>
          </cell>
          <cell r="G1265">
            <v>0</v>
          </cell>
          <cell r="H1265">
            <v>0</v>
          </cell>
          <cell r="I1265">
            <v>0</v>
          </cell>
          <cell r="J1265">
            <v>0</v>
          </cell>
          <cell r="K1265">
            <v>2</v>
          </cell>
          <cell r="L1265">
            <v>0</v>
          </cell>
        </row>
        <row r="1266">
          <cell r="A1266" t="str">
            <v>10065.00181</v>
          </cell>
          <cell r="B1266" t="str">
            <v>ELINGUE LONG 3M FORCE 8,4T</v>
          </cell>
          <cell r="C1266" t="str">
            <v xml:space="preserve">QUINCAILLERIE ELINGUES , , DESIGNATION : ELINGUES EN CABLE AVEC CROCHET,GRIFFES A 1 BRIN LONGUEUR : DE BRIN = 3 M FORCE 5,4 TONNES </v>
          </cell>
          <cell r="D1266" t="str">
            <v>PE</v>
          </cell>
          <cell r="E1266" t="str">
            <v>522.52203</v>
          </cell>
          <cell r="F1266">
            <v>635.32799999999997</v>
          </cell>
          <cell r="G1266">
            <v>0</v>
          </cell>
          <cell r="H1266">
            <v>0</v>
          </cell>
          <cell r="I1266">
            <v>0</v>
          </cell>
          <cell r="J1266">
            <v>0</v>
          </cell>
          <cell r="K1266">
            <v>0</v>
          </cell>
          <cell r="L1266">
            <v>0</v>
          </cell>
        </row>
        <row r="1267">
          <cell r="A1267" t="str">
            <v>10065.00183</v>
          </cell>
          <cell r="B1267" t="str">
            <v>ELINGUE LEVE TOLE 500 A 1000KG</v>
          </cell>
          <cell r="C1267" t="str">
            <v xml:space="preserve">QUINCAILLERIE ELINGUES , , DESTINATION LEVE TOLE FORCE 500 A 1000 KG OUVERTURE 1,20 METRE ENVIRON CAPACITE DE SERRAGE DES PINCES 0 A 60 MM </v>
          </cell>
          <cell r="D1267" t="str">
            <v>PE</v>
          </cell>
          <cell r="E1267" t="str">
            <v>522.52203</v>
          </cell>
          <cell r="F1267">
            <v>1699.2</v>
          </cell>
          <cell r="G1267">
            <v>0</v>
          </cell>
          <cell r="H1267">
            <v>0</v>
          </cell>
          <cell r="I1267">
            <v>0</v>
          </cell>
          <cell r="J1267">
            <v>0</v>
          </cell>
          <cell r="K1267">
            <v>0</v>
          </cell>
          <cell r="L1267">
            <v>0</v>
          </cell>
        </row>
        <row r="1268">
          <cell r="A1268" t="str">
            <v>10055.00372</v>
          </cell>
          <cell r="B1268" t="str">
            <v>TROUSSE SCOTCHCAST 92 A16</v>
          </cell>
          <cell r="C1268" t="str">
            <v xml:space="preserve">FOURNITURES POUR L'ISOLEMENT ELECTRIQUE . . . DESIGNATION TROUSE SCOTCHCAST REFERENCE 91 A16 GENRE 3M  CHARGE A LA RUPTURE SECTION DU CUIVRE 4X240 MM2 </v>
          </cell>
          <cell r="D1268" t="str">
            <v>PE</v>
          </cell>
          <cell r="E1268" t="str">
            <v>522.52206</v>
          </cell>
          <cell r="F1268">
            <v>2016</v>
          </cell>
          <cell r="G1268">
            <v>0</v>
          </cell>
          <cell r="H1268">
            <v>0</v>
          </cell>
          <cell r="I1268">
            <v>0</v>
          </cell>
          <cell r="J1268">
            <v>0</v>
          </cell>
          <cell r="K1268">
            <v>0</v>
          </cell>
          <cell r="L1268">
            <v>0</v>
          </cell>
        </row>
        <row r="1269">
          <cell r="A1269" t="str">
            <v>10065.00636</v>
          </cell>
          <cell r="B1269" t="str">
            <v>POULIE A.MOYEU SPA/A D280</v>
          </cell>
          <cell r="C1269" t="str">
            <v xml:space="preserve">QUINCAILLERIE POULIES . . DESIGNATION : POULIE AVEC MOYEU ET DOUILLE DE SERRAGE A 3 GORGES , NUMERO DE LA DOUILLE = 63,ALESAGE:MINI=25-MAXI=63 , EXECUTION : A BRAS DIAMETRE PRIMITIF = 280 MM SECTION : SPA / A TYPE MAGIC GRIP T </v>
          </cell>
          <cell r="D1269" t="str">
            <v>PE</v>
          </cell>
          <cell r="E1269" t="str">
            <v>515.51515</v>
          </cell>
          <cell r="F1269">
            <v>500</v>
          </cell>
          <cell r="G1269">
            <v>0</v>
          </cell>
          <cell r="H1269">
            <v>0</v>
          </cell>
          <cell r="I1269">
            <v>0</v>
          </cell>
          <cell r="J1269">
            <v>0</v>
          </cell>
          <cell r="K1269">
            <v>1</v>
          </cell>
          <cell r="L1269">
            <v>1</v>
          </cell>
        </row>
        <row r="1270">
          <cell r="A1270" t="str">
            <v>10064.00400</v>
          </cell>
          <cell r="B1270" t="str">
            <v>PAUMELLE TYPE MAROC 100MM</v>
          </cell>
          <cell r="C1270" t="str">
            <v xml:space="preserve">QUINCAILLERIE PAUMELLES . . DESIGNATION : PAUMELLE "TYPE MAROC", POUR PORTE METALLIQUE , DE 100 MM (A SOUDER) </v>
          </cell>
          <cell r="D1270" t="str">
            <v>PE</v>
          </cell>
          <cell r="E1270" t="str">
            <v>522.52203</v>
          </cell>
          <cell r="F1270">
            <v>5.4009999999999998</v>
          </cell>
          <cell r="G1270">
            <v>0</v>
          </cell>
          <cell r="H1270">
            <v>0</v>
          </cell>
          <cell r="I1270">
            <v>0</v>
          </cell>
          <cell r="J1270">
            <v>0</v>
          </cell>
          <cell r="K1270">
            <v>0</v>
          </cell>
          <cell r="L1270">
            <v>0</v>
          </cell>
        </row>
        <row r="1271">
          <cell r="A1271" t="str">
            <v>10061.05015</v>
          </cell>
          <cell r="B1271" t="str">
            <v>VIS M6X20 EN INOX</v>
          </cell>
          <cell r="C1271" t="str">
            <v>VIS M6X20 TETE FRAISEE HEXAGONALE CREUSE.MATIERE INOX A4-70 DIN 7991.FILETAGE ISO</v>
          </cell>
          <cell r="D1271" t="str">
            <v>PE</v>
          </cell>
          <cell r="E1271" t="str">
            <v>522.52201</v>
          </cell>
          <cell r="F1271">
            <v>0.45</v>
          </cell>
          <cell r="G1271">
            <v>0</v>
          </cell>
          <cell r="H1271">
            <v>0</v>
          </cell>
          <cell r="I1271">
            <v>0</v>
          </cell>
          <cell r="J1271">
            <v>0</v>
          </cell>
          <cell r="K1271">
            <v>0</v>
          </cell>
          <cell r="L1271">
            <v>0</v>
          </cell>
        </row>
        <row r="1272">
          <cell r="A1272" t="str">
            <v>10055.00015</v>
          </cell>
          <cell r="B1272" t="str">
            <v>SCOTCH N°23 LARG:19MM LONG:9.5M EP:0.75</v>
          </cell>
          <cell r="C1272" t="str">
            <v xml:space="preserve">FOURNITURES POUR L'ISOLEMENT ELECTRIQUE SOUPLES RUBANS  LARGEUR 19 MM EPAISSEUR 0,75 MM POIDS PAR ROULEAU = 160 GRAMMES ENVIRON TYPE 'SCOTCH' NUMERO 23 COULEUR GRIS MODE DE LIVRAISON EN ROULEAU DE 9,15 METRES </v>
          </cell>
          <cell r="D1272" t="str">
            <v>PE</v>
          </cell>
          <cell r="E1272" t="str">
            <v>522.52206</v>
          </cell>
          <cell r="F1272">
            <v>40.8964</v>
          </cell>
          <cell r="G1272">
            <v>0</v>
          </cell>
          <cell r="H1272">
            <v>0</v>
          </cell>
          <cell r="I1272">
            <v>0</v>
          </cell>
          <cell r="J1272">
            <v>0</v>
          </cell>
          <cell r="K1272">
            <v>8</v>
          </cell>
          <cell r="L1272">
            <v>0</v>
          </cell>
        </row>
        <row r="1273">
          <cell r="A1273" t="str">
            <v>10055.00016</v>
          </cell>
          <cell r="B1273" t="str">
            <v>RUB ISO NOI 19MM</v>
          </cell>
          <cell r="C1273" t="str">
            <v xml:space="preserve">FOURNITURES POUR L'ISOLEMENT ELECTRIQUE SOUPLES RUBANS SYNTHETIQUES LARGEUR 19 MM POIDS PAR ROULEAU : 110 GR ENVIRON TYPE "SCOTCH" NUMERO 35 COULEUR NOIR MODE DE LIVRAISON EN ROULEAU DE 20 METRES </v>
          </cell>
          <cell r="D1273" t="str">
            <v>PE</v>
          </cell>
          <cell r="E1273" t="str">
            <v>522.52206</v>
          </cell>
          <cell r="F1273">
            <v>3.4594</v>
          </cell>
          <cell r="G1273">
            <v>0</v>
          </cell>
          <cell r="H1273">
            <v>0</v>
          </cell>
          <cell r="I1273">
            <v>0</v>
          </cell>
          <cell r="J1273">
            <v>0</v>
          </cell>
          <cell r="K1273">
            <v>0</v>
          </cell>
          <cell r="L1273">
            <v>0</v>
          </cell>
        </row>
        <row r="1274">
          <cell r="A1274" t="str">
            <v>10055.00017</v>
          </cell>
          <cell r="B1274" t="str">
            <v>SCOTCH N°38 LARG:16MM LONG:55M</v>
          </cell>
          <cell r="C1274" t="str">
            <v xml:space="preserve">FOURNITURES POUR L'ISOLEMENT ELECTRIQUE SOUPLES RUBANS  LARGEUR 16 MM TYPE "SCOTH" NUMERO 38 MODE DE LIVRAISON EN ROULEAU DE 55 METRES </v>
          </cell>
          <cell r="D1274" t="str">
            <v>PE</v>
          </cell>
          <cell r="E1274" t="str">
            <v>522.52206</v>
          </cell>
          <cell r="F1274">
            <v>13.233000000000001</v>
          </cell>
          <cell r="G1274">
            <v>0</v>
          </cell>
          <cell r="H1274">
            <v>0</v>
          </cell>
          <cell r="I1274">
            <v>0</v>
          </cell>
          <cell r="J1274">
            <v>0</v>
          </cell>
          <cell r="K1274">
            <v>0</v>
          </cell>
          <cell r="L1274">
            <v>0</v>
          </cell>
        </row>
        <row r="1275">
          <cell r="A1275" t="str">
            <v>10055.00013</v>
          </cell>
          <cell r="B1275" t="str">
            <v>SCOTCH N°38 LARG:25MM LONG:55M</v>
          </cell>
          <cell r="C1275" t="str">
            <v xml:space="preserve">FOURNITURES POUR L'ISOLEMENT ELECTRIQUE RUBANS  LARGEUR 25 MM TYPE SCOTCH NUMERO 38 COULEUR = MODE DE LIVRAISON EN ROULEAU DE 55 METRES </v>
          </cell>
          <cell r="D1275" t="str">
            <v>PE</v>
          </cell>
          <cell r="E1275" t="str">
            <v>522.52206</v>
          </cell>
          <cell r="F1275">
            <v>27.445399999999999</v>
          </cell>
          <cell r="G1275">
            <v>0</v>
          </cell>
          <cell r="H1275">
            <v>0</v>
          </cell>
          <cell r="I1275">
            <v>0</v>
          </cell>
          <cell r="J1275">
            <v>0</v>
          </cell>
          <cell r="K1275">
            <v>23</v>
          </cell>
          <cell r="L1275">
            <v>0</v>
          </cell>
        </row>
        <row r="1276">
          <cell r="A1276" t="str">
            <v>10055.00014</v>
          </cell>
          <cell r="B1276" t="str">
            <v>RUBAN ISOLANT SYNTHETIQUE</v>
          </cell>
          <cell r="C1276" t="str">
            <v xml:space="preserve">FOURNITURES POUR L'ISOLEMENT ELECTRIQUE SOUPLES RUBANS SYNTHETIQUES LARGEUR 38 MM POIDS PAR ROULEAU = 300 GR ENVIRON TYPE 'SCOTCH' NUMERO 22 COULEUR NOIR MODE DE LIVRAISON EN ROULEAU DE 33 METRES ENVIRON </v>
          </cell>
          <cell r="D1276" t="str">
            <v>PE</v>
          </cell>
          <cell r="E1276" t="str">
            <v>522.52206</v>
          </cell>
          <cell r="F1276">
            <v>28.700399999999998</v>
          </cell>
          <cell r="G1276">
            <v>0</v>
          </cell>
          <cell r="H1276">
            <v>0</v>
          </cell>
          <cell r="I1276">
            <v>0</v>
          </cell>
          <cell r="J1276">
            <v>0</v>
          </cell>
          <cell r="K1276">
            <v>0</v>
          </cell>
          <cell r="L1276">
            <v>0</v>
          </cell>
        </row>
        <row r="1277">
          <cell r="A1277" t="str">
            <v>10055.00019</v>
          </cell>
          <cell r="B1277" t="str">
            <v>RUBAN MASTIC TYP SCOTCHFI</v>
          </cell>
          <cell r="C1277" t="str">
            <v xml:space="preserve">FOURNITURES POUR L'ISOLEMENT ELECTRIQUE RUBANS DE MASTIC EN ROULEAU UNIQUE LARGEUR 38 MM LONGUEUR 1,520 METRE EPAISSEUR 32/10 TYPE "SCOTCHFIL" </v>
          </cell>
          <cell r="D1277" t="str">
            <v>PE</v>
          </cell>
          <cell r="E1277" t="str">
            <v>522.52206</v>
          </cell>
          <cell r="F1277">
            <v>45.42</v>
          </cell>
          <cell r="G1277">
            <v>0</v>
          </cell>
          <cell r="H1277">
            <v>0</v>
          </cell>
          <cell r="I1277">
            <v>0</v>
          </cell>
          <cell r="J1277">
            <v>0</v>
          </cell>
          <cell r="K1277">
            <v>0</v>
          </cell>
          <cell r="L1277">
            <v>0</v>
          </cell>
        </row>
        <row r="1278">
          <cell r="A1278" t="str">
            <v>10061.05016</v>
          </cell>
          <cell r="B1278" t="str">
            <v>VIS M8X20 EN INOX</v>
          </cell>
          <cell r="C1278" t="str">
            <v>VIS M8X20 TETE FRAISEE HEXAGONALE CREUSE.MATIERE INOX A4-70 DIN 7991.FILETAGE ISO</v>
          </cell>
          <cell r="D1278" t="str">
            <v>PE</v>
          </cell>
          <cell r="E1278" t="str">
            <v>522.52201</v>
          </cell>
          <cell r="F1278">
            <v>0.87</v>
          </cell>
          <cell r="G1278">
            <v>0</v>
          </cell>
          <cell r="H1278">
            <v>0</v>
          </cell>
          <cell r="I1278">
            <v>0</v>
          </cell>
          <cell r="J1278">
            <v>0</v>
          </cell>
          <cell r="K1278">
            <v>152</v>
          </cell>
          <cell r="L1278">
            <v>0</v>
          </cell>
        </row>
        <row r="1279">
          <cell r="A1279" t="str">
            <v>10061.05017</v>
          </cell>
          <cell r="B1279" t="str">
            <v>VIS M5X6 EN INOX</v>
          </cell>
          <cell r="C1279" t="str">
            <v xml:space="preserve">VIS M5X6 SANS TETE A SIX PANS CREUX.MATIERE INOX A4 DIN 916.FILETAGE ISO 4029   </v>
          </cell>
          <cell r="D1279" t="str">
            <v>PE</v>
          </cell>
          <cell r="E1279" t="str">
            <v>522.52201</v>
          </cell>
          <cell r="F1279">
            <v>0.25</v>
          </cell>
          <cell r="G1279">
            <v>0</v>
          </cell>
          <cell r="H1279">
            <v>0</v>
          </cell>
          <cell r="I1279">
            <v>0</v>
          </cell>
          <cell r="J1279">
            <v>0</v>
          </cell>
          <cell r="K1279">
            <v>0</v>
          </cell>
          <cell r="L1279">
            <v>0</v>
          </cell>
        </row>
        <row r="1280">
          <cell r="A1280" t="str">
            <v>10061.05018</v>
          </cell>
          <cell r="B1280" t="str">
            <v>VIS M12X25 EN INOX 904L</v>
          </cell>
          <cell r="C1280" t="str">
            <v xml:space="preserve">VIS M12X25 TETE FRAISEE HEXAGONALE CREUSE .MATIERE INOX 904L DIN 7991. FILETAGE ISO    </v>
          </cell>
          <cell r="D1280" t="str">
            <v>PE</v>
          </cell>
          <cell r="E1280" t="str">
            <v>522.52201</v>
          </cell>
          <cell r="F1280">
            <v>50</v>
          </cell>
          <cell r="G1280">
            <v>0</v>
          </cell>
          <cell r="H1280">
            <v>500</v>
          </cell>
          <cell r="I1280">
            <v>0</v>
          </cell>
          <cell r="J1280">
            <v>150</v>
          </cell>
          <cell r="K1280">
            <v>0</v>
          </cell>
          <cell r="L1280">
            <v>1000</v>
          </cell>
        </row>
        <row r="1281">
          <cell r="A1281" t="str">
            <v>10058.08301</v>
          </cell>
          <cell r="B1281" t="str">
            <v>TAPIS FIXE EP 3MM DE &lt;ou= 26.5kv dimensions 1 x 10</v>
          </cell>
          <cell r="C1281" t="str">
            <v>TAPIS FIXE POUR ISOLATION AU SOL,EN FEUILLE DE  CAOUTCHOUC DE HAUTE QUALITE DIELECTRIQUE  TENSION D'EPREUVE &lt;ou=26.5 KV DIMENSION 1X10 M EPAISSEUR 3 MM  GENRE CATU MP-100/03-10</v>
          </cell>
          <cell r="D1281" t="str">
            <v>M</v>
          </cell>
          <cell r="E1281" t="str">
            <v>522.52217</v>
          </cell>
          <cell r="F1281">
            <v>5900</v>
          </cell>
          <cell r="G1281">
            <v>0</v>
          </cell>
          <cell r="H1281">
            <v>0</v>
          </cell>
          <cell r="I1281">
            <v>0</v>
          </cell>
          <cell r="J1281">
            <v>0</v>
          </cell>
          <cell r="K1281">
            <v>0</v>
          </cell>
          <cell r="L1281">
            <v>0</v>
          </cell>
        </row>
        <row r="1282">
          <cell r="A1282" t="str">
            <v>10060.02425</v>
          </cell>
          <cell r="B1282" t="str">
            <v>MANOMETRE SOUFFLET 0-1 B</v>
          </cell>
          <cell r="C1282" t="str">
            <v xml:space="preserve">MANOMETRE DIFFERENTIEL A SOUFFLETS CONSTRUCTION INOX 316L BAIN GLYCERINE ETANCHEITE DU BOITIER IP 55 CLASSE DE PRECISION : 1 DIAMETRE DU BOITIER EN (MM) : 150 MM DIAMETRE DU RACCORD 2X1/2 POUCE NPTM ECHELLE 0-1 BARS POSITION DU RACCORD : EN BAS COLLERETTE ARRIERE PRESSION STATIQUE 8 BARS MATIERE ELEMENT PRIMAIRE INOX 316L </v>
          </cell>
          <cell r="D1282" t="str">
            <v>PE</v>
          </cell>
          <cell r="E1282" t="str">
            <v>512.51201</v>
          </cell>
          <cell r="F1282">
            <v>4900</v>
          </cell>
          <cell r="G1282">
            <v>0</v>
          </cell>
          <cell r="H1282">
            <v>0</v>
          </cell>
          <cell r="I1282">
            <v>0</v>
          </cell>
          <cell r="J1282">
            <v>0</v>
          </cell>
          <cell r="K1282">
            <v>0</v>
          </cell>
          <cell r="L1282">
            <v>1</v>
          </cell>
        </row>
        <row r="1283">
          <cell r="A1283" t="str">
            <v>10065.00245</v>
          </cell>
          <cell r="B1283" t="str">
            <v>ELING CABL CHARG UTIL2100</v>
          </cell>
          <cell r="C1283" t="str">
            <v xml:space="preserve">QUINCAILLERIE ELINGUES , , DESIGNATION : ELINGUES CABLE EN ACIER GALVANISE SOUPLE 6 TORONS,37 , FILS : SUIVANT CATALOGUE MANUTAN CHARGE UTILE :2100 KGLONGUEUR : TOTALE = 2000 MM TYPE E2 NBRE DE BRINS 2 </v>
          </cell>
          <cell r="D1283" t="str">
            <v>PE</v>
          </cell>
          <cell r="E1283" t="str">
            <v>522.52203</v>
          </cell>
          <cell r="F1283">
            <v>231.83</v>
          </cell>
          <cell r="G1283">
            <v>0</v>
          </cell>
          <cell r="H1283">
            <v>0</v>
          </cell>
          <cell r="I1283">
            <v>0</v>
          </cell>
          <cell r="J1283">
            <v>0</v>
          </cell>
          <cell r="K1283">
            <v>1</v>
          </cell>
          <cell r="L1283">
            <v>0</v>
          </cell>
        </row>
        <row r="1284">
          <cell r="A1284" t="str">
            <v>10060.02428</v>
          </cell>
          <cell r="B1284" t="str">
            <v>MANOMETRE SOUFFLET 0-1,6B</v>
          </cell>
          <cell r="C1284" t="str">
            <v xml:space="preserve">MANOMETRE DIFFERENTIEL A SOUFFLETS CONSTRUCTION INOX 316L BAIN GLYCERINE ETANCHEITE DU BOITIER IP 55 CLASSE DE PRECISION : 1 DIAMETRE DU BOITIER EN (MM) : 150 MM DIAMETRE DU RACCORD 2X1/2 POUCE NPTM ECHELLE 0-1,6 BARS POSITION DU RACCORD : EN BAS COLLERETTE ARRIERE PRESSION STATIQUE 8 BARS MATIERE ELEMENT PRIMAIRE INOX 316L </v>
          </cell>
          <cell r="D1284" t="str">
            <v>PE</v>
          </cell>
          <cell r="E1284" t="str">
            <v>512.51201</v>
          </cell>
          <cell r="F1284">
            <v>4900</v>
          </cell>
          <cell r="G1284">
            <v>0</v>
          </cell>
          <cell r="H1284">
            <v>1</v>
          </cell>
          <cell r="I1284">
            <v>0</v>
          </cell>
          <cell r="J1284">
            <v>0</v>
          </cell>
          <cell r="K1284">
            <v>0</v>
          </cell>
          <cell r="L1284">
            <v>2</v>
          </cell>
        </row>
        <row r="1285">
          <cell r="A1285" t="str">
            <v>10060.02724</v>
          </cell>
          <cell r="B1285" t="str">
            <v>MANOMETRE BOURDON   0-2,5</v>
          </cell>
          <cell r="C1285" t="str">
            <v xml:space="preserve">MANOMETRE A TUBE DE BOURDON CONSTRUCTION INOX 316L BAIN GLYCERINE MATIERE ELEMENT PRIMAIRE : INOX 316L ETANCHEITE DU BOITIER IP55 CLASSE DE PRECISION : 1 DIAMETRE DU BOITIER EN (MM) : 100 MM ECHELLE 0 A 2,5 BAR POSITION DU RACCORD : EN BAS COLLERETTE SANS RACCORDEMENT : 1/2 POUCE NPTM </v>
          </cell>
          <cell r="D1285" t="str">
            <v>PE</v>
          </cell>
          <cell r="E1285" t="str">
            <v>512.51201</v>
          </cell>
          <cell r="F1285">
            <v>308</v>
          </cell>
          <cell r="G1285">
            <v>0</v>
          </cell>
          <cell r="H1285">
            <v>1</v>
          </cell>
          <cell r="I1285">
            <v>0</v>
          </cell>
          <cell r="J1285">
            <v>0</v>
          </cell>
          <cell r="K1285">
            <v>0</v>
          </cell>
          <cell r="L1285">
            <v>0</v>
          </cell>
        </row>
        <row r="1286">
          <cell r="A1286" t="str">
            <v>10060.02726</v>
          </cell>
          <cell r="B1286" t="str">
            <v>MANOMETRE BOURDON   0-4</v>
          </cell>
          <cell r="C1286" t="str">
            <v xml:space="preserve">MANOMETRE A TUBE DE BOURDON CONSTRUCTION INOX 316L BAIN GLYCERINE ETANCHEITE DU BOITIER IP55 CLASSE DE PRECISION : 1 DIAMETRE DU BOITIER EN (MM) : 100MM DIAMETRE DU RACCORD 1/2 POUCE NPTM ECHELLE 0-4 BAR POSITION DU RACCORD : BAS COLLERETTE SANS </v>
          </cell>
          <cell r="D1286" t="str">
            <v>PE</v>
          </cell>
          <cell r="E1286" t="str">
            <v>512.51201</v>
          </cell>
          <cell r="F1286">
            <v>308</v>
          </cell>
          <cell r="G1286">
            <v>0</v>
          </cell>
          <cell r="H1286">
            <v>3</v>
          </cell>
          <cell r="I1286">
            <v>0</v>
          </cell>
          <cell r="J1286">
            <v>0</v>
          </cell>
          <cell r="K1286">
            <v>0</v>
          </cell>
          <cell r="L1286">
            <v>0</v>
          </cell>
        </row>
        <row r="1287">
          <cell r="A1287" t="str">
            <v>10065.00369</v>
          </cell>
          <cell r="B1287" t="str">
            <v>GRILL ACIER INOX 10X10 MM</v>
          </cell>
          <cell r="C1287" t="str">
            <v xml:space="preserve">QUINCAILLERIE GRILLAGE  DESIGNATION : GRILLE EN ACIER INOXYDABLE 18-10 EN ROULEAUX DIAMETRE DU FIL : 2MM LARGEUR 1 METRE MAILLE 10X10 MM </v>
          </cell>
          <cell r="D1287" t="str">
            <v>M</v>
          </cell>
          <cell r="E1287" t="str">
            <v>522.52203</v>
          </cell>
          <cell r="F1287">
            <v>8000</v>
          </cell>
          <cell r="G1287">
            <v>0</v>
          </cell>
          <cell r="H1287">
            <v>0</v>
          </cell>
          <cell r="I1287">
            <v>0</v>
          </cell>
          <cell r="J1287">
            <v>0</v>
          </cell>
          <cell r="K1287">
            <v>0</v>
          </cell>
          <cell r="L1287">
            <v>0</v>
          </cell>
        </row>
        <row r="1288">
          <cell r="A1288" t="str">
            <v>10065.00247</v>
          </cell>
          <cell r="B1288" t="str">
            <v>ELINGUE CABL LONG 3000 MM</v>
          </cell>
          <cell r="C1288" t="str">
            <v xml:space="preserve">QUINCAILLERIE ELINGUES , , , FILS : SUIVANT CATALOGUE MANUTAN CHARGE UTILE 13000 KGLONGUEUR : TOTALE : 3000 MM TYPE E4 NBRE DE BRINS 4 </v>
          </cell>
          <cell r="D1288" t="str">
            <v>PE</v>
          </cell>
          <cell r="E1288" t="str">
            <v>522.52203</v>
          </cell>
          <cell r="F1288">
            <v>1268.3332</v>
          </cell>
          <cell r="G1288">
            <v>0</v>
          </cell>
          <cell r="H1288">
            <v>0</v>
          </cell>
          <cell r="I1288">
            <v>0</v>
          </cell>
          <cell r="J1288">
            <v>0</v>
          </cell>
          <cell r="K1288">
            <v>2</v>
          </cell>
          <cell r="L1288">
            <v>0</v>
          </cell>
        </row>
        <row r="1289">
          <cell r="A1289" t="str">
            <v>10053.08566</v>
          </cell>
          <cell r="B1289" t="str">
            <v>PROJECTEUR COMPLET</v>
          </cell>
          <cell r="C1289" t="str">
            <v xml:space="preserve">PROJECTEUR HAUTE PERFORMANCE  ORIENTABLEP/ECLAIRAGE EXTERIEUR GRAND ESPACEDIMENSIONS: LONG=450 MM LARG=410 MM PROF=150MM DOUILLE=E 40 EQUIPE D' APPAREILLAGE D'ALIMENTATION INCORPORES    POUR LAMPE A VAPEUR DE MERCURE 400 W.   </v>
          </cell>
          <cell r="D1289" t="str">
            <v>PE</v>
          </cell>
          <cell r="E1289" t="str">
            <v>522.52206</v>
          </cell>
          <cell r="F1289">
            <v>450</v>
          </cell>
          <cell r="G1289">
            <v>0</v>
          </cell>
          <cell r="H1289">
            <v>10</v>
          </cell>
          <cell r="I1289">
            <v>0</v>
          </cell>
          <cell r="J1289">
            <v>0</v>
          </cell>
          <cell r="K1289">
            <v>0</v>
          </cell>
          <cell r="L1289">
            <v>0</v>
          </cell>
        </row>
        <row r="1290">
          <cell r="A1290" t="str">
            <v>10053.08569</v>
          </cell>
          <cell r="B1290" t="str">
            <v>PROJECTEUR COMPLET</v>
          </cell>
          <cell r="C1290" t="str">
            <v xml:space="preserve">PROJECTEUR HAUTE PERFORMANCE ORIENTABLE P/ECLAIRAGE EXTERIEUR GRAND ESPACE DIMENSIONS LONGUEUR = 410 MM-LARGEUR = 235 MM-PROFONDEUR = 180 MMEQUIPE D' APPAREILLAGE D'ALIMENTATION INCORPORES; DOUILLE = E 40. POUR LAMPE A VAPEUR DE SODIUM HAUTE PRESSION 250 W.  </v>
          </cell>
          <cell r="D1290" t="str">
            <v>PE</v>
          </cell>
          <cell r="E1290" t="str">
            <v>522.52206</v>
          </cell>
          <cell r="F1290">
            <v>460</v>
          </cell>
          <cell r="G1290">
            <v>0</v>
          </cell>
          <cell r="H1290">
            <v>0</v>
          </cell>
          <cell r="I1290">
            <v>0</v>
          </cell>
          <cell r="J1290">
            <v>0</v>
          </cell>
          <cell r="K1290">
            <v>0</v>
          </cell>
          <cell r="L1290">
            <v>0</v>
          </cell>
        </row>
        <row r="1291">
          <cell r="A1291" t="str">
            <v>10064.01110</v>
          </cell>
          <cell r="B1291" t="str">
            <v>FERM PORT HYDRAU YALE Nª2</v>
          </cell>
          <cell r="C1291" t="str">
            <v xml:space="preserve">QUINCAILLERIE FERME PORTE  , HYDRAULIQUE AVEC RESSORT DE RAPPEL NUMERO 2 GENRE : YALE </v>
          </cell>
          <cell r="D1291" t="str">
            <v>PE</v>
          </cell>
          <cell r="E1291" t="str">
            <v>522.52203</v>
          </cell>
          <cell r="F1291">
            <v>275</v>
          </cell>
          <cell r="G1291">
            <v>0</v>
          </cell>
          <cell r="H1291">
            <v>0</v>
          </cell>
          <cell r="I1291">
            <v>0</v>
          </cell>
          <cell r="J1291">
            <v>0</v>
          </cell>
          <cell r="K1291">
            <v>0</v>
          </cell>
          <cell r="L1291">
            <v>0</v>
          </cell>
        </row>
        <row r="1292">
          <cell r="A1292" t="str">
            <v>10053.08565</v>
          </cell>
          <cell r="B1292" t="str">
            <v>PROJECTEUR COMPLET</v>
          </cell>
          <cell r="C1292" t="str">
            <v xml:space="preserve">PROJECTEUR HAUTE PERFORMANCE  ORIENTABLEP/ECLAIRAGE EXTERIEUR GRAND ESPACEDIMENSIONS: LONG=450 MM LARG=410 MM PROF=150MM DOUILLE=E 40 EQUIPE D' APPAREILLAGE D'ALIMENTATION INCORPORES    POUR LAMPE A VAPEUR DE MERCURE 250 W.   </v>
          </cell>
          <cell r="D1292" t="str">
            <v>PE</v>
          </cell>
          <cell r="E1292" t="str">
            <v>522.52206</v>
          </cell>
          <cell r="F1292">
            <v>535.44000000000005</v>
          </cell>
          <cell r="G1292">
            <v>0</v>
          </cell>
          <cell r="H1292">
            <v>0</v>
          </cell>
          <cell r="I1292">
            <v>0</v>
          </cell>
          <cell r="J1292">
            <v>0</v>
          </cell>
          <cell r="K1292">
            <v>0</v>
          </cell>
          <cell r="L1292">
            <v>0</v>
          </cell>
        </row>
        <row r="1293">
          <cell r="A1293" t="str">
            <v>10065.00036</v>
          </cell>
          <cell r="B1293" t="str">
            <v>CHAIN DIA 5 MAILL=30X20</v>
          </cell>
          <cell r="C1293" t="str">
            <v xml:space="preserve">CHAINES CALIBREES DIAMETRE DU FIL : 5 MM - DIAMETRE INTERIEUR DU MAILLON:30X20MMMATIERE ACIER INOX 18.8 POUR JAUGEAGE DES BACS DE SOUFRE ET D'ACIDE SULFURIQUE, ET D'ACIDE PHOSPHORIQUE, SOUDURE ESTAMPEE </v>
          </cell>
          <cell r="D1293" t="str">
            <v>M</v>
          </cell>
          <cell r="E1293" t="str">
            <v>516.51603</v>
          </cell>
          <cell r="F1293">
            <v>126</v>
          </cell>
          <cell r="G1293">
            <v>0</v>
          </cell>
          <cell r="H1293">
            <v>0</v>
          </cell>
          <cell r="I1293">
            <v>0</v>
          </cell>
          <cell r="J1293">
            <v>0</v>
          </cell>
          <cell r="K1293">
            <v>0</v>
          </cell>
          <cell r="L1293">
            <v>0</v>
          </cell>
        </row>
        <row r="1294">
          <cell r="A1294" t="str">
            <v>10053.04053</v>
          </cell>
          <cell r="B1294" t="str">
            <v>LAMPE HALOGENE R7 11X118</v>
          </cell>
          <cell r="C1294" t="str">
            <v xml:space="preserve">LAMPE HALOGENECULOT R7S 11X118MM 48V-500W-118MM-H64 1500 . MARQUE:BLEU LINE MAZDA OU EQUIVALENT </v>
          </cell>
          <cell r="D1294" t="str">
            <v>PE</v>
          </cell>
          <cell r="E1294" t="str">
            <v>522.52206</v>
          </cell>
          <cell r="F1294">
            <v>44.9</v>
          </cell>
          <cell r="G1294">
            <v>0</v>
          </cell>
          <cell r="H1294">
            <v>0</v>
          </cell>
          <cell r="I1294">
            <v>0</v>
          </cell>
          <cell r="J1294">
            <v>0</v>
          </cell>
          <cell r="K1294">
            <v>0</v>
          </cell>
          <cell r="L1294">
            <v>12</v>
          </cell>
        </row>
        <row r="1295">
          <cell r="A1295" t="str">
            <v>10058.05117</v>
          </cell>
          <cell r="B1295" t="str">
            <v>AFFICHE AUTOCOLLANT DE SECURITE</v>
          </cell>
          <cell r="C1295" t="str">
            <v>AFFICHE AUTOCOLLANT DE SECURITETEXTE: DEFENSE DE FUMERGENRE INRS REF:  AK466</v>
          </cell>
          <cell r="D1295" t="str">
            <v>PE</v>
          </cell>
          <cell r="E1295" t="str">
            <v>522.52217</v>
          </cell>
          <cell r="F1295">
            <v>33</v>
          </cell>
          <cell r="G1295">
            <v>0</v>
          </cell>
          <cell r="H1295">
            <v>0</v>
          </cell>
          <cell r="I1295">
            <v>0</v>
          </cell>
          <cell r="J1295">
            <v>0</v>
          </cell>
          <cell r="K1295">
            <v>0</v>
          </cell>
          <cell r="L1295">
            <v>0</v>
          </cell>
        </row>
        <row r="1296">
          <cell r="A1296" t="str">
            <v>10065.00117</v>
          </cell>
          <cell r="B1296" t="str">
            <v>MANILLE DROIT 24</v>
          </cell>
          <cell r="C1296" t="str">
            <v xml:space="preserve">MANILLES EN ACIER ESTAMPE  FORME : DROITE A VIS DIAMETRE FIL:24 MM FORCE 4000 KG OUVERTURE GRANDE </v>
          </cell>
          <cell r="D1296" t="str">
            <v>PE</v>
          </cell>
          <cell r="E1296" t="str">
            <v>522.52203</v>
          </cell>
          <cell r="F1296">
            <v>28.372499999999999</v>
          </cell>
          <cell r="G1296">
            <v>0</v>
          </cell>
          <cell r="H1296">
            <v>0</v>
          </cell>
          <cell r="I1296">
            <v>0</v>
          </cell>
          <cell r="J1296">
            <v>0</v>
          </cell>
          <cell r="K1296">
            <v>0</v>
          </cell>
          <cell r="L1296">
            <v>0</v>
          </cell>
        </row>
        <row r="1297">
          <cell r="A1297" t="str">
            <v>10065.00118</v>
          </cell>
          <cell r="B1297" t="str">
            <v>MANILLE DROIT 30</v>
          </cell>
          <cell r="C1297" t="str">
            <v xml:space="preserve">MANILLES EN ACIER ESTAMPE  FORME : DROITE A VIS DIAMETRE FIL:30 MM FORCE 7000 KG OUVERTURE GRANDE </v>
          </cell>
          <cell r="D1297" t="str">
            <v>PE</v>
          </cell>
          <cell r="E1297" t="str">
            <v>522.52203</v>
          </cell>
          <cell r="F1297">
            <v>73.555099999999996</v>
          </cell>
          <cell r="G1297">
            <v>0</v>
          </cell>
          <cell r="H1297">
            <v>0</v>
          </cell>
          <cell r="I1297">
            <v>0</v>
          </cell>
          <cell r="J1297">
            <v>0</v>
          </cell>
          <cell r="K1297">
            <v>0</v>
          </cell>
          <cell r="L1297">
            <v>0</v>
          </cell>
        </row>
        <row r="1298">
          <cell r="A1298" t="str">
            <v>10065.00112</v>
          </cell>
          <cell r="B1298" t="str">
            <v>MANILLE DROIT 14</v>
          </cell>
          <cell r="C1298" t="str">
            <v xml:space="preserve">MANILLES EN ACIER ESTAMPE FORME : DROITE A VIS DIAMETRE FIL:14 MM FORCE 600 KG OUVERTURE GRANDE </v>
          </cell>
          <cell r="D1298" t="str">
            <v>PE</v>
          </cell>
          <cell r="E1298" t="str">
            <v>522.52203</v>
          </cell>
          <cell r="F1298">
            <v>6.0042999999999997</v>
          </cell>
          <cell r="G1298">
            <v>0</v>
          </cell>
          <cell r="H1298">
            <v>0</v>
          </cell>
          <cell r="I1298">
            <v>0</v>
          </cell>
          <cell r="J1298">
            <v>0</v>
          </cell>
          <cell r="K1298">
            <v>0</v>
          </cell>
          <cell r="L1298">
            <v>0</v>
          </cell>
        </row>
        <row r="1299">
          <cell r="A1299" t="str">
            <v>10065.00113</v>
          </cell>
          <cell r="B1299" t="str">
            <v>MANILLE DROIT 16</v>
          </cell>
          <cell r="C1299" t="str">
            <v xml:space="preserve">MANILLES EN ACIER ESTAMPE  FORME : DROITE A VIS DIAMETRE FIL:16 MM FORCE 1000 KG OUVERTURE GRANDE </v>
          </cell>
          <cell r="D1299" t="str">
            <v>PE</v>
          </cell>
          <cell r="E1299" t="str">
            <v>522.52203</v>
          </cell>
          <cell r="F1299">
            <v>7.6630000000000003</v>
          </cell>
          <cell r="G1299">
            <v>0</v>
          </cell>
          <cell r="H1299">
            <v>0</v>
          </cell>
          <cell r="I1299">
            <v>0</v>
          </cell>
          <cell r="J1299">
            <v>0</v>
          </cell>
          <cell r="K1299">
            <v>0</v>
          </cell>
          <cell r="L1299">
            <v>0</v>
          </cell>
        </row>
        <row r="1300">
          <cell r="A1300" t="str">
            <v>10065.00115</v>
          </cell>
          <cell r="B1300" t="str">
            <v>MANILLE DROIT 20</v>
          </cell>
          <cell r="C1300" t="str">
            <v xml:space="preserve">MANILLES EN ACIER ESTAMPE  FORME : DROITE A VIS DIAMETRE FIL:20 MM FORCE 2000 KG OUVERTURE GRANDE </v>
          </cell>
          <cell r="D1300" t="str">
            <v>PE</v>
          </cell>
          <cell r="E1300" t="str">
            <v>522.52203</v>
          </cell>
          <cell r="F1300">
            <v>12.251099999999999</v>
          </cell>
          <cell r="G1300">
            <v>0</v>
          </cell>
          <cell r="H1300">
            <v>0</v>
          </cell>
          <cell r="I1300">
            <v>0</v>
          </cell>
          <cell r="J1300">
            <v>0</v>
          </cell>
          <cell r="K1300">
            <v>0</v>
          </cell>
          <cell r="L1300">
            <v>0</v>
          </cell>
        </row>
        <row r="1301">
          <cell r="A1301" t="str">
            <v>10064.00129</v>
          </cell>
          <cell r="B1301" t="str">
            <v>POINTE ORDI L 40</v>
          </cell>
          <cell r="C1301" t="str">
            <v xml:space="preserve">QUINCAILLERIE POINTES EN ACIER TETE PLATE NORME A 47-103 LONGUEUR : 40 MM DIAMETRE 22/10 MM JAUGE 14 MM QUALITE ORDINAIRE </v>
          </cell>
          <cell r="D1301" t="str">
            <v>KG</v>
          </cell>
          <cell r="E1301" t="str">
            <v>522.52203</v>
          </cell>
          <cell r="F1301">
            <v>12.118399999999999</v>
          </cell>
          <cell r="G1301">
            <v>0</v>
          </cell>
          <cell r="H1301">
            <v>0</v>
          </cell>
          <cell r="I1301">
            <v>0</v>
          </cell>
          <cell r="J1301">
            <v>0</v>
          </cell>
          <cell r="K1301">
            <v>0</v>
          </cell>
          <cell r="L1301">
            <v>0</v>
          </cell>
        </row>
        <row r="1302">
          <cell r="A1302" t="str">
            <v>10064.00130</v>
          </cell>
          <cell r="B1302" t="str">
            <v>POINTE ORDI L 50</v>
          </cell>
          <cell r="C1302" t="str">
            <v xml:space="preserve">QUINCAILLERIE POINTES EN ACIER TETE PLATE NORME A 47-103 LONGUEUR : 50 MM DIAMETRE 24/10 MM JAUGE 15 MM QUALITE ORDINAIRE </v>
          </cell>
          <cell r="D1302" t="str">
            <v>KG</v>
          </cell>
          <cell r="E1302" t="str">
            <v>522.52203</v>
          </cell>
          <cell r="F1302">
            <v>10.7964</v>
          </cell>
          <cell r="G1302">
            <v>0</v>
          </cell>
          <cell r="H1302">
            <v>0</v>
          </cell>
          <cell r="I1302">
            <v>0</v>
          </cell>
          <cell r="J1302">
            <v>0</v>
          </cell>
          <cell r="K1302">
            <v>0</v>
          </cell>
          <cell r="L1302">
            <v>0</v>
          </cell>
        </row>
        <row r="1303">
          <cell r="A1303" t="str">
            <v>10064.00131</v>
          </cell>
          <cell r="B1303" t="str">
            <v>POINTE ORDI L 60</v>
          </cell>
          <cell r="C1303" t="str">
            <v xml:space="preserve">QUINCAILLERIE POINTES EN ACIER TETE PLATE NORME A 47-103 LONGUEUR : 60 MM DIAMETRE 27/10 MM JAUGE 16 MM QUALITE ORDINAIRE </v>
          </cell>
          <cell r="D1303" t="str">
            <v>KG</v>
          </cell>
          <cell r="E1303" t="str">
            <v>522.52203</v>
          </cell>
          <cell r="F1303">
            <v>10.7964</v>
          </cell>
          <cell r="G1303">
            <v>0</v>
          </cell>
          <cell r="H1303">
            <v>0</v>
          </cell>
          <cell r="I1303">
            <v>0</v>
          </cell>
          <cell r="J1303">
            <v>0</v>
          </cell>
          <cell r="K1303">
            <v>0</v>
          </cell>
          <cell r="L1303">
            <v>0</v>
          </cell>
        </row>
        <row r="1304">
          <cell r="A1304" t="str">
            <v>10065.00733</v>
          </cell>
          <cell r="B1304" t="str">
            <v>POULIE A MOYEU SPA/A D315</v>
          </cell>
          <cell r="C1304" t="str">
            <v xml:space="preserve">QUINCAILLERIE POULIES . . DESIGNATION : POULIE A MOYEU ET DOUILLE DE SERRAGE , TYPE : MAGIC GRIP.T , SECTION : SPA/A , DIAMETRE : 315 MM , NOMBRE DE GORGES : 3 , NUMERO DE DOUILLE : 63 , ALESAGE MINI MAXI : 25-70 </v>
          </cell>
          <cell r="D1304" t="str">
            <v>PE</v>
          </cell>
          <cell r="E1304" t="str">
            <v>515.51515</v>
          </cell>
          <cell r="F1304">
            <v>580</v>
          </cell>
          <cell r="G1304">
            <v>0</v>
          </cell>
          <cell r="H1304">
            <v>0</v>
          </cell>
          <cell r="I1304">
            <v>0</v>
          </cell>
          <cell r="J1304">
            <v>0</v>
          </cell>
          <cell r="K1304">
            <v>0</v>
          </cell>
          <cell r="L1304">
            <v>2</v>
          </cell>
        </row>
        <row r="1305">
          <cell r="A1305" t="str">
            <v>10065.00141</v>
          </cell>
          <cell r="B1305" t="str">
            <v>AGRAF SER CABL 8</v>
          </cell>
          <cell r="C1305" t="str">
            <v xml:space="preserve">AGRAFES SERR CABLE EN ACIER ESTAMPE POUR FIXATION DE CABLES ACIER DE :8 MM </v>
          </cell>
          <cell r="D1305" t="str">
            <v>PE</v>
          </cell>
          <cell r="E1305" t="str">
            <v>522.52203</v>
          </cell>
          <cell r="F1305">
            <v>0.83420000000000005</v>
          </cell>
          <cell r="G1305">
            <v>0</v>
          </cell>
          <cell r="H1305">
            <v>0</v>
          </cell>
          <cell r="I1305">
            <v>0</v>
          </cell>
          <cell r="J1305">
            <v>0</v>
          </cell>
          <cell r="K1305">
            <v>2</v>
          </cell>
          <cell r="L1305">
            <v>0</v>
          </cell>
        </row>
        <row r="1306">
          <cell r="A1306" t="str">
            <v>10064.00133</v>
          </cell>
          <cell r="B1306" t="str">
            <v>POINTE ORDI L 70</v>
          </cell>
          <cell r="C1306" t="str">
            <v xml:space="preserve">QUINCAILLERIE POINTES EN ACIER TETE PLATE NORME A 47-103 LONGUEUR : 70 MM DIAMETRE 30/10 MM JAUGE 17 MM QUALITE ORDINAIRE </v>
          </cell>
          <cell r="D1306" t="str">
            <v>KG</v>
          </cell>
          <cell r="E1306" t="str">
            <v>522.52203</v>
          </cell>
          <cell r="F1306">
            <v>10.7964</v>
          </cell>
          <cell r="G1306">
            <v>0</v>
          </cell>
          <cell r="H1306">
            <v>0</v>
          </cell>
          <cell r="I1306">
            <v>0</v>
          </cell>
          <cell r="J1306">
            <v>0</v>
          </cell>
          <cell r="K1306">
            <v>0</v>
          </cell>
          <cell r="L1306">
            <v>0</v>
          </cell>
        </row>
        <row r="1307">
          <cell r="A1307" t="str">
            <v>10060.01260</v>
          </cell>
          <cell r="B1307" t="str">
            <v>THERMOMETRE BIMETALLIQUE 0-60°C D:100MM</v>
          </cell>
          <cell r="C1307" t="str">
            <v xml:space="preserve">THERMOMETRE BIMETALLIQUE CONSTRUCTION INOX 316L MODELE ORIENTABLE ETANCHEITE DU BOITIER IP 65 CLASSE DE PRECISION : 1 DIAMETRE DU BOITIER EN (MM) : 100 MM DIAMETRE DU RACCORD 1/2 POUCE NPT TYPE DU RACCORD FILETE TOURNANT ET COULISSANT DIAMETRE DE LA TIGE 6 MM LONGUEUR DE LA TIGE 200 MM ECHELLE 0 A 60 DEGRE CELCIUS </v>
          </cell>
          <cell r="D1307" t="str">
            <v>PE</v>
          </cell>
          <cell r="E1307" t="str">
            <v>512.51201</v>
          </cell>
          <cell r="F1307">
            <v>566</v>
          </cell>
          <cell r="G1307">
            <v>0</v>
          </cell>
          <cell r="H1307">
            <v>0</v>
          </cell>
          <cell r="I1307">
            <v>0</v>
          </cell>
          <cell r="J1307">
            <v>0</v>
          </cell>
          <cell r="K1307">
            <v>0</v>
          </cell>
          <cell r="L1307">
            <v>1</v>
          </cell>
        </row>
        <row r="1308">
          <cell r="A1308" t="str">
            <v>10060.02610</v>
          </cell>
          <cell r="B1308" t="str">
            <v>MANOMETRE A SEPARATEUR 0-6BARS</v>
          </cell>
          <cell r="C1308" t="str">
            <v>MANOMETRE AVEC SEPARATEURELEMENT PRIMAIRE : TUBE DE BOURDONMATIERE ELEMENT PRIMAIRE : INOX 316LCONSTRUCTION : INOX 316LETANCHEITE DU BOITIER : IP65BAIN DE GLYCERINE : AVECCLASSE DE PRECISION : 1DIAMETRE DU BOITIER : 100MMCOLLERETTE : SANSPOSITION DU RACCORD : EN BASRACCORDEMENT : 1/2" NPTMSEPARATEUR A MEMBRANERACCORDEMENT DU SEPARATEUR : DN50 PN10FFMATERIAU DE LA MEMBRANE : HASTELLOY.CECHELLE : 0-6BARS</v>
          </cell>
          <cell r="D1308" t="str">
            <v>PE</v>
          </cell>
          <cell r="E1308" t="str">
            <v>512.51201</v>
          </cell>
          <cell r="F1308">
            <v>2165</v>
          </cell>
          <cell r="G1308">
            <v>0</v>
          </cell>
          <cell r="H1308">
            <v>0</v>
          </cell>
          <cell r="I1308">
            <v>0</v>
          </cell>
          <cell r="J1308">
            <v>0</v>
          </cell>
          <cell r="K1308">
            <v>0</v>
          </cell>
          <cell r="L1308">
            <v>1</v>
          </cell>
        </row>
        <row r="1309">
          <cell r="A1309" t="str">
            <v>10060.02612</v>
          </cell>
          <cell r="B1309" t="str">
            <v>MANOMETRE A SEPARATEUR 0-10BARS</v>
          </cell>
          <cell r="C1309" t="str">
            <v>MANOMETRE AVEC SEPARATEURELEMENT PRIMAIRE : TUBE DE BOURDONMATIERE ELEMENT PRIMAIRE : INOX 316LCONSTRUCTION : INOX 316LETANCHEITE DU BOITIER : IP65BAIN DE GLYCERINE : AVECCLASSE DE PRECISION : 1DIAMETRE DU BOITIER : 100MMCOLLERETTE : SANSPOSITION DU RACCORD : EN BASRACCORDEMENT : 1/2" NPTSEPARATEUR A MEMBRANERACCORDEMENT DU SEPARATEUR : DN50 PN10MATERIAU DE LA MEMBRANE : UB6ECHELLE : 0-10BARS</v>
          </cell>
          <cell r="D1309" t="str">
            <v>PE</v>
          </cell>
          <cell r="E1309" t="str">
            <v>512.51201</v>
          </cell>
          <cell r="F1309">
            <v>3415</v>
          </cell>
          <cell r="G1309">
            <v>0</v>
          </cell>
          <cell r="H1309">
            <v>2</v>
          </cell>
          <cell r="I1309">
            <v>0</v>
          </cell>
          <cell r="J1309">
            <v>0</v>
          </cell>
          <cell r="K1309">
            <v>0</v>
          </cell>
          <cell r="L1309">
            <v>0</v>
          </cell>
        </row>
        <row r="1310">
          <cell r="A1310" t="str">
            <v>10060.01614</v>
          </cell>
          <cell r="B1310" t="str">
            <v>THERMOMETRE BIMETALLIQUE 0-100°C D:130MM</v>
          </cell>
          <cell r="C1310" t="str">
            <v xml:space="preserve">THERMOMETRE BIMETALLIQUE CONSTRUCTION INOX 316L MODELE ORIENTABLE RACCORD FILETE TOURNANT ET COULISSANT ETANCHEITE DU BOITIER IP 67 CLASSE DE PRECISION : 1 DIAMETRE DU BOITIER EN (MM) : 130 MM RACCORDEMENT : 1/2 POUCE NPTM DIAMETRE DE LA TIGE 6 MM LONGUEUR DE LA TIGE 290 MM ECHELLE 0 A 100°C </v>
          </cell>
          <cell r="D1310" t="str">
            <v>PE</v>
          </cell>
          <cell r="E1310" t="str">
            <v>512.51201</v>
          </cell>
          <cell r="F1310">
            <v>900</v>
          </cell>
          <cell r="G1310">
            <v>0</v>
          </cell>
          <cell r="H1310">
            <v>0</v>
          </cell>
          <cell r="I1310">
            <v>0</v>
          </cell>
          <cell r="J1310">
            <v>0</v>
          </cell>
          <cell r="K1310">
            <v>0</v>
          </cell>
          <cell r="L1310">
            <v>2</v>
          </cell>
        </row>
        <row r="1311">
          <cell r="A1311" t="str">
            <v>10063.01061</v>
          </cell>
          <cell r="B1311" t="str">
            <v>ECROU HEXAGONAL E26 D16MM</v>
          </cell>
          <cell r="C1311" t="str">
            <v xml:space="preserve">QUINCAILLERIE ECROUS EN ACIER HEXAGONAUX S/NORME : NF.E 25.401 - DIN 934 FILETAGE : ISO ETAT DE FINITION : BRUT (N) SYMBOLE : H DIAMETRE 16 MM MATIERE ACIER E 26 </v>
          </cell>
          <cell r="D1311" t="str">
            <v>PE</v>
          </cell>
          <cell r="E1311" t="str">
            <v>522.52201</v>
          </cell>
          <cell r="F1311">
            <v>0.98529999999999995</v>
          </cell>
          <cell r="G1311">
            <v>0</v>
          </cell>
          <cell r="H1311">
            <v>0</v>
          </cell>
          <cell r="I1311">
            <v>0</v>
          </cell>
          <cell r="J1311">
            <v>0</v>
          </cell>
          <cell r="K1311">
            <v>50</v>
          </cell>
          <cell r="L1311">
            <v>0</v>
          </cell>
        </row>
        <row r="1312">
          <cell r="A1312" t="str">
            <v>10063.01190</v>
          </cell>
          <cell r="B1312" t="str">
            <v>ECROU HEXAGONAL D.4 SYM.H</v>
          </cell>
          <cell r="C1312" t="str">
            <v xml:space="preserve">ECROU HEXAGONAL HMU 4 EN ACIER INOXYDABLE NUANCE : AFNOR  Z2 CND 17-13/AISI 316L/UGINE NSM 22 S SUIVANT NORME NF.E 25-401 / FILETAGE  ISO </v>
          </cell>
          <cell r="D1312" t="str">
            <v>PE</v>
          </cell>
          <cell r="E1312" t="str">
            <v>522.52201</v>
          </cell>
          <cell r="F1312">
            <v>0.16800000000000001</v>
          </cell>
          <cell r="G1312">
            <v>0</v>
          </cell>
          <cell r="H1312">
            <v>0</v>
          </cell>
          <cell r="I1312">
            <v>0</v>
          </cell>
          <cell r="J1312">
            <v>0</v>
          </cell>
          <cell r="K1312">
            <v>64</v>
          </cell>
          <cell r="L1312">
            <v>0</v>
          </cell>
        </row>
        <row r="1313">
          <cell r="A1313" t="str">
            <v>10063.01191</v>
          </cell>
          <cell r="B1313" t="str">
            <v>ECROU HEXAGONAL D.5 SYM.H</v>
          </cell>
          <cell r="C1313" t="str">
            <v xml:space="preserve">ECROU HEXAGONAL HMU 5 EN ACIER INOXYDABLE NUANCE : AFNOR  Z2 CND 17-13/AISI 316L/UGINE NSM 22 S SUIVANT NORME NF.E 25-401 / FILETAGE  ISO </v>
          </cell>
          <cell r="D1313" t="str">
            <v>PE</v>
          </cell>
          <cell r="E1313" t="str">
            <v>522.52201</v>
          </cell>
          <cell r="F1313">
            <v>0.24</v>
          </cell>
          <cell r="G1313">
            <v>0</v>
          </cell>
          <cell r="H1313">
            <v>0</v>
          </cell>
          <cell r="I1313">
            <v>0</v>
          </cell>
          <cell r="J1313">
            <v>0</v>
          </cell>
          <cell r="K1313">
            <v>84</v>
          </cell>
          <cell r="L1313">
            <v>0</v>
          </cell>
        </row>
        <row r="1314">
          <cell r="A1314" t="str">
            <v>10063.01192</v>
          </cell>
          <cell r="B1314" t="str">
            <v>ECROU HEXAGONAL D.6 SYM.H</v>
          </cell>
          <cell r="C1314" t="str">
            <v xml:space="preserve">ECROU HEXAGONAL HMU 6 EN ACIER INOXYDABLE NUANCE : AFNOR  Z2 CND 17-13/AISI 316L/UGINE NSM 22 S SUIVANT NORME NF.E 25-401 / FILETAGE  ISO </v>
          </cell>
          <cell r="D1314" t="str">
            <v>PE</v>
          </cell>
          <cell r="E1314" t="str">
            <v>522.52201</v>
          </cell>
          <cell r="F1314">
            <v>0.2</v>
          </cell>
          <cell r="G1314">
            <v>0</v>
          </cell>
          <cell r="H1314">
            <v>0</v>
          </cell>
          <cell r="I1314">
            <v>0</v>
          </cell>
          <cell r="J1314">
            <v>0</v>
          </cell>
          <cell r="K1314">
            <v>0</v>
          </cell>
          <cell r="L1314">
            <v>0</v>
          </cell>
        </row>
        <row r="1315">
          <cell r="A1315" t="str">
            <v>10063.01194</v>
          </cell>
          <cell r="B1315" t="str">
            <v>ECROU HEXAGONAL D.8 SYM.H</v>
          </cell>
          <cell r="C1315" t="str">
            <v xml:space="preserve">ECROU HEXAGONAL HMU 8 EN ACIER INOXYDABLE NUANCE : AFNOR  Z2 CND 17-13/AISI 316L/UGINE NSM 22 S SUIVANT NORME NF.E 25-401 / FILETAGE  ISO </v>
          </cell>
          <cell r="D1315" t="str">
            <v>PE</v>
          </cell>
          <cell r="E1315" t="str">
            <v>522.52201</v>
          </cell>
          <cell r="F1315">
            <v>0.41460000000000002</v>
          </cell>
          <cell r="G1315">
            <v>0</v>
          </cell>
          <cell r="H1315">
            <v>0</v>
          </cell>
          <cell r="I1315">
            <v>0</v>
          </cell>
          <cell r="J1315">
            <v>0</v>
          </cell>
          <cell r="K1315">
            <v>0</v>
          </cell>
          <cell r="L1315">
            <v>0</v>
          </cell>
        </row>
        <row r="1316">
          <cell r="A1316" t="str">
            <v>10063.01195</v>
          </cell>
          <cell r="B1316" t="str">
            <v>ECROU HEXAGONAL D10 SYM.H</v>
          </cell>
          <cell r="C1316" t="str">
            <v xml:space="preserve">ECROU HEXAGONAL HMU 10 EN ACIER INOXYDABLE NUANCE : AFNOR  Z2 CND 17-13/AISI 316L/UGINE NSM 22 S SUIVANT NORME NF.E 25-401 / FILETAGE  ISO </v>
          </cell>
          <cell r="D1316" t="str">
            <v>PE</v>
          </cell>
          <cell r="E1316" t="str">
            <v>522.52201</v>
          </cell>
          <cell r="F1316">
            <v>1.87</v>
          </cell>
          <cell r="G1316">
            <v>0</v>
          </cell>
          <cell r="H1316">
            <v>0</v>
          </cell>
          <cell r="I1316">
            <v>0</v>
          </cell>
          <cell r="J1316">
            <v>0</v>
          </cell>
          <cell r="K1316">
            <v>50</v>
          </cell>
          <cell r="L1316">
            <v>0</v>
          </cell>
        </row>
        <row r="1317">
          <cell r="A1317" t="str">
            <v>10063.01196</v>
          </cell>
          <cell r="B1317" t="str">
            <v>ECROU HEXAGONAL D12 SYM.H</v>
          </cell>
          <cell r="C1317" t="str">
            <v xml:space="preserve">ECROU HEXAGONAL HMU 12 EN ACIER INOXYDABLE NUANCE : AFNOR  Z2 CND 17-13/AISI 316L/UGINE NSM 22 S SUIVANT NORME NF.E 25-401 / FILETAGE  ISO </v>
          </cell>
          <cell r="D1317" t="str">
            <v>PE</v>
          </cell>
          <cell r="E1317" t="str">
            <v>522.52201</v>
          </cell>
          <cell r="F1317">
            <v>1.25</v>
          </cell>
          <cell r="G1317">
            <v>0</v>
          </cell>
          <cell r="H1317">
            <v>0</v>
          </cell>
          <cell r="I1317">
            <v>0</v>
          </cell>
          <cell r="J1317">
            <v>0</v>
          </cell>
          <cell r="K1317">
            <v>0</v>
          </cell>
          <cell r="L1317">
            <v>0</v>
          </cell>
        </row>
        <row r="1318">
          <cell r="A1318" t="str">
            <v>10063.01197</v>
          </cell>
          <cell r="B1318" t="str">
            <v>ECROU HEXAGONAL D14 SYM.H</v>
          </cell>
          <cell r="C1318" t="str">
            <v xml:space="preserve">ECROU HEXAGONAL HMU 14 EN ACIER INOXYDABLE NUANCE : AFNOR  Z2 CND 17-13/AISI 316L/UGINE NSM 22 S SUIVANT NORME NF.E 25-401 / FILETAGE  ISO </v>
          </cell>
          <cell r="D1318" t="str">
            <v>PE</v>
          </cell>
          <cell r="E1318" t="str">
            <v>522.52201</v>
          </cell>
          <cell r="F1318">
            <v>1.9</v>
          </cell>
          <cell r="G1318">
            <v>0</v>
          </cell>
          <cell r="H1318">
            <v>0</v>
          </cell>
          <cell r="I1318">
            <v>0</v>
          </cell>
          <cell r="J1318">
            <v>0</v>
          </cell>
          <cell r="K1318">
            <v>0</v>
          </cell>
          <cell r="L1318">
            <v>0</v>
          </cell>
        </row>
        <row r="1319">
          <cell r="A1319" t="str">
            <v>10058.05030</v>
          </cell>
          <cell r="B1319" t="str">
            <v>PANCARTE INFORMATIVE D'AVERTISSEMENT</v>
          </cell>
          <cell r="C1319" t="str">
            <v xml:space="preserve">PANCARTE INFORMATIVE D'AVERTISSEMENT EN ALUMETALDIMENSIONS : 200X60 MMGENRE CATU OU EQUIVALANTREFERENCE CATU : AM-282/2"   </v>
          </cell>
          <cell r="D1319" t="str">
            <v>PE</v>
          </cell>
          <cell r="E1319" t="str">
            <v>522.52217</v>
          </cell>
          <cell r="F1319">
            <v>112</v>
          </cell>
          <cell r="G1319">
            <v>0</v>
          </cell>
          <cell r="H1319">
            <v>0</v>
          </cell>
          <cell r="I1319">
            <v>0</v>
          </cell>
          <cell r="J1319">
            <v>0</v>
          </cell>
          <cell r="K1319">
            <v>0</v>
          </cell>
          <cell r="L1319">
            <v>0</v>
          </cell>
        </row>
        <row r="1320">
          <cell r="A1320" t="str">
            <v>10060.04371</v>
          </cell>
          <cell r="B1320" t="str">
            <v>SONDE DE TEMPERATURE 1XPT100 - 3FILS</v>
          </cell>
          <cell r="C1320" t="str">
            <v xml:space="preserve">SONDE DE TEMPERATURE 1XPT100 A 3 FILS                                                                                  CONDITIONS PROCEDE : TEMERATURE NOMINAL 180C°  / TEMPERATURE MAXIMAL 250C°  / PRESSION NOMINAL 3 BARS / PRESSION MAXIMAL 4,5 BARS  / CLASSE A   / SECTION DE FILS : STANDARD   / NOMBRE FILS 3  / MATERIAU DE LA GAINE : INOX 316L  / DIAMETRE DE LA GAINE : 6MM  /  ALIMENTATION : 24VCC / SIGNALE DE SORTIE : 4 A 20 MA  /  PROTOCOLE HART / TYPE DE CONSTRUCTION : FORE ENTIEREMENT DANS LA MASSE  / MATERIAU Y COMPRIS BRIDE : INOX 316L / FILETAGE TYPE A VISSER : 1'' NPT   /   LONGUEUR : 250       </v>
          </cell>
          <cell r="D1320" t="str">
            <v>PE</v>
          </cell>
          <cell r="E1320" t="str">
            <v>512.51201</v>
          </cell>
          <cell r="F1320">
            <v>3300</v>
          </cell>
          <cell r="G1320">
            <v>0</v>
          </cell>
          <cell r="H1320">
            <v>0</v>
          </cell>
          <cell r="I1320">
            <v>0</v>
          </cell>
          <cell r="J1320">
            <v>0</v>
          </cell>
          <cell r="K1320">
            <v>0</v>
          </cell>
          <cell r="L1320">
            <v>4</v>
          </cell>
        </row>
        <row r="1321">
          <cell r="A1321" t="str">
            <v>10060.02378</v>
          </cell>
          <cell r="B1321" t="str">
            <v>MANOMETRE.TUB.BOURDON.BAS</v>
          </cell>
          <cell r="C1321" t="str">
            <v xml:space="preserve">MANOMETRE A TUBE DE BOURDON CONSTRUCTION INOX 316L BAIN GLYCERINE ETANCHEITE DU BOITIER IP 55 , CLASSE 1 , RACCORDEMENT : 1/2 POUC NPT DIAMETRE DU BOITIER EN (MM) : 160 MM ECHELLE 0-4 BARS POSITION DU RACCORD : EN BAS COLLERETTE SANS </v>
          </cell>
          <cell r="D1321" t="str">
            <v>PE</v>
          </cell>
          <cell r="E1321" t="str">
            <v>512.51201</v>
          </cell>
          <cell r="F1321">
            <v>478</v>
          </cell>
          <cell r="G1321">
            <v>0</v>
          </cell>
          <cell r="H1321">
            <v>1</v>
          </cell>
          <cell r="I1321">
            <v>1</v>
          </cell>
          <cell r="J1321">
            <v>0</v>
          </cell>
          <cell r="K1321">
            <v>0</v>
          </cell>
          <cell r="L1321">
            <v>0</v>
          </cell>
        </row>
        <row r="1322">
          <cell r="A1322" t="str">
            <v>10022.00440</v>
          </cell>
          <cell r="B1322" t="str">
            <v>CLE MOLETTE  100</v>
          </cell>
          <cell r="C1322" t="str">
            <v xml:space="preserve">OUTILLAGE CLES A MOLETTE  , SIMPLE LONGUEUR 4 POUCE (100 MM) OUVERTURE 13 MM GENRE FACOM=113 SERIE :MEULE-CHROME </v>
          </cell>
          <cell r="D1322" t="str">
            <v>PE</v>
          </cell>
          <cell r="E1322" t="str">
            <v>522.52208</v>
          </cell>
          <cell r="F1322">
            <v>112.8</v>
          </cell>
          <cell r="G1322">
            <v>0</v>
          </cell>
          <cell r="H1322">
            <v>0</v>
          </cell>
          <cell r="I1322">
            <v>0</v>
          </cell>
          <cell r="J1322">
            <v>0</v>
          </cell>
          <cell r="K1322">
            <v>0</v>
          </cell>
          <cell r="L1322">
            <v>0</v>
          </cell>
        </row>
        <row r="1323">
          <cell r="A1323" t="str">
            <v>10019.08392</v>
          </cell>
          <cell r="B1323" t="str">
            <v>JOINT SPIRALE GRAPHITE</v>
          </cell>
          <cell r="C1323" t="str">
            <v>JOINT SPIRALE GRAPHITE EN INOX 316LAVEC ANNEAU EXTERIEUR ET INTERIEURGENRE BURGMANNDN50 EP.3,3MM PN40</v>
          </cell>
          <cell r="D1323" t="str">
            <v>PE</v>
          </cell>
          <cell r="E1323" t="str">
            <v>522.52207</v>
          </cell>
          <cell r="F1323">
            <v>28.56</v>
          </cell>
          <cell r="G1323">
            <v>0</v>
          </cell>
          <cell r="H1323">
            <v>0</v>
          </cell>
          <cell r="I1323">
            <v>0</v>
          </cell>
          <cell r="J1323">
            <v>0</v>
          </cell>
          <cell r="K1323">
            <v>0</v>
          </cell>
          <cell r="L1323">
            <v>6</v>
          </cell>
        </row>
        <row r="1324">
          <cell r="A1324" t="str">
            <v>10019.09469</v>
          </cell>
          <cell r="B1324" t="str">
            <v>JOINT SPIRALE</v>
          </cell>
          <cell r="C1324" t="str">
            <v>JOINT SPIRALE EPAISSEUR 4,5MM - ANNEAU INOX 304 SS GRAPHITEEPAISSEUR COMPRESSE 3MM CLASSE 300 DN400</v>
          </cell>
          <cell r="D1324" t="str">
            <v>PE</v>
          </cell>
          <cell r="E1324" t="str">
            <v>522.52207</v>
          </cell>
          <cell r="F1324">
            <v>365.52859999999998</v>
          </cell>
          <cell r="G1324">
            <v>0</v>
          </cell>
          <cell r="H1324">
            <v>0</v>
          </cell>
          <cell r="I1324">
            <v>0</v>
          </cell>
          <cell r="J1324">
            <v>1</v>
          </cell>
          <cell r="K1324">
            <v>0</v>
          </cell>
          <cell r="L1324">
            <v>1</v>
          </cell>
        </row>
        <row r="1325">
          <cell r="A1325" t="str">
            <v>10019.09471</v>
          </cell>
          <cell r="B1325" t="str">
            <v>JOINT SPIRALE</v>
          </cell>
          <cell r="C1325" t="str">
            <v>JOINT SPIRALE EPAISSEUR 4,5MM - ANNEAU INOX 304 SS GRAPHITEEPAISSEUR COMPRESSE 3MM CLASSE 300 DN600</v>
          </cell>
          <cell r="D1325" t="str">
            <v>PE</v>
          </cell>
          <cell r="E1325" t="str">
            <v>522.52207</v>
          </cell>
          <cell r="F1325">
            <v>500</v>
          </cell>
          <cell r="G1325">
            <v>0</v>
          </cell>
          <cell r="H1325">
            <v>0</v>
          </cell>
          <cell r="I1325">
            <v>0</v>
          </cell>
          <cell r="J1325">
            <v>0</v>
          </cell>
          <cell r="K1325">
            <v>0</v>
          </cell>
          <cell r="L1325">
            <v>10</v>
          </cell>
        </row>
        <row r="1326">
          <cell r="A1326" t="str">
            <v>10019.09465</v>
          </cell>
          <cell r="B1326" t="str">
            <v>JOINT SPIRALE</v>
          </cell>
          <cell r="C1326" t="str">
            <v>JOINT SPIRALE EPAISSEUR 4,5MM - ANNEAU INOX 304 SS GRAPHITEEPAISSEUR COMPRESSE 3MM CLASSE 300 DN80</v>
          </cell>
          <cell r="D1326" t="str">
            <v>PE</v>
          </cell>
          <cell r="E1326" t="str">
            <v>522.52207</v>
          </cell>
          <cell r="F1326">
            <v>58.4</v>
          </cell>
          <cell r="G1326">
            <v>10</v>
          </cell>
          <cell r="H1326">
            <v>0</v>
          </cell>
          <cell r="I1326">
            <v>0</v>
          </cell>
          <cell r="J1326">
            <v>0</v>
          </cell>
          <cell r="K1326">
            <v>2</v>
          </cell>
          <cell r="L1326">
            <v>10</v>
          </cell>
        </row>
        <row r="1327">
          <cell r="A1327" t="str">
            <v>10019.09491</v>
          </cell>
          <cell r="B1327" t="str">
            <v>JOINT SPIRALE</v>
          </cell>
          <cell r="C1327" t="str">
            <v>JOINT SPIRALE EPAISSEUR 4,5MM - ANNEAU INOX 304 SS GRAPHITEEPAISSEUR COMPRESSE 3MM CLASSE 600 DN350</v>
          </cell>
          <cell r="D1327" t="str">
            <v>PE</v>
          </cell>
          <cell r="E1327" t="str">
            <v>522.52207</v>
          </cell>
          <cell r="F1327">
            <v>362.28570000000002</v>
          </cell>
          <cell r="G1327">
            <v>0</v>
          </cell>
          <cell r="H1327">
            <v>0</v>
          </cell>
          <cell r="I1327">
            <v>0</v>
          </cell>
          <cell r="J1327">
            <v>0</v>
          </cell>
          <cell r="K1327">
            <v>0</v>
          </cell>
          <cell r="L1327">
            <v>28</v>
          </cell>
        </row>
        <row r="1328">
          <cell r="A1328" t="str">
            <v>10019.09493</v>
          </cell>
          <cell r="B1328" t="str">
            <v>JOINT SPIRALE</v>
          </cell>
          <cell r="C1328" t="str">
            <v>JOINT SPIRALE EPAISSEUR 4,5MM - ANNEAU INOX 304 SS GRAPHITEEPAISSEUR COMPRESSE 3MM CLASSE 600 DN400</v>
          </cell>
          <cell r="D1328" t="str">
            <v>PE</v>
          </cell>
          <cell r="E1328" t="str">
            <v>522.52207</v>
          </cell>
          <cell r="F1328">
            <v>407.09089999999998</v>
          </cell>
          <cell r="G1328">
            <v>0</v>
          </cell>
          <cell r="H1328">
            <v>0</v>
          </cell>
          <cell r="I1328">
            <v>0</v>
          </cell>
          <cell r="J1328">
            <v>0</v>
          </cell>
          <cell r="K1328">
            <v>0</v>
          </cell>
          <cell r="L1328">
            <v>40</v>
          </cell>
        </row>
        <row r="1329">
          <cell r="A1329" t="str">
            <v>10019.09507</v>
          </cell>
          <cell r="B1329" t="str">
            <v>JOINT SPIRALE</v>
          </cell>
          <cell r="C1329" t="str">
            <v>JOINT SPIRALE EPAISSEUR 4,5MM - ANNEAU INOX 304 SS GRAPHITEEPAISSEUR COMPRESSE 3MM CLASSE 900 DN400</v>
          </cell>
          <cell r="D1329" t="str">
            <v>PE</v>
          </cell>
          <cell r="E1329" t="str">
            <v>522.52207</v>
          </cell>
          <cell r="F1329">
            <v>495.12729999999999</v>
          </cell>
          <cell r="G1329">
            <v>0</v>
          </cell>
          <cell r="H1329">
            <v>0</v>
          </cell>
          <cell r="I1329">
            <v>0</v>
          </cell>
          <cell r="J1329">
            <v>0</v>
          </cell>
          <cell r="K1329">
            <v>0</v>
          </cell>
          <cell r="L1329">
            <v>28</v>
          </cell>
        </row>
        <row r="1330">
          <cell r="A1330" t="str">
            <v>10019.09509</v>
          </cell>
          <cell r="B1330" t="str">
            <v>JOINT SPIRALE</v>
          </cell>
          <cell r="C1330" t="str">
            <v>JOINT SPIRALE EPAISSEUR 4,5MM - ANNEAU INOX 304 SS GRAPHITEEPAISSEUR COMPRESSE 3MM CLASSE 900 DN600</v>
          </cell>
          <cell r="D1330" t="str">
            <v>PE</v>
          </cell>
          <cell r="E1330" t="str">
            <v>522.52207</v>
          </cell>
          <cell r="F1330">
            <v>615.78179999999998</v>
          </cell>
          <cell r="G1330">
            <v>4</v>
          </cell>
          <cell r="H1330">
            <v>0</v>
          </cell>
          <cell r="I1330">
            <v>0</v>
          </cell>
          <cell r="J1330">
            <v>0</v>
          </cell>
          <cell r="K1330">
            <v>0</v>
          </cell>
          <cell r="L1330">
            <v>16</v>
          </cell>
        </row>
        <row r="1331">
          <cell r="A1331" t="str">
            <v>10019.09514</v>
          </cell>
          <cell r="B1331" t="str">
            <v>JOINT SPIRALE</v>
          </cell>
          <cell r="C1331" t="str">
            <v>JOINT SPIRALE EPAISSEUR 4,5MM - ANNEAU INOX 304 SS GRAPHITEEPAISSEUR COMPRESSE 3MM CLASSE 1500 DN20</v>
          </cell>
          <cell r="D1331" t="str">
            <v>PE</v>
          </cell>
          <cell r="E1331" t="str">
            <v>522.52207</v>
          </cell>
          <cell r="F1331">
            <v>32.4</v>
          </cell>
          <cell r="G1331">
            <v>0</v>
          </cell>
          <cell r="H1331">
            <v>0</v>
          </cell>
          <cell r="I1331">
            <v>0</v>
          </cell>
          <cell r="J1331">
            <v>0</v>
          </cell>
          <cell r="K1331">
            <v>0</v>
          </cell>
          <cell r="L1331">
            <v>0</v>
          </cell>
        </row>
        <row r="1332">
          <cell r="A1332" t="str">
            <v>10019.09515</v>
          </cell>
          <cell r="B1332" t="str">
            <v>JOINT SPIRALE</v>
          </cell>
          <cell r="C1332" t="str">
            <v>JOINT SPIRALE EPAISSEUR 4,5MM - ANNEAU INOX 304 SS GRAPHITEEPAISSEUR COMPRESSE 3MM CLASSE 2500 DN40</v>
          </cell>
          <cell r="D1332" t="str">
            <v>PE</v>
          </cell>
          <cell r="E1332" t="str">
            <v>522.52207</v>
          </cell>
          <cell r="F1332">
            <v>67.2</v>
          </cell>
          <cell r="G1332">
            <v>0</v>
          </cell>
          <cell r="H1332">
            <v>0</v>
          </cell>
          <cell r="I1332">
            <v>0</v>
          </cell>
          <cell r="J1332">
            <v>0</v>
          </cell>
          <cell r="K1332">
            <v>0</v>
          </cell>
          <cell r="L1332">
            <v>0</v>
          </cell>
        </row>
        <row r="1333">
          <cell r="A1333" t="str">
            <v>10019.09951</v>
          </cell>
          <cell r="B1333" t="str">
            <v>JOINT</v>
          </cell>
          <cell r="C1333" t="str">
            <v>JOINT EPAISSEUR 3MM TYPE GARLOOCK BLEU GARD N°3000 OU SIMILAIRE 3MM CLASSE 150 DN15</v>
          </cell>
          <cell r="D1333" t="str">
            <v>PE</v>
          </cell>
          <cell r="E1333" t="str">
            <v>522.52207</v>
          </cell>
          <cell r="F1333">
            <v>3.36</v>
          </cell>
          <cell r="G1333">
            <v>0</v>
          </cell>
          <cell r="H1333">
            <v>0</v>
          </cell>
          <cell r="I1333">
            <v>0</v>
          </cell>
          <cell r="J1333">
            <v>0</v>
          </cell>
          <cell r="K1333">
            <v>22</v>
          </cell>
          <cell r="L1333">
            <v>0</v>
          </cell>
        </row>
        <row r="1334">
          <cell r="A1334" t="str">
            <v>10019.09952</v>
          </cell>
          <cell r="B1334" t="str">
            <v>JOINT</v>
          </cell>
          <cell r="C1334" t="str">
            <v>JOINT EPAISSEUR 3MM TYPE GARLOOCK BLEU GARD N°3000 OU SIMILAIRE 3MM CLASSE 150 DN20</v>
          </cell>
          <cell r="D1334" t="str">
            <v>PE</v>
          </cell>
          <cell r="E1334" t="str">
            <v>522.52207</v>
          </cell>
          <cell r="F1334">
            <v>4.8</v>
          </cell>
          <cell r="G1334">
            <v>0</v>
          </cell>
          <cell r="H1334">
            <v>0</v>
          </cell>
          <cell r="I1334">
            <v>0</v>
          </cell>
          <cell r="J1334">
            <v>0</v>
          </cell>
          <cell r="K1334">
            <v>4</v>
          </cell>
          <cell r="L1334">
            <v>0</v>
          </cell>
        </row>
        <row r="1335">
          <cell r="A1335" t="str">
            <v>10019.09953</v>
          </cell>
          <cell r="B1335" t="str">
            <v>JOINT</v>
          </cell>
          <cell r="C1335" t="str">
            <v>JOINT EPAISSEUR 3MM TYPE GARLOOCK BLEU GARD N°3000 OU SIMILAIRE 3MM CLASSE 150 DN25</v>
          </cell>
          <cell r="D1335" t="str">
            <v>PE</v>
          </cell>
          <cell r="E1335" t="str">
            <v>522.52207</v>
          </cell>
          <cell r="F1335">
            <v>7.2</v>
          </cell>
          <cell r="G1335">
            <v>0</v>
          </cell>
          <cell r="H1335">
            <v>0</v>
          </cell>
          <cell r="I1335">
            <v>0</v>
          </cell>
          <cell r="J1335">
            <v>0</v>
          </cell>
          <cell r="K1335">
            <v>40</v>
          </cell>
          <cell r="L1335">
            <v>0</v>
          </cell>
        </row>
        <row r="1336">
          <cell r="A1336" t="str">
            <v>10019.09956</v>
          </cell>
          <cell r="B1336" t="str">
            <v>JOINT</v>
          </cell>
          <cell r="C1336" t="str">
            <v>JOINT EPAISSEUR 3MM TYPE GARLOOCK BLEU GARD N°3000 OU SIMILAIRE 3MM CLASSE 150 DN80</v>
          </cell>
          <cell r="D1336" t="str">
            <v>PE</v>
          </cell>
          <cell r="E1336" t="str">
            <v>522.52207</v>
          </cell>
          <cell r="F1336">
            <v>15.6</v>
          </cell>
          <cell r="G1336">
            <v>0</v>
          </cell>
          <cell r="H1336">
            <v>0</v>
          </cell>
          <cell r="I1336">
            <v>0</v>
          </cell>
          <cell r="J1336">
            <v>0</v>
          </cell>
          <cell r="K1336">
            <v>60</v>
          </cell>
          <cell r="L1336">
            <v>0</v>
          </cell>
        </row>
        <row r="1337">
          <cell r="A1337" t="str">
            <v>10019.09957</v>
          </cell>
          <cell r="B1337" t="str">
            <v>JOINT</v>
          </cell>
          <cell r="C1337" t="str">
            <v>JOINT EPAISSEUR 3MM TYPE GARLOOCK BLEU GARD N°3000 OU SIMILAIRE 3MM CLASSE 150 DN100</v>
          </cell>
          <cell r="D1337" t="str">
            <v>PE</v>
          </cell>
          <cell r="E1337" t="str">
            <v>522.52207</v>
          </cell>
          <cell r="F1337">
            <v>26.4</v>
          </cell>
          <cell r="G1337">
            <v>0</v>
          </cell>
          <cell r="H1337">
            <v>0</v>
          </cell>
          <cell r="I1337">
            <v>0</v>
          </cell>
          <cell r="J1337">
            <v>0</v>
          </cell>
          <cell r="K1337">
            <v>0</v>
          </cell>
          <cell r="L1337">
            <v>0</v>
          </cell>
        </row>
        <row r="1338">
          <cell r="A1338" t="str">
            <v>10019.09958</v>
          </cell>
          <cell r="B1338" t="str">
            <v>JOINT</v>
          </cell>
          <cell r="C1338" t="str">
            <v>JOINT EPAISSEUR 3MM TYPE GARLOOCK BLEU GARD N°3000 OU SIMILAIRE 3MM CLASSE 150 DN150</v>
          </cell>
          <cell r="D1338" t="str">
            <v>PE</v>
          </cell>
          <cell r="E1338" t="str">
            <v>522.52207</v>
          </cell>
          <cell r="F1338">
            <v>43.2</v>
          </cell>
          <cell r="G1338">
            <v>0</v>
          </cell>
          <cell r="H1338">
            <v>0</v>
          </cell>
          <cell r="I1338">
            <v>0</v>
          </cell>
          <cell r="J1338">
            <v>0</v>
          </cell>
          <cell r="K1338">
            <v>10</v>
          </cell>
          <cell r="L1338">
            <v>0</v>
          </cell>
        </row>
        <row r="1339">
          <cell r="A1339" t="str">
            <v>10019.09962</v>
          </cell>
          <cell r="B1339" t="str">
            <v>JOINT</v>
          </cell>
          <cell r="C1339" t="str">
            <v>JOINT EPAISSEUR 3MM TYPE GARLOOCK 3450 OU SIMILAIRE CLASSE 150 DN15</v>
          </cell>
          <cell r="D1339" t="str">
            <v>PE</v>
          </cell>
          <cell r="E1339" t="str">
            <v>522.52207</v>
          </cell>
          <cell r="F1339">
            <v>80</v>
          </cell>
          <cell r="G1339">
            <v>0</v>
          </cell>
          <cell r="H1339">
            <v>0</v>
          </cell>
          <cell r="I1339">
            <v>0</v>
          </cell>
          <cell r="J1339">
            <v>0</v>
          </cell>
          <cell r="K1339">
            <v>0</v>
          </cell>
          <cell r="L1339">
            <v>0</v>
          </cell>
        </row>
        <row r="1340">
          <cell r="A1340" t="str">
            <v>10019.09963</v>
          </cell>
          <cell r="B1340" t="str">
            <v>JOINT</v>
          </cell>
          <cell r="C1340" t="str">
            <v>JOINT EPAISSEUR 3MM TYPE GARLOOCK 3450 OU SIMILAIRE CLASSE 150 DN25</v>
          </cell>
          <cell r="D1340" t="str">
            <v>PE</v>
          </cell>
          <cell r="E1340" t="str">
            <v>522.52207</v>
          </cell>
          <cell r="F1340">
            <v>56.297899999999998</v>
          </cell>
          <cell r="G1340">
            <v>0</v>
          </cell>
          <cell r="H1340">
            <v>0</v>
          </cell>
          <cell r="I1340">
            <v>0</v>
          </cell>
          <cell r="J1340">
            <v>0</v>
          </cell>
          <cell r="K1340">
            <v>94</v>
          </cell>
          <cell r="L1340">
            <v>0</v>
          </cell>
        </row>
        <row r="1341">
          <cell r="A1341" t="str">
            <v>10019.09964</v>
          </cell>
          <cell r="B1341" t="str">
            <v>JOINT</v>
          </cell>
          <cell r="C1341" t="str">
            <v>JOINT EPAISSEUR 3MM TYPE GARLOOCK 3450 OU SIMILAIRE CLASSE 150 DN40</v>
          </cell>
          <cell r="D1341" t="str">
            <v>PE</v>
          </cell>
          <cell r="E1341" t="str">
            <v>522.52207</v>
          </cell>
          <cell r="F1341">
            <v>70</v>
          </cell>
          <cell r="G1341">
            <v>0</v>
          </cell>
          <cell r="H1341">
            <v>0</v>
          </cell>
          <cell r="I1341">
            <v>0</v>
          </cell>
          <cell r="J1341">
            <v>0</v>
          </cell>
          <cell r="K1341">
            <v>46</v>
          </cell>
          <cell r="L1341">
            <v>0</v>
          </cell>
        </row>
        <row r="1342">
          <cell r="A1342" t="str">
            <v>10019.09965</v>
          </cell>
          <cell r="B1342" t="str">
            <v>JOINT</v>
          </cell>
          <cell r="C1342" t="str">
            <v>JOINT EPAISSEUR 3MM TYPE GARLOOCK 3450 OU SIMILAIRE CLASSE 150 DN50</v>
          </cell>
          <cell r="D1342" t="str">
            <v>PE</v>
          </cell>
          <cell r="E1342" t="str">
            <v>522.52207</v>
          </cell>
          <cell r="F1342">
            <v>125.9333</v>
          </cell>
          <cell r="G1342">
            <v>0</v>
          </cell>
          <cell r="H1342">
            <v>0</v>
          </cell>
          <cell r="I1342">
            <v>0</v>
          </cell>
          <cell r="J1342">
            <v>0</v>
          </cell>
          <cell r="K1342">
            <v>60</v>
          </cell>
          <cell r="L1342">
            <v>0</v>
          </cell>
        </row>
        <row r="1343">
          <cell r="A1343" t="str">
            <v>10019.09966</v>
          </cell>
          <cell r="B1343" t="str">
            <v>JOINT</v>
          </cell>
          <cell r="C1343" t="str">
            <v>JOINT EPAISSEUR 3MM TYPE GARLOOCK 3450 OU SIMILAIRE CLASSE 150 DN80</v>
          </cell>
          <cell r="D1343" t="str">
            <v>PE</v>
          </cell>
          <cell r="E1343" t="str">
            <v>522.52207</v>
          </cell>
          <cell r="F1343">
            <v>136.00829999999999</v>
          </cell>
          <cell r="G1343">
            <v>0</v>
          </cell>
          <cell r="H1343">
            <v>0</v>
          </cell>
          <cell r="I1343">
            <v>0</v>
          </cell>
          <cell r="J1343">
            <v>0</v>
          </cell>
          <cell r="K1343">
            <v>96</v>
          </cell>
          <cell r="L1343">
            <v>0</v>
          </cell>
        </row>
        <row r="1344">
          <cell r="A1344" t="str">
            <v>10019.09968</v>
          </cell>
          <cell r="B1344" t="str">
            <v>JOINT</v>
          </cell>
          <cell r="C1344" t="str">
            <v>JOINT EPAISSEUR 3MM TYPE GARLOOCK 3450 OU SIMILAIRE CLASSE 150 DN125</v>
          </cell>
          <cell r="D1344" t="str">
            <v>PE</v>
          </cell>
          <cell r="E1344" t="str">
            <v>522.52207</v>
          </cell>
          <cell r="F1344">
            <v>156</v>
          </cell>
          <cell r="G1344">
            <v>0</v>
          </cell>
          <cell r="H1344">
            <v>0</v>
          </cell>
          <cell r="I1344">
            <v>0</v>
          </cell>
          <cell r="J1344">
            <v>0</v>
          </cell>
          <cell r="K1344">
            <v>4</v>
          </cell>
          <cell r="L1344">
            <v>0</v>
          </cell>
        </row>
        <row r="1345">
          <cell r="A1345" t="str">
            <v>10019.09969</v>
          </cell>
          <cell r="B1345" t="str">
            <v>JOINT</v>
          </cell>
          <cell r="C1345" t="str">
            <v>JOINT EPAISSEUR 3MM TYPE GARLOOCK 3450 OU SIMILAIRE CLASSE 150 DN150</v>
          </cell>
          <cell r="D1345" t="str">
            <v>PE</v>
          </cell>
          <cell r="E1345" t="str">
            <v>522.52207</v>
          </cell>
          <cell r="F1345">
            <v>235.51679999999999</v>
          </cell>
          <cell r="G1345">
            <v>0</v>
          </cell>
          <cell r="H1345">
            <v>0</v>
          </cell>
          <cell r="I1345">
            <v>0</v>
          </cell>
          <cell r="J1345">
            <v>0</v>
          </cell>
          <cell r="K1345">
            <v>173</v>
          </cell>
          <cell r="L1345">
            <v>0</v>
          </cell>
        </row>
        <row r="1346">
          <cell r="A1346" t="str">
            <v>10019.09972</v>
          </cell>
          <cell r="B1346" t="str">
            <v>JOINT</v>
          </cell>
          <cell r="C1346" t="str">
            <v>JOINT EPAISSEUR 3MM TYPE GARLOOCK 3450 OU SIMILAIRE CLASSE 150 DN250</v>
          </cell>
          <cell r="D1346" t="str">
            <v>PE</v>
          </cell>
          <cell r="E1346" t="str">
            <v>522.52207</v>
          </cell>
          <cell r="F1346">
            <v>496.25</v>
          </cell>
          <cell r="G1346">
            <v>0</v>
          </cell>
          <cell r="H1346">
            <v>0</v>
          </cell>
          <cell r="I1346">
            <v>0</v>
          </cell>
          <cell r="J1346">
            <v>0</v>
          </cell>
          <cell r="K1346">
            <v>16</v>
          </cell>
          <cell r="L1346">
            <v>0</v>
          </cell>
        </row>
        <row r="1347">
          <cell r="A1347" t="str">
            <v>10019.09973</v>
          </cell>
          <cell r="B1347" t="str">
            <v>JOINT</v>
          </cell>
          <cell r="C1347" t="str">
            <v>JOINT EPAISSEUR 3MM TYPE GARLOOCK 3450 OU SIMILAIRE CLASSE 150 DN300</v>
          </cell>
          <cell r="D1347" t="str">
            <v>PE</v>
          </cell>
          <cell r="E1347" t="str">
            <v>522.52207</v>
          </cell>
          <cell r="F1347">
            <v>660.5</v>
          </cell>
          <cell r="G1347">
            <v>0</v>
          </cell>
          <cell r="H1347">
            <v>0</v>
          </cell>
          <cell r="I1347">
            <v>0</v>
          </cell>
          <cell r="J1347">
            <v>0</v>
          </cell>
          <cell r="K1347">
            <v>16</v>
          </cell>
          <cell r="L1347">
            <v>0</v>
          </cell>
        </row>
        <row r="1348">
          <cell r="A1348" t="str">
            <v>10019.09974</v>
          </cell>
          <cell r="B1348" t="str">
            <v>JOINT</v>
          </cell>
          <cell r="C1348" t="str">
            <v>JOINT EPAISSEUR 3MM TYPE GARLOOCK 3450 OU SIMILAIRE CLASSE 150 DN350</v>
          </cell>
          <cell r="D1348" t="str">
            <v>PE</v>
          </cell>
          <cell r="E1348" t="str">
            <v>522.52207</v>
          </cell>
          <cell r="F1348">
            <v>925</v>
          </cell>
          <cell r="G1348">
            <v>0</v>
          </cell>
          <cell r="H1348">
            <v>0</v>
          </cell>
          <cell r="I1348">
            <v>0</v>
          </cell>
          <cell r="J1348">
            <v>0</v>
          </cell>
          <cell r="K1348">
            <v>16</v>
          </cell>
          <cell r="L1348">
            <v>0</v>
          </cell>
        </row>
        <row r="1349">
          <cell r="A1349" t="str">
            <v>10019.09975</v>
          </cell>
          <cell r="B1349" t="str">
            <v>JOINT</v>
          </cell>
          <cell r="C1349" t="str">
            <v>JOINT EPAISSEUR 3MM TYPE GARLOOCK 3450 OU SIMILAIRE CLASSE 150 DN400</v>
          </cell>
          <cell r="D1349" t="str">
            <v>PE</v>
          </cell>
          <cell r="E1349" t="str">
            <v>522.52207</v>
          </cell>
          <cell r="F1349">
            <v>1326.6667</v>
          </cell>
          <cell r="G1349">
            <v>0</v>
          </cell>
          <cell r="H1349">
            <v>0</v>
          </cell>
          <cell r="I1349">
            <v>0</v>
          </cell>
          <cell r="J1349">
            <v>0</v>
          </cell>
          <cell r="K1349">
            <v>12</v>
          </cell>
          <cell r="L1349">
            <v>0</v>
          </cell>
        </row>
        <row r="1350">
          <cell r="A1350" t="str">
            <v>10019.09990</v>
          </cell>
          <cell r="B1350" t="str">
            <v>JOINT BUTYL</v>
          </cell>
          <cell r="C1350" t="str">
            <v>JOINT BUTYL EPAISSEUR 3MM DURETE 50A70 SHORE CLASSE 150 DN25</v>
          </cell>
          <cell r="D1350" t="str">
            <v>PE</v>
          </cell>
          <cell r="E1350" t="str">
            <v>522.52207</v>
          </cell>
          <cell r="F1350">
            <v>2.4</v>
          </cell>
          <cell r="G1350">
            <v>0</v>
          </cell>
          <cell r="H1350">
            <v>0</v>
          </cell>
          <cell r="I1350">
            <v>0</v>
          </cell>
          <cell r="J1350">
            <v>0</v>
          </cell>
          <cell r="K1350">
            <v>20</v>
          </cell>
          <cell r="L1350">
            <v>0</v>
          </cell>
        </row>
        <row r="1351">
          <cell r="A1351" t="str">
            <v>10019.09752</v>
          </cell>
          <cell r="B1351" t="str">
            <v>JOINT NEOPRENE</v>
          </cell>
          <cell r="C1351" t="str">
            <v>JOINT NEOPRENE EPAISSEUR 3MM CLASSE 150 DN25</v>
          </cell>
          <cell r="D1351" t="str">
            <v>PE</v>
          </cell>
          <cell r="E1351" t="str">
            <v>522.52207</v>
          </cell>
          <cell r="F1351">
            <v>2.4</v>
          </cell>
          <cell r="G1351">
            <v>0</v>
          </cell>
          <cell r="H1351">
            <v>0</v>
          </cell>
          <cell r="I1351">
            <v>0</v>
          </cell>
          <cell r="J1351">
            <v>0</v>
          </cell>
          <cell r="K1351">
            <v>4</v>
          </cell>
          <cell r="L1351">
            <v>0</v>
          </cell>
        </row>
        <row r="1352">
          <cell r="A1352" t="str">
            <v>10019.09960</v>
          </cell>
          <cell r="B1352" t="str">
            <v>JOINT</v>
          </cell>
          <cell r="C1352" t="str">
            <v>JOINT EPAISSEUR 3MM TYPE GARLOOCK BLEU N°3000 CLASSE 300 DN15</v>
          </cell>
          <cell r="D1352" t="str">
            <v>PE</v>
          </cell>
          <cell r="E1352" t="str">
            <v>522.52207</v>
          </cell>
          <cell r="F1352">
            <v>3.6</v>
          </cell>
          <cell r="G1352">
            <v>0</v>
          </cell>
          <cell r="H1352">
            <v>0</v>
          </cell>
          <cell r="I1352">
            <v>0</v>
          </cell>
          <cell r="J1352">
            <v>0</v>
          </cell>
          <cell r="K1352">
            <v>0</v>
          </cell>
          <cell r="L1352">
            <v>0</v>
          </cell>
        </row>
        <row r="1353">
          <cell r="A1353" t="str">
            <v>10019.09961</v>
          </cell>
          <cell r="B1353" t="str">
            <v>JOINT</v>
          </cell>
          <cell r="C1353" t="str">
            <v>JOINT EPAISSEUR 3MM TYPE GARLOOCK BLEU N°3000 CLASSE 300 DN50</v>
          </cell>
          <cell r="D1353" t="str">
            <v>PE</v>
          </cell>
          <cell r="E1353" t="str">
            <v>522.52207</v>
          </cell>
          <cell r="F1353">
            <v>10.8</v>
          </cell>
          <cell r="G1353">
            <v>0</v>
          </cell>
          <cell r="H1353">
            <v>0</v>
          </cell>
          <cell r="I1353">
            <v>0</v>
          </cell>
          <cell r="J1353">
            <v>0</v>
          </cell>
          <cell r="K1353">
            <v>1</v>
          </cell>
          <cell r="L1353">
            <v>0</v>
          </cell>
        </row>
        <row r="1354">
          <cell r="A1354" t="str">
            <v>10019.09971</v>
          </cell>
          <cell r="B1354" t="str">
            <v>JOINT</v>
          </cell>
          <cell r="C1354" t="str">
            <v>JOINT EPAISSEUR 3MM TYPE GARLOOCK 3450 OU SIMILAIRE CLASSE 150 DN200</v>
          </cell>
          <cell r="D1354" t="str">
            <v>PE</v>
          </cell>
          <cell r="E1354" t="str">
            <v>522.52207</v>
          </cell>
          <cell r="F1354">
            <v>365.15289999999999</v>
          </cell>
          <cell r="G1354">
            <v>0</v>
          </cell>
          <cell r="H1354">
            <v>0</v>
          </cell>
          <cell r="I1354">
            <v>0</v>
          </cell>
          <cell r="J1354">
            <v>0</v>
          </cell>
          <cell r="K1354">
            <v>51</v>
          </cell>
          <cell r="L1354">
            <v>0</v>
          </cell>
        </row>
        <row r="1355">
          <cell r="A1355" t="str">
            <v>10022.00196</v>
          </cell>
          <cell r="B1355" t="str">
            <v>CLE DOU DR 30X32</v>
          </cell>
          <cell r="C1355" t="str">
            <v xml:space="preserve">OUTILLAGE CLES A FOURCHES  OUVERTURE SUR PLAT :30-32 MM MATIERE EN ACIER SUPER CARBONE, PRESENTATION VERNIE GENRE "SAM"-70 </v>
          </cell>
          <cell r="D1355" t="str">
            <v>PE</v>
          </cell>
          <cell r="E1355" t="str">
            <v>522.52208</v>
          </cell>
          <cell r="F1355">
            <v>158.4</v>
          </cell>
          <cell r="G1355">
            <v>0</v>
          </cell>
          <cell r="H1355">
            <v>0</v>
          </cell>
          <cell r="I1355">
            <v>0</v>
          </cell>
          <cell r="J1355">
            <v>0</v>
          </cell>
          <cell r="K1355">
            <v>0</v>
          </cell>
          <cell r="L1355">
            <v>0</v>
          </cell>
        </row>
        <row r="1356">
          <cell r="A1356" t="str">
            <v>10022.00197</v>
          </cell>
          <cell r="B1356" t="str">
            <v>CLE A FOURCHE 32X36</v>
          </cell>
          <cell r="C1356" t="str">
            <v xml:space="preserve">OUTILLAGE CLES A FOURCHES  OUVERTURE SUR PLAT : 32-36 MM MATIERE EN ACIER SUPER CARBONE,PRESENTATION VERNIE GENRE "SAM 70" </v>
          </cell>
          <cell r="D1356" t="str">
            <v>PE</v>
          </cell>
          <cell r="E1356" t="str">
            <v>522.52208</v>
          </cell>
          <cell r="F1356">
            <v>218.4</v>
          </cell>
          <cell r="G1356">
            <v>0</v>
          </cell>
          <cell r="H1356">
            <v>0</v>
          </cell>
          <cell r="I1356">
            <v>0</v>
          </cell>
          <cell r="J1356">
            <v>0</v>
          </cell>
          <cell r="K1356">
            <v>0</v>
          </cell>
          <cell r="L1356">
            <v>0</v>
          </cell>
        </row>
        <row r="1357">
          <cell r="A1357" t="str">
            <v>10022.00199</v>
          </cell>
          <cell r="B1357" t="str">
            <v>CLES A FOURCHES 41-46 MM</v>
          </cell>
          <cell r="C1357" t="str">
            <v xml:space="preserve">OUTILLAGE CLES A FOURCHES OUVERTURE SUR PLAT 41-46 MM MATIERE EN ACIER SUPER CARBONE GENRE SAM REFERENCE 70 DIN 895 PRESENTATION VERNIE </v>
          </cell>
          <cell r="D1357" t="str">
            <v>PE</v>
          </cell>
          <cell r="E1357" t="str">
            <v>522.52208</v>
          </cell>
          <cell r="F1357">
            <v>296.06400000000002</v>
          </cell>
          <cell r="G1357">
            <v>0</v>
          </cell>
          <cell r="H1357">
            <v>0</v>
          </cell>
          <cell r="I1357">
            <v>0</v>
          </cell>
          <cell r="J1357">
            <v>0</v>
          </cell>
          <cell r="K1357">
            <v>0</v>
          </cell>
          <cell r="L1357">
            <v>0</v>
          </cell>
        </row>
        <row r="1358">
          <cell r="A1358" t="str">
            <v>10022.00180</v>
          </cell>
          <cell r="B1358" t="str">
            <v>CLE DOU DR 10X12</v>
          </cell>
          <cell r="C1358" t="str">
            <v xml:space="preserve">OUTILLAGE CLES A FOURCHES  OUVERTURE SUR PLAT : 10-12 MM MATIERE EN ACIER SUPER CARBONE,PRESENTATION VERNIE GENRE "SAM"-70 </v>
          </cell>
          <cell r="D1358" t="str">
            <v>PE</v>
          </cell>
          <cell r="E1358" t="str">
            <v>522.52208</v>
          </cell>
          <cell r="F1358">
            <v>35.712000000000003</v>
          </cell>
          <cell r="G1358">
            <v>0</v>
          </cell>
          <cell r="H1358">
            <v>0</v>
          </cell>
          <cell r="I1358">
            <v>0</v>
          </cell>
          <cell r="J1358">
            <v>0</v>
          </cell>
          <cell r="K1358">
            <v>0</v>
          </cell>
          <cell r="L1358">
            <v>0</v>
          </cell>
        </row>
        <row r="1359">
          <cell r="A1359" t="str">
            <v>10022.00182</v>
          </cell>
          <cell r="B1359" t="str">
            <v>CLE DOU DR 11X13</v>
          </cell>
          <cell r="C1359" t="str">
            <v xml:space="preserve">OUTILLAGE CLES A FOURCHES  OUVERTURE SUR PLAT : 11-13 MM MATIERE EN ACIER SUPER CARBONE, PRESENTATION VERNIE GENRE "SAM"-70 </v>
          </cell>
          <cell r="D1359" t="str">
            <v>PE</v>
          </cell>
          <cell r="E1359" t="str">
            <v>522.52208</v>
          </cell>
          <cell r="F1359">
            <v>36.863999999999997</v>
          </cell>
          <cell r="G1359">
            <v>0</v>
          </cell>
          <cell r="H1359">
            <v>0</v>
          </cell>
          <cell r="I1359">
            <v>0</v>
          </cell>
          <cell r="J1359">
            <v>0</v>
          </cell>
          <cell r="K1359">
            <v>0</v>
          </cell>
          <cell r="L1359">
            <v>0</v>
          </cell>
        </row>
        <row r="1360">
          <cell r="A1360" t="str">
            <v>10019.10108</v>
          </cell>
          <cell r="B1360" t="str">
            <v>JOINT SPIRALE A BASE DE GRAPHITE</v>
          </cell>
          <cell r="C1360" t="str">
            <v>JOINT SPIRALE EN INOX + GRAPHITE DN3/4" CLASSE 900LBS EP4,5 AVEC ANNEAUX DE CENTRAGE INTERNE ET EXTERNE EN 316L</v>
          </cell>
          <cell r="D1360" t="str">
            <v>PE</v>
          </cell>
          <cell r="E1360" t="str">
            <v>522.52207</v>
          </cell>
          <cell r="F1360">
            <v>16</v>
          </cell>
          <cell r="G1360">
            <v>0</v>
          </cell>
          <cell r="H1360">
            <v>0</v>
          </cell>
          <cell r="I1360">
            <v>0</v>
          </cell>
          <cell r="J1360">
            <v>0</v>
          </cell>
          <cell r="K1360">
            <v>12</v>
          </cell>
          <cell r="L1360">
            <v>10</v>
          </cell>
        </row>
        <row r="1361">
          <cell r="A1361" t="str">
            <v>10019.00027</v>
          </cell>
          <cell r="B1361" t="str">
            <v>BANDE EN FIBRE ZETEXPLUS 2500</v>
          </cell>
          <cell r="C1361" t="str">
            <v>BANDE EN FIBRE ZETEXPLUS 2500TEMPERATURE : 900 °CEPAISSEUR : 3.2 MMLARGEUR : 76 MMLONGUEUR : 30 MMAPPLICATION : ETANCHEITE POUR PORTE DE FOUR                          -ETANCHEITE POUR TUYAUTERIE                          -PROTECTION DE CABLE GAINE OU TUYAU                          -CALORIFUGEAGE                          -PROTECTION DE BOBINE D'INDUCTIONGENRE : FINAL MATERIALS</v>
          </cell>
          <cell r="D1361" t="str">
            <v>PE</v>
          </cell>
          <cell r="E1361" t="str">
            <v>522.52207</v>
          </cell>
          <cell r="F1361">
            <v>595.65200000000004</v>
          </cell>
          <cell r="G1361">
            <v>0</v>
          </cell>
          <cell r="H1361">
            <v>5</v>
          </cell>
          <cell r="I1361">
            <v>0</v>
          </cell>
          <cell r="J1361">
            <v>0</v>
          </cell>
          <cell r="K1361">
            <v>0</v>
          </cell>
          <cell r="L1361">
            <v>0</v>
          </cell>
        </row>
        <row r="1362">
          <cell r="A1362" t="str">
            <v>10019.05130</v>
          </cell>
          <cell r="B1362" t="str">
            <v>BAGUE ETANCH.70X110X13</v>
          </cell>
          <cell r="C1362" t="str">
            <v xml:space="preserve">BAGUE D'ETANCHEITE A CAGE METALLIQUE DE CONSTRUCTION SOLIDE TYPIQUE POUR LES EQUIPEMENTS INDUSTRIELS LOURDS TYPE : NATIONAL 45 - STEFA DB/AB - CEFILAC M2 - CFW B2 DIMENSIONS : 70 X 110 X 13 MM  </v>
          </cell>
          <cell r="D1362" t="str">
            <v>PE</v>
          </cell>
          <cell r="E1362" t="str">
            <v>522.52207</v>
          </cell>
          <cell r="F1362">
            <v>25.3</v>
          </cell>
          <cell r="G1362">
            <v>0</v>
          </cell>
          <cell r="H1362">
            <v>0</v>
          </cell>
          <cell r="I1362">
            <v>0</v>
          </cell>
          <cell r="J1362">
            <v>0</v>
          </cell>
          <cell r="K1362">
            <v>0</v>
          </cell>
          <cell r="L1362">
            <v>0</v>
          </cell>
        </row>
        <row r="1363">
          <cell r="A1363" t="str">
            <v>10053.07681</v>
          </cell>
          <cell r="B1363" t="str">
            <v>BALLAST ELECTRONIQUE MONO 36/40W</v>
          </cell>
          <cell r="C1363" t="str">
            <v xml:space="preserve">BALLAST ELECTRONIQUE POUR LAMPES FLUORESCENTES ALLUMAGE PAR STARTER/INSTANTANE TENSION 220/240V , 50HZ  MONO 36/40 W </v>
          </cell>
          <cell r="D1363" t="str">
            <v>PE</v>
          </cell>
          <cell r="E1363" t="str">
            <v>522.52206</v>
          </cell>
          <cell r="F1363">
            <v>70.680000000000007</v>
          </cell>
          <cell r="G1363">
            <v>0</v>
          </cell>
          <cell r="H1363">
            <v>0</v>
          </cell>
          <cell r="I1363">
            <v>0</v>
          </cell>
          <cell r="J1363">
            <v>0</v>
          </cell>
          <cell r="K1363">
            <v>0</v>
          </cell>
          <cell r="L1363">
            <v>110</v>
          </cell>
        </row>
        <row r="1364">
          <cell r="A1364" t="str">
            <v>10053.07706</v>
          </cell>
          <cell r="B1364" t="str">
            <v>PLATINE SIMPLE PRECABLEE</v>
          </cell>
          <cell r="C1364" t="str">
            <v xml:space="preserve">ECLAIRAGE ET MATERIEL UTILISANT L'ENERGIE ELECTRIQUE APPAREILLAGE D'ALIMENTATION DES LAMPES PLATINE PRECABLEE SIMPLE TENSION 220 V 50 HZ DESTINATION LAMPE A VAPEUR DE MERCURE DE 250 W , COMPRENANT = SUPPORT METALLIQUE TRAITE + COMPENSATION , + BALLAST D'ALIMENTATION + FUSIBLE CALIBRE + AMORCEUR, + DISPOSITIF D'ACCROCHAGE + PRISE DE TERRE </v>
          </cell>
          <cell r="D1364" t="str">
            <v>PE</v>
          </cell>
          <cell r="E1364" t="str">
            <v>522.52206</v>
          </cell>
          <cell r="F1364">
            <v>271.2</v>
          </cell>
          <cell r="G1364">
            <v>0</v>
          </cell>
          <cell r="H1364">
            <v>0</v>
          </cell>
          <cell r="I1364">
            <v>0</v>
          </cell>
          <cell r="J1364">
            <v>0</v>
          </cell>
          <cell r="K1364">
            <v>0</v>
          </cell>
          <cell r="L1364">
            <v>8</v>
          </cell>
        </row>
        <row r="1365">
          <cell r="A1365" t="str">
            <v>10055.00369</v>
          </cell>
          <cell r="B1365" t="str">
            <v>TROUSSE SCOTCHCAST 92 A4</v>
          </cell>
          <cell r="C1365" t="str">
            <v xml:space="preserve">FOURNITURES POUR L'ISOLEMENT ELECTRIQUE . . . DESIGNATION TROUSE SCOTCHCAST REFERENCE 92 A4 GENRE 3M  POIDS SPECIFIQUE DIAMETRE EXTERIEURE DU CABLE 28 A 50  CHARGE A LA RUPTURE SECTION DU CUIVRE 4X50 - 4X70 </v>
          </cell>
          <cell r="D1365" t="str">
            <v>PE</v>
          </cell>
          <cell r="E1365" t="str">
            <v>522.52206</v>
          </cell>
          <cell r="F1365">
            <v>528</v>
          </cell>
          <cell r="G1365">
            <v>0</v>
          </cell>
          <cell r="H1365">
            <v>0</v>
          </cell>
          <cell r="I1365">
            <v>0</v>
          </cell>
          <cell r="J1365">
            <v>0</v>
          </cell>
          <cell r="K1365">
            <v>10</v>
          </cell>
          <cell r="L1365">
            <v>0</v>
          </cell>
        </row>
        <row r="1366">
          <cell r="A1366" t="str">
            <v>10055.00364</v>
          </cell>
          <cell r="B1366" t="str">
            <v>TROUSSE SCOTCHCAST 92 A2</v>
          </cell>
          <cell r="C1366" t="str">
            <v xml:space="preserve">FOURNITURES POUR L'ISOLEMENT ELECTRIQUE RIGIDES TROUSSE SCOTCHCAST (3M)  NUMERO 92 A2 DESTINATION POUR LA REALISATION A FROID DES JONCTIONS, DERIVATIONS, DES EXTREMITES DES CABLES EN BASSE TENSION </v>
          </cell>
          <cell r="D1366" t="str">
            <v>PE</v>
          </cell>
          <cell r="E1366" t="str">
            <v>522.52206</v>
          </cell>
          <cell r="F1366">
            <v>164.4</v>
          </cell>
          <cell r="G1366">
            <v>0</v>
          </cell>
          <cell r="H1366">
            <v>0</v>
          </cell>
          <cell r="I1366">
            <v>0</v>
          </cell>
          <cell r="J1366">
            <v>0</v>
          </cell>
          <cell r="K1366">
            <v>0</v>
          </cell>
          <cell r="L1366">
            <v>0</v>
          </cell>
        </row>
        <row r="1367">
          <cell r="A1367" t="str">
            <v>10055.00365</v>
          </cell>
          <cell r="B1367" t="str">
            <v>TROUSSE SCOTCHCAST 92 A3</v>
          </cell>
          <cell r="C1367" t="str">
            <v xml:space="preserve">FOURNITURES POUR L'ISOLEMENT ELECTRIQUE RIGIDES TROUSSE SCOTCHCAST (3M)  POIDS SPECIFIQUE POUR LA REALISATION A FROID DES JONCTIONS  CHARGE A LA RUPTURE DERIVATIONS DES EXTREMITES DES CABLES EN BASSE TENSION ALLONGEMENT A LA RUPTURE REFERENCE:92 A3  MODULE D'ELASTICITE EN TRACTION DIAMETRE EXTERIEUR DU CABLE:23 A 39 MM  DURETE ROCKWELL SECTION DU CUIVRE:4X35MM2 </v>
          </cell>
          <cell r="D1367" t="str">
            <v>PE</v>
          </cell>
          <cell r="E1367" t="str">
            <v>522.52206</v>
          </cell>
          <cell r="F1367">
            <v>270</v>
          </cell>
          <cell r="G1367">
            <v>0</v>
          </cell>
          <cell r="H1367">
            <v>0</v>
          </cell>
          <cell r="I1367">
            <v>0</v>
          </cell>
          <cell r="J1367">
            <v>0</v>
          </cell>
          <cell r="K1367">
            <v>19</v>
          </cell>
          <cell r="L1367">
            <v>0</v>
          </cell>
        </row>
        <row r="1368">
          <cell r="A1368" t="str">
            <v>10055.00366</v>
          </cell>
          <cell r="B1368" t="str">
            <v>TROUSSE SCOTCHCAST 92 MAO</v>
          </cell>
          <cell r="C1368" t="str">
            <v xml:space="preserve">FOURNITURES POUR L'ISOLEMENT ELECTRIQUE RIGIDES TROUSSE SCOTCHCAST (3M)  DESIGNATION POUR LA REALISATION A FROID DES JONCTIONS BT ET MT GENRE 3M REFERENCE 92 MAO , DIAMETRE EXTERIEURE DU CABLE DE 8 A 20 MM , SECTION DU CUIVRE 4X6 MM2 </v>
          </cell>
          <cell r="D1368" t="str">
            <v>PE</v>
          </cell>
          <cell r="E1368" t="str">
            <v>522.52206</v>
          </cell>
          <cell r="F1368">
            <v>118.8</v>
          </cell>
          <cell r="G1368">
            <v>0</v>
          </cell>
          <cell r="H1368">
            <v>0</v>
          </cell>
          <cell r="I1368">
            <v>0</v>
          </cell>
          <cell r="J1368">
            <v>0</v>
          </cell>
          <cell r="K1368">
            <v>16</v>
          </cell>
          <cell r="L1368">
            <v>0</v>
          </cell>
        </row>
        <row r="1369">
          <cell r="A1369" t="str">
            <v>10055.00371</v>
          </cell>
          <cell r="B1369" t="str">
            <v>TROUSSE SCOTCHCAST 92 A15</v>
          </cell>
          <cell r="C1369" t="str">
            <v xml:space="preserve">FOURNITURES POUR L'ISOLEMENT ELECTRIQUE . . . DESIGNATION TROUSE SCOTCHCAST REFERENCE 92 A15 GENRE 3M  POIDS SPECIFIQUE DIAMETRE EXTERIEUR DU CABLE 35 X 60  CHARGE A LA RUPTURE SECTION DU CUIVRE 4X150 MM2 </v>
          </cell>
          <cell r="D1369" t="str">
            <v>PE</v>
          </cell>
          <cell r="E1369" t="str">
            <v>522.52206</v>
          </cell>
          <cell r="F1369">
            <v>774</v>
          </cell>
          <cell r="G1369">
            <v>0</v>
          </cell>
          <cell r="H1369">
            <v>0</v>
          </cell>
          <cell r="I1369">
            <v>0</v>
          </cell>
          <cell r="J1369">
            <v>0</v>
          </cell>
          <cell r="K1369">
            <v>0</v>
          </cell>
          <cell r="L1369">
            <v>0</v>
          </cell>
        </row>
        <row r="1370">
          <cell r="A1370" t="str">
            <v>10053.05423</v>
          </cell>
          <cell r="B1370" t="str">
            <v>LAMPE VAPEUR MERCURE E40</v>
          </cell>
          <cell r="C1370" t="str">
            <v xml:space="preserve">ECLAIRAGE ET MATERIEL UTILISANT L'ENERGIE ELECTRIQUE LAMPES A DECHARGE A FONCTIONNEMENT PAR APPAREILLAGE LAMPE A VAPEUR DE MERCURE , REVETEMENT INTERNE FLUORESCENT AU VANADATE FORME OVOIDE NORMALE PUISSANCE 250 W DIAMETRE 90 MM LONGUEUR 220 MM CULOT E 40 GENRE MAZDA-MF..RV , PHILIPS-HPL N OU EQUIVALENT </v>
          </cell>
          <cell r="D1370" t="str">
            <v>PE</v>
          </cell>
          <cell r="E1370" t="str">
            <v>522.52206</v>
          </cell>
          <cell r="F1370">
            <v>24</v>
          </cell>
          <cell r="G1370">
            <v>0</v>
          </cell>
          <cell r="H1370">
            <v>0</v>
          </cell>
          <cell r="I1370">
            <v>0</v>
          </cell>
          <cell r="J1370">
            <v>0</v>
          </cell>
          <cell r="K1370">
            <v>0</v>
          </cell>
          <cell r="L1370">
            <v>80</v>
          </cell>
        </row>
        <row r="1371">
          <cell r="A1371" t="str">
            <v>10053.08570</v>
          </cell>
          <cell r="B1371" t="str">
            <v>PROJECTEUR COMPLET</v>
          </cell>
          <cell r="C1371" t="str">
            <v xml:space="preserve">PROJECTEUR HAUTE PERFORMANCE ORIENTABLE P/ECLAIRAGE EXTERIEUR GRAND ESPACE DIMENSIONS LONGUEUR = 410 MM-LARGEUR = 235 MM-PROFONDEUR = 180 MMEQUIPE D' APPAREILLAGE D'ALIMENTATION INCORPORES; DOUILLE = E 40. POUR LAMPE A VAPEUR DE SODIUM HAUTE PRESSION 400 W.  </v>
          </cell>
          <cell r="D1371" t="str">
            <v>PE</v>
          </cell>
          <cell r="E1371" t="str">
            <v>522.52206</v>
          </cell>
          <cell r="F1371">
            <v>410</v>
          </cell>
          <cell r="G1371">
            <v>0</v>
          </cell>
          <cell r="H1371">
            <v>9</v>
          </cell>
          <cell r="I1371">
            <v>1</v>
          </cell>
          <cell r="J1371">
            <v>0</v>
          </cell>
          <cell r="K1371">
            <v>0</v>
          </cell>
          <cell r="L1371">
            <v>0</v>
          </cell>
        </row>
        <row r="1372">
          <cell r="A1372" t="str">
            <v>10053.08572</v>
          </cell>
          <cell r="B1372" t="str">
            <v>PROJECTEUR P/LAMP HA.150W</v>
          </cell>
          <cell r="C1372" t="str">
            <v>PROJECTEUR HAUTE PERFORMANCE ORIENTABLE P/ECLAIRAGE EXTERIEUR GRAND ESPACE , POUR LAMPE HALOGENE DE 150W CULOT RX7S , DIMENSIONS:LONG 295MM</v>
          </cell>
          <cell r="D1372" t="str">
            <v>PE</v>
          </cell>
          <cell r="E1372" t="str">
            <v>522.52206</v>
          </cell>
          <cell r="F1372">
            <v>39.9</v>
          </cell>
          <cell r="G1372">
            <v>0</v>
          </cell>
          <cell r="H1372">
            <v>0</v>
          </cell>
          <cell r="I1372">
            <v>0</v>
          </cell>
          <cell r="J1372">
            <v>0</v>
          </cell>
          <cell r="K1372">
            <v>0</v>
          </cell>
          <cell r="L1372">
            <v>0</v>
          </cell>
        </row>
        <row r="1373">
          <cell r="A1373" t="str">
            <v>10053.05549</v>
          </cell>
          <cell r="B1373" t="str">
            <v>LAMPE IODURE METALLIQUE E40</v>
          </cell>
          <cell r="C1373" t="str">
            <v xml:space="preserve">ECLAIRAGE ET MATERIEL UTILISANT L'ENERGIE ELECTRIQUE LAMPES A DECHARGE A FONCTIONNEMENT PAR APPAREILLAGE LAMPE A IODURES METALLIQUES FORME TUBULAIRE CLAIRE PUISSANCE 400 W CULOT E 40 GENRE MAZDA-MAIH..PHILIPS-HPIT..OU EQUIVALENT DIMENSIONS 47 X 283 MM </v>
          </cell>
          <cell r="D1373" t="str">
            <v>PE</v>
          </cell>
          <cell r="E1373" t="str">
            <v>522.52206</v>
          </cell>
          <cell r="F1373">
            <v>177.3</v>
          </cell>
          <cell r="G1373">
            <v>0</v>
          </cell>
          <cell r="H1373">
            <v>0</v>
          </cell>
          <cell r="I1373">
            <v>0</v>
          </cell>
          <cell r="J1373">
            <v>0</v>
          </cell>
          <cell r="K1373">
            <v>26</v>
          </cell>
          <cell r="L1373">
            <v>0</v>
          </cell>
        </row>
        <row r="1374">
          <cell r="A1374" t="str">
            <v>10052.07636</v>
          </cell>
          <cell r="B1374" t="str">
            <v>COSSE TUBULAIR A SERTIR</v>
          </cell>
          <cell r="C1374" t="str">
            <v xml:space="preserve">COSSE TUBULAIRE A SERTIR SUIVANT NORME NFC 20130 POUR CABLE SECTION  25 MM2 GRADEUR DU TROU 8 MM </v>
          </cell>
          <cell r="D1374" t="str">
            <v>PE</v>
          </cell>
          <cell r="E1374" t="str">
            <v>522.52206</v>
          </cell>
          <cell r="F1374">
            <v>1.8</v>
          </cell>
          <cell r="G1374">
            <v>0</v>
          </cell>
          <cell r="H1374">
            <v>0</v>
          </cell>
          <cell r="I1374">
            <v>0</v>
          </cell>
          <cell r="J1374">
            <v>0</v>
          </cell>
          <cell r="K1374">
            <v>0</v>
          </cell>
          <cell r="L1374">
            <v>0</v>
          </cell>
        </row>
        <row r="1375">
          <cell r="A1375" t="str">
            <v>10052.07648</v>
          </cell>
          <cell r="B1375" t="str">
            <v>COSSE TUBULAIR A SERTIR</v>
          </cell>
          <cell r="C1375" t="str">
            <v xml:space="preserve">COSSE TUBULAIRE A SERTIR SUIVANT NORME FRANCAISE NFC 20130 SECTION DU CABLE 35 MM2 DIAMETRE DU BORNAGE 8 MM </v>
          </cell>
          <cell r="D1375" t="str">
            <v>PE</v>
          </cell>
          <cell r="E1375" t="str">
            <v>522.52206</v>
          </cell>
          <cell r="F1375">
            <v>3.12</v>
          </cell>
          <cell r="G1375">
            <v>0</v>
          </cell>
          <cell r="H1375">
            <v>0</v>
          </cell>
          <cell r="I1375">
            <v>0</v>
          </cell>
          <cell r="J1375">
            <v>0</v>
          </cell>
          <cell r="K1375">
            <v>0</v>
          </cell>
          <cell r="L1375">
            <v>0</v>
          </cell>
        </row>
        <row r="1376">
          <cell r="A1376" t="str">
            <v>10053.04099</v>
          </cell>
          <cell r="B1376" t="str">
            <v>LAMPE ECONOMIQUE E27-220V-36W</v>
          </cell>
          <cell r="C1376" t="str">
            <v>LAMPE ECONOMIQUE E27-220V-36W</v>
          </cell>
          <cell r="D1376" t="str">
            <v>PE</v>
          </cell>
          <cell r="E1376" t="str">
            <v>522.52206</v>
          </cell>
          <cell r="F1376">
            <v>18.96</v>
          </cell>
          <cell r="G1376">
            <v>0</v>
          </cell>
          <cell r="H1376">
            <v>0</v>
          </cell>
          <cell r="I1376">
            <v>0</v>
          </cell>
          <cell r="J1376">
            <v>0</v>
          </cell>
          <cell r="K1376">
            <v>0</v>
          </cell>
          <cell r="L1376">
            <v>44</v>
          </cell>
        </row>
        <row r="1377">
          <cell r="A1377" t="str">
            <v>10051.00006</v>
          </cell>
          <cell r="B1377" t="str">
            <v>ISOLATEUR COMPOSITE DE SILICONE POUR HAUTE TENSION " CLASSE 120 KN BALL SOCKET "</v>
          </cell>
          <cell r="C1377" t="str">
            <v xml:space="preserve">Isolateur composite de silicone pour haute tension « Classe 120Kn Ball-Socket »TYPE : ISI-ROKA12+11-120SB-72,5KVMarque : isoélectriqueTension assignée : 72,5KVTension de tenu au choc de foudre : 325 kVTension de tenu à fréquence industrielle : 140 kVLigne de fuite : superieur ou égal à 3100mmNIVEAU D¿ISOLEMENT : N6Charge mécanique spécifiée (charge de rupture) : 120KNLongueur totale : 1150mmSOCKET: IEC 120/16BALL: IEC120/16Suivant plan isoélectrique : S010752     </v>
          </cell>
          <cell r="D1377" t="str">
            <v>PE</v>
          </cell>
          <cell r="E1377" t="str">
            <v>522.52206</v>
          </cell>
          <cell r="F1377">
            <v>588</v>
          </cell>
          <cell r="G1377">
            <v>0</v>
          </cell>
          <cell r="H1377">
            <v>0</v>
          </cell>
          <cell r="I1377">
            <v>0</v>
          </cell>
          <cell r="J1377">
            <v>0</v>
          </cell>
          <cell r="K1377">
            <v>0</v>
          </cell>
          <cell r="L1377">
            <v>50</v>
          </cell>
        </row>
        <row r="1378">
          <cell r="A1378" t="str">
            <v>10052.07669</v>
          </cell>
          <cell r="B1378" t="str">
            <v>COSSE TUBULAIRE A SERTIR</v>
          </cell>
          <cell r="C1378" t="str">
            <v xml:space="preserve">COSSE TUBULAIRE A SERTIR  SECTION DU CABLE : 70 MM2 DIAMETRE DU BORNAGE : 14 MM </v>
          </cell>
          <cell r="D1378" t="str">
            <v>PE</v>
          </cell>
          <cell r="E1378" t="str">
            <v>522.52206</v>
          </cell>
          <cell r="F1378">
            <v>8.1959999999999997</v>
          </cell>
          <cell r="G1378">
            <v>0</v>
          </cell>
          <cell r="H1378">
            <v>0</v>
          </cell>
          <cell r="I1378">
            <v>0</v>
          </cell>
          <cell r="J1378">
            <v>0</v>
          </cell>
          <cell r="K1378">
            <v>40</v>
          </cell>
          <cell r="L1378">
            <v>0</v>
          </cell>
        </row>
        <row r="1379">
          <cell r="A1379" t="str">
            <v>10052.07631</v>
          </cell>
          <cell r="B1379" t="str">
            <v>COSSE TUBULAIR A SERTIR</v>
          </cell>
          <cell r="C1379" t="str">
            <v xml:space="preserve">COSSE TUBULAIRE A SERTIR SUIVANT NORME FRANCAISE NFC 20130 SECTION DU CABLE 16 MM2 DIAMETRE DU BORNAGE 6 MM </v>
          </cell>
          <cell r="D1379" t="str">
            <v>PE</v>
          </cell>
          <cell r="E1379" t="str">
            <v>522.52206</v>
          </cell>
          <cell r="F1379">
            <v>1.44</v>
          </cell>
          <cell r="G1379">
            <v>0</v>
          </cell>
          <cell r="H1379">
            <v>0</v>
          </cell>
          <cell r="I1379">
            <v>0</v>
          </cell>
          <cell r="J1379">
            <v>0</v>
          </cell>
          <cell r="K1379">
            <v>10</v>
          </cell>
          <cell r="L1379">
            <v>0</v>
          </cell>
        </row>
        <row r="1380">
          <cell r="A1380" t="str">
            <v>10052.07680</v>
          </cell>
          <cell r="B1380" t="str">
            <v>COSSE TUBULAIRE A SERTIR</v>
          </cell>
          <cell r="C1380" t="str">
            <v xml:space="preserve">COSSE TUBULAIRE A SERTIR SUIVANT NORME FRANCAISE NFC 20130 SECTION DU CABLE 95 MM2 DIAMETRE DU BORNAGE 12 MM </v>
          </cell>
          <cell r="D1380" t="str">
            <v>PE</v>
          </cell>
          <cell r="E1380" t="str">
            <v>522.52206</v>
          </cell>
          <cell r="F1380">
            <v>7</v>
          </cell>
          <cell r="G1380">
            <v>0</v>
          </cell>
          <cell r="H1380">
            <v>0</v>
          </cell>
          <cell r="I1380">
            <v>0</v>
          </cell>
          <cell r="J1380">
            <v>0</v>
          </cell>
          <cell r="K1380">
            <v>0</v>
          </cell>
          <cell r="L1380">
            <v>110</v>
          </cell>
        </row>
        <row r="1381">
          <cell r="A1381" t="str">
            <v>10052.07681</v>
          </cell>
          <cell r="B1381" t="str">
            <v>COSSE TUBULAIRE A SERTIR</v>
          </cell>
          <cell r="C1381" t="str">
            <v xml:space="preserve">COSSE TUBULAIRE A SERTIR  POUR CABLE SECTION (MM2) 95 GRADEUR DU TROU (MM) 14 </v>
          </cell>
          <cell r="D1381" t="str">
            <v>PE</v>
          </cell>
          <cell r="E1381" t="str">
            <v>522.52206</v>
          </cell>
          <cell r="F1381">
            <v>10.14</v>
          </cell>
          <cell r="G1381">
            <v>0</v>
          </cell>
          <cell r="H1381">
            <v>0</v>
          </cell>
          <cell r="I1381">
            <v>0</v>
          </cell>
          <cell r="J1381">
            <v>0</v>
          </cell>
          <cell r="K1381">
            <v>50</v>
          </cell>
          <cell r="L1381">
            <v>0</v>
          </cell>
        </row>
        <row r="1382">
          <cell r="A1382" t="str">
            <v>10053.04097</v>
          </cell>
          <cell r="B1382" t="str">
            <v>LAMPE A ECONOMI ENERG.E27</v>
          </cell>
          <cell r="C1382" t="str">
            <v xml:space="preserve">LAMPE  FLUORESCENTE A ECONOMIE D'ENERGIE (LAMPES COMPACTES)  CLAIRE TENSION 220 V - 50 HZ PUISSANCE 25 W CULOT E 27 GENRE MAZDA-FEE , PHILIPS-SL , SYLVANIA OU EQUIVALENT DIMENSIONS 72 X 181 MM </v>
          </cell>
          <cell r="D1382" t="str">
            <v>PE</v>
          </cell>
          <cell r="E1382" t="str">
            <v>522.52206</v>
          </cell>
          <cell r="F1382">
            <v>37.978200000000001</v>
          </cell>
          <cell r="G1382">
            <v>0</v>
          </cell>
          <cell r="H1382">
            <v>0</v>
          </cell>
          <cell r="I1382">
            <v>0</v>
          </cell>
          <cell r="J1382">
            <v>0</v>
          </cell>
          <cell r="K1382">
            <v>0</v>
          </cell>
          <cell r="L1382">
            <v>0</v>
          </cell>
        </row>
        <row r="1383">
          <cell r="A1383" t="str">
            <v>10052.07702</v>
          </cell>
          <cell r="B1383" t="str">
            <v>COSSE TUBULAIRE A SERTIR</v>
          </cell>
          <cell r="C1383" t="str">
            <v xml:space="preserve">COSSE TUBULAIRE A SERTIR   SUIVANT NORME NFC 20130 POUR CABLE SECTION (MM2) 240 GRADEUR DU TROU (MM) 20 </v>
          </cell>
          <cell r="D1383" t="str">
            <v>PE</v>
          </cell>
          <cell r="E1383" t="str">
            <v>522.52206</v>
          </cell>
          <cell r="F1383">
            <v>25</v>
          </cell>
          <cell r="G1383">
            <v>0</v>
          </cell>
          <cell r="H1383">
            <v>0</v>
          </cell>
          <cell r="I1383">
            <v>0</v>
          </cell>
          <cell r="J1383">
            <v>0</v>
          </cell>
          <cell r="K1383">
            <v>0</v>
          </cell>
          <cell r="L1383">
            <v>180</v>
          </cell>
        </row>
        <row r="1384">
          <cell r="A1384" t="str">
            <v>10048.06262</v>
          </cell>
          <cell r="B1384" t="str">
            <v>CORDE NYLON-BLEU-D:20 MM</v>
          </cell>
          <cell r="C1384" t="str">
            <v xml:space="preserve">CORDE EN NYLON COULEUR BLEU DIAMETRE= 20 MM </v>
          </cell>
          <cell r="D1384" t="str">
            <v>KG</v>
          </cell>
          <cell r="E1384" t="str">
            <v>522.52203</v>
          </cell>
          <cell r="F1384">
            <v>42</v>
          </cell>
          <cell r="G1384">
            <v>0</v>
          </cell>
          <cell r="H1384">
            <v>0</v>
          </cell>
          <cell r="I1384">
            <v>0</v>
          </cell>
          <cell r="J1384">
            <v>0</v>
          </cell>
          <cell r="K1384">
            <v>0</v>
          </cell>
          <cell r="L1384">
            <v>0</v>
          </cell>
        </row>
        <row r="1385">
          <cell r="A1385" t="str">
            <v>10050.00931</v>
          </cell>
          <cell r="B1385" t="str">
            <v>CABLE TELEPH.PTT 99</v>
          </cell>
          <cell r="C1385" t="str">
            <v>CONDUCTEURS ET CABLES ELECTRIQUES CABLE TELEPHONIQUE DE RESEAU SUIVANT NORME NF C 93-527-2 SERIE PTT 99 SPECIFICATION PTT L 124 - NOMBRE DE PAIRES : 14  DE DIAMETRE 0,8 MM</v>
          </cell>
          <cell r="D1385" t="str">
            <v>M</v>
          </cell>
          <cell r="E1385" t="str">
            <v>522.52205</v>
          </cell>
          <cell r="F1385">
            <v>18.5</v>
          </cell>
          <cell r="G1385">
            <v>0</v>
          </cell>
          <cell r="H1385">
            <v>0</v>
          </cell>
          <cell r="I1385">
            <v>0</v>
          </cell>
          <cell r="J1385">
            <v>0</v>
          </cell>
          <cell r="K1385">
            <v>0</v>
          </cell>
          <cell r="L1385">
            <v>300</v>
          </cell>
        </row>
        <row r="1386">
          <cell r="A1386" t="str">
            <v>10050.00932</v>
          </cell>
          <cell r="B1386" t="str">
            <v>CABLE TELEPH.PTT 99</v>
          </cell>
          <cell r="C1386" t="str">
            <v xml:space="preserve">CABLE TELEPHONIQUE DE RESEAU                                      SUIVANT NORME NF C 93-527-2                                       SERIE PTT 99  SPECIFICATION PTT L 124                             -     NOMBRE DE PAIRES : 28                                       DIAMETRE    NOMINAL DU CONDUCTEUR : 0,8 MM                        -     DIM.EXT: HAUT 26,5MM ; LARG 18,6MM                          -     PORTEUR EN ACIER DE 9,55 MM2                                -     NOMBRE DE FILS ET DIAM : 19X0,8 MM                          MODE D'ASSEMBLAGE DES ELEMENTS TELEPHONIQUES :  14 QUARTES ETOILES                                                                  </v>
          </cell>
          <cell r="D1386" t="str">
            <v>M</v>
          </cell>
          <cell r="E1386" t="str">
            <v>522.52205</v>
          </cell>
          <cell r="F1386">
            <v>26</v>
          </cell>
          <cell r="G1386">
            <v>0</v>
          </cell>
          <cell r="H1386">
            <v>0</v>
          </cell>
          <cell r="I1386">
            <v>0</v>
          </cell>
          <cell r="J1386">
            <v>0</v>
          </cell>
          <cell r="K1386">
            <v>0</v>
          </cell>
          <cell r="L1386">
            <v>300</v>
          </cell>
        </row>
        <row r="1387">
          <cell r="A1387" t="str">
            <v>10050.01459</v>
          </cell>
          <cell r="B1387" t="str">
            <v>CABLE H 07RN-F  1X95</v>
          </cell>
          <cell r="C1387" t="str">
            <v xml:space="preserve">CONDUCTEURS ET CABLES ELECTRIQUES CABLE BT INDUSTRIEL SUIVANT NORME NF C 32-102 , UN 450/750 V SERIE H07RN-F NBRE DE COND.ET SECTIONS: 1 X 95 MM2 </v>
          </cell>
          <cell r="D1387" t="str">
            <v>M</v>
          </cell>
          <cell r="E1387" t="str">
            <v>522.52205</v>
          </cell>
          <cell r="F1387">
            <v>94.583100000000002</v>
          </cell>
          <cell r="G1387">
            <v>0</v>
          </cell>
          <cell r="H1387">
            <v>20</v>
          </cell>
          <cell r="I1387">
            <v>0</v>
          </cell>
          <cell r="J1387">
            <v>0</v>
          </cell>
          <cell r="K1387">
            <v>0</v>
          </cell>
          <cell r="L1387">
            <v>0</v>
          </cell>
        </row>
        <row r="1388">
          <cell r="A1388" t="str">
            <v>10050.00936</v>
          </cell>
          <cell r="B1388" t="str">
            <v>CABLE TELEPH. SYT 1</v>
          </cell>
          <cell r="C1388" t="str">
            <v xml:space="preserve">CONDUCTEURS ET CABLES ELECTRIQUES CABLE TELEPHONIQUE D'EQUIPEMENT SPECIFICATION SYT 1 (NON ARME) TENSIONS MAXI : 80V CC - 110V AC TYPE DE CABLE 2 PAIRES DIAMETRE NOMINAL 0,5 MM DIAMETRE EXTERIEUR : 6 MM </v>
          </cell>
          <cell r="D1388" t="str">
            <v>M</v>
          </cell>
          <cell r="E1388" t="str">
            <v>522.52205</v>
          </cell>
          <cell r="F1388">
            <v>0.9</v>
          </cell>
          <cell r="G1388">
            <v>0</v>
          </cell>
          <cell r="H1388">
            <v>0</v>
          </cell>
          <cell r="I1388">
            <v>0</v>
          </cell>
          <cell r="J1388">
            <v>0</v>
          </cell>
          <cell r="K1388">
            <v>0</v>
          </cell>
          <cell r="L1388">
            <v>0</v>
          </cell>
        </row>
        <row r="1389">
          <cell r="A1389" t="str">
            <v>10050.01047</v>
          </cell>
          <cell r="B1389" t="str">
            <v>CABLE FRN05VV-U 3X2,5MM2</v>
          </cell>
          <cell r="C1389" t="str">
            <v xml:space="preserve">CONDUCTEURS ET CABLES ELECTRIQUES CABLE BT DOMESTIQUE SERIE FRN05 VV-U NORME NF C 32-207-CEI 227-10- UN 300/500V NBRE DE COND.ET SECTIONS: 3 X 2,5 MM2 </v>
          </cell>
          <cell r="D1389" t="str">
            <v>M</v>
          </cell>
          <cell r="E1389" t="str">
            <v>522.52205</v>
          </cell>
          <cell r="F1389">
            <v>9.6</v>
          </cell>
          <cell r="G1389">
            <v>0</v>
          </cell>
          <cell r="H1389">
            <v>0</v>
          </cell>
          <cell r="I1389">
            <v>0</v>
          </cell>
          <cell r="J1389">
            <v>0</v>
          </cell>
          <cell r="K1389">
            <v>0</v>
          </cell>
          <cell r="L1389">
            <v>0</v>
          </cell>
        </row>
        <row r="1390">
          <cell r="A1390" t="str">
            <v>10050.01471</v>
          </cell>
          <cell r="B1390" t="str">
            <v>CABLE U1000RO2V  7X1,5</v>
          </cell>
          <cell r="C1390" t="str">
            <v xml:space="preserve">CONDUCTEURS ET CABLES ELECTRIQUES CABLE BT INDUSTRIEL SERIE U1000RO2V , TENSION NOMINALE 1000V SUIVANT NORME NF.C 32-321 - CARACTERISTIQUES : - AME RIGIDE EN CUIVRE ISOLEE AU P.R, - AVEC GAINE DE BOURRAGE. - GAINE EXTERIEURE EN P.V.C NBRE DE COND.ET SECTIONS: 7 X 1,5 MM2 DIAMETRE EXTERIEUR : 12,5 MM </v>
          </cell>
          <cell r="D1390" t="str">
            <v>M</v>
          </cell>
          <cell r="E1390" t="str">
            <v>522.52205</v>
          </cell>
          <cell r="F1390">
            <v>14.083299999999999</v>
          </cell>
          <cell r="G1390">
            <v>0</v>
          </cell>
          <cell r="H1390">
            <v>0</v>
          </cell>
          <cell r="I1390">
            <v>0</v>
          </cell>
          <cell r="J1390">
            <v>0</v>
          </cell>
          <cell r="K1390">
            <v>0</v>
          </cell>
          <cell r="L1390">
            <v>500</v>
          </cell>
        </row>
        <row r="1391">
          <cell r="A1391" t="str">
            <v>10050.01462</v>
          </cell>
          <cell r="B1391" t="str">
            <v>CABLE U1000RO2V 12X1,5MM2</v>
          </cell>
          <cell r="C1391" t="str">
            <v xml:space="preserve">CONDUCTEURS ET CABLES ELECTRIQUES CABLE BT INDUSTRIEL SERIE U1000RO2V , TENSION NOMINALE 1000V SUIVANT NORME NF.C 32-321 - CARACTERISTIQUES : - AME RIGIDE EN CUIVRE ISOLEE AU P.R, - AVEC GAINE DE BOURRAGE. - GAINE EXTERIEURE EN P.V.C NBRE DE COND.ET SECTIONS: 12 X 1,5 MM2 DIAMETRE EXTERIEUR : 15,5 MM </v>
          </cell>
          <cell r="D1391" t="str">
            <v>M</v>
          </cell>
          <cell r="E1391" t="str">
            <v>522.52205</v>
          </cell>
          <cell r="F1391">
            <v>28.6</v>
          </cell>
          <cell r="G1391">
            <v>0</v>
          </cell>
          <cell r="H1391">
            <v>100</v>
          </cell>
          <cell r="I1391">
            <v>0</v>
          </cell>
          <cell r="J1391">
            <v>0</v>
          </cell>
          <cell r="K1391">
            <v>0</v>
          </cell>
          <cell r="L1391">
            <v>280</v>
          </cell>
        </row>
        <row r="1392">
          <cell r="A1392" t="str">
            <v>10050.01468</v>
          </cell>
          <cell r="B1392" t="str">
            <v>CABLE 19X1,5 U1000 R02V</v>
          </cell>
          <cell r="C1392" t="str">
            <v xml:space="preserve">CONDUCTEURS ET CABLES ELECTRIQUES CABLE BT INDUSTRIEL SERIE U1000RO2V , TENSION NOMINALE 1000V SUIVANT NORME NF.C 32-321 - CARACTERISTIQUES : - AME RIGIDE EN CUIVRE ISOLEE AU P.R, - AVEC GAINE DE BOURRAGE. - GAINE EXTERIEURE EN P.V.C NBRE DE COND.ET SECTIONS: 19 X 1,5 MM DIAMETRE EXTERIEUR : 18,2 MM </v>
          </cell>
          <cell r="D1392" t="str">
            <v>M</v>
          </cell>
          <cell r="E1392" t="str">
            <v>522.52205</v>
          </cell>
          <cell r="F1392">
            <v>36.799999999999997</v>
          </cell>
          <cell r="G1392">
            <v>0</v>
          </cell>
          <cell r="H1392">
            <v>0</v>
          </cell>
          <cell r="I1392">
            <v>0</v>
          </cell>
          <cell r="J1392">
            <v>0</v>
          </cell>
          <cell r="K1392">
            <v>0</v>
          </cell>
          <cell r="L1392">
            <v>200</v>
          </cell>
        </row>
        <row r="1393">
          <cell r="A1393" t="str">
            <v>10050.01048</v>
          </cell>
          <cell r="B1393" t="str">
            <v>CABLE FRN05VV-R 3X6 MM2</v>
          </cell>
          <cell r="C1393" t="str">
            <v xml:space="preserve">CONDUCTEURS ET CABLES ELECTRIQUES CABLE BT DOMESTIQUE SERIE FRNO5 VV-R NORME NF C 32-207-CEI 227-10 - UN 300/500V NBRE DE COND.ET SECTIONS: 3 X 6 MM2 </v>
          </cell>
          <cell r="D1393" t="str">
            <v>M</v>
          </cell>
          <cell r="E1393" t="str">
            <v>522.52206</v>
          </cell>
          <cell r="F1393">
            <v>20.399999999999999</v>
          </cell>
          <cell r="G1393">
            <v>0</v>
          </cell>
          <cell r="H1393">
            <v>0</v>
          </cell>
          <cell r="I1393">
            <v>0</v>
          </cell>
          <cell r="J1393">
            <v>0</v>
          </cell>
          <cell r="K1393">
            <v>0</v>
          </cell>
          <cell r="L1393">
            <v>200</v>
          </cell>
        </row>
        <row r="1394">
          <cell r="A1394" t="str">
            <v>10050.01049</v>
          </cell>
          <cell r="B1394" t="str">
            <v>CABLE FRN05VV-R 3X10MM2</v>
          </cell>
          <cell r="C1394" t="str">
            <v xml:space="preserve">CONDUCTEURS ET CABLES ELECTRIQUES CABLE BT DOMESTIQUE SERIE FRNO5 VV-R NORME NF C 32-207-CEI 227-10 - UN 300/500V NBRE DE COND.ET SECTIONS: 3 X 10 MM2 </v>
          </cell>
          <cell r="D1394" t="str">
            <v>M</v>
          </cell>
          <cell r="E1394" t="str">
            <v>522.52206</v>
          </cell>
          <cell r="F1394">
            <v>42</v>
          </cell>
          <cell r="G1394">
            <v>0</v>
          </cell>
          <cell r="H1394">
            <v>0</v>
          </cell>
          <cell r="I1394">
            <v>0</v>
          </cell>
          <cell r="J1394">
            <v>0</v>
          </cell>
          <cell r="K1394">
            <v>0</v>
          </cell>
          <cell r="L1394">
            <v>200</v>
          </cell>
        </row>
        <row r="1395">
          <cell r="A1395" t="str">
            <v>10050.01059</v>
          </cell>
          <cell r="B1395" t="str">
            <v>CABLE FRN05VV-U 4X2,5MM2</v>
          </cell>
          <cell r="C1395" t="str">
            <v xml:space="preserve">CONDUCTEURS ET CABLES ELECTRIQUES CABLE BT DOMESTIQUE SERIE FRN05 VV-U NORME NF C 32-207-CEI 227-10- UN 300/500V NBRE DE COND.ET SECTIONS: 4 X 2,5 MM2 </v>
          </cell>
          <cell r="D1395" t="str">
            <v>M</v>
          </cell>
          <cell r="E1395" t="str">
            <v>522.52205</v>
          </cell>
          <cell r="F1395">
            <v>12</v>
          </cell>
          <cell r="G1395">
            <v>0</v>
          </cell>
          <cell r="H1395">
            <v>0</v>
          </cell>
          <cell r="I1395">
            <v>0</v>
          </cell>
          <cell r="J1395">
            <v>0</v>
          </cell>
          <cell r="K1395">
            <v>0</v>
          </cell>
          <cell r="L1395">
            <v>0</v>
          </cell>
        </row>
        <row r="1396">
          <cell r="A1396" t="str">
            <v>10050.01060</v>
          </cell>
          <cell r="B1396" t="str">
            <v>CABLE FRN05VV-R 4X6 MM2</v>
          </cell>
          <cell r="C1396" t="str">
            <v xml:space="preserve">CONDUCTEURS ET CABLES ELECTRIQUES CABLE BT DOMESTIQUE SERIE FRNO5 VV-R NORME NF C 32-207-CEI 227-10 - UN 300/500V NBRE DE COND.ET SECTIONS: 4 X 6 MM2 </v>
          </cell>
          <cell r="D1396" t="str">
            <v>M</v>
          </cell>
          <cell r="E1396" t="str">
            <v>522.52205</v>
          </cell>
          <cell r="F1396">
            <v>28.8</v>
          </cell>
          <cell r="G1396">
            <v>0</v>
          </cell>
          <cell r="H1396">
            <v>0</v>
          </cell>
          <cell r="I1396">
            <v>0</v>
          </cell>
          <cell r="J1396">
            <v>0</v>
          </cell>
          <cell r="K1396">
            <v>0</v>
          </cell>
          <cell r="L1396">
            <v>0</v>
          </cell>
        </row>
        <row r="1397">
          <cell r="A1397" t="str">
            <v>10050.01040</v>
          </cell>
          <cell r="B1397" t="str">
            <v>CABLE FRN05VV-U 2X1,5MM2</v>
          </cell>
          <cell r="C1397" t="str">
            <v xml:space="preserve">CONDUCTEURS ET CABLES ELECTRIQUES CABLE BT DOMESTIQUE SERIE FRN05 VV-U NORME NF C 32-207-CEI 227-10- UN 300/500V NBRE DE COND.ET SECTIONS: 2 X 1,5 MM2 </v>
          </cell>
          <cell r="D1397" t="str">
            <v>M</v>
          </cell>
          <cell r="E1397" t="str">
            <v>522.52205</v>
          </cell>
          <cell r="F1397">
            <v>4.32</v>
          </cell>
          <cell r="G1397">
            <v>0</v>
          </cell>
          <cell r="H1397">
            <v>0</v>
          </cell>
          <cell r="I1397">
            <v>0</v>
          </cell>
          <cell r="J1397">
            <v>0</v>
          </cell>
          <cell r="K1397">
            <v>0</v>
          </cell>
          <cell r="L1397">
            <v>0</v>
          </cell>
        </row>
        <row r="1398">
          <cell r="A1398" t="str">
            <v>10050.01041</v>
          </cell>
          <cell r="B1398" t="str">
            <v>CABLE FRN05VV-U 2X2,5MM2</v>
          </cell>
          <cell r="C1398" t="str">
            <v xml:space="preserve">CONDUCTEURS ET CABLES ELECTRIQUES CABLE BT DOMESTIQUE SERIE FRN05 VV-U NORME NF C 32-207-CEI 227-10- UN 300/500V NBRE DE COND.ET SECTIONS: 2X 2,5 MM2 </v>
          </cell>
          <cell r="D1398" t="str">
            <v>M</v>
          </cell>
          <cell r="E1398" t="str">
            <v>522.52205</v>
          </cell>
          <cell r="F1398">
            <v>6.96</v>
          </cell>
          <cell r="G1398">
            <v>0</v>
          </cell>
          <cell r="H1398">
            <v>0</v>
          </cell>
          <cell r="I1398">
            <v>0</v>
          </cell>
          <cell r="J1398">
            <v>0</v>
          </cell>
          <cell r="K1398">
            <v>0</v>
          </cell>
          <cell r="L1398">
            <v>0</v>
          </cell>
        </row>
        <row r="1399">
          <cell r="A1399" t="str">
            <v>10053.01193</v>
          </cell>
          <cell r="B1399" t="str">
            <v>LAMP.SIGN.CUL:E12-13X34MM</v>
          </cell>
          <cell r="C1399" t="str">
            <v xml:space="preserve">LAMPE DE SIGNALISATION CLAIRE A VAPEUR DE MERCURE TENSION 18 VOLTS PUISSANCE 2 WATTS DIAMETRE 13 MM LONGUEUR 34 MM CULOT E12 </v>
          </cell>
          <cell r="D1399" t="str">
            <v>PE</v>
          </cell>
          <cell r="E1399" t="str">
            <v>522.52206</v>
          </cell>
          <cell r="F1399">
            <v>15.917</v>
          </cell>
          <cell r="G1399">
            <v>0</v>
          </cell>
          <cell r="H1399">
            <v>0</v>
          </cell>
          <cell r="I1399">
            <v>0</v>
          </cell>
          <cell r="J1399">
            <v>0</v>
          </cell>
          <cell r="K1399">
            <v>0</v>
          </cell>
          <cell r="L1399">
            <v>0</v>
          </cell>
        </row>
        <row r="1400">
          <cell r="A1400" t="str">
            <v>10048.06214</v>
          </cell>
          <cell r="B1400" t="str">
            <v>CORDE EN CHANVRE D:20 MM</v>
          </cell>
          <cell r="C1400" t="str">
            <v xml:space="preserve">CORDE EN CHANVRE DIAMETRE= 20 MM </v>
          </cell>
          <cell r="D1400" t="str">
            <v>KG</v>
          </cell>
          <cell r="E1400" t="str">
            <v>522.52203</v>
          </cell>
          <cell r="F1400">
            <v>31.2</v>
          </cell>
          <cell r="G1400">
            <v>0</v>
          </cell>
          <cell r="H1400">
            <v>0</v>
          </cell>
          <cell r="I1400">
            <v>0</v>
          </cell>
          <cell r="J1400">
            <v>0</v>
          </cell>
          <cell r="K1400">
            <v>0</v>
          </cell>
          <cell r="L1400">
            <v>0</v>
          </cell>
        </row>
        <row r="1401">
          <cell r="A1401" t="str">
            <v>10050.01061</v>
          </cell>
          <cell r="B1401" t="str">
            <v>CABLE FRN05VV-R 4X10MM2</v>
          </cell>
          <cell r="C1401" t="str">
            <v xml:space="preserve">CONDUCTEURS ET CABLES ELECTRIQUES CABLE BT DOMESTIQUE SERIE FRNO5 VV-R NORME NF C 32-207-CEI 227-10 - UN 300/500V NBRE DE COND.ET SECTIONS: 4 X 10 MM2 </v>
          </cell>
          <cell r="D1401" t="str">
            <v>M</v>
          </cell>
          <cell r="E1401" t="str">
            <v>522.52205</v>
          </cell>
          <cell r="F1401">
            <v>43.2</v>
          </cell>
          <cell r="G1401">
            <v>0</v>
          </cell>
          <cell r="H1401">
            <v>0</v>
          </cell>
          <cell r="I1401">
            <v>0</v>
          </cell>
          <cell r="J1401">
            <v>0</v>
          </cell>
          <cell r="K1401">
            <v>0</v>
          </cell>
          <cell r="L1401">
            <v>0</v>
          </cell>
        </row>
        <row r="1402">
          <cell r="A1402" t="str">
            <v>10050.01062</v>
          </cell>
          <cell r="B1402" t="str">
            <v>CABLE FRN05VV-R 4X16MM2</v>
          </cell>
          <cell r="C1402" t="str">
            <v xml:space="preserve">CONDUCTEURS ET CABLES ELECTRIQUES CABLE BT DOMESTIQUE SERIE FRNO5 VV-R NORME NF C 32-207-CEI 227-10 - UN 300/500V NBRE DE COND.ET SECTIONS: 4 X 16 MM2 </v>
          </cell>
          <cell r="D1402" t="str">
            <v>M</v>
          </cell>
          <cell r="E1402" t="str">
            <v>522.52205</v>
          </cell>
          <cell r="F1402">
            <v>67.2</v>
          </cell>
          <cell r="G1402">
            <v>0</v>
          </cell>
          <cell r="H1402">
            <v>0</v>
          </cell>
          <cell r="I1402">
            <v>0</v>
          </cell>
          <cell r="J1402">
            <v>0</v>
          </cell>
          <cell r="K1402">
            <v>0</v>
          </cell>
          <cell r="L1402">
            <v>0</v>
          </cell>
        </row>
        <row r="1403">
          <cell r="A1403" t="str">
            <v>10050.01063</v>
          </cell>
          <cell r="B1403" t="str">
            <v>CABLE FRN05VV-R 4X25MM2</v>
          </cell>
          <cell r="C1403" t="str">
            <v xml:space="preserve">CONDUCTEURS ET CABLES ELECTRIQUES CABLE BT DOMESTIQUE SERIE FRNO5 VV-R NORME NF C 32-207-CEI 227-10 - UN 300/500V NBRE DE COND.ET SECTIONS: 4 X 25 MM2 </v>
          </cell>
          <cell r="D1403" t="str">
            <v>M</v>
          </cell>
          <cell r="E1403" t="str">
            <v>522.52205</v>
          </cell>
          <cell r="F1403">
            <v>110.4</v>
          </cell>
          <cell r="G1403">
            <v>0</v>
          </cell>
          <cell r="H1403">
            <v>0</v>
          </cell>
          <cell r="I1403">
            <v>0</v>
          </cell>
          <cell r="J1403">
            <v>0</v>
          </cell>
          <cell r="K1403">
            <v>0</v>
          </cell>
          <cell r="L1403">
            <v>0</v>
          </cell>
        </row>
        <row r="1404">
          <cell r="A1404" t="str">
            <v>10050.01070</v>
          </cell>
          <cell r="B1404" t="str">
            <v>CABLE FRN05VV-U 4X4 MM2</v>
          </cell>
          <cell r="C1404" t="str">
            <v xml:space="preserve">CONDUCTEURS ET CABLES ELECTRIQUES CABLE BT DOMESTIQUE SERIE FRN05 VV-U NORME NF C 32-207-CEI 227-10- UN 300/500V NBRE DE COND.ET SECTIONS: 4 X 4 MM2 </v>
          </cell>
          <cell r="D1404" t="str">
            <v>M</v>
          </cell>
          <cell r="E1404" t="str">
            <v>522.52205</v>
          </cell>
          <cell r="F1404">
            <v>19.2</v>
          </cell>
          <cell r="G1404">
            <v>0</v>
          </cell>
          <cell r="H1404">
            <v>0</v>
          </cell>
          <cell r="I1404">
            <v>0</v>
          </cell>
          <cell r="J1404">
            <v>0</v>
          </cell>
          <cell r="K1404">
            <v>200</v>
          </cell>
          <cell r="L1404">
            <v>0</v>
          </cell>
        </row>
        <row r="1405">
          <cell r="A1405" t="str">
            <v>10050.01075</v>
          </cell>
          <cell r="B1405" t="str">
            <v>CABLE FRN05VV-U 5X1,5MM2</v>
          </cell>
          <cell r="C1405" t="str">
            <v xml:space="preserve">CONDUCTEURS ET CABLES ELECTRIQUES CABLE BT DOMESTIQUE SERIE FRN05 VV-U NORME NF C 32-207-CEI 227-10- UN 300/500V NBRE DE COND.ET SECTIONS: 5 X 2,5 MM2 </v>
          </cell>
          <cell r="D1405" t="str">
            <v>M</v>
          </cell>
          <cell r="E1405" t="str">
            <v>522.52206</v>
          </cell>
          <cell r="F1405">
            <v>15.6</v>
          </cell>
          <cell r="G1405">
            <v>0</v>
          </cell>
          <cell r="H1405">
            <v>0</v>
          </cell>
          <cell r="I1405">
            <v>0</v>
          </cell>
          <cell r="J1405">
            <v>0</v>
          </cell>
          <cell r="K1405">
            <v>0</v>
          </cell>
          <cell r="L1405">
            <v>0</v>
          </cell>
        </row>
        <row r="1406">
          <cell r="A1406" t="str">
            <v>10050.01502</v>
          </cell>
          <cell r="B1406" t="str">
            <v>CABLE H07RN-F 1X240MM2</v>
          </cell>
          <cell r="C1406" t="str">
            <v xml:space="preserve">CONDUCTEURS ET CABLES ELECTRIQUES CABLE BT INDUSTRIEL SUIVANT NORME NF C 32-102 , UN 450/750 V SERIE H07RN-F SECTION : 1X240MM2 - DIAMETRE EXTERIEUR: 33,00 </v>
          </cell>
          <cell r="D1406" t="str">
            <v>M</v>
          </cell>
          <cell r="E1406" t="str">
            <v>522.52205</v>
          </cell>
          <cell r="F1406">
            <v>290</v>
          </cell>
          <cell r="G1406">
            <v>0</v>
          </cell>
          <cell r="H1406">
            <v>0</v>
          </cell>
          <cell r="I1406">
            <v>0</v>
          </cell>
          <cell r="J1406">
            <v>0</v>
          </cell>
          <cell r="K1406">
            <v>0</v>
          </cell>
          <cell r="L1406">
            <v>208</v>
          </cell>
        </row>
        <row r="1407">
          <cell r="A1407" t="str">
            <v>10048.05076</v>
          </cell>
          <cell r="B1407" t="str">
            <v>CABLE ACIER CLAIR D.11 MM</v>
          </cell>
          <cell r="C1407" t="str">
            <v>CABLES DE MANUTENTION EN ACIER CLAIR AME CENTRALE TEXTILE FORCE DE RUPTURE MINIMALE 64 KN TYPE D'UTILISATION TREUILS , PALANS , CHARIOTS VERSEURS DIAMETRE NOMINAL : 11 MM - DIAMETRE DES FILS : 0,7 MM COMPOSITION= 6 X 19 (1+6+12)</v>
          </cell>
          <cell r="D1407" t="str">
            <v>M</v>
          </cell>
          <cell r="E1407" t="str">
            <v>522.52214</v>
          </cell>
          <cell r="F1407">
            <v>7.4755000000000003</v>
          </cell>
          <cell r="G1407">
            <v>0</v>
          </cell>
          <cell r="H1407">
            <v>0</v>
          </cell>
          <cell r="I1407">
            <v>0</v>
          </cell>
          <cell r="J1407">
            <v>0</v>
          </cell>
          <cell r="K1407">
            <v>0</v>
          </cell>
          <cell r="L1407">
            <v>0</v>
          </cell>
        </row>
        <row r="1408">
          <cell r="A1408" t="str">
            <v>10053.06109</v>
          </cell>
          <cell r="B1408" t="str">
            <v>LAMPE SIGNALISATION</v>
          </cell>
          <cell r="C1408" t="str">
            <v xml:space="preserve">ECLAIRAGE ET MATERIEL UTILISANT L'ENERGIE ELECTRIQUE LAMPES DE SIGNALISATION . . TENSION 30 V FORME TUBE STANDARD PUISSANCE 3 W , I = 100 M.A CULOT BA 9S DIMENSIONS DIAM : 10 X 28 MM </v>
          </cell>
          <cell r="D1408" t="str">
            <v>PE</v>
          </cell>
          <cell r="E1408" t="str">
            <v>522.52206</v>
          </cell>
          <cell r="F1408">
            <v>3.1947999999999999</v>
          </cell>
          <cell r="G1408">
            <v>0</v>
          </cell>
          <cell r="H1408">
            <v>0</v>
          </cell>
          <cell r="I1408">
            <v>0</v>
          </cell>
          <cell r="J1408">
            <v>0</v>
          </cell>
          <cell r="K1408">
            <v>0</v>
          </cell>
          <cell r="L1408">
            <v>0</v>
          </cell>
        </row>
        <row r="1409">
          <cell r="A1409" t="str">
            <v>10048.00165</v>
          </cell>
          <cell r="B1409" t="str">
            <v>CORDE EN NYLON D=8 MM</v>
          </cell>
          <cell r="C1409" t="str">
            <v xml:space="preserve">CORDE EN NYLON DIAMETRE= 8 MM COULEUR , </v>
          </cell>
          <cell r="D1409" t="str">
            <v>KG</v>
          </cell>
          <cell r="E1409" t="str">
            <v>522.52203</v>
          </cell>
          <cell r="F1409">
            <v>136</v>
          </cell>
          <cell r="G1409">
            <v>0</v>
          </cell>
          <cell r="H1409">
            <v>0</v>
          </cell>
          <cell r="I1409">
            <v>18</v>
          </cell>
          <cell r="J1409">
            <v>0</v>
          </cell>
          <cell r="K1409">
            <v>12</v>
          </cell>
          <cell r="L1409">
            <v>0</v>
          </cell>
        </row>
        <row r="1410">
          <cell r="A1410" t="str">
            <v>10046.00257</v>
          </cell>
          <cell r="B1410" t="str">
            <v>ASPEGIC 500 MG (PIECE = BOITE DE 20 SACHETS)</v>
          </cell>
          <cell r="C1410" t="str">
            <v>ASPEGIC 500 MG (PIECE = BOITE DE 20 SACHETS)</v>
          </cell>
          <cell r="D1410" t="str">
            <v>PE</v>
          </cell>
          <cell r="E1410" t="str">
            <v>223.22301</v>
          </cell>
          <cell r="F1410">
            <v>23.9</v>
          </cell>
          <cell r="G1410">
            <v>0</v>
          </cell>
          <cell r="H1410">
            <v>0</v>
          </cell>
          <cell r="I1410">
            <v>0</v>
          </cell>
          <cell r="J1410">
            <v>0</v>
          </cell>
          <cell r="K1410">
            <v>0</v>
          </cell>
          <cell r="L1410">
            <v>0</v>
          </cell>
        </row>
        <row r="1411">
          <cell r="A1411" t="str">
            <v>10050.01286</v>
          </cell>
          <cell r="B1411" t="str">
            <v>CABLE U1000RO2V  1X240</v>
          </cell>
          <cell r="C1411" t="str">
            <v xml:space="preserve">CONDUCTEURS ET CABLES ELECTRIQUES CABLE BT INDUSTRIEL SERIE U1000RO2V , TENSION NOMINALE 1000V SUIVANT NORME NF.C 32-321 NBRE DE COND.ET SECTIONS: 1 X 240 MM2 </v>
          </cell>
          <cell r="D1411" t="str">
            <v>M</v>
          </cell>
          <cell r="E1411" t="str">
            <v>522.52205</v>
          </cell>
          <cell r="F1411">
            <v>203</v>
          </cell>
          <cell r="G1411">
            <v>0</v>
          </cell>
          <cell r="H1411">
            <v>0</v>
          </cell>
          <cell r="I1411">
            <v>0</v>
          </cell>
          <cell r="J1411">
            <v>0</v>
          </cell>
          <cell r="K1411">
            <v>0</v>
          </cell>
          <cell r="L1411">
            <v>0</v>
          </cell>
        </row>
        <row r="1412">
          <cell r="A1412" t="str">
            <v>10050.00240</v>
          </cell>
          <cell r="B1412" t="str">
            <v>FIL SOUPLE H05V-K 1MM2</v>
          </cell>
          <cell r="C1412" t="str">
            <v xml:space="preserve">CONDUCTEURS ET CABLES ELECTRIQUES FIL SOUPLE SERIE H05V-K NORME NFC 32-201 TENSION NOMINALE 300/500V SECTION 1 MM2 NOMBRE DE FILS ET DIAMETRE : 32 X 0,20 MM DIAMETRE EXTERIEUR : 3,5 MM - COULEUR : .......... </v>
          </cell>
          <cell r="D1412" t="str">
            <v>M</v>
          </cell>
          <cell r="E1412" t="str">
            <v>522.52205</v>
          </cell>
          <cell r="F1412">
            <v>1.2</v>
          </cell>
          <cell r="G1412">
            <v>0</v>
          </cell>
          <cell r="H1412">
            <v>400</v>
          </cell>
          <cell r="I1412">
            <v>0</v>
          </cell>
          <cell r="J1412">
            <v>0</v>
          </cell>
          <cell r="K1412">
            <v>0</v>
          </cell>
          <cell r="L1412">
            <v>0</v>
          </cell>
        </row>
        <row r="1413">
          <cell r="A1413" t="str">
            <v>10050.00241</v>
          </cell>
          <cell r="B1413" t="str">
            <v>FIL SOUPLE H07V-K 1,5 MM2</v>
          </cell>
          <cell r="C1413" t="str">
            <v xml:space="preserve">CONDUCTEURS ET CABLES ELECTRIQUES FIL SOUPLE SERIE H07V-K NORME NFC 32-201 TENSION NOMINALE 450/750V SECTION 1,5 MM2 TEINTE : </v>
          </cell>
          <cell r="D1413" t="str">
            <v>M</v>
          </cell>
          <cell r="E1413" t="str">
            <v>522.52206</v>
          </cell>
          <cell r="F1413">
            <v>1.68</v>
          </cell>
          <cell r="G1413">
            <v>0</v>
          </cell>
          <cell r="H1413">
            <v>200</v>
          </cell>
          <cell r="I1413">
            <v>0</v>
          </cell>
          <cell r="J1413">
            <v>0</v>
          </cell>
          <cell r="K1413">
            <v>0</v>
          </cell>
          <cell r="L1413">
            <v>0</v>
          </cell>
        </row>
        <row r="1414">
          <cell r="A1414" t="str">
            <v>10050.01316</v>
          </cell>
          <cell r="B1414" t="str">
            <v>CABLE U1000RO2V  3X 1,5</v>
          </cell>
          <cell r="C1414" t="str">
            <v xml:space="preserve">CONDUCTEURS ET CABLES ELECTRIQUES CABLE BT INDUSTRIEL SERIE U1000RO2V , TENSION NOMINALE 1000V SUIVANT NORME NF.C 32-321 NBRE DE COND.ET SECTIONS: 3 X 1,5 MM2 </v>
          </cell>
          <cell r="D1414" t="str">
            <v>M</v>
          </cell>
          <cell r="E1414" t="str">
            <v>522.52205</v>
          </cell>
          <cell r="F1414">
            <v>4.8266999999999998</v>
          </cell>
          <cell r="G1414">
            <v>0</v>
          </cell>
          <cell r="H1414">
            <v>0</v>
          </cell>
          <cell r="I1414">
            <v>0</v>
          </cell>
          <cell r="J1414">
            <v>0</v>
          </cell>
          <cell r="K1414">
            <v>500</v>
          </cell>
          <cell r="L1414">
            <v>1000</v>
          </cell>
        </row>
        <row r="1415">
          <cell r="A1415" t="str">
            <v>10050.01317</v>
          </cell>
          <cell r="B1415" t="str">
            <v>CABLE U1000RO2V  3X 2,5</v>
          </cell>
          <cell r="C1415" t="str">
            <v xml:space="preserve">CONDUCTEURS ET CABLES ELECTRIQUES CABLE BT INDUSTRIEL SERIE U1000RO2V , TENSION NOMINALE 1000V SUIVANT NORME NF.C 32-321 NBRE DE COND.ET SECTIONS: 3 X 2,5 MM2 </v>
          </cell>
          <cell r="D1415" t="str">
            <v>M</v>
          </cell>
          <cell r="E1415" t="str">
            <v>522.52205</v>
          </cell>
          <cell r="F1415">
            <v>7.85</v>
          </cell>
          <cell r="G1415">
            <v>0</v>
          </cell>
          <cell r="H1415">
            <v>0</v>
          </cell>
          <cell r="I1415">
            <v>0</v>
          </cell>
          <cell r="J1415">
            <v>0</v>
          </cell>
          <cell r="K1415">
            <v>0</v>
          </cell>
          <cell r="L1415">
            <v>0</v>
          </cell>
        </row>
        <row r="1416">
          <cell r="A1416" t="str">
            <v>10050.00248</v>
          </cell>
          <cell r="B1416" t="str">
            <v>FIL SOUPLE H07V-K 16 MM2</v>
          </cell>
          <cell r="C1416" t="str">
            <v xml:space="preserve">CONDUCTEURS ET CABLES ELECTRIQUES FIL SOUPLE SERIE H07V-K NORME NFC 32-201 TENSION NOMINALE 450/750V SECTION 16 MM2 TEINTE : </v>
          </cell>
          <cell r="D1416" t="str">
            <v>M</v>
          </cell>
          <cell r="E1416" t="str">
            <v>522.52206</v>
          </cell>
          <cell r="F1416">
            <v>16.8</v>
          </cell>
          <cell r="G1416">
            <v>0</v>
          </cell>
          <cell r="H1416">
            <v>0</v>
          </cell>
          <cell r="I1416">
            <v>100</v>
          </cell>
          <cell r="J1416">
            <v>0</v>
          </cell>
          <cell r="K1416">
            <v>0</v>
          </cell>
          <cell r="L1416">
            <v>400</v>
          </cell>
        </row>
        <row r="1417">
          <cell r="A1417" t="str">
            <v>10050.00243</v>
          </cell>
          <cell r="B1417" t="str">
            <v>FIL SOUPLE H07V-K 4 MM2</v>
          </cell>
          <cell r="C1417" t="str">
            <v xml:space="preserve">CONDUCTEURS ET CABLES ELECTRIQUES FIL SOUPLE SERIE H07V-K NORME NFC 32-201 TENSION NOMINALE 450/750V SECTION 4 MM2 NOMBRE DE FILS ET DIAMETRE : 56 X 0,3 MM DIAMETRE EXTERIEUR : 5,2 MM - COULEUR : ......... </v>
          </cell>
          <cell r="D1417" t="str">
            <v>M</v>
          </cell>
          <cell r="E1417" t="str">
            <v>522.52205</v>
          </cell>
          <cell r="F1417">
            <v>3.71</v>
          </cell>
          <cell r="G1417">
            <v>0</v>
          </cell>
          <cell r="H1417">
            <v>300</v>
          </cell>
          <cell r="I1417">
            <v>0</v>
          </cell>
          <cell r="J1417">
            <v>0</v>
          </cell>
          <cell r="K1417">
            <v>0</v>
          </cell>
          <cell r="L1417">
            <v>0</v>
          </cell>
        </row>
        <row r="1418">
          <cell r="A1418" t="str">
            <v>10050.00244</v>
          </cell>
          <cell r="B1418" t="str">
            <v>FIL SOUPLE H07V-K 6 MM2</v>
          </cell>
          <cell r="C1418" t="str">
            <v xml:space="preserve">CONDUCTEURS ET CABLES ELECTRIQUES FIL SOUPLE SERIE H07V-K NORME NFC 32-201 TENSION NOMINALE 450/750V SECTION 6 MM2 NOMBRE DE FILS ET DIAMETRE : 84 X 0,3 MM DIAMETRE EXTERIEUR : 5,7 MM - COULEUR : ......... </v>
          </cell>
          <cell r="D1418" t="str">
            <v>M</v>
          </cell>
          <cell r="E1418" t="str">
            <v>522.52205</v>
          </cell>
          <cell r="F1418">
            <v>5.53</v>
          </cell>
          <cell r="G1418">
            <v>0</v>
          </cell>
          <cell r="H1418">
            <v>300</v>
          </cell>
          <cell r="I1418">
            <v>0</v>
          </cell>
          <cell r="J1418">
            <v>0</v>
          </cell>
          <cell r="K1418">
            <v>0</v>
          </cell>
          <cell r="L1418">
            <v>0</v>
          </cell>
        </row>
        <row r="1419">
          <cell r="A1419" t="str">
            <v>10050.00247</v>
          </cell>
          <cell r="B1419" t="str">
            <v>FIL SOUPLE H07V-K 10 MM2</v>
          </cell>
          <cell r="C1419" t="str">
            <v xml:space="preserve">CONDUCTEURS ET CABLES ELECTRIQUES FIL SOUPLE SERIE H07V-K NORME NFC 32-201 TENSION NOMINALE 450/750V SECTION 10 MM2 TEINTE : </v>
          </cell>
          <cell r="D1419" t="str">
            <v>M</v>
          </cell>
          <cell r="E1419" t="str">
            <v>522.52205</v>
          </cell>
          <cell r="F1419">
            <v>11.28</v>
          </cell>
          <cell r="G1419">
            <v>0</v>
          </cell>
          <cell r="H1419">
            <v>0</v>
          </cell>
          <cell r="I1419">
            <v>0</v>
          </cell>
          <cell r="J1419">
            <v>0</v>
          </cell>
          <cell r="K1419">
            <v>100</v>
          </cell>
          <cell r="L1419">
            <v>0</v>
          </cell>
        </row>
        <row r="1420">
          <cell r="A1420" t="str">
            <v>10048.06255</v>
          </cell>
          <cell r="B1420" t="str">
            <v>CORDE NYLON-BLEU-D: 6 MM</v>
          </cell>
          <cell r="C1420" t="str">
            <v xml:space="preserve">CORDE EN NYLON COULEUR BLEU DIAMETRE= 6 MM </v>
          </cell>
          <cell r="D1420" t="str">
            <v>KG</v>
          </cell>
          <cell r="E1420" t="str">
            <v>522.52203</v>
          </cell>
          <cell r="F1420">
            <v>42</v>
          </cell>
          <cell r="G1420">
            <v>0</v>
          </cell>
          <cell r="H1420">
            <v>0</v>
          </cell>
          <cell r="I1420">
            <v>0</v>
          </cell>
          <cell r="J1420">
            <v>0</v>
          </cell>
          <cell r="K1420">
            <v>0</v>
          </cell>
          <cell r="L1420">
            <v>0</v>
          </cell>
        </row>
        <row r="1421">
          <cell r="A1421" t="str">
            <v>10048.06257</v>
          </cell>
          <cell r="B1421" t="str">
            <v>CORDE NYLON-BLEU-D:10 MM</v>
          </cell>
          <cell r="C1421" t="str">
            <v xml:space="preserve">CORDE EN NYLON COULEUR BLEU DIAMETRE= 10 MM </v>
          </cell>
          <cell r="D1421" t="str">
            <v>KG</v>
          </cell>
          <cell r="E1421" t="str">
            <v>522.52203</v>
          </cell>
          <cell r="F1421">
            <v>42</v>
          </cell>
          <cell r="G1421">
            <v>0</v>
          </cell>
          <cell r="H1421">
            <v>0</v>
          </cell>
          <cell r="I1421">
            <v>0</v>
          </cell>
          <cell r="J1421">
            <v>0</v>
          </cell>
          <cell r="K1421">
            <v>0</v>
          </cell>
          <cell r="L1421">
            <v>0</v>
          </cell>
        </row>
        <row r="1422">
          <cell r="A1422" t="str">
            <v>10048.06260</v>
          </cell>
          <cell r="B1422" t="str">
            <v>CORDE NYLON-BLEU-D:16 MM</v>
          </cell>
          <cell r="C1422" t="str">
            <v xml:space="preserve">CORDE EN NYLON COULEUR BLEU DIAMETRE= 16 MM </v>
          </cell>
          <cell r="D1422" t="str">
            <v>KG</v>
          </cell>
          <cell r="E1422" t="str">
            <v>522.52203</v>
          </cell>
          <cell r="F1422">
            <v>42</v>
          </cell>
          <cell r="G1422">
            <v>0</v>
          </cell>
          <cell r="H1422">
            <v>0</v>
          </cell>
          <cell r="I1422">
            <v>0</v>
          </cell>
          <cell r="J1422">
            <v>0</v>
          </cell>
          <cell r="K1422">
            <v>0</v>
          </cell>
          <cell r="L1422">
            <v>0</v>
          </cell>
        </row>
        <row r="1423">
          <cell r="A1423" t="str">
            <v>10052.06958</v>
          </cell>
          <cell r="B1423" t="str">
            <v>FUSIBLE EN VERRE 6,3X32  6A</v>
          </cell>
          <cell r="C1423" t="str">
            <v xml:space="preserve">FUSIBLE ELECTRONIQUE CYLINDRIQUE(EN VERRE) A CAPSULE (RAPIDE) TAILLE (MM) 6,3 X 32 TENSION NOMINALE (V) 125 CALIBRE (A) 8 POUVOIR DE COUPURE (A) 35 </v>
          </cell>
          <cell r="D1423" t="str">
            <v>PE</v>
          </cell>
          <cell r="E1423" t="str">
            <v>522.52206</v>
          </cell>
          <cell r="F1423">
            <v>25.113</v>
          </cell>
          <cell r="G1423">
            <v>0</v>
          </cell>
          <cell r="H1423">
            <v>0</v>
          </cell>
          <cell r="I1423">
            <v>0</v>
          </cell>
          <cell r="J1423">
            <v>0</v>
          </cell>
          <cell r="K1423">
            <v>0</v>
          </cell>
          <cell r="L1423">
            <v>0</v>
          </cell>
        </row>
        <row r="1424">
          <cell r="A1424" t="str">
            <v>10052.00033</v>
          </cell>
          <cell r="B1424" t="str">
            <v>COSSE DE CABLE CU SIEMENS 5GT5103</v>
          </cell>
          <cell r="C1424" t="str">
            <v xml:space="preserve">COSSE DE CABLE EN CUIVRE ETAME - SECTION CONDUCTEUR = 10 MM2 - DIAMETRE INTERIEUR = 4,5 MM - DIAMETRE TIGE DE RACCORDEMENT = 6 MM - FORME= RONDE - GENRE SIEMENS=5GT 5103 </v>
          </cell>
          <cell r="D1424" t="str">
            <v>PE</v>
          </cell>
          <cell r="E1424" t="str">
            <v>522.52206</v>
          </cell>
          <cell r="F1424">
            <v>0.6</v>
          </cell>
          <cell r="G1424">
            <v>0</v>
          </cell>
          <cell r="H1424">
            <v>0</v>
          </cell>
          <cell r="I1424">
            <v>0</v>
          </cell>
          <cell r="J1424">
            <v>0</v>
          </cell>
          <cell r="K1424">
            <v>200</v>
          </cell>
          <cell r="L1424">
            <v>0</v>
          </cell>
        </row>
        <row r="1425">
          <cell r="A1425" t="str">
            <v>10052.00034</v>
          </cell>
          <cell r="B1425" t="str">
            <v>COSS CABL CU SIEM 5GT5107</v>
          </cell>
          <cell r="C1425" t="str">
            <v xml:space="preserve">COSSE DE CABLE EN CUIVRE ETAME - SECTION CONDUCTEUR = 16 MM2 - DIAMETRE TIGE DE RACCORDEMENT=10 MM - FORME = RONDE - DIAMETRE INTERIEUR = 5,4 MM - GENRE SIEMENS=5GT 5107 </v>
          </cell>
          <cell r="D1425" t="str">
            <v>PE</v>
          </cell>
          <cell r="E1425" t="str">
            <v>522.52206</v>
          </cell>
          <cell r="F1425">
            <v>0.8</v>
          </cell>
          <cell r="G1425">
            <v>0</v>
          </cell>
          <cell r="H1425">
            <v>0</v>
          </cell>
          <cell r="I1425">
            <v>6</v>
          </cell>
          <cell r="J1425">
            <v>0</v>
          </cell>
          <cell r="K1425">
            <v>0</v>
          </cell>
          <cell r="L1425">
            <v>290</v>
          </cell>
        </row>
        <row r="1426">
          <cell r="A1426" t="str">
            <v>10052.07506</v>
          </cell>
          <cell r="B1426" t="str">
            <v>COSSE A SERTIR SERI ROUGE</v>
          </cell>
          <cell r="C1426" t="str">
            <v xml:space="preserve">COSSE A SERTIR PREISOLEE A PLAGE RONDE SECTION DU CABLE 0,25 A 1,5 MM2 DIAMETRE DU BONDAGE 8 MM </v>
          </cell>
          <cell r="D1426" t="str">
            <v>PE</v>
          </cell>
          <cell r="E1426" t="str">
            <v>522.52206</v>
          </cell>
          <cell r="F1426">
            <v>0.66</v>
          </cell>
          <cell r="G1426">
            <v>0</v>
          </cell>
          <cell r="H1426">
            <v>0</v>
          </cell>
          <cell r="I1426">
            <v>0</v>
          </cell>
          <cell r="J1426">
            <v>0</v>
          </cell>
          <cell r="K1426">
            <v>50</v>
          </cell>
          <cell r="L1426">
            <v>0</v>
          </cell>
        </row>
        <row r="1427">
          <cell r="A1427" t="str">
            <v>10052.07517</v>
          </cell>
          <cell r="B1427" t="str">
            <v>COSSE A SERTIR SERIE BLEU</v>
          </cell>
          <cell r="C1427" t="str">
            <v xml:space="preserve">COSSE A SERTIR PREISOLEE A PLAGE RONDE SERIE BLEUE SECTION DU CABLE 1,2 A 1,6 MM2 DIAMETRE DU BORNAGE 3 MM </v>
          </cell>
          <cell r="D1427" t="str">
            <v>PE</v>
          </cell>
          <cell r="E1427" t="str">
            <v>522.52206</v>
          </cell>
          <cell r="F1427">
            <v>0.54</v>
          </cell>
          <cell r="G1427">
            <v>0</v>
          </cell>
          <cell r="H1427">
            <v>0</v>
          </cell>
          <cell r="I1427">
            <v>0</v>
          </cell>
          <cell r="J1427">
            <v>0</v>
          </cell>
          <cell r="K1427">
            <v>0</v>
          </cell>
          <cell r="L1427">
            <v>0</v>
          </cell>
        </row>
        <row r="1428">
          <cell r="A1428" t="str">
            <v>10053.07506</v>
          </cell>
          <cell r="B1428" t="str">
            <v>STARTER P/LAMPE FLUORESCE</v>
          </cell>
          <cell r="C1428" t="str">
            <v>STARTER POUR LAMPE FLUORESCENTE  LONGUEUR DE LA LAMPE : 0,60 METRESTENSION:220-240VPUISSANCE : 4 A 22 WGENRE : SPLENDOR FS-2</v>
          </cell>
          <cell r="D1428" t="str">
            <v>PE</v>
          </cell>
          <cell r="E1428" t="str">
            <v>522.52206</v>
          </cell>
          <cell r="F1428">
            <v>2.0289000000000001</v>
          </cell>
          <cell r="G1428">
            <v>0</v>
          </cell>
          <cell r="H1428">
            <v>0</v>
          </cell>
          <cell r="I1428">
            <v>0</v>
          </cell>
          <cell r="J1428">
            <v>0</v>
          </cell>
          <cell r="K1428">
            <v>0</v>
          </cell>
          <cell r="L1428">
            <v>225</v>
          </cell>
        </row>
        <row r="1429">
          <cell r="A1429" t="str">
            <v>10052.09000</v>
          </cell>
          <cell r="B1429" t="str">
            <v>SILICAGEL EN BOITE 1 KG</v>
          </cell>
          <cell r="C1429" t="str">
            <v xml:space="preserve">SILICAGEL , EN BOITE DE 1 KG , POUR TRANSFORMATEUR 60 KV , DES POSTES HAUTE TENSION </v>
          </cell>
          <cell r="D1429" t="str">
            <v>KG</v>
          </cell>
          <cell r="E1429" t="str">
            <v>522.52206</v>
          </cell>
          <cell r="F1429">
            <v>140</v>
          </cell>
          <cell r="G1429">
            <v>0</v>
          </cell>
          <cell r="H1429">
            <v>0</v>
          </cell>
          <cell r="I1429">
            <v>0</v>
          </cell>
          <cell r="J1429">
            <v>0</v>
          </cell>
          <cell r="K1429">
            <v>0</v>
          </cell>
          <cell r="L1429">
            <v>25</v>
          </cell>
        </row>
        <row r="1430">
          <cell r="A1430" t="str">
            <v>10053.07504</v>
          </cell>
          <cell r="B1430" t="str">
            <v>STARTER P/LAMPE FLUORESCE</v>
          </cell>
          <cell r="C1430" t="str">
            <v xml:space="preserve">STARTER  TENSION 220/240V - 50HZ GENRE MAZDA : S1 - PHILIPS : S10 - OSRAM : ST111 DESTINATION LAMPE FLUORESCENTE A ALLUMAGE PAR STARTER DE 4 A 65W  4 A 65 W 4 A 65 W </v>
          </cell>
          <cell r="D1430" t="str">
            <v>PE</v>
          </cell>
          <cell r="E1430" t="str">
            <v>522.52206</v>
          </cell>
          <cell r="F1430">
            <v>2.2000000000000002</v>
          </cell>
          <cell r="G1430">
            <v>0</v>
          </cell>
          <cell r="H1430">
            <v>0</v>
          </cell>
          <cell r="I1430">
            <v>0</v>
          </cell>
          <cell r="J1430">
            <v>0</v>
          </cell>
          <cell r="K1430">
            <v>0</v>
          </cell>
          <cell r="L1430">
            <v>0</v>
          </cell>
        </row>
        <row r="1431">
          <cell r="A1431" t="str">
            <v>10052.07568</v>
          </cell>
          <cell r="B1431" t="str">
            <v>COSSE A LONGET SERIE ROUG</v>
          </cell>
          <cell r="C1431" t="str">
            <v xml:space="preserve">LONGUETTE PREISOLEE A SERTIR  SERIE ROUGE , SECTION DU CABLE 0,5 A 1,5 MM2 LONGUEUR 6,3 MM </v>
          </cell>
          <cell r="D1431" t="str">
            <v>PE</v>
          </cell>
          <cell r="E1431" t="str">
            <v>522.52206</v>
          </cell>
          <cell r="F1431">
            <v>0.66</v>
          </cell>
          <cell r="G1431">
            <v>0</v>
          </cell>
          <cell r="H1431">
            <v>0</v>
          </cell>
          <cell r="I1431">
            <v>0</v>
          </cell>
          <cell r="J1431">
            <v>0</v>
          </cell>
          <cell r="K1431">
            <v>0</v>
          </cell>
          <cell r="L1431">
            <v>0</v>
          </cell>
        </row>
        <row r="1432">
          <cell r="A1432" t="str">
            <v>10053.07538</v>
          </cell>
          <cell r="B1432" t="str">
            <v>AMORCEUR P/LAMPE V-SODIUM</v>
          </cell>
          <cell r="C1432" t="str">
            <v xml:space="preserve">ECLAIRAGE ET MATERIEL UTILISANT L'ENERGIE ELECTRIQUE APPAREILLAGE D'ALIMENTATION DES LAMPES AMORCEUR . , POUR LAMPE A VAPEUR DE SODIUM HAUTE PRESSION , DE 100 - 150 - 250 ET 400 W GENRE MAZDA = STE 04/20 C (OU EQUIVALENT) </v>
          </cell>
          <cell r="D1432" t="str">
            <v>PE</v>
          </cell>
          <cell r="E1432" t="str">
            <v>522.52206</v>
          </cell>
          <cell r="F1432">
            <v>38.4</v>
          </cell>
          <cell r="G1432">
            <v>0</v>
          </cell>
          <cell r="H1432">
            <v>0</v>
          </cell>
          <cell r="I1432">
            <v>0</v>
          </cell>
          <cell r="J1432">
            <v>0</v>
          </cell>
          <cell r="K1432">
            <v>0</v>
          </cell>
          <cell r="L1432">
            <v>200</v>
          </cell>
        </row>
        <row r="1433">
          <cell r="A1433" t="str">
            <v>10053.07544</v>
          </cell>
          <cell r="B1433" t="str">
            <v>AMORCEUR P/LAMPE V-SODIUM</v>
          </cell>
          <cell r="C1433" t="str">
            <v xml:space="preserve">ECLAIRAGE ET MATERIEL UTILISANT L'ENERGIE ELECTRIQUE APPAREILLAGE D'ALIMENTATION DES LAMPES AMORCEUR . , POUR LAMPE A VAPEUR DE SODIUM HAUTE PRESSION , DE 150 A 1000 WATTS GENRE MAZDA : AST 10 (OU EQUIVALENT) </v>
          </cell>
          <cell r="D1433" t="str">
            <v>PE</v>
          </cell>
          <cell r="E1433" t="str">
            <v>522.52206</v>
          </cell>
          <cell r="F1433">
            <v>38.4</v>
          </cell>
          <cell r="G1433">
            <v>0</v>
          </cell>
          <cell r="H1433">
            <v>0</v>
          </cell>
          <cell r="I1433">
            <v>0</v>
          </cell>
          <cell r="J1433">
            <v>0</v>
          </cell>
          <cell r="K1433">
            <v>0</v>
          </cell>
          <cell r="L1433">
            <v>155</v>
          </cell>
        </row>
        <row r="1434">
          <cell r="A1434" t="str">
            <v>10052.07570</v>
          </cell>
          <cell r="B1434" t="str">
            <v>COSSE A LONGET SERIE BLEU</v>
          </cell>
          <cell r="C1434" t="str">
            <v xml:space="preserve">LONGUETTE PREISOLEE A SERTIR  SERIE BLEUE , SECTION DU CABLE 1 A 2,6 MM2 LONGUEUR 6,3 MM </v>
          </cell>
          <cell r="D1434" t="str">
            <v>PE</v>
          </cell>
          <cell r="E1434" t="str">
            <v>522.52206</v>
          </cell>
          <cell r="F1434">
            <v>0.66</v>
          </cell>
          <cell r="G1434">
            <v>0</v>
          </cell>
          <cell r="H1434">
            <v>0</v>
          </cell>
          <cell r="I1434">
            <v>0</v>
          </cell>
          <cell r="J1434">
            <v>0</v>
          </cell>
          <cell r="K1434">
            <v>50</v>
          </cell>
          <cell r="L1434">
            <v>0</v>
          </cell>
        </row>
        <row r="1435">
          <cell r="A1435" t="str">
            <v>10053.07636</v>
          </cell>
          <cell r="B1435" t="str">
            <v>BALLAST P/LAMP.A DECHARGE</v>
          </cell>
          <cell r="C1435" t="str">
            <v xml:space="preserve">ECLAIRAGE ET MATERIEL UTILISANT L'ENERGIE ELECTRIQUE APPAREILLAGE D'ALIMENTATION DES LAMPES BALLAST . DESIGNATION POUR LAMPE A DECHARGE , A VAPEUR DE MERCURE TENSION 220 V 50 HZ PUISSANCE 250 W GENRE MAZDA = M250MA22 , PHILIPS = BHL 250 POUR LAMPE DE PUISSANCE 250 W </v>
          </cell>
          <cell r="D1435" t="str">
            <v>PE</v>
          </cell>
          <cell r="E1435" t="str">
            <v>522.52206</v>
          </cell>
          <cell r="F1435">
            <v>91.44</v>
          </cell>
          <cell r="G1435">
            <v>0</v>
          </cell>
          <cell r="H1435">
            <v>0</v>
          </cell>
          <cell r="I1435">
            <v>0</v>
          </cell>
          <cell r="J1435">
            <v>0</v>
          </cell>
          <cell r="K1435">
            <v>0</v>
          </cell>
          <cell r="L1435">
            <v>50</v>
          </cell>
        </row>
        <row r="1436">
          <cell r="A1436" t="str">
            <v>10053.07708</v>
          </cell>
          <cell r="B1436" t="str">
            <v>PLATINE SIMPLE PRECABLEE</v>
          </cell>
          <cell r="C1436" t="str">
            <v xml:space="preserve">ECLAIRAGE ET MATERIEL UTILISANT L'ENERGIE ELECTRIQUE APPAREILLAGE D'ALIMENTATION DES LAMPES PLATINE PRECABLEE SIMPLE TENSION 220 V 50 HZ DESTINATION LAMPE A VAPEUR DE MERCURE DE 400 W , COMPRENANT = SUPPORT METALLIQUE TRAITE, COMPENSATION , BALLAST D'ALIMENTATION, FUSIBLE CALIBRE, AMORCEUR , DISPOSITIF D'ACCROCHAGE ET PRISE DE TERRE </v>
          </cell>
          <cell r="D1436" t="str">
            <v>PE</v>
          </cell>
          <cell r="E1436" t="str">
            <v>522.52206</v>
          </cell>
          <cell r="F1436">
            <v>312</v>
          </cell>
          <cell r="G1436">
            <v>0</v>
          </cell>
          <cell r="H1436">
            <v>0</v>
          </cell>
          <cell r="I1436">
            <v>0</v>
          </cell>
          <cell r="J1436">
            <v>0</v>
          </cell>
          <cell r="K1436">
            <v>0</v>
          </cell>
          <cell r="L1436">
            <v>20</v>
          </cell>
        </row>
        <row r="1437">
          <cell r="A1437" t="str">
            <v>10052.07616</v>
          </cell>
          <cell r="B1437" t="str">
            <v>COSSE TUBULAIR A SERTIR</v>
          </cell>
          <cell r="C1437" t="str">
            <v xml:space="preserve">COSSE TUBULAIRE A SERTIR  SUIVANT NORME NFC 20130 SECTION DU CABLE = 6 MM2 DIAMETRE DU BORNAGE = 6,8 MM </v>
          </cell>
          <cell r="D1437" t="str">
            <v>PE</v>
          </cell>
          <cell r="E1437" t="str">
            <v>522.52206</v>
          </cell>
          <cell r="F1437">
            <v>1.44</v>
          </cell>
          <cell r="G1437">
            <v>0</v>
          </cell>
          <cell r="H1437">
            <v>0</v>
          </cell>
          <cell r="I1437">
            <v>0</v>
          </cell>
          <cell r="J1437">
            <v>0</v>
          </cell>
          <cell r="K1437">
            <v>0</v>
          </cell>
          <cell r="L1437">
            <v>0</v>
          </cell>
        </row>
        <row r="1438">
          <cell r="A1438" t="str">
            <v>10052.07617</v>
          </cell>
          <cell r="B1438" t="str">
            <v>COSSE TUBULAIR A SERTIR</v>
          </cell>
          <cell r="C1438" t="str">
            <v xml:space="preserve">COSSE TUBULAIRE A SERTIR  SUIVANT NORME NFC 20130 SECTION DU CABLE = 6 MM2 DIAMETRE DU BORNAGE 8,2 MM </v>
          </cell>
          <cell r="D1438" t="str">
            <v>PE</v>
          </cell>
          <cell r="E1438" t="str">
            <v>522.52206</v>
          </cell>
          <cell r="F1438">
            <v>0.72</v>
          </cell>
          <cell r="G1438">
            <v>0</v>
          </cell>
          <cell r="H1438">
            <v>0</v>
          </cell>
          <cell r="I1438">
            <v>0</v>
          </cell>
          <cell r="J1438">
            <v>0</v>
          </cell>
          <cell r="K1438">
            <v>50</v>
          </cell>
          <cell r="L1438">
            <v>0</v>
          </cell>
        </row>
        <row r="1439">
          <cell r="A1439" t="str">
            <v>10052.07628</v>
          </cell>
          <cell r="B1439" t="str">
            <v>COSSE TUBULAIR A SERTIR</v>
          </cell>
          <cell r="C1439" t="str">
            <v xml:space="preserve">COSSE TUBULAIRE A SERTIR SUIVANT NORME NFC 20130 SECTION DU CABLE = 10 MM2 DIAMETRE DU BORNAGE = 6 MM </v>
          </cell>
          <cell r="D1439" t="str">
            <v>PE</v>
          </cell>
          <cell r="E1439" t="str">
            <v>522.52206</v>
          </cell>
          <cell r="F1439">
            <v>1.1399999999999999</v>
          </cell>
          <cell r="G1439">
            <v>0</v>
          </cell>
          <cell r="H1439">
            <v>0</v>
          </cell>
          <cell r="I1439">
            <v>0</v>
          </cell>
          <cell r="J1439">
            <v>0</v>
          </cell>
          <cell r="K1439">
            <v>0</v>
          </cell>
          <cell r="L1439">
            <v>0</v>
          </cell>
        </row>
        <row r="1440">
          <cell r="A1440" t="str">
            <v>10053.07800</v>
          </cell>
          <cell r="B1440" t="str">
            <v>DOUILLE</v>
          </cell>
          <cell r="C1440" t="str">
            <v xml:space="preserve">ECLAIRAGE ET MATERIEL UTILISANT L'ENERGIE ELECTRIQUE APPAREILLAGE D'ALIMENTATION DES LAMPES DOUILLE  GENRE MAZDA : 35D - PHILIPS : D1 DESTINATION LAMPE FLUORESCENTE </v>
          </cell>
          <cell r="D1440" t="str">
            <v>PE</v>
          </cell>
          <cell r="E1440" t="str">
            <v>522.52206</v>
          </cell>
          <cell r="F1440">
            <v>2.9434</v>
          </cell>
          <cell r="G1440">
            <v>0</v>
          </cell>
          <cell r="H1440">
            <v>0</v>
          </cell>
          <cell r="I1440">
            <v>0</v>
          </cell>
          <cell r="J1440">
            <v>0</v>
          </cell>
          <cell r="K1440">
            <v>0</v>
          </cell>
          <cell r="L1440">
            <v>346</v>
          </cell>
        </row>
        <row r="1441">
          <cell r="A1441" t="str">
            <v>10051.10065</v>
          </cell>
          <cell r="B1441" t="str">
            <v>ISOLATEUR ELECRIQUE</v>
          </cell>
          <cell r="C1441" t="str">
            <v>ISOLATEUR ELECTRIQUE  HORIZONTAL A HAUTE TENSION 17,5KV EN CERAMIQUETYPE : IS-C15 ;GENRE : SITRE,COULEUR MARON TENSION ASSIGNEE 17,5KV, LONGUEUR H=175MM;LARGEUR D=100MM, TYPE COCHE: IS-C15. NOMBRE DE JUPE 9 DISTANCE ENTRE DEUX JUPES : P=30MM</v>
          </cell>
          <cell r="D1441" t="str">
            <v>PE</v>
          </cell>
          <cell r="E1441" t="str">
            <v>522.52206</v>
          </cell>
          <cell r="F1441">
            <v>2115</v>
          </cell>
          <cell r="G1441">
            <v>0</v>
          </cell>
          <cell r="H1441">
            <v>0</v>
          </cell>
          <cell r="I1441">
            <v>0</v>
          </cell>
          <cell r="J1441">
            <v>0</v>
          </cell>
          <cell r="K1441">
            <v>0</v>
          </cell>
          <cell r="L1441">
            <v>12</v>
          </cell>
        </row>
        <row r="1442">
          <cell r="A1442" t="str">
            <v>10050.01157</v>
          </cell>
          <cell r="B1442" t="str">
            <v>CABLE ELECTRIQUE 1X95 MM²</v>
          </cell>
          <cell r="C1442" t="str">
            <v>CONDUCTEURS  ET CABLES ELECTRIQUES  CABLES ANTI FEU MT MONOCONDICTEUR FLEXIBLE POUR MACHINES                    NOMBRE DE CONDICTEUR:1X95 MM²            TENSION 1,1KV                                         TEMPERATURE -55°C A 180°C                  SUIVANT ENORME:IEC60332-3              CONSTRUCTION: CONDUCTEUR EN CUIVRE       -ISOLATION EN SILICONE                                  -TRESSE DE PROTECTION EN TISSU SYNTHETIQUE,VERNIE</v>
          </cell>
          <cell r="D1442" t="str">
            <v>M</v>
          </cell>
          <cell r="E1442" t="str">
            <v>522.52205</v>
          </cell>
          <cell r="F1442">
            <v>60.9</v>
          </cell>
          <cell r="G1442">
            <v>0</v>
          </cell>
          <cell r="H1442">
            <v>0</v>
          </cell>
          <cell r="I1442">
            <v>0</v>
          </cell>
          <cell r="J1442">
            <v>0</v>
          </cell>
          <cell r="K1442">
            <v>0</v>
          </cell>
          <cell r="L1442">
            <v>0</v>
          </cell>
        </row>
        <row r="1443">
          <cell r="A1443" t="str">
            <v>10053.08270</v>
          </cell>
          <cell r="B1443" t="str">
            <v>LUMINAIRE</v>
          </cell>
          <cell r="C1443" t="str">
            <v>LUMINAIRE POUR ECLAIRAGE INTERIEUR , SUSPENDU-ETANCHE DESTINATION ECLAIRAGE DES LOCAUX HUMIDES OU POUSSIEREUX EQUIPE DE: APPAREILLAGE D'ALIMENTATION CABLE , CORPS EN POLYESTERE ARME DE FIBRE DE VERRE GRISE , VASQUE CLAIRE EN METHACRYLATE DE MITHYLE PERLEE , MAINTENUE PAR CLIPS IMPERDABLES , ETANCHEITE PAR JOINT NOEPRENE , PLATINE INTERIEURE FAISANT ORIFICE DE REFLECTEUR , PORTANT L'APPAREILLAGE ELECTRIQUE , FACILITE DE MONTAGE GRACE A DEUX CORDONS PLASTIQUES , RETENANT LA PLATINE AU CORPS DE L'APPAREIL , ENTREE DU CABLE PREVUE A CHAQUE EXTREMITE , ACCES LAMPE APRES OUVERTURE VASQUE,VERROUS IMPERDABLES, ACCES A L'APPAREILLAGE PAR LA PLATINE , POUR TUBE FLUORESCENT RECTILIGNE : 2 X 36/40 W - 220 V</v>
          </cell>
          <cell r="D1443" t="str">
            <v>PE</v>
          </cell>
          <cell r="E1443" t="str">
            <v>522.52206</v>
          </cell>
          <cell r="F1443">
            <v>120</v>
          </cell>
          <cell r="G1443">
            <v>0</v>
          </cell>
          <cell r="H1443">
            <v>80</v>
          </cell>
          <cell r="I1443">
            <v>0</v>
          </cell>
          <cell r="J1443">
            <v>0</v>
          </cell>
          <cell r="K1443">
            <v>0</v>
          </cell>
          <cell r="L1443">
            <v>0</v>
          </cell>
        </row>
        <row r="1444">
          <cell r="A1444" t="str">
            <v>10053.08267</v>
          </cell>
          <cell r="B1444" t="str">
            <v>LUMINAIRE</v>
          </cell>
          <cell r="C1444" t="str">
            <v>LUMINAIRE POUR ECLAIRAGE INTERIEUR , SUSPENDU-ETANCHE DESTINATION ECLAIRAGE DES LOCAUX HUMIDES OU POUSSIEREUX EQUIPE DE: APPAREILLAGE D'ALIMENTATION CABLE , CORPS EN POLYESTER ARME DE FIBRE DE VERRE GRISE , VASQUE CLAIRE EN METHACRYLATE DE MITHYLE PERLEE , MAINTENUE PAR CLIPS IMPERDABLES , ETANCHEITE PAR JOINT NEOPRENE , PLATINE INTERIEURE FAISANT ORIFICE DE REFLECTEUR , PORTANT L'APPAREILLAGE ELECTRIQUE , FACILITE DE MONTAG GRACE A DEUX CORDONS PLASTIQUES , RETENANT LA PLATINE AU CORPS DE L'APPAREIL , ENTREE DU CABLE PREVUE A CHAQUE EXTREMITE , ACCES LAMPE APRES OUVERTURE VASQUE,VERROUS IMPERDABLES, ACCES A L'APPAREILLAGE PAR LA PLATINE , POUR TUBE FLUORESCENT RECTILIGNE : 1 X 36/40 W - 220V</v>
          </cell>
          <cell r="D1444" t="str">
            <v>PE</v>
          </cell>
          <cell r="E1444" t="str">
            <v>522.52206</v>
          </cell>
          <cell r="F1444">
            <v>104.1176</v>
          </cell>
          <cell r="G1444">
            <v>0</v>
          </cell>
          <cell r="H1444">
            <v>168</v>
          </cell>
          <cell r="I1444">
            <v>0</v>
          </cell>
          <cell r="J1444">
            <v>0</v>
          </cell>
          <cell r="K1444">
            <v>0</v>
          </cell>
          <cell r="L1444">
            <v>0</v>
          </cell>
        </row>
        <row r="1445">
          <cell r="A1445" t="str">
            <v>10053.08584</v>
          </cell>
          <cell r="B1445" t="str">
            <v>PROJECTEUR COMPLET P/LAMPE:HPLN 400</v>
          </cell>
          <cell r="C1445" t="str">
            <v xml:space="preserve">PROJECTEUR HAUTE PERFORMANCE ORIENTABLE P/ECLAIRAGE EXTERIEUR GRAND ESPACE , PROJECTEUR CIRCULAIRE A OPTIQUE PARABOLIQUE,ETANCHE, , PROTEGE CONTRE PROJECTION D'EAU,ANGLE D'OUVERTURE 2X18, POIDS 12,5KG,EQUIPES DE BALLAST 220V AMORCEUR S52 , GENRE HNF 010 DE PHILIPS DOUILLE E40 POUR LAMPE LAMPE VAPEUR DE MERCURE IODURES METALLIQUE DE 400W </v>
          </cell>
          <cell r="D1445" t="str">
            <v>PE</v>
          </cell>
          <cell r="E1445" t="str">
            <v>522.52206</v>
          </cell>
          <cell r="F1445">
            <v>1425</v>
          </cell>
          <cell r="G1445">
            <v>0</v>
          </cell>
          <cell r="H1445">
            <v>0</v>
          </cell>
          <cell r="I1445">
            <v>0</v>
          </cell>
          <cell r="J1445">
            <v>0</v>
          </cell>
          <cell r="K1445">
            <v>0</v>
          </cell>
          <cell r="L1445">
            <v>0</v>
          </cell>
        </row>
        <row r="1446">
          <cell r="A1446" t="str">
            <v>10055.00363</v>
          </cell>
          <cell r="B1446" t="str">
            <v>TROUSSE SCOTCHCAST 92A1</v>
          </cell>
          <cell r="C1446" t="str">
            <v xml:space="preserve">FOURNITURES POUR L'ISOLEMENT ELECTRIQUE . . . DESIGNATION TROUSE SCOTCHCAST POUR REALISATION DES JONCTION A FROIREFERENCE 92A1 GENRE 3 M  POIDS SPECIFIQUE DIAMETRE EXTERIEUR DU CABLE 8 A 27 MM  CHARGE A LA RUPTURE SECTION DU CUIVRE 4X10 MM2 </v>
          </cell>
          <cell r="D1446" t="str">
            <v>PE</v>
          </cell>
          <cell r="E1446" t="str">
            <v>522.52206</v>
          </cell>
          <cell r="F1446">
            <v>67.261799999999994</v>
          </cell>
          <cell r="G1446">
            <v>0</v>
          </cell>
          <cell r="H1446">
            <v>2</v>
          </cell>
          <cell r="I1446">
            <v>0</v>
          </cell>
          <cell r="J1446">
            <v>0</v>
          </cell>
          <cell r="K1446">
            <v>16</v>
          </cell>
          <cell r="L1446">
            <v>0</v>
          </cell>
        </row>
        <row r="1447">
          <cell r="A1447" t="str">
            <v>10052.05240</v>
          </cell>
          <cell r="B1447" t="str">
            <v>FUSIBLE 10X38 500V GF 1A</v>
          </cell>
          <cell r="C1447" t="str">
            <v xml:space="preserve">FUSIBLE BT DISTRIBUTION FORME CYLINDRIQUE A CAPSULE SANS PERCUTEUR TAILLE (MM) 10X38 TENSION NOMINALE (V) 500 CALIBRE (A) 1 </v>
          </cell>
          <cell r="D1447" t="str">
            <v>PE</v>
          </cell>
          <cell r="E1447" t="str">
            <v>522.52206</v>
          </cell>
          <cell r="F1447">
            <v>41.722999999999999</v>
          </cell>
          <cell r="G1447">
            <v>0</v>
          </cell>
          <cell r="H1447">
            <v>0</v>
          </cell>
          <cell r="I1447">
            <v>0</v>
          </cell>
          <cell r="J1447">
            <v>0</v>
          </cell>
          <cell r="K1447">
            <v>0</v>
          </cell>
          <cell r="L1447">
            <v>0</v>
          </cell>
        </row>
        <row r="1448">
          <cell r="A1448" t="str">
            <v>10052.05296</v>
          </cell>
          <cell r="B1448" t="str">
            <v>FUSIBLE 14X51 660V GF 50A</v>
          </cell>
          <cell r="C1448" t="str">
            <v xml:space="preserve">FUSIBLE BT DISTRIBUTION FORME CYLINDRIQUE A CAPSULE SANS PERCUTEUR TAILLE (MM) 14X51 TENSION NOMINALE (V) 660 CALIBRE (A) 50 </v>
          </cell>
          <cell r="D1448" t="str">
            <v>PE</v>
          </cell>
          <cell r="E1448" t="str">
            <v>522.52206</v>
          </cell>
          <cell r="F1448">
            <v>10.8</v>
          </cell>
          <cell r="G1448">
            <v>0</v>
          </cell>
          <cell r="H1448">
            <v>0</v>
          </cell>
          <cell r="I1448">
            <v>0</v>
          </cell>
          <cell r="J1448">
            <v>0</v>
          </cell>
          <cell r="K1448">
            <v>0</v>
          </cell>
          <cell r="L1448">
            <v>0</v>
          </cell>
        </row>
        <row r="1449">
          <cell r="A1449" t="str">
            <v>10025.06603</v>
          </cell>
          <cell r="B1449" t="str">
            <v>DISQU SURFACER 230X6,5 MM</v>
          </cell>
          <cell r="C1449" t="str">
            <v>DISQUE A SURFACER EPAISSEUR 6,5 MM DIAMETRE EXTERIEUR : 230 MM ALESAGE 22,2 MM GRAIN A24M7B</v>
          </cell>
          <cell r="D1449" t="str">
            <v>PE</v>
          </cell>
          <cell r="E1449" t="str">
            <v>522.52208</v>
          </cell>
          <cell r="F1449">
            <v>35.435600000000001</v>
          </cell>
          <cell r="G1449">
            <v>0</v>
          </cell>
          <cell r="H1449">
            <v>0</v>
          </cell>
          <cell r="I1449">
            <v>0</v>
          </cell>
          <cell r="J1449">
            <v>0</v>
          </cell>
          <cell r="K1449">
            <v>10</v>
          </cell>
          <cell r="L1449">
            <v>75</v>
          </cell>
        </row>
        <row r="1450">
          <cell r="A1450" t="str">
            <v>10025.07012</v>
          </cell>
          <cell r="B1450" t="str">
            <v>TOILE ABRASIVE N:  0</v>
          </cell>
          <cell r="C1450" t="str">
            <v>TOILE ABRASIVE (DITE TOILE EMERI) EN FEUILLE DE 0,75X1 METRE , SUPPORT:TISSI ECRU MATIERE ABRASIVE EMERI GRAIN 0</v>
          </cell>
          <cell r="D1450" t="str">
            <v>PE</v>
          </cell>
          <cell r="E1450" t="str">
            <v>522.52208</v>
          </cell>
          <cell r="F1450">
            <v>36</v>
          </cell>
          <cell r="G1450">
            <v>0</v>
          </cell>
          <cell r="H1450">
            <v>0</v>
          </cell>
          <cell r="I1450">
            <v>0</v>
          </cell>
          <cell r="J1450">
            <v>0</v>
          </cell>
          <cell r="K1450">
            <v>0</v>
          </cell>
          <cell r="L1450">
            <v>0</v>
          </cell>
        </row>
        <row r="1451">
          <cell r="A1451" t="str">
            <v>10025.07013</v>
          </cell>
          <cell r="B1451" t="str">
            <v>TOILE ABRASIVE N:  1</v>
          </cell>
          <cell r="C1451" t="str">
            <v xml:space="preserve">TOILE ABRASIVE (DITE TOILE EMERI) EN FEUILLE DE 0,75X1 METRE , SUPPORT:TISSU ECRU MATIERE ABRASIVE EMERI GRAIN 1 </v>
          </cell>
          <cell r="D1451" t="str">
            <v>PE</v>
          </cell>
          <cell r="E1451" t="str">
            <v>522.52208</v>
          </cell>
          <cell r="F1451">
            <v>36</v>
          </cell>
          <cell r="G1451">
            <v>0</v>
          </cell>
          <cell r="H1451">
            <v>0</v>
          </cell>
          <cell r="I1451">
            <v>0</v>
          </cell>
          <cell r="J1451">
            <v>0</v>
          </cell>
          <cell r="K1451">
            <v>0</v>
          </cell>
          <cell r="L1451">
            <v>0</v>
          </cell>
        </row>
        <row r="1452">
          <cell r="A1452" t="str">
            <v>10025.07014</v>
          </cell>
          <cell r="B1452" t="str">
            <v>TOILE ABRASIVE N:  2</v>
          </cell>
          <cell r="C1452" t="str">
            <v>TOILE ABRASIVE (DITE TOILE EMERI) EN FEUILLE DE 0,75X1 METRE , SUPPORT:TISSU ECRU MATIERE ABRASIVE EMERI GRAIN 2</v>
          </cell>
          <cell r="D1452" t="str">
            <v>PE</v>
          </cell>
          <cell r="E1452" t="str">
            <v>522.52208</v>
          </cell>
          <cell r="F1452">
            <v>36</v>
          </cell>
          <cell r="G1452">
            <v>0</v>
          </cell>
          <cell r="H1452">
            <v>0</v>
          </cell>
          <cell r="I1452">
            <v>0</v>
          </cell>
          <cell r="J1452">
            <v>0</v>
          </cell>
          <cell r="K1452">
            <v>0</v>
          </cell>
          <cell r="L1452">
            <v>0</v>
          </cell>
        </row>
        <row r="1453">
          <cell r="A1453" t="str">
            <v>10025.07015</v>
          </cell>
          <cell r="B1453" t="str">
            <v>TOILE ABRASIVE N:  3</v>
          </cell>
          <cell r="C1453" t="str">
            <v>TOILE ABRASIVE (DITE TOILE EMERI) EN FEUILLE DE 0,75X1 METRE , SUPPORT:TISSU ECRU MATIERE ABRASIVE EMERI GRAIN 3</v>
          </cell>
          <cell r="D1453" t="str">
            <v>PE</v>
          </cell>
          <cell r="E1453" t="str">
            <v>522.52208</v>
          </cell>
          <cell r="F1453">
            <v>36</v>
          </cell>
          <cell r="G1453">
            <v>0</v>
          </cell>
          <cell r="H1453">
            <v>0</v>
          </cell>
          <cell r="I1453">
            <v>0</v>
          </cell>
          <cell r="J1453">
            <v>0</v>
          </cell>
          <cell r="K1453">
            <v>0</v>
          </cell>
          <cell r="L1453">
            <v>0</v>
          </cell>
        </row>
        <row r="1454">
          <cell r="A1454" t="str">
            <v>10043.09400</v>
          </cell>
          <cell r="B1454" t="str">
            <v>FEUILLE TEFLON POLYTETRAF</v>
          </cell>
          <cell r="C1454" t="str">
            <v xml:space="preserve">DIVERS FOURNITURES POUR JOINTS FEUILLE EN TEFLON POLYTETRAFLUORETHYLENE PTFE  , ALLONGEMENT A LA RUPTURE=300-400 &amp;OUR CENT , MODULE D'ELASTICITE EN TRACTION=4,4X1000 KG/CM2 , DURETE SHORE=D50-60 , CONDUCTIBILITE THERMIQUE=5,8X0,0001 CA/CM 5DEGRE C , ACTION DES ACIDES FAIBLE=NUL-DES ACIDES FORTS=NULLE LONGUEUR 12 POUCES LARGEUR 12 POUCES EPAISSEUR 0,2MM , ACTION DES BASES FAIBLE=NULLE-DES BASES FORTES=NULLE DENSITE 2,2-CHARGE A LA RUPTURE=200-300 KG/CM2 TEMPERATURE DE SERVICE EN CONTINU=250 DEGRE C POIDS SPECIFIQUE=2,14-2,18-DURETE ROCKWELL=R 80-95 </v>
          </cell>
          <cell r="D1454" t="str">
            <v>PE</v>
          </cell>
          <cell r="E1454" t="str">
            <v>314.31402</v>
          </cell>
          <cell r="F1454">
            <v>48</v>
          </cell>
          <cell r="G1454">
            <v>0</v>
          </cell>
          <cell r="H1454">
            <v>0</v>
          </cell>
          <cell r="I1454">
            <v>0</v>
          </cell>
          <cell r="J1454">
            <v>0</v>
          </cell>
          <cell r="K1454">
            <v>0</v>
          </cell>
          <cell r="L1454">
            <v>0</v>
          </cell>
        </row>
        <row r="1455">
          <cell r="A1455" t="str">
            <v>10043.00945</v>
          </cell>
          <cell r="B1455" t="str">
            <v>ENDUIT PLASTEX</v>
          </cell>
          <cell r="C1455" t="str">
            <v xml:space="preserve">DIVERS FOURNITURES POUR JOINTS FOURNITURES  DESIGNATION ENDUIT PLASTEK EN BOITE DE 0,675 KG </v>
          </cell>
          <cell r="D1455" t="str">
            <v>PE</v>
          </cell>
          <cell r="E1455" t="str">
            <v>522.52207</v>
          </cell>
          <cell r="F1455">
            <v>153.6</v>
          </cell>
          <cell r="G1455">
            <v>0</v>
          </cell>
          <cell r="H1455">
            <v>0</v>
          </cell>
          <cell r="I1455">
            <v>0</v>
          </cell>
          <cell r="J1455">
            <v>0</v>
          </cell>
          <cell r="K1455">
            <v>0</v>
          </cell>
          <cell r="L1455">
            <v>0</v>
          </cell>
        </row>
        <row r="1456">
          <cell r="A1456" t="str">
            <v>10043.00951</v>
          </cell>
          <cell r="B1456" t="str">
            <v>END HERM 0KG250</v>
          </cell>
          <cell r="C1456" t="str">
            <v>DIVERS FOURNITURES POUR JOINTS FOURNITURES  DESIGNATION ENDUIT A LA GOMME LAQUE NUMERO2- 250 GRS ENVIRON GENRE HERMETIC SPECIAL DESTINATION POUR JOINTS MOTEURS CARTERS ET TUYAUTERIES HYDROCARBUR</v>
          </cell>
          <cell r="D1456" t="str">
            <v>PE</v>
          </cell>
          <cell r="E1456" t="str">
            <v>522.52203</v>
          </cell>
          <cell r="F1456">
            <v>76.8</v>
          </cell>
          <cell r="G1456">
            <v>0</v>
          </cell>
          <cell r="H1456">
            <v>0</v>
          </cell>
          <cell r="I1456">
            <v>0</v>
          </cell>
          <cell r="J1456">
            <v>0</v>
          </cell>
          <cell r="K1456">
            <v>0</v>
          </cell>
          <cell r="L1456">
            <v>0</v>
          </cell>
        </row>
        <row r="1457">
          <cell r="A1457" t="str">
            <v>10043.09402</v>
          </cell>
          <cell r="B1457" t="str">
            <v>FEUILLE TEFLON POLYTETRAF</v>
          </cell>
          <cell r="C1457" t="str">
            <v xml:space="preserve">DIVERS FOURNITURES POUR JOINTS FEUILLE EN TEFLON POLYTETRAFLUORETHYLENE PTFE  , ALLONGEMENT A LA RUPTURE=300-400 POURCENT , MODULE D'ELASTICITE EN TRACTION=4,4X1000 KG/CM2 , DURETE SHORE=D50-60 , CONDUCTIBILITE THERMIQUE=5,80X0,0001 CAL/CM 5 DEGRE C , ACTION DES ACIDES FAIBLE=NUL-DES ACIDES FORTS:NULLE LONGUEUR 12 POUCES LARGEUR 12 POUCES EPAISSEUR 0,5 MM , ACTION DES BASES FAIBLE=NULLE-DES BASES FORTES=NULLE DENSITE 2,2-CHARGE A LA RUPTURE=200-300 KG/CM2 TEMPERATURE DE SERVICE EN CONTINU=250 DEGRE C POIDS SPECIFIQUE=2,14-2,18-DURETE ROCKWELL=R 80-95 </v>
          </cell>
          <cell r="D1457" t="str">
            <v>PE</v>
          </cell>
          <cell r="E1457" t="str">
            <v>314.31402</v>
          </cell>
          <cell r="F1457">
            <v>45.6</v>
          </cell>
          <cell r="G1457">
            <v>0</v>
          </cell>
          <cell r="H1457">
            <v>0</v>
          </cell>
          <cell r="I1457">
            <v>0</v>
          </cell>
          <cell r="J1457">
            <v>0</v>
          </cell>
          <cell r="K1457">
            <v>3</v>
          </cell>
          <cell r="L1457">
            <v>0</v>
          </cell>
        </row>
        <row r="1458">
          <cell r="A1458" t="str">
            <v>10043.09431</v>
          </cell>
          <cell r="B1458" t="str">
            <v>FEUILL  POLYTETRAFLUORETH</v>
          </cell>
          <cell r="C1458" t="str">
            <v xml:space="preserve">FOURNITURES POUR VEHICULES AUTOMOBILES FEUILLE EN TEFLON POLYTETRAFLUORETHYLENE (PTFE) . . EPAISSEUR 1 MM LONGUEUR 1,00 M LARGEUR 1,00 M </v>
          </cell>
          <cell r="D1458" t="str">
            <v>PE</v>
          </cell>
          <cell r="E1458" t="str">
            <v>314.31402</v>
          </cell>
          <cell r="F1458">
            <v>503.88290000000001</v>
          </cell>
          <cell r="G1458">
            <v>0</v>
          </cell>
          <cell r="H1458">
            <v>0</v>
          </cell>
          <cell r="I1458">
            <v>0</v>
          </cell>
          <cell r="J1458">
            <v>0</v>
          </cell>
          <cell r="K1458">
            <v>0</v>
          </cell>
          <cell r="L1458">
            <v>0</v>
          </cell>
        </row>
        <row r="1459">
          <cell r="A1459" t="str">
            <v>10043.09432</v>
          </cell>
          <cell r="B1459" t="str">
            <v>FEUILLE POLYTETRAFLUORETH</v>
          </cell>
          <cell r="C1459" t="str">
            <v xml:space="preserve">FOURNITURES POUR VEHICULES AUTOMOBILES FEUILLE EN TEFLON POLYTETRAFLUORETHYLENE (PTFE) . . EPAISSEUR 2 MM LONGUEUR 1,00 M LARGEUR 1,00 M </v>
          </cell>
          <cell r="D1459" t="str">
            <v>PE</v>
          </cell>
          <cell r="E1459" t="str">
            <v>314.31402</v>
          </cell>
          <cell r="F1459">
            <v>870.03620000000001</v>
          </cell>
          <cell r="G1459">
            <v>0</v>
          </cell>
          <cell r="H1459">
            <v>0</v>
          </cell>
          <cell r="I1459">
            <v>0</v>
          </cell>
          <cell r="J1459">
            <v>0</v>
          </cell>
          <cell r="K1459">
            <v>0</v>
          </cell>
          <cell r="L1459">
            <v>0</v>
          </cell>
        </row>
        <row r="1460">
          <cell r="A1460" t="str">
            <v>10043.09433</v>
          </cell>
          <cell r="B1460" t="str">
            <v>FEUILLE POLYTETRAFLUORETH</v>
          </cell>
          <cell r="C1460" t="str">
            <v xml:space="preserve">FOURNITURES POUR VEHICULES AUTOMOBILES FEUILLE EN TEFLON POLYTETRAFLUORETHYLENE (PTFE) . . EPAISSEUR 3 MM LONGUEUR 1,00 M LARGEUR 1,00 M </v>
          </cell>
          <cell r="D1460" t="str">
            <v>PE</v>
          </cell>
          <cell r="E1460" t="str">
            <v>314.31402</v>
          </cell>
          <cell r="F1460">
            <v>1328.1791000000001</v>
          </cell>
          <cell r="G1460">
            <v>0</v>
          </cell>
          <cell r="H1460">
            <v>0</v>
          </cell>
          <cell r="I1460">
            <v>0</v>
          </cell>
          <cell r="J1460">
            <v>0</v>
          </cell>
          <cell r="K1460">
            <v>0</v>
          </cell>
          <cell r="L1460">
            <v>0</v>
          </cell>
        </row>
        <row r="1461">
          <cell r="A1461" t="str">
            <v>10043.00952</v>
          </cell>
          <cell r="B1461" t="str">
            <v>END HERM 0KG500</v>
          </cell>
          <cell r="C1461" t="str">
            <v>DIVERS FOURNITURES POUR JOINTS FOURNITURES  DESIGNATION ENDUIT A LA GOMME LAQUE NUMERO 4- 500 GR3 ENVIRON GENRE HERMETIC SPECIAL DESTINATION POUR JOINTS MOTEURS CARTERS ET TUYAUTERIE HYDROCARBURE</v>
          </cell>
          <cell r="D1461" t="str">
            <v>PE</v>
          </cell>
          <cell r="E1461" t="str">
            <v>522.52203</v>
          </cell>
          <cell r="F1461">
            <v>76.8</v>
          </cell>
          <cell r="G1461">
            <v>0</v>
          </cell>
          <cell r="H1461">
            <v>0</v>
          </cell>
          <cell r="I1461">
            <v>0</v>
          </cell>
          <cell r="J1461">
            <v>0</v>
          </cell>
          <cell r="K1461">
            <v>0</v>
          </cell>
          <cell r="L1461">
            <v>0</v>
          </cell>
        </row>
        <row r="1462">
          <cell r="A1462" t="str">
            <v>10043.00960</v>
          </cell>
          <cell r="B1462" t="str">
            <v>GRAISSE BELLEVIL</v>
          </cell>
          <cell r="C1462" t="str">
            <v xml:space="preserve">LUBRIFIANTS GRAISSES  GENRE: BELLEVILLE CONDITIONNEMENT : EN BOITE DE 0,500 KG </v>
          </cell>
          <cell r="D1462" t="str">
            <v>PE</v>
          </cell>
          <cell r="E1462" t="str">
            <v>522.52212</v>
          </cell>
          <cell r="F1462">
            <v>109.30800000000001</v>
          </cell>
          <cell r="G1462">
            <v>0</v>
          </cell>
          <cell r="H1462">
            <v>0</v>
          </cell>
          <cell r="I1462">
            <v>0</v>
          </cell>
          <cell r="J1462">
            <v>0</v>
          </cell>
          <cell r="K1462">
            <v>0</v>
          </cell>
          <cell r="L1462">
            <v>0</v>
          </cell>
        </row>
        <row r="1463">
          <cell r="A1463" t="str">
            <v>10043.00961</v>
          </cell>
          <cell r="B1463" t="str">
            <v>GRAISSE BELLEVIL</v>
          </cell>
          <cell r="C1463" t="str">
            <v xml:space="preserve">LUBRIFIANTS GRAISSES  GENRE: BELLEVILLE CONDITIONNEMENT : EN BOITE DE 1 KG </v>
          </cell>
          <cell r="D1463" t="str">
            <v>PE</v>
          </cell>
          <cell r="E1463" t="str">
            <v>522.52212</v>
          </cell>
          <cell r="F1463">
            <v>146.84399999999999</v>
          </cell>
          <cell r="G1463">
            <v>0</v>
          </cell>
          <cell r="H1463">
            <v>0</v>
          </cell>
          <cell r="I1463">
            <v>0</v>
          </cell>
          <cell r="J1463">
            <v>0</v>
          </cell>
          <cell r="K1463">
            <v>0</v>
          </cell>
          <cell r="L1463">
            <v>0</v>
          </cell>
        </row>
        <row r="1464">
          <cell r="A1464" t="str">
            <v>10044.00813</v>
          </cell>
          <cell r="B1464" t="str">
            <v>PNEU CHAR/ELEV-700X12-12P</v>
          </cell>
          <cell r="C1464" t="str">
            <v xml:space="preserve">PNEUS POUR ENGINS DE MANUTENTION DIMENSIONS : 700 X 12 NOMBRE DE PLIS : 12 POUR CHARIOT ELEVATEUR </v>
          </cell>
          <cell r="D1464" t="str">
            <v>PE</v>
          </cell>
          <cell r="E1464" t="str">
            <v>516.51602</v>
          </cell>
          <cell r="F1464">
            <v>1440</v>
          </cell>
          <cell r="G1464">
            <v>0</v>
          </cell>
          <cell r="H1464">
            <v>0</v>
          </cell>
          <cell r="I1464">
            <v>0</v>
          </cell>
          <cell r="J1464">
            <v>0</v>
          </cell>
          <cell r="K1464">
            <v>0</v>
          </cell>
          <cell r="L1464">
            <v>0</v>
          </cell>
        </row>
        <row r="1465">
          <cell r="A1465" t="str">
            <v>10046.04420</v>
          </cell>
          <cell r="B1465" t="str">
            <v>LEUCOPLAST 20CM</v>
          </cell>
          <cell r="C1465" t="str">
            <v xml:space="preserve">LEUCOPLAST OU SPARADRAP , ROULEAU PERFORE DE 1M X 0,18M </v>
          </cell>
          <cell r="D1465" t="str">
            <v>PE</v>
          </cell>
          <cell r="E1465" t="str">
            <v>223.22301</v>
          </cell>
          <cell r="F1465">
            <v>17.5</v>
          </cell>
          <cell r="G1465">
            <v>0</v>
          </cell>
          <cell r="H1465">
            <v>0</v>
          </cell>
          <cell r="I1465">
            <v>0</v>
          </cell>
          <cell r="J1465">
            <v>0</v>
          </cell>
          <cell r="K1465">
            <v>0</v>
          </cell>
          <cell r="L1465">
            <v>0</v>
          </cell>
        </row>
        <row r="1466">
          <cell r="A1466" t="str">
            <v>10025.00005</v>
          </cell>
          <cell r="B1466" t="str">
            <v>DISQUE A MEULER L'ACIER</v>
          </cell>
          <cell r="C1466" t="str">
            <v>DISQUE A MEULER L'ACIERDIAMETRE EXT: 230MM EPAISSEUR: 7MM ALESAGE: 22,2MM GRAIN: A24</v>
          </cell>
          <cell r="D1466" t="str">
            <v>PE</v>
          </cell>
          <cell r="E1466" t="str">
            <v>522.52208</v>
          </cell>
          <cell r="F1466">
            <v>19.5</v>
          </cell>
          <cell r="G1466">
            <v>0</v>
          </cell>
          <cell r="H1466">
            <v>0</v>
          </cell>
          <cell r="I1466">
            <v>0</v>
          </cell>
          <cell r="J1466">
            <v>20</v>
          </cell>
          <cell r="K1466">
            <v>0</v>
          </cell>
          <cell r="L1466">
            <v>80</v>
          </cell>
        </row>
        <row r="1467">
          <cell r="A1467" t="str">
            <v>10025.00006</v>
          </cell>
          <cell r="B1467" t="str">
            <v>DISQUE A TRONCONNER L'ACIER</v>
          </cell>
          <cell r="C1467" t="str">
            <v>DISQUE A TRONCONNER L'ACIERDIAMETRE EXT: 230MM EPAISSEUR: 3,2MM ALESAGE: 22,2MM GRAIN: A24</v>
          </cell>
          <cell r="D1467" t="str">
            <v>PE</v>
          </cell>
          <cell r="E1467" t="str">
            <v>522.52208</v>
          </cell>
          <cell r="F1467">
            <v>11.5</v>
          </cell>
          <cell r="G1467">
            <v>0</v>
          </cell>
          <cell r="H1467">
            <v>0</v>
          </cell>
          <cell r="I1467">
            <v>0</v>
          </cell>
          <cell r="J1467">
            <v>0</v>
          </cell>
          <cell r="K1467">
            <v>0</v>
          </cell>
          <cell r="L1467">
            <v>0</v>
          </cell>
        </row>
        <row r="1468">
          <cell r="A1468" t="str">
            <v>10025.00013</v>
          </cell>
          <cell r="B1468" t="str">
            <v>DISQUE A  TRONCONNER</v>
          </cell>
          <cell r="C1468" t="str">
            <v>DISQUE A  TRONCONNER  POUR ACIER INOXEMPLOI : MACHINE ROTATIVEDIAMETRE : 230MM  EPAISSEUR : 3,2MM  ALESAGE : 22,2MM  TYPE : SUPER BLEUE 2  GENRE : NORTON</v>
          </cell>
          <cell r="D1468" t="str">
            <v>PE</v>
          </cell>
          <cell r="E1468" t="str">
            <v>522.52208</v>
          </cell>
          <cell r="F1468">
            <v>14.4</v>
          </cell>
          <cell r="G1468">
            <v>0</v>
          </cell>
          <cell r="H1468">
            <v>0</v>
          </cell>
          <cell r="I1468">
            <v>25</v>
          </cell>
          <cell r="J1468">
            <v>0</v>
          </cell>
          <cell r="K1468">
            <v>0</v>
          </cell>
          <cell r="L1468">
            <v>175</v>
          </cell>
        </row>
        <row r="1469">
          <cell r="A1469" t="str">
            <v>10096.00157</v>
          </cell>
          <cell r="B1469" t="str">
            <v>CARTOUCHE FILTRANTE A1B1E1P2</v>
          </cell>
          <cell r="C1469" t="str">
            <v>CARTOUCHE FILTRANTE POUR DEMI-MASQUE RESPIRATOIRES TYPE ET CLASSE : A1B1E1P2  UTILISATION (MILIEU) : POUSSIERES, VAPEUR ORGANIQUES.                                      GAZ ACIDES DYOXIDE DE SOUFRE. NB: LES OFFRES DOIVENT ETRE ACCOMPAGNEES D'UN MODELE PROPOSE.</v>
          </cell>
          <cell r="D1469" t="str">
            <v>PE</v>
          </cell>
          <cell r="E1469" t="str">
            <v>522.52216</v>
          </cell>
          <cell r="F1469">
            <v>59.380099999999999</v>
          </cell>
          <cell r="G1469">
            <v>0</v>
          </cell>
          <cell r="H1469">
            <v>0</v>
          </cell>
          <cell r="I1469">
            <v>0</v>
          </cell>
          <cell r="J1469">
            <v>0</v>
          </cell>
          <cell r="K1469">
            <v>0</v>
          </cell>
          <cell r="L1469">
            <v>0</v>
          </cell>
        </row>
        <row r="1470">
          <cell r="A1470" t="str">
            <v>10096.00508</v>
          </cell>
          <cell r="B1470" t="str">
            <v>CHAUSSURE DE SECURITE P41</v>
          </cell>
          <cell r="C1470"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41N.B : LE FOURNISSEUR DOIT GARANTIR UN NIVEAU DE PROTECTION          ADAPTE AUX RISQUES COURANTS,UNE DURABILITE CORRECTE          DES ELEMENTS DE PROTECTION ET DES QUALITES HYGIENIQUES          COMPATIBLE AVEC LES CONDITIONS DE PORTER.          LES OFFRES DOIVENT ETRE ACCOMPAGNEES D'UN MODELE PROPOSE </v>
          </cell>
          <cell r="D1470" t="str">
            <v>PE</v>
          </cell>
          <cell r="E1470" t="str">
            <v>522.52216</v>
          </cell>
          <cell r="F1470">
            <v>198</v>
          </cell>
          <cell r="G1470">
            <v>0</v>
          </cell>
          <cell r="H1470">
            <v>0</v>
          </cell>
          <cell r="I1470">
            <v>0</v>
          </cell>
          <cell r="J1470">
            <v>0</v>
          </cell>
          <cell r="K1470">
            <v>0</v>
          </cell>
          <cell r="L1470">
            <v>0</v>
          </cell>
        </row>
        <row r="1471">
          <cell r="A1471" t="str">
            <v>10096.01054</v>
          </cell>
          <cell r="B1471" t="str">
            <v>LUNETTES DE SECURITE SP1000, MONTURE NOIRE, OCULAIRE TRANSPARENT</v>
          </cell>
          <cell r="C1471" t="str">
            <v>LUNETTES DE SECURITE SP1000, MONTURE NOIRE, OCULAIRE TRANSPARENT VOUS PROTEGE CONTRE LES IMPACTS, LE VENT, LA POUSSIERE ET LES PARTICULES PRESENTES DANS L'AIR. IDEAL POUR LES ENVIRONNEMENTS DE TRAVAIL FORTEMENT EXPOSES AUX PARTICULES, COMME LE MEULAGE, L¿EBARBAGE, D¿ARASAGE ET DE SABLAGE.COULEUR DE L'OCULAIRE : TRANSPARENTTRAITEMENT DE L'OCULAIRETECHNOLOGIE DOUBLE REVETEMENT DURA-STREME, ANTIBUEE ET ANTI-RAYURESOCULAIRES DE REMPLACEMENT : NONCOULEUR DE LA MONTURE : REVETEMENT NOIRFRAME MATERIAL : POLYCARBONATETYPE DE BRANCHE : BRANCHES MATELASSEESCERTIFICATIONS : EN 166GENRE : SPERIAN</v>
          </cell>
          <cell r="D1471" t="str">
            <v>PE</v>
          </cell>
          <cell r="E1471" t="str">
            <v>522.52216</v>
          </cell>
          <cell r="F1471">
            <v>78</v>
          </cell>
          <cell r="G1471">
            <v>0</v>
          </cell>
          <cell r="H1471">
            <v>0</v>
          </cell>
          <cell r="I1471">
            <v>0</v>
          </cell>
          <cell r="J1471">
            <v>0</v>
          </cell>
          <cell r="K1471">
            <v>29</v>
          </cell>
          <cell r="L1471">
            <v>0</v>
          </cell>
        </row>
        <row r="1472">
          <cell r="A1472" t="str">
            <v>10096.00252</v>
          </cell>
          <cell r="B1472" t="str">
            <v>CHAUSSURE DE SECURITE S3 EN CUIR DE BOVIN AVEC COQUE</v>
          </cell>
          <cell r="C1472" t="str">
            <v>CHAUSSURE DE SECURITE S3 EN CUIR DE BOVIN AVEC COQUEBLOC TIGE DE LA CHAUSSURE (TOUS TYPES CONFONDUS): DESSUS : EN CUIR DE BOVIN, PLEINE FLEUR, LISSE, SOUPLE, TRES RESISTANT AUX FROTTEMENTS, DECHIRURES ET A L'EAU (EPAISSEUR ENTRE 2.1 ET  2.2 MM)DOUBLURE : CAMBRELLE (TISSU SYNTHETIQUE AYANT UNE FORTE CAPACITE D'ABSORPTION OU DE DESORPTION DE L'HUMIDITE)MATELASSAGE : PROTECTION DU TENDON, DES ORTEILS ET MALLEOLES PAR MOUSSE COMPACT A L'AVANT ET EN MOUSSE CELLULAIRE A L'ARRIERE ET RENFORCEE DE MATIERE IMPUTRESCIBLECONTREFORT : EMBOITANT, RIGIDE, EPOUSE LA FORME DU PIEDFIL DE COUTURE : FIL A HAUTE RESISTANCE EN KEVLAR ©FERMETURE : PAR LAÇAGE A TRAVERS DES OILLETS EN ACIER, INCORPORESLACETS : EN POLYAMIDE, RESISTANCE A L'ABRASION (&gt;15000, FRICTION SOUS 250G D'APRES LA NORME DIN 4843EMBOUT DE PROTECTION : EN MATIERE COMPOSITE, AMAGNETIQUE, ISOLANT THERMIQUE, NON CONDUCTEUR DE FROID ET DE CHALEUR ET INALTERABLE.RESISTANT A L'ECRASEMENT DE 1,5 TONNES AU MINIMUM ET AUX CHOCS, NIVEAU D'ENERGIE 200 J. (CONFORME A LA NORME EN 12568)L'EMBOUT DOIT ETRE EQUIPE DE MOUSSE DE PROTECTION RENFORCEE DE MATIERE IMPUTRESCIBLEPOUR UNE POINTURE DONNEE, LA LONGUEUR INTERNE DE L'EMBOUT DOIT ETRE AU MOINS EGALE A LA VALEUR MINIMALE INDIQUEE DANS LE TABLEAU 3 DE L'ARTICLE 4.3.2.2 DE LA NORME EN 344-1- COL (HAUT DE LA TIGE) : EN MATIERE SOUPLE TRAITEE POUR ABSORBER LA TRANSPIRATION(EN CUIR PLEIN FLEUR DE BOVIN)- SOUFFLET : EN CUIR PLEIN FLEUR DE BOVIN REMBOURRE, SOUPLE, D'EPAISSEUR 0,8MM QUI DOIT PRESERVER LE DESSUS DU PIED DES CHOCS ET DES PENETRATIONS ET ASSURER UNE EXCELLENTE CIRCULATION D'AIR- BLOC SEMELLE (TOUS TYPES CONFONDUS):  SEMELLE DE MARCHE (D'USURE) :   - ANTISTATIQUE  - SEMELLE SOUPLE, EN POLYURETHANE, DOUBLE DENSITE (PU 2D), ANTI TORSION, A FORTE ADHERENCE (CONFORME A LA NORME EN ISO 20345DERNIERE VERSION), RESISTANTE AUX HUILES ET HYDROCARBURE, REFRACTAIRE JUSQU'A 120 °C  - ANTIDERAPANTE GRACE AU RELIEF DE SES CRAMPONS, LARGES, PROFONDS, AUTONETTOYANTS ET OUVERTS SUR LES COTES, DE PROFONDEUR VARIABLE DE L'INTERIEUR VERS L'EXTERIEUR (ENTRE 2.5 ET 5 MM)  - CAPACITE D'ABSORPTION D'ENERGIE &gt; 20 JOULES  - RESISTANCE A L'ABRASION EXCEPTIONNELLE SEMELLE PREMIERE : PREMIERE DE MONTAGE EN MATIERE APPROPRIEEPREMIERE DE PROPRETE : AMOVIBLE, LAVABLE ET CONSTITUEE DE 2 ELEMENTS INSEPARABLES, TRAITES ANTI BACTERIENNE ET ANTIFONGIQUE :   - SURFACE SUPERIEURE TEXTILE OU LIEGE NATUREL, RESISTANTE A L'ABRASION, DOUCE A LA PEAU, ABSORBANT L'HUMIDITE   - FEUTRE OU VOILE ABSORBANT L'HUMIDITE POUR UNE EVACUATION EFFICACE DE LA TRANSPIRATION ET DE L'HUMIDITE   - EPAISSEUR MINIMUM 4 MMTALON : DECROCHE, REMPLIT D'ELASTOMERE POUR ABSORBER UNE ENERGIE DE CHOC &gt;  30J, DE HAUTEUR 1CM MINIMUMMONTAGE : VULCANISE INJECTE. LA SEMELLE D'USURE EST MOULEE SUR LA TIGE A CHAUD ET SOUS PRESSIONFIL DE COUTURE : 100%  KEVLAR ©INTERCALAIRE : ANTI-PERFORATION EN COMPOSITE, NE CONDUISANT NI LE FROID, NI LE CHAUD ET PERMETTANT DE COUVRIR 100% DE LA PLANTE DE PIED, RESISTANT AUX FLEXIONS REPETEESMARQUAGE :- MARQUE D'IDENTIFICATION DU FABRIQUANT- DATE DE FABRICATION (NE DEPASSE PAS UN AN A LA DATE DE LA LIVRAISON)- DESIGNATION TYPE DU FABRICANT- LA REFERENCE DE LA NORME APPLIQUEE- CATEGORIE (S3)- POINTURE : A PRECISER PAR LE CLIENT - POIDS DE LA CHAUSSURE : LA PAIRE DE CHAUSSURE DOIT AVOIR UN POIDS COMPRIS ENTRE  1,2 KG ET 1.4 KG - CERTIFICAT DE CONFORMITE A DELIVRER PAR UN LABORATOIRE DE CONTROLE AGREE - CATALOGUE DU FOURNISSEUR ET FICHE TECHNIQUE DE L'ARTICLE, EN LANGUE FRANÇAISE  - FOURNITURE DE 10 ECHANTILLONS POUR ESSAI</v>
          </cell>
          <cell r="D1472" t="str">
            <v>PE</v>
          </cell>
          <cell r="E1472" t="str">
            <v>522.52216</v>
          </cell>
          <cell r="F1472">
            <v>395.26900000000001</v>
          </cell>
          <cell r="G1472">
            <v>0</v>
          </cell>
          <cell r="H1472">
            <v>0</v>
          </cell>
          <cell r="I1472">
            <v>0</v>
          </cell>
          <cell r="J1472">
            <v>0</v>
          </cell>
          <cell r="K1472">
            <v>0</v>
          </cell>
          <cell r="L1472">
            <v>0</v>
          </cell>
        </row>
        <row r="1473">
          <cell r="A1473" t="str">
            <v>10096.00736</v>
          </cell>
          <cell r="B1473" t="str">
            <v>IMPERMEABLE MOYENNE TAILL</v>
          </cell>
          <cell r="C1473" t="str">
            <v>TENUE DE TRAVAIL IMPERMEABLE VESTE + PANTALON TISSU ENDUIT, SOUPLE, IMPERMEABLE COULEUR : BLEU MARINE VESTE FORME DROITE, AVEC MARIAGE FORMANT LES EPAULETTES ET LE LONG DES MANCHES PANTALON DROIT, ELASTIQUE AU NIVEAU DE LA CEINTURE TAILLE : MOYENNE</v>
          </cell>
          <cell r="D1473" t="str">
            <v>PE</v>
          </cell>
          <cell r="E1473" t="str">
            <v>522.52216</v>
          </cell>
          <cell r="F1473">
            <v>80</v>
          </cell>
          <cell r="G1473">
            <v>0</v>
          </cell>
          <cell r="H1473">
            <v>1</v>
          </cell>
          <cell r="I1473">
            <v>51</v>
          </cell>
          <cell r="J1473">
            <v>3</v>
          </cell>
          <cell r="K1473">
            <v>0</v>
          </cell>
          <cell r="L1473">
            <v>45</v>
          </cell>
        </row>
        <row r="1474">
          <cell r="A1474" t="str">
            <v>10096.00737</v>
          </cell>
          <cell r="B1474" t="str">
            <v>IMPERMEABLE GRANDE TAILLE</v>
          </cell>
          <cell r="C1474" t="str">
            <v>TENUE DE TRAVAIL IMPERMEABLE VESTE + PANTALON TISSU ENDUIT, SOUPLE, IMPERMEABLE COULEUR : BLEU MARINE VESTE FORME DROITE, AVEC MARIAGE FORMANT LES EPAULETTES ET LE LONG DES MANCHES PANTALON DROIT, ELASTIQUE AU NIVEAU DE LA CEINTURE TAILLE : GRANDE</v>
          </cell>
          <cell r="D1474" t="str">
            <v>PE</v>
          </cell>
          <cell r="E1474" t="str">
            <v>522.52216</v>
          </cell>
          <cell r="F1474">
            <v>75.633799999999994</v>
          </cell>
          <cell r="G1474">
            <v>0</v>
          </cell>
          <cell r="H1474">
            <v>0</v>
          </cell>
          <cell r="I1474">
            <v>18</v>
          </cell>
          <cell r="J1474">
            <v>1</v>
          </cell>
          <cell r="K1474">
            <v>1</v>
          </cell>
          <cell r="L1474">
            <v>102</v>
          </cell>
        </row>
        <row r="1475">
          <cell r="A1475" t="str">
            <v>10096.00738</v>
          </cell>
          <cell r="B1475" t="str">
            <v>VESTE-PANTALON POUR PLUIE TAILLE : L</v>
          </cell>
          <cell r="C1475" t="str">
            <v>ENSEMBLE DE PLUIE (VESTE + PANTALON) S/NORME EN 340-343 EN POLYESTER 100% ENDUIT PVC SUR LES 2 FACES EPAISSEUR 0,35 MMCOUTURE RENFORCEE PAR SOUDAGE VESTE : DOUBLE FERMETURE PAR GLISSIERE PLASTIQUE SOUS RABAT ET BOUTON PRESSION CAPUCHE SOLIDAIRE EQUIPE D'UN CORDON DE REGLAGE TOUR DE TETE LOGE DANS LE COL AERATION SOUS LES BRAS ET DANS LE DOS PAR SOUFFLET MANCHES AVEC POIGNETS COUPE-VENT POCHE POITRINE AVEC RABAT ET FERMETURE VELCRO. PANTALON : A BRAGUETTES SANS POCHES AVEC OUVERTURES SUR LES COTESCORDON DE CEINTURE - ELASTIQUE DE SERRAGE A LA TAILLE COULEUR : A PRECISER A LA DEMANDE  TAILLE : LLOGO OCP EN PEINTURE INDELEBILE SUR LE COTE GAUCHE DE LA POITRINE.LES OFFRES DOIVENT ETRE ACCOMPAGNEE D'UN MODELE PROPOSE</v>
          </cell>
          <cell r="D1475" t="str">
            <v>PE</v>
          </cell>
          <cell r="E1475" t="str">
            <v>522.52216</v>
          </cell>
          <cell r="F1475">
            <v>52.501800000000003</v>
          </cell>
          <cell r="G1475">
            <v>0</v>
          </cell>
          <cell r="H1475">
            <v>0</v>
          </cell>
          <cell r="I1475">
            <v>0</v>
          </cell>
          <cell r="J1475">
            <v>0</v>
          </cell>
          <cell r="K1475">
            <v>0</v>
          </cell>
          <cell r="L1475">
            <v>0</v>
          </cell>
        </row>
        <row r="1476">
          <cell r="A1476" t="str">
            <v>10000.03359</v>
          </cell>
          <cell r="B1476" t="str">
            <v>CATALISEUR AU VANADIUM A BASE DE CESIUM</v>
          </cell>
          <cell r="C1476" t="str">
            <v>CATALISEUR AU VANADIUM A BASE DE CESIUM GENRE MECS TYPE SCX-2000  OU 04-116 DE BASF                                                                  POUR INSTALATION AU 4éme LIT                                   DIAMETRE EXTERIEUR 9,5mm                                                       LONGUEUR  9,5  A   13mm                                                            CONDITIONNEMENT : EN FUT DE 200 LITRES ETANCHE ET RENFORCE PAR COUVERCLE   MUNI D'UNE GOUPILLE DE SECURETE                                                                                    -LE CATALYSEUR SERA PROTEGE A L'ITERIEUR DE FUTS DANS DES SACS EN POLYTHELENE                                                       -LES FUTS SERONT DISPOSES PAR 4 SUR PALETTES EN BOIS   -LES  PALETTES SERONT MISES DANS DES CONTENAIRES 40 REPONDANT A TOUTES LES NORMES DE SECURETE OBLIGATIONS:                                                                               LE FOURNISSEUR S'ENGAGE A DELIVRER  LE CERTIFICAT DES ANALYSES RELATIVES A LA COMPOSTION CHIMIQUE DU CATALYSEUR NEUF AINSI QUE LES INFORMATIONS SUIVANTES:-LES TEMPERATURES D'ENTREE  ET DE SORTIE DE CHAQUE LIT DE CATALYSEUR                                     -LES DIMENSIONS  EXACTES DE CHAQUE TYPE DE CATALYSEUR</v>
          </cell>
          <cell r="D1476" t="str">
            <v>L</v>
          </cell>
          <cell r="E1476" t="str">
            <v>522.52202</v>
          </cell>
          <cell r="F1476">
            <v>68.338499999999996</v>
          </cell>
          <cell r="G1476">
            <v>0</v>
          </cell>
          <cell r="H1476">
            <v>25000</v>
          </cell>
          <cell r="I1476">
            <v>0</v>
          </cell>
          <cell r="J1476">
            <v>0</v>
          </cell>
          <cell r="K1476">
            <v>0</v>
          </cell>
          <cell r="L1476">
            <v>0</v>
          </cell>
        </row>
        <row r="1477">
          <cell r="A1477" t="str">
            <v>10096.01017</v>
          </cell>
          <cell r="B1477" t="str">
            <v>VESTE MULTISAFE</v>
          </cell>
          <cell r="C1477" t="str">
            <v>VESTE MULTISAFE COL CHEMISE. FERMETURE PAR BOUTONS PRESSION ET DOUBLE RABATS (INTERIEUR ET EXTERIEUR). SERRAGE SEMI-ELASTIQUE AUX POIGNETS. TAILLE AVEC COTES ELASTIQUES. 3 POCHES PLAQUEES : 1 POCHE POITRINE A GAUCHE ET 2 POCHES BASSES AVEC RABAT ET BOUTON PRESSION. ETIQUETTE RETRO-REFLECHISSANTE AVEC PICTOGRAMMES NORMATIFS EN BAS A DROITE. EN 84% COTON, 15% POLYAMIDE, 1% FIBRE ANTISTATIQUE, 250 G/M2.  EN 11612 : 2009 (A1-B1-C1-E3-F1) : VETEMENTS DE PROTECTION CONTRE LA CHALEUR ET LES FLAMMES, EN 1149-5 : 2008 : PROTECTION CONTRE LES RISQUES ELECTROSTATIQUES, EN 13034 : 2005 (TYPE 6) : VETEMENTS DE PROTECTION OFFRANT UNE PROTECTION LIMITEE CONTRE LES PRODUITS CHIMIQUES LIQUIDES, EN 11611 : 2008 (A1- CLASSE 1) : VETEMENTS DE PROTECTION UTILISES PENDANT LE SOUDAGE ET LES TECHNIQUES CONNEXES. TAILLE ET COULEUR : A PRECISER AU MOMENT DE LA DEMANDE</v>
          </cell>
          <cell r="D1477" t="str">
            <v>PE</v>
          </cell>
          <cell r="E1477" t="str">
            <v>522.52216</v>
          </cell>
          <cell r="F1477">
            <v>378.9846</v>
          </cell>
          <cell r="G1477">
            <v>0</v>
          </cell>
          <cell r="H1477">
            <v>250</v>
          </cell>
          <cell r="I1477">
            <v>128</v>
          </cell>
          <cell r="J1477">
            <v>110</v>
          </cell>
          <cell r="K1477">
            <v>263</v>
          </cell>
          <cell r="L1477">
            <v>0</v>
          </cell>
        </row>
        <row r="1478">
          <cell r="A1478" t="str">
            <v>10096.01018</v>
          </cell>
          <cell r="B1478" t="str">
            <v>PANTALON MULTISAFE</v>
          </cell>
          <cell r="C1478" t="str">
            <v xml:space="preserve">PANTALON MULTISAFE  FERMETURE PAR ZIP AVEC RABAT ET BOUTON PRESSION A L'EXTREMITE. PASSANTS POUR CEINTURE ET TAILLE AVEC COTES ELASTIQUES. 4 POCHES : 2 POCHES ITALIENNES A LA TAILLE AVEC RABAT ET 2 POCHES PLAQUEES : 1 ARRIERE DROIT ET 1 COTE AU GENOU GAUCHE AVEC RABAT ET BOUTON PRESSION. BAS DE JAMBES DROIT. ETIQUETTE RETRO-REFLECHISSANTE AVEC PICTOGRAMMES NORMATIFS, JAMBE GAUCHE. EN 84% COTON, 15% POLYAMIDE, 1% FIBRE ANTISTATIQUE, 250 G/M2.  EN 11612 : 2009 (A1-B1-C1-E3-F1) : VETEMENTS DE PROTECTION CONTRE LA CHALEUR ET LES FLAMMES, EN 1149-5 : 2008 : PROTECTION CONTRE LES RISQUES ELECTROSTATIQUES, EN 13034 : 2005 (TYPE 6) : VETEMENTS DE PROTECTION OFFRANT UNE PROTECTION LIMITEE CONTRE LES PRODUITS CHIMIQUES LIQUIDES, EN 11611 : 2008 (A1- CLASSE 1) : VETEMENTS DE PROTECTION UTILISES PENDANT LE SOUDAGE ET LES TECHNIQUES CONNEXES. TAILLE ET COULEUR : A PRECISER AU MOMENT DE LA DEMANDE </v>
          </cell>
          <cell r="D1478" t="str">
            <v>PE</v>
          </cell>
          <cell r="E1478" t="str">
            <v>522.52216</v>
          </cell>
          <cell r="F1478">
            <v>284.82369999999997</v>
          </cell>
          <cell r="G1478">
            <v>0</v>
          </cell>
          <cell r="H1478">
            <v>258</v>
          </cell>
          <cell r="I1478">
            <v>128</v>
          </cell>
          <cell r="J1478">
            <v>111</v>
          </cell>
          <cell r="K1478">
            <v>267</v>
          </cell>
          <cell r="L1478">
            <v>0</v>
          </cell>
        </row>
        <row r="1479">
          <cell r="A1479" t="str">
            <v>10096.01563</v>
          </cell>
          <cell r="B1479" t="str">
            <v>MASQUE FILTRANT ANTI AEROSOLS ET POUSSIERES FINES</v>
          </cell>
          <cell r="C1479" t="str">
            <v>MASQUE FILTRANT ANTI AEROSOLS ET POUSSIERES FINESSUIVANT LA NORME : EN 149 : 2001 AN : 2009SPECIFICATION COMPLEMENTAIRE : FFP 3 NR D FNP50</v>
          </cell>
          <cell r="D1479" t="str">
            <v>PE</v>
          </cell>
          <cell r="E1479" t="str">
            <v>522.52216</v>
          </cell>
          <cell r="F1479">
            <v>28.588899999999999</v>
          </cell>
          <cell r="G1479">
            <v>0</v>
          </cell>
          <cell r="H1479">
            <v>0</v>
          </cell>
          <cell r="I1479">
            <v>10</v>
          </cell>
          <cell r="J1479">
            <v>0</v>
          </cell>
          <cell r="K1479">
            <v>0</v>
          </cell>
          <cell r="L1479">
            <v>0</v>
          </cell>
        </row>
        <row r="1480">
          <cell r="A1480" t="str">
            <v>10096.00409</v>
          </cell>
          <cell r="B1480" t="str">
            <v>LUNETTE A BRANCHES  ( INCOLORE)</v>
          </cell>
          <cell r="C1480" t="str">
            <v>LUNETTE A BRANCHES  ( INCOLORE)  NORME : EN 166  / EN 172 OCULAIRE : 5-1,2 1-FT KN MONTURE:  FT SPECIFICATION COMPLEMENTAIRE:TYPE DE FILTRE : FILTRE SOLAIRE 5ECHELON /TEINTE: 1,1CLASSE OPTIQUE: 1RESISTANCE MECANIQUE : FTRESISTANCE A LA DETERIORATION DES SURFACES PAR LES FINES PARTICULES :KRESISTANCE DE L'OCULAIRE A LA BUEE : NPROTECTION LATERALEETUI ET CORDETTE</v>
          </cell>
          <cell r="D1480" t="str">
            <v>PE</v>
          </cell>
          <cell r="E1480" t="str">
            <v>522.52216</v>
          </cell>
          <cell r="F1480">
            <v>39.9</v>
          </cell>
          <cell r="G1480">
            <v>20</v>
          </cell>
          <cell r="H1480">
            <v>24</v>
          </cell>
          <cell r="I1480">
            <v>135</v>
          </cell>
          <cell r="J1480">
            <v>101</v>
          </cell>
          <cell r="K1480">
            <v>47</v>
          </cell>
          <cell r="L1480">
            <v>173</v>
          </cell>
        </row>
        <row r="1481">
          <cell r="A1481" t="str">
            <v>10096.00410</v>
          </cell>
          <cell r="B1481" t="str">
            <v>LUNETTE A BRANCHES (INCOLORE) SUR LUNETTE</v>
          </cell>
          <cell r="C1481" t="str">
            <v>LUNETTE A BRANCHES (INCOLORE) SUR LUNETTE SUIVANT LA NORME : EN 166MARQUAGE OCULAIRE: 5-1,2 1-FT KNMARQUAGE MONTURE: EN166 FTSPECIFICATION COMPLEMENTAIRE:TYPE DE FILTRE : FILTRE SOLAIRE 5ECHELON /TEINTE: 1,2CLASSE OPTIQUE: 1RESISTANCE MECANIQUE : FTRESISTANCE A LA DETERIORATION DES SURFACES PAR LES FINES PARTICULES :KRESISTANCE DE L¿OCULAIRE A LA BUEE : NSUR LUNETTE A BRANCHES REGLABLE A PORTER PAR DESSUS DES LUNETTES CORRECTRICESETUI ET CORDETTE</v>
          </cell>
          <cell r="D1481" t="str">
            <v>PE</v>
          </cell>
          <cell r="E1481" t="str">
            <v>522.52216</v>
          </cell>
          <cell r="F1481">
            <v>55</v>
          </cell>
          <cell r="G1481">
            <v>0</v>
          </cell>
          <cell r="H1481">
            <v>0</v>
          </cell>
          <cell r="I1481">
            <v>0</v>
          </cell>
          <cell r="J1481">
            <v>0</v>
          </cell>
          <cell r="K1481">
            <v>0</v>
          </cell>
          <cell r="L1481">
            <v>100</v>
          </cell>
        </row>
        <row r="1482">
          <cell r="A1482" t="str">
            <v>10096.01568</v>
          </cell>
          <cell r="B1482" t="str">
            <v>FILTRE COMBINE</v>
          </cell>
          <cell r="C1482" t="str">
            <v>FILTRE COMBINESUIVANT LA NORME : EN 14387, EN 143SPECIFICATION COMPLEMENTAIRE : A2B2E2K2 P3 RD</v>
          </cell>
          <cell r="D1482" t="str">
            <v>PE</v>
          </cell>
          <cell r="E1482" t="str">
            <v>522.52216</v>
          </cell>
          <cell r="F1482">
            <v>190</v>
          </cell>
          <cell r="G1482">
            <v>2</v>
          </cell>
          <cell r="H1482">
            <v>83</v>
          </cell>
          <cell r="I1482">
            <v>40</v>
          </cell>
          <cell r="J1482">
            <v>126</v>
          </cell>
          <cell r="K1482">
            <v>0</v>
          </cell>
          <cell r="L1482">
            <v>149</v>
          </cell>
        </row>
        <row r="1483">
          <cell r="A1483" t="str">
            <v>10000.03247</v>
          </cell>
          <cell r="B1483" t="str">
            <v>FLOCULANT FLOPAM AN 923</v>
          </cell>
          <cell r="C1483" t="str">
            <v>MATIERES AUXILIAIRES POUR TRAITEMENT DES EAUXFLOCULANT FLOPAM AN 923GENRE:SNF FLOERGERFORME:SOLIDE PULVERULENT COULEUR:BLANC CARACTERE IONIQUE:ANIONIQUE DENSITE DE CHARGE:MOYEN POIDS MOLECULAIRE:HAUTE GRANULOMETRIE (%&gt;10 mesh) : 2 GRANULOMETRIE (%&lt;100 mesh) : 6 MASSE VOLUMIQUE APPARENTE: 0,80 DENSITE:1300 VISCOSITE BROOKFIELD (cps): A 5,0 g/l=500 - A 2,5 g/l=180 - A 1,0 g/l=3 pH:4-9 A 5 g/l CONCENTRATION D'UTILISATION RECOMMANDEE (g/l):5 CONCENTRATION D'UTILISATION MAXI (g/l) : 60 STABILITE DE LA SOLUTION DANS L'EAU DEIONISEE (en jours):1 TEMPERATURE DE STOCKAGE (C°):0-35DUREE DE CONSERVATION (mois):24 CONDITIONNEMENT: EN SAC MULTIPLIS DE 25 KG</v>
          </cell>
          <cell r="D1483" t="str">
            <v>KG</v>
          </cell>
          <cell r="E1483" t="str">
            <v>111.11101</v>
          </cell>
          <cell r="F1483">
            <v>22.584</v>
          </cell>
          <cell r="G1483">
            <v>0</v>
          </cell>
          <cell r="H1483">
            <v>0</v>
          </cell>
          <cell r="I1483">
            <v>0</v>
          </cell>
          <cell r="J1483">
            <v>0</v>
          </cell>
          <cell r="K1483">
            <v>0</v>
          </cell>
          <cell r="L1483">
            <v>0</v>
          </cell>
        </row>
        <row r="1484">
          <cell r="A1484" t="str">
            <v>10000.03247</v>
          </cell>
          <cell r="B1484" t="str">
            <v>FLOCULANT FLOPAM AN 923</v>
          </cell>
          <cell r="C1484" t="str">
            <v>MATIERES AUXILIAIRES POUR TRAITEMENT DES EAUXFLOCULANT FLOPAM AN 923GENRE:SNF FLOERGERFORME:SOLIDE PULVERULENT COULEUR:BLANC CARACTERE IONIQUE:ANIONIQUE DENSITE DE CHARGE:MOYEN POIDS MOLECULAIRE:HAUTE GRANULOMETRIE (%&gt;10 mesh) : 2 GRANULOMETRIE (%&lt;100 mesh) : 6 MASSE VOLUMIQUE APPARENTE: 0,80 DENSITE:1300 VISCOSITE BROOKFIELD (cps): A 5,0 g/l=500 - A 2,5 g/l=180 - A 1,0 g/l=3 pH:4-9 A 5 g/l CONCENTRATION D'UTILISATION RECOMMANDEE (g/l):5 CONCENTRATION D'UTILISATION MAXI (g/l) : 60 STABILITE DE LA SOLUTION DANS L'EAU DEIONISEE (en jours):1 TEMPERATURE DE STOCKAGE (C°):0-35DUREE DE CONSERVATION (mois):24 CONDITIONNEMENT: EN SAC MULTIPLIS DE 25 KG</v>
          </cell>
          <cell r="D1484" t="str">
            <v>KG</v>
          </cell>
          <cell r="E1484" t="str">
            <v>111.11101</v>
          </cell>
          <cell r="F1484">
            <v>22.584</v>
          </cell>
          <cell r="G1484">
            <v>0</v>
          </cell>
          <cell r="H1484">
            <v>60000</v>
          </cell>
          <cell r="I1484">
            <v>15100</v>
          </cell>
          <cell r="J1484">
            <v>33250</v>
          </cell>
          <cell r="K1484">
            <v>24250</v>
          </cell>
          <cell r="L1484">
            <v>0</v>
          </cell>
        </row>
        <row r="1485">
          <cell r="A1485" t="str">
            <v>10096.00199</v>
          </cell>
          <cell r="B1485" t="str">
            <v>VESTE PARKA KABAN MATELASSE</v>
          </cell>
          <cell r="C1485" t="str">
            <v>ARTICLES DE PROTECTION ET DE SECURITE.VETEMENT DE PROTECTION POUR LES AGENTS DE SURETE.VESTE  PARKA KABAN MATELASSE .MATIERE EXTERIEUR : 100% POLYESTER, PONGE ENDUIT PVC.MATIERE INTERIEUR : 100% POLYESTER.COL:DROIT DOUBLE POLAIRE.CAPUCHE: INTEGRE DANS LE COL AVEC SERRAGE AVEC BLOQUE-CORDONS.MANCHES:TERMINEES PAR POIGNET ELASTIQUE,REGLABLE PAR BANDE AGRIPPANTE.SERRAGE BAS:INTERIEUR PAR ELASTIQUE DE SERRAGE AVEC BLOQUE -CORDONS CENTRAUX.ETIQUETAGE INTERIEUR DE  LA TENUE.CERTIFICAT DE CONFOMITE EST OBLIGATOIRE DELIVRE PAR UN LABORATOIRE AGREE.TAILLE ET COULEUR : A PRECISER                                                                                                 PRESENTATION D¿UN ECHANTILLON A LA SOUMISSION EST OBLIGATOIRE.LES QUANTITES PAR TAILLE ET LA COULEUR SERA ADRESSE AU FORNISSEUR APRES LA PASSATION DE LA COMMANDE .</v>
          </cell>
          <cell r="D1485" t="str">
            <v>PE</v>
          </cell>
          <cell r="E1485" t="str">
            <v>522.52216</v>
          </cell>
          <cell r="F1485">
            <v>386.07799999999997</v>
          </cell>
          <cell r="G1485">
            <v>0</v>
          </cell>
          <cell r="H1485">
            <v>230</v>
          </cell>
          <cell r="I1485">
            <v>6</v>
          </cell>
          <cell r="J1485">
            <v>186</v>
          </cell>
          <cell r="K1485">
            <v>203</v>
          </cell>
          <cell r="L1485">
            <v>0</v>
          </cell>
        </row>
        <row r="1486">
          <cell r="A1486" t="str">
            <v>10096.01559</v>
          </cell>
          <cell r="B1486" t="str">
            <v>MINISCAPE D'EVACUATION EN BOITIER PLASTIQUE</v>
          </cell>
          <cell r="C1486" t="str">
            <v xml:space="preserve">ARTICLES DE PROTECTIONS ET DE SECURITES.MINISCAPE D'EVACUATION EN BOITIER PLASTIQUE.PIECE FACIALE EMBOUT BUCCAL INTEGRE SUR LE FILTRE ET PINCE-NEZ.DUREE DE FONCTIONNEMENT: MINIMUM 5 MIN (SELON LES CONDITIONS).UTILISATION APPAREIL D¿EVACUATION 5 MINUTES A USAGE UNIQUE.RESISTANCE RESPIRATOIRE: INFERIEURE A 2.5 MBAR A 30 L/MIN.STOCKAGE 4 ANS DANS SON BOITIER SCELLE.DIMENSIONS (AVEC BOITIER):- HAUTEUR APPROX. 112 MM.- LARGEUR APPROX. 85 MM.- PROFONDEUR APPROX. 65 MM (AVEC PINCE).POIDS: -  190 G (PRET A L¿EMPLOI DANS SON BOITIER). -  130 G (EN UTILISATION, SANS SON BOITIER).HOMOLOGATION: ABEK-5 SELON DIN 58647-T7.MARQUE: MSA REF:10038560.CERTIFICAT DE CONFOMITE EST OBLIGATOIRE DELIVRE PAR UN LABORATOIRE AGREE.PRESENTATION D¿UN ECHANTILLON A LA SOUMISSION EST OBLIGATOIRE. </v>
          </cell>
          <cell r="D1486" t="str">
            <v>PE</v>
          </cell>
          <cell r="E1486" t="str">
            <v>522.52216</v>
          </cell>
          <cell r="F1486">
            <v>181.5</v>
          </cell>
          <cell r="G1486">
            <v>0</v>
          </cell>
          <cell r="H1486">
            <v>0</v>
          </cell>
          <cell r="I1486">
            <v>2</v>
          </cell>
          <cell r="J1486">
            <v>0</v>
          </cell>
          <cell r="K1486">
            <v>0</v>
          </cell>
          <cell r="L1486">
            <v>0</v>
          </cell>
        </row>
        <row r="1487">
          <cell r="A1487" t="str">
            <v>10096.00113</v>
          </cell>
          <cell r="B1487" t="str">
            <v>LUNETTE DE PROTECTION INCOLORE</v>
          </cell>
          <cell r="C1487" t="str">
            <v xml:space="preserve">ARTICLES DE PROTECTION ET DE SECURITE.LUNETTE DE PROTECTION.BRANCHE :POLYCARBONATE.OCULAIRE:POLYCARBONATE EPAISSEUR 2,45 MMCOULEUR DE LA MONTURE: INCOLORE.MARQUAGE MONTURE: FT.OPTIONS DES OCULAIRES :INCOLORE,ANTI BUEE.MARQUAGE OCULAIRE:2-1.2 1FTN.NORME OCULAIRE EN 170.GENRE POKELUX  REFERENCE 60550.CERTIFICAT DE CONFOMITE AVEC FICHE DE PRODUIT.PRESENTATION D¿UN ECHANTILLON A LA SOUMISSION EST OBLIGATOIRE. </v>
          </cell>
          <cell r="D1487" t="str">
            <v>PE</v>
          </cell>
          <cell r="E1487" t="str">
            <v>522.52216</v>
          </cell>
          <cell r="F1487">
            <v>19.032900000000001</v>
          </cell>
          <cell r="G1487">
            <v>0</v>
          </cell>
          <cell r="H1487">
            <v>0</v>
          </cell>
          <cell r="I1487">
            <v>0</v>
          </cell>
          <cell r="J1487">
            <v>0</v>
          </cell>
          <cell r="K1487">
            <v>0</v>
          </cell>
          <cell r="L1487">
            <v>0</v>
          </cell>
        </row>
        <row r="1488">
          <cell r="A1488" t="str">
            <v>10096.01625</v>
          </cell>
          <cell r="B1488" t="str">
            <v>GANTS DE PROTECTION POUR TRAVAUX DE PRECISION</v>
          </cell>
          <cell r="C1488" t="str">
            <v>GANT DE PROTECTION POUR TRAVAUX DE PRECISION .SUIVANT NORME : EN 420  EN 388 INDICE : 2112SPECIFICATION COMPLEMENTAIRE :-MATIERE POLYAMIDE ENDUIT ( EN POLYURETANE OU AUTRES )</v>
          </cell>
          <cell r="D1488" t="str">
            <v>PE</v>
          </cell>
          <cell r="E1488" t="str">
            <v>522.52216</v>
          </cell>
          <cell r="F1488">
            <v>14.85</v>
          </cell>
          <cell r="G1488">
            <v>0</v>
          </cell>
          <cell r="H1488">
            <v>0</v>
          </cell>
          <cell r="I1488">
            <v>0</v>
          </cell>
          <cell r="J1488">
            <v>50</v>
          </cell>
          <cell r="K1488">
            <v>0</v>
          </cell>
          <cell r="L1488">
            <v>0</v>
          </cell>
        </row>
        <row r="1489">
          <cell r="A1489" t="str">
            <v>10096.00790</v>
          </cell>
          <cell r="B1489" t="str">
            <v>BLOUSE ANTI-ACI HOMME T50</v>
          </cell>
          <cell r="C1489" t="str">
            <v xml:space="preserve">BLOUSE ANTI-ACIDE POUR HOMME TISSU : TERGAL, RHOVYL COULEUR A PRECISER LORS DU LANCEMENT DE LA D.P COL : CHEVALIERE - 3 POCHES PLAQUEES : 1 POITRINE, 2 COTES COUTURE : EN FIL ANTI-ACIDE DOUBLE PIQURE - CEINTURE - FERMETURE : PAR BOUTONS EMBLEME : BRODE EN SOIE ROUGE (COTE GAUCHE NIVEAU POITRINE) SIGLE : A PRECISER - CONFECTION TRES SOIGNEE MANCHES ET TAILLE : DROITES TAILLE : 50 </v>
          </cell>
          <cell r="D1489" t="str">
            <v>PE</v>
          </cell>
          <cell r="E1489" t="str">
            <v>522.52216</v>
          </cell>
          <cell r="F1489">
            <v>65.596000000000004</v>
          </cell>
          <cell r="G1489">
            <v>0</v>
          </cell>
          <cell r="H1489">
            <v>0</v>
          </cell>
          <cell r="I1489">
            <v>0</v>
          </cell>
          <cell r="J1489">
            <v>0</v>
          </cell>
          <cell r="K1489">
            <v>0</v>
          </cell>
          <cell r="L1489">
            <v>0</v>
          </cell>
        </row>
        <row r="1490">
          <cell r="A1490" t="str">
            <v>10096.00792</v>
          </cell>
          <cell r="B1490" t="str">
            <v>BLOUSE ANTI-ACI HOMME T52</v>
          </cell>
          <cell r="C1490" t="str">
            <v xml:space="preserve">BLOUSE ANTI-ACIDE POUR HOMME TISSU : TERGAL, RHOVYL COULEUR A PRECISER LORS DU LANCEMENT DE LA D.P COL : CHEVALIERE - 3 POCHES PLAQUEES : 1 POITRINE, 2 COTES COUTURE : EN FIL ANTI-ACIDE DOUBLE PIQURE - CEINTURE - FERMETURE : PAR BOUTONS EMBLEME : BRODE EN SOIE ROUGE (COTE GAUCHE NIVEAU POITRINE) SIGLE : A PRECISER - CONFECTION TRES SOIGNEE MANCHES ET TAILLE : DROITES TAILLE : 52 </v>
          </cell>
          <cell r="D1490" t="str">
            <v>PE</v>
          </cell>
          <cell r="E1490" t="str">
            <v>522.52216</v>
          </cell>
          <cell r="F1490">
            <v>65.582400000000007</v>
          </cell>
          <cell r="G1490">
            <v>0</v>
          </cell>
          <cell r="H1490">
            <v>0</v>
          </cell>
          <cell r="I1490">
            <v>0</v>
          </cell>
          <cell r="J1490">
            <v>0</v>
          </cell>
          <cell r="K1490">
            <v>0</v>
          </cell>
          <cell r="L1490">
            <v>0</v>
          </cell>
        </row>
        <row r="1491">
          <cell r="A1491" t="str">
            <v>10096.00796</v>
          </cell>
          <cell r="B1491" t="str">
            <v>BLOUSE ANTI-ACI HOMME T56</v>
          </cell>
          <cell r="C1491" t="str">
            <v xml:space="preserve">EQUIPEMENT PROTECTION INDIVIDUELLE PROTECTION DU CORPS BLOUSE  ANTI-ACIDE POUR HOMME TISSU : COTON 100% COULEUR COULEUR : A PRECISER LORS DU LANCEMENT DE LA D.P COL : CHEVALIERE , - 3 POCHES PLAQUEES : 1 POITRINE, 2 CÂTES COUTURE : EN FIL ANTI-ACIDE DOUBLE PIQ¦RE , - CEINTURE , - FERMETURE : PAR BOUTONS EMBLEME : BRODE EN SOIE ROUGE (CÂTE GAUCHE NIVEAU POITRINE) SIGLE : A PRECISER , - CONFECTION TRES SOIGNEE MANCHES ET TAILLE : DROITES TAILLE : 56 </v>
          </cell>
          <cell r="D1491" t="str">
            <v>PE</v>
          </cell>
          <cell r="E1491" t="str">
            <v>522.52216</v>
          </cell>
          <cell r="F1491">
            <v>65.621799999999993</v>
          </cell>
          <cell r="G1491">
            <v>0</v>
          </cell>
          <cell r="H1491">
            <v>0</v>
          </cell>
          <cell r="I1491">
            <v>0</v>
          </cell>
          <cell r="J1491">
            <v>0</v>
          </cell>
          <cell r="K1491">
            <v>0</v>
          </cell>
          <cell r="L1491">
            <v>0</v>
          </cell>
        </row>
        <row r="1492">
          <cell r="A1492" t="str">
            <v>10096.00798</v>
          </cell>
          <cell r="B1492" t="str">
            <v>BLOUSE ANTI-ACI HOMME T58</v>
          </cell>
          <cell r="C1492" t="str">
            <v xml:space="preserve">EQUIPEMENT PROTECTION INDIVIDUELLE PROTECTION DU CORPS BLOUSE  ANTI-ACIDE POUR HOMME TISSU : TERGAL, RHOVYL COULEUR COULEUR : A PRECISER LORS DU LANCEMENT DE LA D.P COL : CHEVALIERE , - 3 POCHES PLAQUEES : 1 POITRINE, 2 CÂTES COUTURE : EN FIL ANTI-ACIDE DOUBLE PIQ¦RE , - CEINTURE EMBLEME : BRODE EN SOIE ROUGE (CÂTE GAUCHE NIVEAU POITRINE) SIGLE : A PRECISER , - CONFECTION TRES SOIGNEE MANCHES ET TAILLE : DROITES TAILLE : 58 </v>
          </cell>
          <cell r="D1492" t="str">
            <v>PE</v>
          </cell>
          <cell r="E1492" t="str">
            <v>522.52216</v>
          </cell>
          <cell r="F1492">
            <v>65.626000000000005</v>
          </cell>
          <cell r="G1492">
            <v>0</v>
          </cell>
          <cell r="H1492">
            <v>0</v>
          </cell>
          <cell r="I1492">
            <v>0</v>
          </cell>
          <cell r="J1492">
            <v>0</v>
          </cell>
          <cell r="K1492">
            <v>0</v>
          </cell>
          <cell r="L1492">
            <v>0</v>
          </cell>
        </row>
        <row r="1493">
          <cell r="A1493" t="str">
            <v>10096.00752</v>
          </cell>
          <cell r="B1493" t="str">
            <v>COMBINAISON A-ACIDE P/HOMME T.2(44-46)</v>
          </cell>
          <cell r="C1493" t="str">
            <v xml:space="preserve">COMBINAISON ANTI-ACIDE (HIVER-ETE) POUR HOMME (ARCO PROBAN IGNFUGE) - TISSU COTON 100% COUTURE : EN FIL ANTI-ACIDE DOUBLE PIQURE COULEUR : A PRECISER LORS DU CHOIX TECHNIQUE POIDS : 310 G/M - NOMBRE DE TRAME : 21 - DUITE : 22/CM NOMBRE DE FIL : 44.5/CM POCHES : 2POITRINE AVEC RABAT BOUTONNABLE 2DEVANT OUVERTURE EN BIAIS AVEC RENFORT 1ARRIERE DROIT AVEC RENFORT ATTACHE DU POIGNET AVEC LANGUETTE ET BOUTON CEINTURE DU MEME TISSU COUSUE AU DOS SERRAGE PAR BOUCLE A PASSANT - DOS A SOUFFLET - BORDS PIQUES 2OUVERTURES SUR LES COTES AVEC FERMETURE PAR BOUTON CONFECTION TRES SOIGNEEEMBLEME : BRODURE EN SOIE ROUGE DE 10CM SIGLE ET SON EMPLACEMENT A PRECISER  TAILLE UNIVERSELLE : 2 (44-46) LES OFFRES DOIVENT-ETRE ACCOMPAGNNES D'UN MODELE PROPOSE. </v>
          </cell>
          <cell r="D1493" t="str">
            <v>PE</v>
          </cell>
          <cell r="E1493" t="str">
            <v>522.52216</v>
          </cell>
          <cell r="F1493">
            <v>91.007900000000006</v>
          </cell>
          <cell r="G1493">
            <v>0</v>
          </cell>
          <cell r="H1493">
            <v>0</v>
          </cell>
          <cell r="I1493">
            <v>0</v>
          </cell>
          <cell r="J1493">
            <v>0</v>
          </cell>
          <cell r="K1493">
            <v>0</v>
          </cell>
          <cell r="L1493">
            <v>8</v>
          </cell>
        </row>
        <row r="1494">
          <cell r="A1494" t="str">
            <v>10096.00754</v>
          </cell>
          <cell r="B1494" t="str">
            <v>COMBINAISON A-ACIDE P/HOMME T.3(48-50)</v>
          </cell>
          <cell r="C1494" t="str">
            <v xml:space="preserve">COMBINAISON ANTI-ACIDE (HIVER-ETE) POUR HOMME (ARCO PROBAN IGNFUGE) - TISSU COTON 100% COUTURE : EN FIL ANTI-ACIDE DOUBLE PIQURE COULEUR : A PRECISER LORS DU CHOIX TECHNIQUE POIDS : 310 G/M - NOMBRE DE TRAME : 21 - DUITE : 22/CM NOMBRE DE FIL : 44.5/CM POCHES : 2POITRINE AVEC RABAT BOUTONNABLE 2DEVANT OUVERTURE EN BIAIS AVEC RENFORT 1ARRIERE DROIT AVEC RENFORT ATTACHE DU POIGNET AVEC LANGUETTE ET BOUTON CEINTURE DU MEME TISSU COUSUE AU DOS SERRAGE PAR BOUCLE A PASSANT - DOS A SOUFFLET - BORDS PIQUES 2OUVERTURES SUR LES COTES AVEC FERMETURE PAR BOUTON CONFECTION TRES SOIGNEEEMBLEME : BRODURE EN SOIE ROUGE DE 10CM SIGLE ET SON EMPLACEMENT A PRECISER  TAILLE UNIVERSELLE : 3 (48-50) LES OFFRES DOIVENT-ETRE ACCOMPAGNNES D'UN MODELE PROPOSE. </v>
          </cell>
          <cell r="D1494" t="str">
            <v>PE</v>
          </cell>
          <cell r="E1494" t="str">
            <v>522.52216</v>
          </cell>
          <cell r="F1494">
            <v>92.645200000000003</v>
          </cell>
          <cell r="G1494">
            <v>0</v>
          </cell>
          <cell r="H1494">
            <v>0</v>
          </cell>
          <cell r="I1494">
            <v>0</v>
          </cell>
          <cell r="J1494">
            <v>0</v>
          </cell>
          <cell r="K1494">
            <v>2</v>
          </cell>
          <cell r="L1494">
            <v>9</v>
          </cell>
        </row>
        <row r="1495">
          <cell r="A1495" t="str">
            <v>10096.00756</v>
          </cell>
          <cell r="B1495" t="str">
            <v>COMBINAISON A-ACIDE P/HOMME T.4(52-54)</v>
          </cell>
          <cell r="C1495" t="str">
            <v xml:space="preserve">COMBINAISON ANTI-ACIDE (HIVER-ETE) POUR HOMME (ARCO PROBAN IGNFUGE) - TISSU COTON 100% COUTURE : EN FIL ANTI-ACIDE DOUBLE PIQURE COULEUR : A PRECISER LORS DU CHOIX TECHNIQUE POIDS : 310 G/M - NOMBRE DE TRAME : 21 - DUITE : 22/CM NOMBRE DE FIL : 44.5/CM POCHES : 2POITRINE AVEC RABAT BOUTONNABLE 2DEVANT OUVERTURE EN BIAIS AVEC RENFORT 1ARRIERE DROIT AVEC RENFORT ATTACHE DU POIGNET AVEC LANGUETTE ET BOUTON CEINTURE DU MEME TISSU COUSUE AU DOS SERRAGE PAR BOUCLE A PASSANT - DOS A SOUFFLET - BORDS PIQUES 2OUVERTURES SUR LES COTES AVEC FERMETURE PAR BOUTON CONFECTION TRES SOIGNEEEMBLEME : BRODURE EN SOIE ROUGE DE 10CM SIGLE ET SON EMPLACEMENT A PRECISER  TAILLE UNIVERSELLE : 4 (52-54) LES OFFRES DOIVENT-ETRE ACCOMPAGNNES D'UN MODELE PROPOSE. </v>
          </cell>
          <cell r="D1495" t="str">
            <v>PE</v>
          </cell>
          <cell r="E1495" t="str">
            <v>522.52216</v>
          </cell>
          <cell r="F1495">
            <v>103.9836</v>
          </cell>
          <cell r="G1495">
            <v>0</v>
          </cell>
          <cell r="H1495">
            <v>0</v>
          </cell>
          <cell r="I1495">
            <v>0</v>
          </cell>
          <cell r="J1495">
            <v>0</v>
          </cell>
          <cell r="K1495">
            <v>0</v>
          </cell>
          <cell r="L1495">
            <v>0</v>
          </cell>
        </row>
        <row r="1496">
          <cell r="A1496" t="str">
            <v>10096.00533</v>
          </cell>
          <cell r="B1496" t="str">
            <v>CHAUSSURE DE PROTECTION P.38</v>
          </cell>
          <cell r="C1496"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38N.B : LE FOURNISSEUR DOIT GARANTIR UN NIVEAU DE PROTECTION ADAPTE AUX RISQUES COURANTS, UNE DURABILITE CORRECTE DES ELEMENTS DE PROTECTION ET DES QUALITES HYGIENIQUES COMPATIBLE AVEC LES CONDITIONS DE PORTER. LES OFFRES DOIVENT ETRE ACCOMPAGNEES D'UN MODELE PROPOSE </v>
          </cell>
          <cell r="D1496" t="str">
            <v>PE</v>
          </cell>
          <cell r="E1496" t="str">
            <v>522.52216</v>
          </cell>
          <cell r="F1496">
            <v>277.00380000000001</v>
          </cell>
          <cell r="G1496">
            <v>0</v>
          </cell>
          <cell r="H1496">
            <v>0</v>
          </cell>
          <cell r="I1496">
            <v>0</v>
          </cell>
          <cell r="J1496">
            <v>0</v>
          </cell>
          <cell r="K1496">
            <v>0</v>
          </cell>
          <cell r="L1496">
            <v>0</v>
          </cell>
        </row>
        <row r="1497">
          <cell r="A1497" t="str">
            <v>10096.00537</v>
          </cell>
          <cell r="B1497" t="str">
            <v>CHAUSSURE DE PROTECTION P.40</v>
          </cell>
          <cell r="C1497"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40N.B : LE FOURNISSEUR DOIT GARANTIR UN NIVEAU DE PROTECTION ADAPTE AUX RISQUES COURANTS, UNE DURABILITE CORRECTE DES ELEMENTS DE PROTECTION ET DES QUALITES HYGIENIQUES COMPATIBLE AVEC LES CONDITIONS DE PORTER. LES OFFRES DOIVENT ETRE ACCOMPAGNEES D'UN MODELE PROPOSE </v>
          </cell>
          <cell r="D1497" t="str">
            <v>PE</v>
          </cell>
          <cell r="E1497" t="str">
            <v>522.52216</v>
          </cell>
          <cell r="F1497">
            <v>174</v>
          </cell>
          <cell r="G1497">
            <v>0</v>
          </cell>
          <cell r="H1497">
            <v>0</v>
          </cell>
          <cell r="I1497">
            <v>0</v>
          </cell>
          <cell r="J1497">
            <v>0</v>
          </cell>
          <cell r="K1497">
            <v>0</v>
          </cell>
          <cell r="L1497">
            <v>0</v>
          </cell>
        </row>
        <row r="1498">
          <cell r="A1498" t="str">
            <v>10096.00539</v>
          </cell>
          <cell r="B1498" t="str">
            <v>CHAUSSURE DE PROTECTION P.41</v>
          </cell>
          <cell r="C1498"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41N.B : LE FOURNISSEUR DOIT GARANTIR UN NIVEAU DE PROTECTION ADAPTE AUX RISQUES COURANTS, UNE DURABILITE CORRECTE DES ELEMENTS DE PROTECTION ET DES QUALITES HYGIENIQUES COMPATIBLE AVEC LES CONDITIONS DE PORTER. LES OFFRES DOIVENT ETRE ACCOMPAGNEES D'UN MODELE PROPOSE </v>
          </cell>
          <cell r="D1498" t="str">
            <v>PE</v>
          </cell>
          <cell r="E1498" t="str">
            <v>522.52216</v>
          </cell>
          <cell r="F1498">
            <v>196.53389999999999</v>
          </cell>
          <cell r="G1498">
            <v>0</v>
          </cell>
          <cell r="H1498">
            <v>0</v>
          </cell>
          <cell r="I1498">
            <v>0</v>
          </cell>
          <cell r="J1498">
            <v>0</v>
          </cell>
          <cell r="K1498">
            <v>0</v>
          </cell>
          <cell r="L1498">
            <v>0</v>
          </cell>
        </row>
        <row r="1499">
          <cell r="A1499" t="str">
            <v>10096.00541</v>
          </cell>
          <cell r="B1499" t="str">
            <v>CHAUSSURE DE PROTECTION P.42</v>
          </cell>
          <cell r="C1499"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42N.B : LE FOURNISSEUR DOIT GARANTIR UN NIVEAU DE PROTECTION ADAPTE AUX RISQUES COURANTS, UNE DURABILITE CORRECTE DES ELEMENTS DE PROTECTION ET DES QUALITES HYGIENIQUES COMPATIBLE AVEC LES CONDITIONS DE PORTER. LES OFFRES DOIVENT ETRE ACCOMPAGNEES D'UN MODELE PROPOSE </v>
          </cell>
          <cell r="D1499" t="str">
            <v>PE</v>
          </cell>
          <cell r="E1499" t="str">
            <v>522.52216</v>
          </cell>
          <cell r="F1499">
            <v>174</v>
          </cell>
          <cell r="G1499">
            <v>0</v>
          </cell>
          <cell r="H1499">
            <v>0</v>
          </cell>
          <cell r="I1499">
            <v>0</v>
          </cell>
          <cell r="J1499">
            <v>0</v>
          </cell>
          <cell r="K1499">
            <v>0</v>
          </cell>
          <cell r="L1499">
            <v>0</v>
          </cell>
        </row>
        <row r="1500">
          <cell r="A1500" t="str">
            <v>10096.00543</v>
          </cell>
          <cell r="B1500" t="str">
            <v>CHAUSSURE DE PROTECTION P.43</v>
          </cell>
          <cell r="C1500"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43N.B : LE FOURNISSEUR DOIT GARANTIR UN NIVEAU DE PROTECTION ADAPTE AUX RISQUES COURANTS, UNE DURABILITE CORRECTE DES ELEMENTS DE PROTECTION ET DES QUALITES HYGIENIQUES COMPATIBLE AVEC LES CONDITIONS DE PORTER. LES OFFRES DOIVENT ETRE ACCOMPAGNEES D'UN MODELE PROPOSE </v>
          </cell>
          <cell r="D1500" t="str">
            <v>PE</v>
          </cell>
          <cell r="E1500" t="str">
            <v>522.52216</v>
          </cell>
          <cell r="F1500">
            <v>177.91409999999999</v>
          </cell>
          <cell r="G1500">
            <v>0</v>
          </cell>
          <cell r="H1500">
            <v>0</v>
          </cell>
          <cell r="I1500">
            <v>0</v>
          </cell>
          <cell r="J1500">
            <v>0</v>
          </cell>
          <cell r="K1500">
            <v>0</v>
          </cell>
          <cell r="L1500">
            <v>0</v>
          </cell>
        </row>
        <row r="1501">
          <cell r="A1501" t="str">
            <v>10096.00545</v>
          </cell>
          <cell r="B1501" t="str">
            <v>CHAUSSURE DE PROTECTION P.44</v>
          </cell>
          <cell r="C1501"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44N.B : LE FOURNISSEUR DOIT GARANTIR UN NIVEAU DE PROTECTION ADAPTE AUX RISQUES COURANTS, UNE DURABILITE CORRECTE DES ELEMENTS DE PROTECTION ET DES QUALITES HYGIENIQUES COMPATIBLE AVEC LES CONDITIONS DE PORTER. LES OFFRES DOIVENT ETRE ACCOMPAGNEES D'UN MODELE PROPOSE </v>
          </cell>
          <cell r="D1501" t="str">
            <v>PE</v>
          </cell>
          <cell r="E1501" t="str">
            <v>522.52216</v>
          </cell>
          <cell r="F1501">
            <v>176.96250000000001</v>
          </cell>
          <cell r="G1501">
            <v>0</v>
          </cell>
          <cell r="H1501">
            <v>0</v>
          </cell>
          <cell r="I1501">
            <v>0</v>
          </cell>
          <cell r="J1501">
            <v>0</v>
          </cell>
          <cell r="K1501">
            <v>0</v>
          </cell>
          <cell r="L1501">
            <v>0</v>
          </cell>
        </row>
        <row r="1502">
          <cell r="A1502" t="str">
            <v>10050.03401</v>
          </cell>
          <cell r="B1502" t="str">
            <v>CABLE SILICABLE CSV 1</v>
          </cell>
          <cell r="C1502" t="str">
            <v xml:space="preserve">CONDUCTEURS ET CABLES ELECTRIQUES CABLE SILICABLE CSV,UN1000V CL 5NCC31-012,T:220A250DEGAME SOUPLE CU ROUGE ETAME ISOLE AU CAOUTCH.DE SILICONEAVEC TRESSE DE VERRE INDUITE DE CAOUTCHOUC DE SILICONESECTION 1 MM2 DIAMETRE EXTERIEUR 2,9 MM , MASSE 15,6 KG/KM TEINTE : </v>
          </cell>
          <cell r="D1502" t="str">
            <v>M</v>
          </cell>
          <cell r="E1502" t="str">
            <v>522.52205</v>
          </cell>
          <cell r="F1502">
            <v>10.5</v>
          </cell>
          <cell r="G1502">
            <v>0</v>
          </cell>
          <cell r="H1502">
            <v>0</v>
          </cell>
          <cell r="I1502">
            <v>0</v>
          </cell>
          <cell r="J1502">
            <v>0</v>
          </cell>
          <cell r="K1502">
            <v>0</v>
          </cell>
          <cell r="L1502">
            <v>500</v>
          </cell>
        </row>
        <row r="1503">
          <cell r="A1503" t="str">
            <v>10053.05427</v>
          </cell>
          <cell r="B1503" t="str">
            <v>LAMPE VAPEUR MERCURE E40</v>
          </cell>
          <cell r="C1503" t="str">
            <v xml:space="preserve">ECLAIRAGE ET MATERIEL UTILISANT L'ENERGIE ELECTRIQUE LAMPES A DECHARGE A FONCTIONNEMENT PAR APPAREILLAGE LAMPE A VAPEUR DE MERCURE , REVETEMENT INTERNE FLUORESCENT AU VANADATE FORME OVOIDE NORMALE PUISSANCE 400 W DIAMETRE 120 MM LONGUEUR 282 MM CULOT E 40 GENRE MAZDA-MF..RV , PHILIPS-HPL N OU EQUIVALENT </v>
          </cell>
          <cell r="D1503" t="str">
            <v>PE</v>
          </cell>
          <cell r="E1503" t="str">
            <v>522.52206</v>
          </cell>
          <cell r="F1503">
            <v>46.9833</v>
          </cell>
          <cell r="G1503">
            <v>0</v>
          </cell>
          <cell r="H1503">
            <v>0</v>
          </cell>
          <cell r="I1503">
            <v>0</v>
          </cell>
          <cell r="J1503">
            <v>0</v>
          </cell>
          <cell r="K1503">
            <v>0</v>
          </cell>
          <cell r="L1503">
            <v>48</v>
          </cell>
        </row>
        <row r="1504">
          <cell r="A1504" t="str">
            <v>10050.03404</v>
          </cell>
          <cell r="B1504" t="str">
            <v>CABLE SILICABLE CSV 2,5</v>
          </cell>
          <cell r="C1504" t="str">
            <v xml:space="preserve">CONDUCTEURS ET CABLES ELECTRIQUES CABLE SILICABLE CSV,UN1000V CL 5NCC31-012,T:220A250DEGAME SOUPLE CU ROUGE ETAME ISOLE AU CAOUTCH.DE SILICONEAVEC TRESSE DE VERRE INDUITE DE CAOUTCHOUC DE SILICONESECTION 2,5 MM2 DIAMETRE EXTERIEUR 4 MM , MASSE 32,4 KG/KM TEINTE : </v>
          </cell>
          <cell r="D1504" t="str">
            <v>M</v>
          </cell>
          <cell r="E1504" t="str">
            <v>522.52205</v>
          </cell>
          <cell r="F1504">
            <v>17.135999999999999</v>
          </cell>
          <cell r="G1504">
            <v>0</v>
          </cell>
          <cell r="H1504">
            <v>0</v>
          </cell>
          <cell r="I1504">
            <v>0</v>
          </cell>
          <cell r="J1504">
            <v>0</v>
          </cell>
          <cell r="K1504">
            <v>0</v>
          </cell>
          <cell r="L1504">
            <v>500</v>
          </cell>
        </row>
        <row r="1505">
          <cell r="A1505" t="str">
            <v>10046.00417</v>
          </cell>
          <cell r="B1505" t="str">
            <v>BIAFINE LOTION SOLUTION</v>
          </cell>
          <cell r="C1505" t="str">
            <v xml:space="preserve">BIAFINE LOTION SOLUTION </v>
          </cell>
          <cell r="D1505" t="str">
            <v>PE</v>
          </cell>
          <cell r="E1505" t="str">
            <v>223.22301</v>
          </cell>
          <cell r="F1505">
            <v>47.5</v>
          </cell>
          <cell r="G1505">
            <v>0</v>
          </cell>
          <cell r="H1505">
            <v>0</v>
          </cell>
          <cell r="I1505">
            <v>0</v>
          </cell>
          <cell r="J1505">
            <v>0</v>
          </cell>
          <cell r="K1505">
            <v>0</v>
          </cell>
          <cell r="L1505">
            <v>0</v>
          </cell>
        </row>
        <row r="1506">
          <cell r="A1506" t="str">
            <v>10053.05501</v>
          </cell>
          <cell r="B1506" t="str">
            <v>LAMPE VAPEUR SODIUM E40</v>
          </cell>
          <cell r="C1506" t="str">
            <v xml:space="preserve">ECLAIRAGE ET MATERIEL UTILISANT L'ENERGIE ELECTRIQUE LAMPES A DECHARGE A FONCTIONNEMENT PAR APPAREILLAGE LAMPE A VAPEUR DE SODIUM , HAUTE PRESSION FORME TUBULAIRE CLAIRE PUISSANCE 250 W DIAMETRE 47 MM LONGUEUR 250 MM CULOT E 40 GENRE MAZDA-MAC.. , PHILIPS-SONT.. OU EQUIVALENT </v>
          </cell>
          <cell r="D1506" t="str">
            <v>PE</v>
          </cell>
          <cell r="E1506" t="str">
            <v>522.52206</v>
          </cell>
          <cell r="F1506">
            <v>43.461100000000002</v>
          </cell>
          <cell r="G1506">
            <v>0</v>
          </cell>
          <cell r="H1506">
            <v>0</v>
          </cell>
          <cell r="I1506">
            <v>0</v>
          </cell>
          <cell r="J1506">
            <v>0</v>
          </cell>
          <cell r="K1506">
            <v>0</v>
          </cell>
          <cell r="L1506">
            <v>166</v>
          </cell>
        </row>
        <row r="1507">
          <cell r="A1507" t="str">
            <v>10053.05504</v>
          </cell>
          <cell r="B1507" t="str">
            <v>LAMPE VAPEUR SODIUM E40</v>
          </cell>
          <cell r="C1507" t="str">
            <v xml:space="preserve">ECLAIRAGE ET MATERIEL UTILISANT L'ENERGIE ELECTRIQUE LAMPES A DECHARGE A FONCTIONNEMENT PAR APPAREILLAGE LAMPE A VAPEUR DE SODIUM , HAUTE PRESSION FORME TUBULAIRE CLAIRE PUISSANCE 400 W DIAMETRE 47 MM LONGUEUR 283 MM CULOT E 40 GENRE MAZDA-MAC.. , PHILIPS-SONT.. OU EQUIVALENT </v>
          </cell>
          <cell r="D1507" t="str">
            <v>PE</v>
          </cell>
          <cell r="E1507" t="str">
            <v>522.52206</v>
          </cell>
          <cell r="F1507">
            <v>52</v>
          </cell>
          <cell r="G1507">
            <v>0</v>
          </cell>
          <cell r="H1507">
            <v>0</v>
          </cell>
          <cell r="I1507">
            <v>0</v>
          </cell>
          <cell r="J1507">
            <v>0</v>
          </cell>
          <cell r="K1507">
            <v>0</v>
          </cell>
          <cell r="L1507">
            <v>100</v>
          </cell>
        </row>
        <row r="1508">
          <cell r="A1508" t="str">
            <v>10046.01210</v>
          </cell>
          <cell r="B1508" t="str">
            <v>DACRYOSERUM SOLUTION (PIECE= 1 POCHE)</v>
          </cell>
          <cell r="C1508" t="str">
            <v>DACRYOSERUM SOLUTION (PIECE= 1 POCHE)</v>
          </cell>
          <cell r="D1508" t="str">
            <v>PE</v>
          </cell>
          <cell r="E1508" t="str">
            <v>223.22301</v>
          </cell>
          <cell r="F1508">
            <v>29</v>
          </cell>
          <cell r="G1508">
            <v>0</v>
          </cell>
          <cell r="H1508">
            <v>0</v>
          </cell>
          <cell r="I1508">
            <v>0</v>
          </cell>
          <cell r="J1508">
            <v>0</v>
          </cell>
          <cell r="K1508">
            <v>0</v>
          </cell>
          <cell r="L1508">
            <v>0</v>
          </cell>
        </row>
        <row r="1509">
          <cell r="A1509" t="str">
            <v>10050.02710</v>
          </cell>
          <cell r="B1509" t="str">
            <v>CABLE H07VVH2_F 12X1,5MM2</v>
          </cell>
          <cell r="C1509" t="str">
            <v xml:space="preserve">CONDUCTEURS ET CABLES ELECTRIQUES CABLE MEPLAT POUR PALAN ET PONT ROULANT SERIE HO7VVH2-F ,SUIVANT NORME NFC 32-202 TENSION NOMINALE 450/750V - CARACTERISTIQUES:AME SOUPLE EN CUIVRE ISOLEE EN PVC - AVEC FIL DE DECHIREMENT - GAINE EXTERIEURE EN PVC NBRE DE COND.ET SECTIONS: 12 X 1,5 MM2 - DIMENSIONS EXTERIEURES MAXI 41,7 X 5,9 MM </v>
          </cell>
          <cell r="D1509" t="str">
            <v>M</v>
          </cell>
          <cell r="E1509" t="str">
            <v>522.52205</v>
          </cell>
          <cell r="F1509">
            <v>65.951999999999998</v>
          </cell>
          <cell r="G1509">
            <v>0</v>
          </cell>
          <cell r="H1509">
            <v>0</v>
          </cell>
          <cell r="I1509">
            <v>0</v>
          </cell>
          <cell r="J1509">
            <v>0</v>
          </cell>
          <cell r="K1509">
            <v>0</v>
          </cell>
          <cell r="L1509">
            <v>200</v>
          </cell>
        </row>
        <row r="1510">
          <cell r="A1510" t="str">
            <v>10046.01289</v>
          </cell>
          <cell r="B1510" t="str">
            <v>DOLIPRANE DOSE A 0,50 GR (PIECE= BOITE DE 20 COMPRIMES)</v>
          </cell>
          <cell r="C1510" t="str">
            <v>DOLIPRANE DOSE A 0,50 GR (PIECE= BOITE DE 20 COMPRIMES)</v>
          </cell>
          <cell r="D1510" t="str">
            <v>PE</v>
          </cell>
          <cell r="E1510" t="str">
            <v>223.22301</v>
          </cell>
          <cell r="F1510">
            <v>9.0500000000000007</v>
          </cell>
          <cell r="G1510">
            <v>0</v>
          </cell>
          <cell r="H1510">
            <v>0</v>
          </cell>
          <cell r="I1510">
            <v>0</v>
          </cell>
          <cell r="J1510">
            <v>0</v>
          </cell>
          <cell r="K1510">
            <v>0</v>
          </cell>
          <cell r="L1510">
            <v>0</v>
          </cell>
        </row>
        <row r="1511">
          <cell r="A1511" t="str">
            <v>10044.00436</v>
          </cell>
          <cell r="B1511" t="str">
            <v>CHAMBRE A AIR 7.00-12</v>
          </cell>
          <cell r="C1511" t="str">
            <v xml:space="preserve">CHAMBRE A AIR POUR PNEU DES ENGINS DE MANUTENTION DIMENSIONS : 7.00-12 DESTINATION : POUR PNEU DE CHARIOT ELEVATEUR </v>
          </cell>
          <cell r="D1511" t="str">
            <v>PE</v>
          </cell>
          <cell r="E1511" t="str">
            <v>516.51602</v>
          </cell>
          <cell r="F1511">
            <v>144</v>
          </cell>
          <cell r="G1511">
            <v>0</v>
          </cell>
          <cell r="H1511">
            <v>0</v>
          </cell>
          <cell r="I1511">
            <v>0</v>
          </cell>
          <cell r="J1511">
            <v>0</v>
          </cell>
          <cell r="K1511">
            <v>0</v>
          </cell>
          <cell r="L1511">
            <v>0</v>
          </cell>
        </row>
        <row r="1512">
          <cell r="A1512" t="str">
            <v>10050.05520</v>
          </cell>
          <cell r="B1512" t="str">
            <v>CABLE COMPENSATION TYPE K</v>
          </cell>
          <cell r="C1512" t="str">
            <v xml:space="preserve">CONDUCTEURS ET CABLES ELECTRIQUES CABLE DE COMPENSATION  NORME = NF.C42321/C42322/C42323/C42324(EX.E18001) CONSTITUTION= 2 CONDUCTEURS SOUPLES DE 48 BRINS CHACUN - DE 0,2 MM DE DIAMETRE - SECTION : 1,5 MM2 - CONDUCTEURS ISOLES EN CAOUTCHOUC SILICONE - D'EPAISSEUR 0,6 MM - LES CONDUCTEURS REPRIS ENSEMBLE - SOUS UN ECRAN DE RUBAN D'ALUMINIUM - GAINE EXTERIEURE EN CAOUTCHOUC SILICONE - FORME CIRCULAIRE - TEMPERAT. UTILISAT.MAX. : -40 A +200 DEGRES C - COUPLE TYPE K - POSITIF = NICKEL-CHROME/NEGATIF = NICKEL-ALLIE - COULEUR=POSITIF=JAUNE/NEGATIF=VIOLET/GAINE=JAUN/VIOLET- DIAMETRE CABLE = 8 MM </v>
          </cell>
          <cell r="D1512" t="str">
            <v>M</v>
          </cell>
          <cell r="E1512" t="str">
            <v>522.52205</v>
          </cell>
          <cell r="F1512">
            <v>58.5</v>
          </cell>
          <cell r="G1512">
            <v>0</v>
          </cell>
          <cell r="H1512">
            <v>0</v>
          </cell>
          <cell r="I1512">
            <v>0</v>
          </cell>
          <cell r="J1512">
            <v>0</v>
          </cell>
          <cell r="K1512">
            <v>0</v>
          </cell>
          <cell r="L1512">
            <v>0</v>
          </cell>
        </row>
        <row r="1513">
          <cell r="A1513" t="str">
            <v>10050.01230</v>
          </cell>
          <cell r="B1513" t="str">
            <v>CABLE BT U1000R02V 24 X 1,5MM²</v>
          </cell>
          <cell r="C1513" t="str">
            <v>CONDUCTEUR ET CABLES ELECTRIQUE.CABLE BT INDUSTRIEL SERIE U1000R02V , TENSION NOMINALE 1000V SUIVANT NORME NF.C 32-321 CARACTERISTIQUES : - AME RIGIDE EN CUIVRE ISOLEE AU P.R, - AVEC GAINE DE BOURRAGE. - GAINE EXTERIEURE EN P.V.C - NBRE DE COND.ET SECTIONS: 24 X 1,5 MM² DIAMETRE EXTERIEUR : 20,8 MM</v>
          </cell>
          <cell r="D1513" t="str">
            <v>M</v>
          </cell>
          <cell r="E1513" t="str">
            <v>522.52205</v>
          </cell>
          <cell r="F1513">
            <v>35.893000000000001</v>
          </cell>
          <cell r="G1513">
            <v>0</v>
          </cell>
          <cell r="H1513">
            <v>1000</v>
          </cell>
          <cell r="I1513">
            <v>0</v>
          </cell>
          <cell r="J1513">
            <v>0</v>
          </cell>
          <cell r="K1513">
            <v>0</v>
          </cell>
          <cell r="L1513">
            <v>0</v>
          </cell>
        </row>
        <row r="1514">
          <cell r="A1514" t="str">
            <v>10051.10050</v>
          </cell>
          <cell r="B1514" t="str">
            <v>EXTREMITE HT 72,5 KV</v>
          </cell>
          <cell r="C1514" t="str">
            <v>EXTREMITE HAUTE TENSION 72,5 KV TYPE EXTERIEURPOUR CABLE UNIPOLAIRE.SUIVANT FICHE TECHNIQUE</v>
          </cell>
          <cell r="D1514" t="str">
            <v>PE</v>
          </cell>
          <cell r="E1514" t="str">
            <v>522.52206</v>
          </cell>
          <cell r="F1514">
            <v>53081.8</v>
          </cell>
          <cell r="G1514">
            <v>0</v>
          </cell>
          <cell r="H1514">
            <v>0</v>
          </cell>
          <cell r="I1514">
            <v>0</v>
          </cell>
          <cell r="J1514">
            <v>0</v>
          </cell>
          <cell r="K1514">
            <v>0</v>
          </cell>
          <cell r="L1514">
            <v>3</v>
          </cell>
        </row>
        <row r="1515">
          <cell r="A1515" t="str">
            <v>10050.02795</v>
          </cell>
          <cell r="B1515" t="str">
            <v>CABLE BLINDE 1PAIRE 0.9MM 250V</v>
          </cell>
          <cell r="C1515" t="str">
            <v>CONDUCTEURS ELECTRIQUESCABLE BLINDE ISOLE AU PVC SPECIAL RH   GAINE EXTERIEURE BLEUE RESISTANTE CONFORME A LA NORME: NF M87-202 SECTION CONDUCTEUR: 1,5 SOUS FORME DE 7 BRINS DE 0,53 MM DIAMETRE EXTERIEUR FIL: 1,6 MM RESISTANCE MAX: 12,1 OHM/KM A 20 DEGRES CELCIUS TENSION DE SERVICE: 250V ;TENSION D'ESSAI: 2 KV RESISTANCE MINI.D'ISOLEMENT: 500 MOHMS/KM A 20 DC IDENTIFICATION DES PAIRES PAR IMPRESSION D'UN NUMERO TYPE DU CABLE: 01 PAIRE DIAMETRE EXTERIEUR: 8 MM -SECTION FIL: 0,9 MM2."</v>
          </cell>
          <cell r="D1515" t="str">
            <v>M</v>
          </cell>
          <cell r="E1515" t="str">
            <v>522.52205</v>
          </cell>
          <cell r="F1515">
            <v>4.99</v>
          </cell>
          <cell r="G1515">
            <v>0</v>
          </cell>
          <cell r="H1515">
            <v>0</v>
          </cell>
          <cell r="I1515">
            <v>0</v>
          </cell>
          <cell r="J1515">
            <v>0</v>
          </cell>
          <cell r="K1515">
            <v>0</v>
          </cell>
          <cell r="L1515">
            <v>0</v>
          </cell>
        </row>
        <row r="1516">
          <cell r="A1516" t="str">
            <v>10050.02796</v>
          </cell>
          <cell r="B1516" t="str">
            <v>CABLE BLINDE 1TIERCE 0.9MM 250V</v>
          </cell>
          <cell r="C1516" t="str">
            <v>CONDUCTEURS ELECTRIQUESCABLE BLINDE ISOLE AU PVC SPECIAL RH  GAINE EXTERIEURE BLEUE RESISTANTE CONFORME A LA NORME : NF M87-202 SECTION CONDUCTEUR: 1,5 SOU FORME DE 7 BRINS DE 0,53 MM DIAMETRE EXTERIEUR FIL: 1,6 MM RESISTANCE MAX: 12,1 OHM/KM A 20 DEGRES CELCIUS TENSION DE SERVICE: 250V ;TENSION D'ESSAI: 2 KV RESISTANCE MINI.D'ISOLEMENT: 500MOHMS/KM A 20 DC TYPE DU CABLE: 01 TIERCE DIAMETRE EXTERIEUR: 10 MM SECTION FIL : 0,9 MM2.</v>
          </cell>
          <cell r="D1516" t="str">
            <v>M</v>
          </cell>
          <cell r="E1516" t="str">
            <v>522.52205</v>
          </cell>
          <cell r="F1516">
            <v>7.99</v>
          </cell>
          <cell r="G1516">
            <v>0</v>
          </cell>
          <cell r="H1516">
            <v>0</v>
          </cell>
          <cell r="I1516">
            <v>0</v>
          </cell>
          <cell r="J1516">
            <v>0</v>
          </cell>
          <cell r="K1516">
            <v>0</v>
          </cell>
          <cell r="L1516">
            <v>500</v>
          </cell>
        </row>
        <row r="1517">
          <cell r="A1517" t="str">
            <v>10043.00985</v>
          </cell>
          <cell r="B1517" t="str">
            <v>LOCTITE FREINF SU RA NO242</v>
          </cell>
          <cell r="C1517" t="str">
            <v>DIVERS PRODUIT GENRE LOCTITE OU PRDUIT SIMILAIRE GENRE LOCITE FREINFILET SUPER RAPIDE NORMALE 242 CONTENANT FREINAGE ET ETANCHEINTE GENERALE DES PIECES FILETEES. CONDITIONNEMENT FLACON DE 250 ML FICHE DE DONNEE DE SECURITE EST EXIGEE LORS DE LA LIVRAISON DU PRODUIT.</v>
          </cell>
          <cell r="D1517" t="str">
            <v>PE</v>
          </cell>
          <cell r="E1517" t="str">
            <v>522.52203</v>
          </cell>
          <cell r="F1517">
            <v>252</v>
          </cell>
          <cell r="G1517">
            <v>0</v>
          </cell>
          <cell r="H1517">
            <v>0</v>
          </cell>
          <cell r="I1517">
            <v>0</v>
          </cell>
          <cell r="J1517">
            <v>0</v>
          </cell>
          <cell r="K1517">
            <v>0</v>
          </cell>
          <cell r="L1517">
            <v>0</v>
          </cell>
        </row>
        <row r="1518">
          <cell r="A1518" t="str">
            <v>10050.01412</v>
          </cell>
          <cell r="B1518" t="str">
            <v>CABLE H 07RN-F  4X 6</v>
          </cell>
          <cell r="C1518" t="str">
            <v xml:space="preserve">CONDUCTEURS ET CABLES ELECTRIQUES CABLE BT INDUSTRIEL SUIVANT NORME NF C 32-102 , UN 450/750 V SERIE H07RN-F NBRE DE COND.ET SECTIONS: 4 X 6 MM2 </v>
          </cell>
          <cell r="D1518" t="str">
            <v>M</v>
          </cell>
          <cell r="E1518" t="str">
            <v>522.52205</v>
          </cell>
          <cell r="F1518">
            <v>17.850000000000001</v>
          </cell>
          <cell r="G1518">
            <v>0</v>
          </cell>
          <cell r="H1518">
            <v>0</v>
          </cell>
          <cell r="I1518">
            <v>0</v>
          </cell>
          <cell r="J1518">
            <v>0</v>
          </cell>
          <cell r="K1518">
            <v>0</v>
          </cell>
          <cell r="L1518">
            <v>900</v>
          </cell>
        </row>
        <row r="1519">
          <cell r="A1519" t="str">
            <v>10052.07783</v>
          </cell>
          <cell r="B1519" t="str">
            <v>MANCH A SERT 150MM2 L=80</v>
          </cell>
          <cell r="C1519" t="str">
            <v xml:space="preserve">MONCHON DE JONCTION EN CUIVRE E SERTIR SECTION 150 MM2 LONGUEUR DU MONCHON 80 MM </v>
          </cell>
          <cell r="D1519" t="str">
            <v>PE</v>
          </cell>
          <cell r="E1519" t="str">
            <v>522.52206</v>
          </cell>
          <cell r="F1519">
            <v>21.96</v>
          </cell>
          <cell r="G1519">
            <v>0</v>
          </cell>
          <cell r="H1519">
            <v>0</v>
          </cell>
          <cell r="I1519">
            <v>0</v>
          </cell>
          <cell r="J1519">
            <v>0</v>
          </cell>
          <cell r="K1519">
            <v>50</v>
          </cell>
          <cell r="L1519">
            <v>0</v>
          </cell>
        </row>
        <row r="1520">
          <cell r="A1520" t="str">
            <v>10046.00834</v>
          </cell>
          <cell r="B1520" t="str">
            <v>COTON HYDROPHILE (PIECE= 500GR)</v>
          </cell>
          <cell r="C1520" t="str">
            <v>PAQUET- COTON HYDROPHILE  PAQUET ROULE COMPRESSE DE (PIECE= 500GR)</v>
          </cell>
          <cell r="D1520" t="str">
            <v>PE</v>
          </cell>
          <cell r="E1520" t="str">
            <v>223.22301</v>
          </cell>
          <cell r="F1520">
            <v>30</v>
          </cell>
          <cell r="G1520">
            <v>0</v>
          </cell>
          <cell r="H1520">
            <v>0</v>
          </cell>
          <cell r="I1520">
            <v>0</v>
          </cell>
          <cell r="J1520">
            <v>0</v>
          </cell>
          <cell r="K1520">
            <v>0</v>
          </cell>
          <cell r="L1520">
            <v>0</v>
          </cell>
        </row>
        <row r="1521">
          <cell r="A1521" t="str">
            <v>10052.07784</v>
          </cell>
          <cell r="B1521" t="str">
            <v>MANCH A SERT 185MM2 L=85</v>
          </cell>
          <cell r="C1521" t="str">
            <v xml:space="preserve">MONCHON DE JONCTION EN CUIVRE E SERTIR SECTION 185 MM2 LONGUEUR DU MONCHON 85 MM </v>
          </cell>
          <cell r="D1521" t="str">
            <v>PE</v>
          </cell>
          <cell r="E1521" t="str">
            <v>522.52206</v>
          </cell>
          <cell r="F1521">
            <v>24.972000000000001</v>
          </cell>
          <cell r="G1521">
            <v>0</v>
          </cell>
          <cell r="H1521">
            <v>0</v>
          </cell>
          <cell r="I1521">
            <v>0</v>
          </cell>
          <cell r="J1521">
            <v>0</v>
          </cell>
          <cell r="K1521">
            <v>50</v>
          </cell>
          <cell r="L1521">
            <v>0</v>
          </cell>
        </row>
        <row r="1522">
          <cell r="A1522" t="str">
            <v>10050.02591</v>
          </cell>
          <cell r="B1522" t="str">
            <v>CABLE ELECTRIQUE POUR ENROULEUR</v>
          </cell>
          <cell r="C1522" t="str">
            <v>CABLE ELECTRIQUE POUR ENROULEUR TENSION DE SERVICE DES CONDUCTEURS: 600/1000V6FO 62,5/125 + 12X1,5mm2 + 4G 6mm2 RESISTANCE D'ISOLEMENT SUP OU EGAL 500M¿/KM</v>
          </cell>
          <cell r="D1522" t="str">
            <v>M</v>
          </cell>
          <cell r="E1522" t="str">
            <v>522.52205</v>
          </cell>
          <cell r="F1522">
            <v>2148</v>
          </cell>
          <cell r="G1522">
            <v>0</v>
          </cell>
          <cell r="H1522">
            <v>0</v>
          </cell>
          <cell r="I1522">
            <v>0</v>
          </cell>
          <cell r="J1522">
            <v>0</v>
          </cell>
          <cell r="K1522">
            <v>0</v>
          </cell>
          <cell r="L1522">
            <v>0</v>
          </cell>
        </row>
        <row r="1523">
          <cell r="A1523" t="str">
            <v>10043.00987</v>
          </cell>
          <cell r="B1523" t="str">
            <v>LOCTITE FREINE SU RA FA222</v>
          </cell>
          <cell r="C1523" t="str">
            <v>DIVERS PRODUIT GENRE LOCTITE OU PRDUIT SIMILAIRE GENRE LOCTITE FREINFILET SUPER RAPIDE FAIBLE 222 CONTENANT FREINAGE ET ETANCHEITE DE VIS.RESISTANCE FAIBLE CONDITIONNEMENT FLACON DE 50 ML. FICHE DE DONNEE DE SECURITE EST EXIGEE LORS DE LA LIVRAISON DU PRODUIT.</v>
          </cell>
          <cell r="D1523" t="str">
            <v>PE</v>
          </cell>
          <cell r="E1523" t="str">
            <v>522.52203</v>
          </cell>
          <cell r="F1523">
            <v>120</v>
          </cell>
          <cell r="G1523">
            <v>0</v>
          </cell>
          <cell r="H1523">
            <v>0</v>
          </cell>
          <cell r="I1523">
            <v>0</v>
          </cell>
          <cell r="J1523">
            <v>0</v>
          </cell>
          <cell r="K1523">
            <v>0</v>
          </cell>
          <cell r="L1523">
            <v>0</v>
          </cell>
        </row>
        <row r="1524">
          <cell r="A1524" t="str">
            <v>10043.00988</v>
          </cell>
          <cell r="B1524" t="str">
            <v>LOCTITE SUPER RAPIDE 358</v>
          </cell>
          <cell r="C1524" t="str">
            <v>DIVERS PRODUIT GENRE LOCTITE OU PRDUIT SIMILAIRE DESIGNATION PRODUIT GENRE LOCTITE SUPER RAPIDE 358 CONTENANT COLLAGE VERRE SUR VERRE OU VERRE SUR METAL CONDITIONNEMENT FLACON DE 500 ML FICHE DE DONNEE DE SECURITE EST EXIGEE LORS DE LA LIVRAISON DU PRODUIT.</v>
          </cell>
          <cell r="D1524" t="str">
            <v>PE</v>
          </cell>
          <cell r="E1524" t="str">
            <v>522.52203</v>
          </cell>
          <cell r="F1524">
            <v>312</v>
          </cell>
          <cell r="G1524">
            <v>0</v>
          </cell>
          <cell r="H1524">
            <v>0</v>
          </cell>
          <cell r="I1524">
            <v>0</v>
          </cell>
          <cell r="J1524">
            <v>0</v>
          </cell>
          <cell r="K1524">
            <v>0</v>
          </cell>
          <cell r="L1524">
            <v>0</v>
          </cell>
        </row>
        <row r="1525">
          <cell r="A1525" t="str">
            <v>10043.00989</v>
          </cell>
          <cell r="B1525" t="str">
            <v>LOCTITE ADHESI SU RA IS495</v>
          </cell>
          <cell r="C1525" t="str">
            <v xml:space="preserve">DIVERS PRODUIT GENRE LOCTITE OU PRDUIT SIMILAIRE . . GENRE LOCTITE ADHESIF SUPER-RAPIDE IS 495 CONTENANT COLLAGE DE CAOUTCHOUC ET PLASTIQUE CONDITIONNEMENT FLACON DE 100 GRS </v>
          </cell>
          <cell r="D1525" t="str">
            <v>PE</v>
          </cell>
          <cell r="E1525" t="str">
            <v>522.52203</v>
          </cell>
          <cell r="F1525">
            <v>203.52</v>
          </cell>
          <cell r="G1525">
            <v>0</v>
          </cell>
          <cell r="H1525">
            <v>0</v>
          </cell>
          <cell r="I1525">
            <v>0</v>
          </cell>
          <cell r="J1525">
            <v>0</v>
          </cell>
          <cell r="K1525">
            <v>0</v>
          </cell>
          <cell r="L1525">
            <v>0</v>
          </cell>
        </row>
        <row r="1526">
          <cell r="A1526" t="str">
            <v>10053.06112</v>
          </cell>
          <cell r="B1526" t="str">
            <v>LAMPE SIGNALISATION</v>
          </cell>
          <cell r="C1526" t="str">
            <v xml:space="preserve">ECLAIRAGE ET MATERIEL UTILISANT L'ENERGIE ELECTRIQUE LAMPES DE SIGNALISATION . . TENSION 48 V FORME TUBE STANDARD PUISSANCE 2 W , I = 40 M.A CULOT BA 9S DIMENSIONS DIAM : 10 X 28 MM </v>
          </cell>
          <cell r="D1526" t="str">
            <v>PE</v>
          </cell>
          <cell r="E1526" t="str">
            <v>522.52206</v>
          </cell>
          <cell r="F1526">
            <v>4.84</v>
          </cell>
          <cell r="G1526">
            <v>0</v>
          </cell>
          <cell r="H1526">
            <v>0</v>
          </cell>
          <cell r="I1526">
            <v>0</v>
          </cell>
          <cell r="J1526">
            <v>0</v>
          </cell>
          <cell r="K1526">
            <v>20</v>
          </cell>
          <cell r="L1526">
            <v>0</v>
          </cell>
        </row>
        <row r="1527">
          <cell r="A1527" t="str">
            <v>10043.00999</v>
          </cell>
          <cell r="B1527" t="str">
            <v>PATE ANTI GRIPPANTE CHARGEE DE POUDRE DE CUIVRE</v>
          </cell>
          <cell r="C1527" t="str">
            <v xml:space="preserve">CONSITANCE ASTM 280/315   ASPECT:PATEUX    COULEUR:CUIVRE     MASSE VOLUMIQUE:1.094   TENUE EN TEMPERATURE:-30°C+1100°C   REFERENCE: CU 900 GENRE AFER OU SIMILAIRE EN BOITE DE 1KG   UTILISATION:ANTI- CORROSION ET ANTI-ROUILLE EMPLOYE SUR ASSEMBLAGES STATIQUES ,JOINTS DE CULASSES,LES FILETAGES DE PIECES VISSEES EXPOSEES  A DE HAUTE TEMPERATURE  PENDANT DE LONGUES PERIODES SE DEMONTENT FACILEMENT SANS GRIPPAGE NI ARRACHEMENT </v>
          </cell>
          <cell r="D1527" t="str">
            <v>PE</v>
          </cell>
          <cell r="E1527" t="str">
            <v>522.52203</v>
          </cell>
          <cell r="F1527">
            <v>432</v>
          </cell>
          <cell r="G1527">
            <v>0</v>
          </cell>
          <cell r="H1527">
            <v>0</v>
          </cell>
          <cell r="I1527">
            <v>0</v>
          </cell>
          <cell r="J1527">
            <v>0</v>
          </cell>
          <cell r="K1527">
            <v>0</v>
          </cell>
          <cell r="L1527">
            <v>0</v>
          </cell>
        </row>
        <row r="1528">
          <cell r="A1528" t="str">
            <v>10025.06520</v>
          </cell>
          <cell r="B1528" t="str">
            <v>MEULE TRONCO.115X3,2X22,2</v>
          </cell>
          <cell r="C1528" t="str">
            <v xml:space="preserve">MEULE A TRONCONNER NORME NF.E 75205. TYPE BDA 34NORTON OU SIMILAIRE. EPAISSEUR 3,2 MILIMETRES. DIAMETRE EXTERIEUR 115 MILIMETRES. ALESAGE 22,2MLIMETRES. GRAIN 34. </v>
          </cell>
          <cell r="D1528" t="str">
            <v>PE</v>
          </cell>
          <cell r="E1528" t="str">
            <v>522.52208</v>
          </cell>
          <cell r="F1528">
            <v>10.701599999999999</v>
          </cell>
          <cell r="G1528">
            <v>0</v>
          </cell>
          <cell r="H1528">
            <v>0</v>
          </cell>
          <cell r="I1528">
            <v>0</v>
          </cell>
          <cell r="J1528">
            <v>0</v>
          </cell>
          <cell r="K1528">
            <v>0</v>
          </cell>
          <cell r="L1528">
            <v>0</v>
          </cell>
        </row>
        <row r="1529">
          <cell r="A1529" t="str">
            <v>10025.06527</v>
          </cell>
          <cell r="B1529" t="str">
            <v>MEULE TRONCO.180X3,2X22</v>
          </cell>
          <cell r="C1529" t="str">
            <v xml:space="preserve">MEULE A TRONCONNER.NORME NF.E 75 205. TYPE A30T3B82A2A EPAISSEUR 3,2 MILIMETRES. DIAMETRE EXTERIEUR 180 MILIMETRES. ALESAGE 22 MILIMETRES. ABRASIF CARBORUNDUM </v>
          </cell>
          <cell r="D1529" t="str">
            <v>PE</v>
          </cell>
          <cell r="E1529" t="str">
            <v>522.52208</v>
          </cell>
          <cell r="F1529">
            <v>13.8194</v>
          </cell>
          <cell r="G1529">
            <v>0</v>
          </cell>
          <cell r="H1529">
            <v>0</v>
          </cell>
          <cell r="I1529">
            <v>0</v>
          </cell>
          <cell r="J1529">
            <v>0</v>
          </cell>
          <cell r="K1529">
            <v>0</v>
          </cell>
          <cell r="L1529">
            <v>0</v>
          </cell>
        </row>
        <row r="1530">
          <cell r="A1530" t="str">
            <v>10025.06528</v>
          </cell>
          <cell r="B1530" t="str">
            <v>MEUL TRON A30N 125X22X3,2</v>
          </cell>
          <cell r="C1530" t="str">
            <v xml:space="preserve">MEULE A TRONCONNER AVEC ARMATURE TEXTILE INCORPOREE POUR LES TRAVAUX DES ACIERS INOXYDABLES EPAISSEUR 3,2 MM DIAMETRE EXTERIEUR : 125 MM ALESAGE 22 MM GRAIN A30N </v>
          </cell>
          <cell r="D1530" t="str">
            <v>PE</v>
          </cell>
          <cell r="E1530" t="str">
            <v>522.52208</v>
          </cell>
          <cell r="F1530">
            <v>15.14</v>
          </cell>
          <cell r="G1530">
            <v>0</v>
          </cell>
          <cell r="H1530">
            <v>0</v>
          </cell>
          <cell r="I1530">
            <v>0</v>
          </cell>
          <cell r="J1530">
            <v>0</v>
          </cell>
          <cell r="K1530">
            <v>25</v>
          </cell>
          <cell r="L1530">
            <v>0</v>
          </cell>
        </row>
        <row r="1531">
          <cell r="A1531" t="str">
            <v>10025.06530</v>
          </cell>
          <cell r="B1531" t="str">
            <v>MEULE TRONCO.230X3,5X23</v>
          </cell>
          <cell r="C1531" t="str">
            <v>MEULE A TRONCONNER EPAISSEUR 3,5 MM DIAMETRE EXTERIEUR:230 MM ALESAGE 23 MM ABRASIF CARBURUNDUM GRAIN A 24-*-BF X 3 VITESSE 6790 T/MINUTE</v>
          </cell>
          <cell r="D1531" t="str">
            <v>PE</v>
          </cell>
          <cell r="E1531" t="str">
            <v>522.52208</v>
          </cell>
          <cell r="F1531">
            <v>20.145399999999999</v>
          </cell>
          <cell r="G1531">
            <v>0</v>
          </cell>
          <cell r="H1531">
            <v>0</v>
          </cell>
          <cell r="I1531">
            <v>0</v>
          </cell>
          <cell r="J1531">
            <v>0</v>
          </cell>
          <cell r="K1531">
            <v>0</v>
          </cell>
          <cell r="L1531">
            <v>0</v>
          </cell>
        </row>
        <row r="1532">
          <cell r="A1532" t="str">
            <v>10025.06660</v>
          </cell>
          <cell r="B1532" t="str">
            <v>DISQUE A TRONCONNER</v>
          </cell>
          <cell r="C1532" t="str">
            <v>DISQUE A TRONCONNER KLINGSPORT REF A24 N.SUPRA POUR LE DECOUPAGE DE L'INOX ET ACIER SPECIAUXHOMOLOGATION NFE 75220 ET DSA 1760DISQUE FORME 42 BOMBEABRASIF : OXYDE DE ZIRCONIUMDIAMETRE 230 ALESAGE 22,2MM EPAISSEUR 3,2MM</v>
          </cell>
          <cell r="D1532" t="str">
            <v>PE</v>
          </cell>
          <cell r="E1532" t="str">
            <v>522.52208</v>
          </cell>
          <cell r="F1532">
            <v>26.519400000000001</v>
          </cell>
          <cell r="G1532">
            <v>0</v>
          </cell>
          <cell r="H1532">
            <v>0</v>
          </cell>
          <cell r="I1532">
            <v>0</v>
          </cell>
          <cell r="J1532">
            <v>0</v>
          </cell>
          <cell r="K1532">
            <v>0</v>
          </cell>
          <cell r="L1532">
            <v>0</v>
          </cell>
        </row>
        <row r="1533">
          <cell r="A1533" t="str">
            <v>10053.01560</v>
          </cell>
          <cell r="B1533" t="str">
            <v>LUMIN.ETANCH-2 X 40W</v>
          </cell>
          <cell r="C1533" t="str">
            <v xml:space="preserve">LUMINAIRES ETANCHES POUR TUBES FLUORESCENTS GENRE PHILIPS-CP 240 POUR 2 LAMPES TLM 40 </v>
          </cell>
          <cell r="D1533" t="str">
            <v>PE</v>
          </cell>
          <cell r="E1533" t="str">
            <v>522.52206</v>
          </cell>
          <cell r="F1533">
            <v>282</v>
          </cell>
          <cell r="G1533">
            <v>0</v>
          </cell>
          <cell r="H1533">
            <v>0</v>
          </cell>
          <cell r="I1533">
            <v>0</v>
          </cell>
          <cell r="J1533">
            <v>0</v>
          </cell>
          <cell r="K1533">
            <v>0</v>
          </cell>
          <cell r="L1533">
            <v>0</v>
          </cell>
        </row>
        <row r="1534">
          <cell r="A1534" t="str">
            <v>10025.00032</v>
          </cell>
          <cell r="B1534" t="str">
            <v>DISQUE A MEULER L'INOX</v>
          </cell>
          <cell r="C1534" t="str">
            <v>DISQUE A MEULER L'INOXDIAMETRE EXT: 230MM EPAISSEUR: 7MM ALESAGE: 22,2MM GRAIN: BDA 34</v>
          </cell>
          <cell r="D1534" t="str">
            <v>PE</v>
          </cell>
          <cell r="E1534" t="str">
            <v>522.52208</v>
          </cell>
          <cell r="F1534">
            <v>35.396500000000003</v>
          </cell>
          <cell r="G1534">
            <v>0</v>
          </cell>
          <cell r="H1534">
            <v>0</v>
          </cell>
          <cell r="I1534">
            <v>0</v>
          </cell>
          <cell r="J1534">
            <v>0</v>
          </cell>
          <cell r="K1534">
            <v>0</v>
          </cell>
          <cell r="L1534">
            <v>230</v>
          </cell>
        </row>
        <row r="1535">
          <cell r="A1535" t="str">
            <v>10052.05514</v>
          </cell>
          <cell r="B1535" t="str">
            <v>FUSIBLE 10X38 500V AM 1A</v>
          </cell>
          <cell r="C1535" t="str">
            <v xml:space="preserve">FUSIBLE BT ACCOMPAGNEMENT MOTEUR FORME CYLINDRIQUE A CAPSULE SANS PERCUTEUR TAILLE (MM) 10X38 TENSION NOMINALE (V) 500 CALIBRE (A) 1 </v>
          </cell>
          <cell r="D1535" t="str">
            <v>PE</v>
          </cell>
          <cell r="E1535" t="str">
            <v>522.52206</v>
          </cell>
          <cell r="F1535">
            <v>2.1383999999999999</v>
          </cell>
          <cell r="G1535">
            <v>0</v>
          </cell>
          <cell r="H1535">
            <v>0</v>
          </cell>
          <cell r="I1535">
            <v>0</v>
          </cell>
          <cell r="J1535">
            <v>0</v>
          </cell>
          <cell r="K1535">
            <v>10</v>
          </cell>
          <cell r="L1535">
            <v>0</v>
          </cell>
        </row>
        <row r="1536">
          <cell r="A1536" t="str">
            <v>10053.01787</v>
          </cell>
          <cell r="B1536" t="str">
            <v>PLAQUE CHAUFFANTE CARREE</v>
          </cell>
          <cell r="C1536" t="str">
            <v xml:space="preserve">ECLAIRAGE ET MATERIEL UTILISANT L'ENERGIE ELECTRIQUE APPAREIL ELECTRODOMESTIQUE RECHANGES POUR RECHAUD  DESIGNATION PLAQUE CHAUFFANTE EN TOLE PLIEE DE 3 MM D'EPAISSEUR , ELEMENTS CHAUFFANTS NOYES DANS MATERIAU-REFRACTAIRE PUISSANCE 2 X 1500 WATTS DIMENSIONS 400 X 400 X 50 MM , ALIMENTATION 220 VOLTS , ISOLATION PAR PERLES CERAMIQUES SORTIE AU NOMBRE DE 4, PAR FIL </v>
          </cell>
          <cell r="D1536" t="str">
            <v>PE</v>
          </cell>
          <cell r="E1536" t="str">
            <v>522.52206</v>
          </cell>
          <cell r="F1536">
            <v>638.49760000000003</v>
          </cell>
          <cell r="G1536">
            <v>0</v>
          </cell>
          <cell r="H1536">
            <v>0</v>
          </cell>
          <cell r="I1536">
            <v>0</v>
          </cell>
          <cell r="J1536">
            <v>0</v>
          </cell>
          <cell r="K1536">
            <v>0</v>
          </cell>
          <cell r="L1536">
            <v>0</v>
          </cell>
        </row>
        <row r="1537">
          <cell r="A1537" t="str">
            <v>10043.01660</v>
          </cell>
          <cell r="B1537" t="str">
            <v>COLLIER CREMAIL INOX D227</v>
          </cell>
          <cell r="C1537" t="str">
            <v xml:space="preserve">FOURNITURES POUR VEHICULES AUTOMOBILES COLLIER DE SERRAGE A CREMAILLERE  DIAMETRE MAXI:227 , MINI:247 MM </v>
          </cell>
          <cell r="D1537" t="str">
            <v>PE</v>
          </cell>
          <cell r="E1537" t="str">
            <v>522.52203</v>
          </cell>
          <cell r="F1537">
            <v>11.352</v>
          </cell>
          <cell r="G1537">
            <v>0</v>
          </cell>
          <cell r="H1537">
            <v>0</v>
          </cell>
          <cell r="I1537">
            <v>0</v>
          </cell>
          <cell r="J1537">
            <v>0</v>
          </cell>
          <cell r="K1537">
            <v>0</v>
          </cell>
          <cell r="L1537">
            <v>0</v>
          </cell>
        </row>
        <row r="1538">
          <cell r="A1538" t="str">
            <v>10046.06008</v>
          </cell>
          <cell r="B1538" t="str">
            <v>PHOSPHALUGEL (PIECE =BOITE 30 SACHET)</v>
          </cell>
          <cell r="C1538" t="str">
            <v xml:space="preserve">ARTICLES SPECIFIQUES AUX SERVICES MEDICAUX PRODUITS PHARMACEUTIQUES , PHOSPHALUGEL SACHET. (PIECE = BOITE DE 30 SACHETS) </v>
          </cell>
          <cell r="D1538" t="str">
            <v>PE</v>
          </cell>
          <cell r="E1538" t="str">
            <v>223.22301</v>
          </cell>
          <cell r="F1538">
            <v>30.4</v>
          </cell>
          <cell r="G1538">
            <v>0</v>
          </cell>
          <cell r="H1538">
            <v>0</v>
          </cell>
          <cell r="I1538">
            <v>0</v>
          </cell>
          <cell r="J1538">
            <v>0</v>
          </cell>
          <cell r="K1538">
            <v>0</v>
          </cell>
          <cell r="L1538">
            <v>0</v>
          </cell>
        </row>
        <row r="1539">
          <cell r="A1539" t="str">
            <v>10046.05230</v>
          </cell>
          <cell r="B1539" t="str">
            <v>NIFLURIL POMMADE</v>
          </cell>
          <cell r="C1539" t="str">
            <v xml:space="preserve">NIFLURIL 3%, POMMADE ANTI-INFLAMATOIRE, TUBE 60 GRS </v>
          </cell>
          <cell r="D1539" t="str">
            <v>PE</v>
          </cell>
          <cell r="E1539" t="str">
            <v>223.22301</v>
          </cell>
          <cell r="F1539">
            <v>15.8</v>
          </cell>
          <cell r="G1539">
            <v>0</v>
          </cell>
          <cell r="H1539">
            <v>0</v>
          </cell>
          <cell r="I1539">
            <v>0</v>
          </cell>
          <cell r="J1539">
            <v>0</v>
          </cell>
          <cell r="K1539">
            <v>0</v>
          </cell>
          <cell r="L1539">
            <v>0</v>
          </cell>
        </row>
        <row r="1540">
          <cell r="A1540" t="str">
            <v>10046.00506</v>
          </cell>
          <cell r="B1540" t="str">
            <v>BETADINE 10% SOLUTION FLACON DE 125 ML</v>
          </cell>
          <cell r="C1540" t="str">
            <v>BETADINE 10% SOLUTION FLACON DE 125 ML</v>
          </cell>
          <cell r="D1540" t="str">
            <v>PE</v>
          </cell>
          <cell r="E1540" t="str">
            <v>223.22301</v>
          </cell>
          <cell r="F1540">
            <v>17.149999999999999</v>
          </cell>
          <cell r="G1540">
            <v>0</v>
          </cell>
          <cell r="H1540">
            <v>0</v>
          </cell>
          <cell r="I1540">
            <v>0</v>
          </cell>
          <cell r="J1540">
            <v>0</v>
          </cell>
          <cell r="K1540">
            <v>0</v>
          </cell>
          <cell r="L1540">
            <v>0</v>
          </cell>
        </row>
        <row r="1541">
          <cell r="A1541" t="str">
            <v>10050.00951</v>
          </cell>
          <cell r="B1541" t="str">
            <v>CABLE RESEAU ETHERNET</v>
          </cell>
          <cell r="C1541" t="str">
            <v>CABLE RESEAU ETHERNETNOMBRE DE PAIRE: 4TYPE DE CABLE : F/FTPGAINE EXTERIEUR: LSZHDIAMETRE SUR ISOLATION: 1,42 MMDIAMETRE EXTERNE NOMINAL: 7,6 MMMASSE APPROXIMATIVE: 52KG/KMCONDITIONNEMENT: BOBINE DE 500 MCATEGORIE: CAT.6ASUIVANT FICHE TECHNIQUE CI-ATTACHEE</v>
          </cell>
          <cell r="D1541" t="str">
            <v>M</v>
          </cell>
          <cell r="E1541" t="str">
            <v>522.52205</v>
          </cell>
          <cell r="F1541">
            <v>7</v>
          </cell>
          <cell r="G1541">
            <v>0</v>
          </cell>
          <cell r="H1541">
            <v>0</v>
          </cell>
          <cell r="I1541">
            <v>0</v>
          </cell>
          <cell r="J1541">
            <v>0</v>
          </cell>
          <cell r="K1541">
            <v>0</v>
          </cell>
          <cell r="L1541">
            <v>200</v>
          </cell>
        </row>
        <row r="1542">
          <cell r="A1542" t="str">
            <v>10046.00447</v>
          </cell>
          <cell r="B1542" t="str">
            <v>BANDE- BANDE EN GAZ DE 3 M x 0,07M</v>
          </cell>
          <cell r="C1542" t="str">
            <v xml:space="preserve">BANDE- BANDE EN GAZ DE 3 M x 0,07M </v>
          </cell>
          <cell r="D1542" t="str">
            <v>PE</v>
          </cell>
          <cell r="E1542" t="str">
            <v>223.22301</v>
          </cell>
          <cell r="F1542">
            <v>1.5</v>
          </cell>
          <cell r="G1542">
            <v>0</v>
          </cell>
          <cell r="H1542">
            <v>0</v>
          </cell>
          <cell r="I1542">
            <v>0</v>
          </cell>
          <cell r="J1542">
            <v>0</v>
          </cell>
          <cell r="K1542">
            <v>0</v>
          </cell>
          <cell r="L1542">
            <v>0</v>
          </cell>
        </row>
        <row r="1543">
          <cell r="A1543" t="str">
            <v>10019.06935</v>
          </cell>
          <cell r="B1543" t="str">
            <v>TRESSE CARREE SANS AMIANT</v>
          </cell>
          <cell r="C1543" t="str">
            <v xml:space="preserve">TRESSE CARREE SANS AMIANTE "LATTY FLON 4488" PH 1-13 TEMPERATURE -220 A +300°C PRESSION 30MPA/300BARS VITESSE 30M/S COTE 12 MM LONGUEUR 11 METRES </v>
          </cell>
          <cell r="D1543" t="str">
            <v>PE</v>
          </cell>
          <cell r="E1543" t="str">
            <v>522.52207</v>
          </cell>
          <cell r="F1543">
            <v>840</v>
          </cell>
          <cell r="G1543">
            <v>0</v>
          </cell>
          <cell r="H1543">
            <v>0</v>
          </cell>
          <cell r="I1543">
            <v>0</v>
          </cell>
          <cell r="J1543">
            <v>0</v>
          </cell>
          <cell r="K1543">
            <v>3</v>
          </cell>
          <cell r="L1543">
            <v>0</v>
          </cell>
        </row>
        <row r="1544">
          <cell r="A1544" t="str">
            <v>10019.07116</v>
          </cell>
          <cell r="B1544" t="str">
            <v>TRESSE CARREE 20 X 20</v>
          </cell>
          <cell r="C1544" t="str">
            <v xml:space="preserve">TRESSE CARREE EN DIAGONALE                                        EN FILS GRAPHITES RENFORCES DE FILS SILICATETRAITEE AVEC LUBRIFIANT RESISTANT AUX HAUTES TEMPERATURES.                              POUR VANNE, POMPE ET COMPRESSEUR (MVT.ROTATIF/ALTERNATIF)  RESISTANCE: EAU DE MER (TAUX DE SABLE=300MG/L)          PH 3-14 ; TEMPERATURE -100 A +480°C ; PRESSION 100BARS , VITESSE  25M/SCOTE 20 MM                                                                                    </v>
          </cell>
          <cell r="D1544" t="str">
            <v>KG</v>
          </cell>
          <cell r="E1544" t="str">
            <v>522.52207</v>
          </cell>
          <cell r="F1544">
            <v>552</v>
          </cell>
          <cell r="G1544">
            <v>0</v>
          </cell>
          <cell r="H1544">
            <v>0</v>
          </cell>
          <cell r="I1544">
            <v>0</v>
          </cell>
          <cell r="J1544">
            <v>0</v>
          </cell>
          <cell r="K1544">
            <v>0</v>
          </cell>
          <cell r="L1544">
            <v>0</v>
          </cell>
        </row>
        <row r="1545">
          <cell r="A1545" t="str">
            <v>10019.06937</v>
          </cell>
          <cell r="B1545" t="str">
            <v>TRESSE CARREE SANS AMIANT</v>
          </cell>
          <cell r="C1545" t="str">
            <v xml:space="preserve">TRESSE CARREE SANS AMIANTE "LATTY FLON 4488" PH 1-13 TEMPERATURE -220 A +300°C PRESSION 30MPA/300BARS VITESSE 30M/S COTE 16 MM LONGUEUR 10 METRES </v>
          </cell>
          <cell r="D1545" t="str">
            <v>PE</v>
          </cell>
          <cell r="E1545" t="str">
            <v>522.52207</v>
          </cell>
          <cell r="F1545">
            <v>556</v>
          </cell>
          <cell r="G1545">
            <v>0</v>
          </cell>
          <cell r="H1545">
            <v>0</v>
          </cell>
          <cell r="I1545">
            <v>0</v>
          </cell>
          <cell r="J1545">
            <v>0</v>
          </cell>
          <cell r="K1545">
            <v>0</v>
          </cell>
          <cell r="L1545">
            <v>2</v>
          </cell>
        </row>
        <row r="1546">
          <cell r="A1546" t="str">
            <v>10019.06939</v>
          </cell>
          <cell r="B1546" t="str">
            <v>TRESSE CARREE SANS AMIANT</v>
          </cell>
          <cell r="C1546" t="str">
            <v xml:space="preserve">TRESSE CARREE SANS AMIANTE "LATTY FLON 4488" PH 1-13 TEMPERATURE -220 A +300°C PRESSION 30MPA/300BARS VITESSE 30M/S COTE 20 MM LONGUEUR 10 METRES </v>
          </cell>
          <cell r="D1546" t="str">
            <v>PE</v>
          </cell>
          <cell r="E1546" t="str">
            <v>522.52207</v>
          </cell>
          <cell r="F1546">
            <v>1722</v>
          </cell>
          <cell r="G1546">
            <v>0</v>
          </cell>
          <cell r="H1546">
            <v>0</v>
          </cell>
          <cell r="I1546">
            <v>0</v>
          </cell>
          <cell r="J1546">
            <v>0</v>
          </cell>
          <cell r="K1546">
            <v>0</v>
          </cell>
          <cell r="L1546">
            <v>0</v>
          </cell>
        </row>
        <row r="1547">
          <cell r="A1547" t="str">
            <v>10019.07145</v>
          </cell>
          <cell r="B1547" t="str">
            <v>TRESSE CARREE 5 MM</v>
          </cell>
          <cell r="C1547" t="str">
            <v xml:space="preserve">TRESSE CARREE EN FIBRES D'AMIANTE BLEU SUPERIEUR (CROCIDOLITE) IMPREGNE DE PTFE POUR POMPE A VIDE PH 0-8 TEMPERATURE 280°C -VITESSE 10 M/S PRESSION 60 BARS DENSITE 1.85 COTE 5 MM </v>
          </cell>
          <cell r="D1547" t="str">
            <v>KG</v>
          </cell>
          <cell r="E1547" t="str">
            <v>522.52207</v>
          </cell>
          <cell r="F1547">
            <v>342</v>
          </cell>
          <cell r="G1547">
            <v>0</v>
          </cell>
          <cell r="H1547">
            <v>0</v>
          </cell>
          <cell r="I1547">
            <v>0</v>
          </cell>
          <cell r="J1547">
            <v>0</v>
          </cell>
          <cell r="K1547">
            <v>0</v>
          </cell>
          <cell r="L1547">
            <v>19</v>
          </cell>
        </row>
        <row r="1548">
          <cell r="A1548" t="str">
            <v>10019.00101</v>
          </cell>
          <cell r="B1548" t="str">
            <v>TRESSE CARRE</v>
          </cell>
          <cell r="C1548" t="str">
            <v>TRESSE CARRE SANS AMIANTE EN PTFE BLANCHE DIA : 24 MM T° : 300°C PRESSION : 200 BARS PH : 0-14 VITESSE : 20M/S RESISTANCE AUX PRODUITS CHIMIQUE LES PLUS AGRESSIFS</v>
          </cell>
          <cell r="D1548" t="str">
            <v>KG</v>
          </cell>
          <cell r="E1548" t="str">
            <v>522.52207</v>
          </cell>
          <cell r="F1548">
            <v>270</v>
          </cell>
          <cell r="G1548">
            <v>0</v>
          </cell>
          <cell r="H1548">
            <v>0</v>
          </cell>
          <cell r="I1548">
            <v>0</v>
          </cell>
          <cell r="J1548">
            <v>0</v>
          </cell>
          <cell r="K1548">
            <v>0</v>
          </cell>
          <cell r="L1548">
            <v>0</v>
          </cell>
        </row>
        <row r="1549">
          <cell r="A1549" t="str">
            <v>10019.00102</v>
          </cell>
          <cell r="B1549" t="str">
            <v>JOINT SPIRALE GRAPHITE</v>
          </cell>
          <cell r="C1549" t="str">
            <v xml:space="preserve">JOINT SPIRALE GRAPHITE CLASSE 150 LBS  NORME ASME 16-20 MATIERE 304SS  EPAISSEUR 4,4MM DN60 MM      </v>
          </cell>
          <cell r="D1549" t="str">
            <v>PE</v>
          </cell>
          <cell r="E1549" t="str">
            <v>522.52207</v>
          </cell>
          <cell r="F1549">
            <v>40.92</v>
          </cell>
          <cell r="G1549">
            <v>0</v>
          </cell>
          <cell r="H1549">
            <v>0</v>
          </cell>
          <cell r="I1549">
            <v>0</v>
          </cell>
          <cell r="J1549">
            <v>0</v>
          </cell>
          <cell r="K1549">
            <v>5</v>
          </cell>
          <cell r="L1549">
            <v>0</v>
          </cell>
        </row>
        <row r="1550">
          <cell r="A1550" t="str">
            <v>10019.00103</v>
          </cell>
          <cell r="B1550" t="str">
            <v>JOINT SPIRALE GRAPHITE</v>
          </cell>
          <cell r="C1550" t="str">
            <v xml:space="preserve">JOINT SPIRALE GRAPHITE CLASSE 600 LBS  NORME ASME 16-20 MATIERE 304SS  EPAISSEUR 4,4MM DN 250 MM      </v>
          </cell>
          <cell r="D1550" t="str">
            <v>PE</v>
          </cell>
          <cell r="E1550" t="str">
            <v>522.52207</v>
          </cell>
          <cell r="F1550">
            <v>178.08949999999999</v>
          </cell>
          <cell r="G1550">
            <v>5</v>
          </cell>
          <cell r="H1550">
            <v>4</v>
          </cell>
          <cell r="I1550">
            <v>0</v>
          </cell>
          <cell r="J1550">
            <v>0</v>
          </cell>
          <cell r="K1550">
            <v>0</v>
          </cell>
          <cell r="L1550">
            <v>10</v>
          </cell>
        </row>
        <row r="1551">
          <cell r="A1551" t="str">
            <v>10019.02466</v>
          </cell>
          <cell r="B1551" t="str">
            <v>BAGUE ETANCHE 65X85X10  *</v>
          </cell>
          <cell r="C1551" t="str">
            <v xml:space="preserve">BAGUE D'ETANCHEITE A LEVRE DE MANCHETTE A RESSORT DE SERRAGETYPE INTERNE A ARMATURE TOLE SOUS CAOUTCHOUC SYNTHETIQUE NITRILE,RESISTANT A L'ACTION DES LUBRIFIANTS MINERAUX TYPE : PAULSTRA-IE, NATIONAL-35, STEFA-CB , CEFILAC-C, CFW-BA DIMENSIONS : 65 X 85 X 10 MM </v>
          </cell>
          <cell r="D1551" t="str">
            <v>PE</v>
          </cell>
          <cell r="E1551" t="str">
            <v>522.52207</v>
          </cell>
          <cell r="F1551">
            <v>7.81</v>
          </cell>
          <cell r="G1551">
            <v>0</v>
          </cell>
          <cell r="H1551">
            <v>0</v>
          </cell>
          <cell r="I1551">
            <v>0</v>
          </cell>
          <cell r="J1551">
            <v>0</v>
          </cell>
          <cell r="K1551">
            <v>0</v>
          </cell>
          <cell r="L1551">
            <v>0</v>
          </cell>
        </row>
        <row r="1552">
          <cell r="A1552" t="str">
            <v>10019.07160</v>
          </cell>
          <cell r="B1552" t="str">
            <v>TRESSE CARREE 20 MM</v>
          </cell>
          <cell r="C1552" t="str">
            <v xml:space="preserve">TRESSE CARREE EN FIBRES D'AMIANTE BLEU SUPERIEUR (CROCIDOLITE) IMPREGNE DE PTFE POUR POMPE A VIDE PH 0-8 TEMPERATURE 280°C -VITESSE 10 M/S PRESSION 60 BARS DENSITE 1.85 COTE 20 MM </v>
          </cell>
          <cell r="D1552" t="str">
            <v>KG</v>
          </cell>
          <cell r="E1552" t="str">
            <v>522.52207</v>
          </cell>
          <cell r="F1552">
            <v>336</v>
          </cell>
          <cell r="G1552">
            <v>0</v>
          </cell>
          <cell r="H1552">
            <v>0</v>
          </cell>
          <cell r="I1552">
            <v>0</v>
          </cell>
          <cell r="J1552">
            <v>0</v>
          </cell>
          <cell r="K1552">
            <v>0</v>
          </cell>
          <cell r="L1552">
            <v>0</v>
          </cell>
        </row>
        <row r="1553">
          <cell r="A1553" t="str">
            <v>10019.07162</v>
          </cell>
          <cell r="B1553" t="str">
            <v>TRESSE CARREE 22 MM</v>
          </cell>
          <cell r="C1553" t="str">
            <v xml:space="preserve">TRESSE CARREE EN FIBRES D'AMIANTE BLEU SUPERIEUR (CROCIDOLITE) IMPREGNE DE PTFE POUR POMPE A VIDE PH 0-8 TEMPERATURE 280°C -VITESSE 10 M/S PRESSION 60 BARS DENSITE 1.85 COTE 22 MM </v>
          </cell>
          <cell r="D1553" t="str">
            <v>KG</v>
          </cell>
          <cell r="E1553" t="str">
            <v>522.52207</v>
          </cell>
          <cell r="F1553">
            <v>270</v>
          </cell>
          <cell r="G1553">
            <v>0</v>
          </cell>
          <cell r="H1553">
            <v>0</v>
          </cell>
          <cell r="I1553">
            <v>5</v>
          </cell>
          <cell r="J1553">
            <v>0</v>
          </cell>
          <cell r="K1553">
            <v>0</v>
          </cell>
          <cell r="L1553">
            <v>0</v>
          </cell>
        </row>
        <row r="1554">
          <cell r="A1554" t="str">
            <v>10019.07214</v>
          </cell>
          <cell r="B1554" t="str">
            <v>TRESSE CARREE 4  MM</v>
          </cell>
          <cell r="C1554" t="str">
            <v xml:space="preserve">TRESSE CARREE GRAPHITEE FABRIQUEE A PARTIR D'AMIANTE FIBRES LONGUES PARTICULIEREMENT FINES,CHIMIQUEMENT PURES, IMPREGNEES D'UN PRODUIT REFRACTAIRE APRES TRESSAGE TRAITE PAR ENDUCTION D'UNE EPAISSE COUCHE DE GRAPHITE POUR SOUPAPE -TIGE -PISTON -MANCHON D'EXTENTION -TURBINE RESISTANCE: EAU-VAPEUR-ACIDES ET BASES FAIBLES-SOLVANTHUILES-GRAISSES. PH 5-9 TEMPERATURE -30 A +650°C  VITESSE 5M/SPRESSION 300 BARS  DENSITE 1.40 COTE 4 MM </v>
          </cell>
          <cell r="D1554" t="str">
            <v>KG</v>
          </cell>
          <cell r="E1554" t="str">
            <v>522.52207</v>
          </cell>
          <cell r="F1554">
            <v>396</v>
          </cell>
          <cell r="G1554">
            <v>0</v>
          </cell>
          <cell r="H1554">
            <v>0</v>
          </cell>
          <cell r="I1554">
            <v>0</v>
          </cell>
          <cell r="J1554">
            <v>0</v>
          </cell>
          <cell r="K1554">
            <v>0</v>
          </cell>
          <cell r="L1554">
            <v>13.7</v>
          </cell>
        </row>
        <row r="1555">
          <cell r="A1555" t="str">
            <v>10019.06943</v>
          </cell>
          <cell r="B1555" t="str">
            <v>TRESSE CARREE SANS AMIANT 8MM</v>
          </cell>
          <cell r="C1555" t="str">
            <v xml:space="preserve">TRESSE CARREE SANS AMIANTE "LATTY FLON 4757" PH 2-14 TEMPERATURE -220 A +300°C PRESSION 180MPA/1800BARS VITESSE 22M/SCOTE 8 MM LONGUEUR 15 METRES </v>
          </cell>
          <cell r="D1555" t="str">
            <v>PE</v>
          </cell>
          <cell r="E1555" t="str">
            <v>522.52207</v>
          </cell>
          <cell r="F1555">
            <v>576</v>
          </cell>
          <cell r="G1555">
            <v>0</v>
          </cell>
          <cell r="H1555">
            <v>0</v>
          </cell>
          <cell r="I1555">
            <v>0</v>
          </cell>
          <cell r="J1555">
            <v>0</v>
          </cell>
          <cell r="K1555">
            <v>3</v>
          </cell>
          <cell r="L1555">
            <v>0</v>
          </cell>
        </row>
        <row r="1556">
          <cell r="A1556" t="str">
            <v>10019.07220</v>
          </cell>
          <cell r="B1556" t="str">
            <v>TRESSE CARREE 10 MM</v>
          </cell>
          <cell r="C1556" t="str">
            <v xml:space="preserve">TRESSE CARREE GRAPHITEE FABRIQUEE A PARTIR D'AMIANTE FIBRES LONGUES PARTICULIEREMENT FINES,CHIMIQUEMENT PURES, IMPREGNEES D'UN PRODUIT REFRACTAIRE APRES TRESSAGE TRAITE PAR ENDUCTION D'UNE EPAISSE COUCHE DE GRAPHITE POUR SOUPAPE -TIGE -PISTON -MANCHON D'EXTENTION -TURBINE RESISTANCE: EAU-VAPEUR-ACIDES ET BASES FAIBLES-SOLVANTHUILES-GRAISSES. PH 5-9 TEMPERATURE -30 A +650°C  VITESSE 5M/SPRESSION 300 BARS  DENSITE 1.40 COTE 10 MM </v>
          </cell>
          <cell r="D1556" t="str">
            <v>KG</v>
          </cell>
          <cell r="E1556" t="str">
            <v>522.52207</v>
          </cell>
          <cell r="F1556">
            <v>396</v>
          </cell>
          <cell r="G1556">
            <v>0</v>
          </cell>
          <cell r="H1556">
            <v>0</v>
          </cell>
          <cell r="I1556">
            <v>0</v>
          </cell>
          <cell r="J1556">
            <v>0</v>
          </cell>
          <cell r="K1556">
            <v>0</v>
          </cell>
          <cell r="L1556">
            <v>20</v>
          </cell>
        </row>
        <row r="1557">
          <cell r="A1557" t="str">
            <v>10019.07222</v>
          </cell>
          <cell r="B1557" t="str">
            <v>TRESSE CARREE 12 MM</v>
          </cell>
          <cell r="C1557" t="str">
            <v xml:space="preserve">TRESSE CARREE GRAPHITEE FABRIQUEE A PARTIR D'AMIANTE FIBRES LONGUES PARTICULIEREMENT FINES,CHIMIQUEMENT PURES, IMPREGNEES D'UN PRODUIT REFRACTAIRE APRES TRESSAGE TRAITE PAR ENDUCTION D'UNE EPAISSE COUCHE DE GRAPHITE POUR SOUPAPE -TIGE -PISTON -MANCHON D'EXTENTION -TURBINE RESISTANCE : EAU-VAPEUR-ACIDES ET BASES FAIBLES-SOLVANT, HUILES-GRAISSES. PH 5-9 TEMPERATURE : -30 A +650°C  VITESSE 5M/S PRESSION 300 BARS DENSITE: 1.40 COTE 12 MM </v>
          </cell>
          <cell r="D1557" t="str">
            <v>KG</v>
          </cell>
          <cell r="E1557" t="str">
            <v>522.52207</v>
          </cell>
          <cell r="F1557">
            <v>396</v>
          </cell>
          <cell r="G1557">
            <v>0</v>
          </cell>
          <cell r="H1557">
            <v>0</v>
          </cell>
          <cell r="I1557">
            <v>0</v>
          </cell>
          <cell r="J1557">
            <v>0</v>
          </cell>
          <cell r="K1557">
            <v>0</v>
          </cell>
          <cell r="L1557">
            <v>20</v>
          </cell>
        </row>
        <row r="1558">
          <cell r="A1558" t="str">
            <v>10019.06950</v>
          </cell>
          <cell r="B1558" t="str">
            <v>TRESSE CARREE SANS AMIANT</v>
          </cell>
          <cell r="C1558" t="str">
            <v xml:space="preserve">TRESSE CARREE SANS AMIANTE "LATTY FLON 4758" PH 2-14 TEMPERATURE -220 A +300°C PRESSION 100MPA/1000BARS VITESSE 10M/S COTE 8 MM LONGUEUR 15 METRES </v>
          </cell>
          <cell r="D1558" t="str">
            <v>PE</v>
          </cell>
          <cell r="E1558" t="str">
            <v>522.52207</v>
          </cell>
          <cell r="F1558">
            <v>408</v>
          </cell>
          <cell r="G1558">
            <v>0</v>
          </cell>
          <cell r="H1558">
            <v>0</v>
          </cell>
          <cell r="I1558">
            <v>0</v>
          </cell>
          <cell r="J1558">
            <v>0</v>
          </cell>
          <cell r="K1558">
            <v>0</v>
          </cell>
          <cell r="L1558">
            <v>19</v>
          </cell>
        </row>
        <row r="1559">
          <cell r="A1559" t="str">
            <v>10019.07184</v>
          </cell>
          <cell r="B1559" t="str">
            <v>TRESSE CARREE 6  MM</v>
          </cell>
          <cell r="C1559" t="str">
            <v xml:space="preserve">TRESSE CARREE POUR MOTEUR -AGITATEUR -TIGE DE PISTON TRESSAGE DIAGONAL COMPOSE D'AMIANTE CHRYSOTIL LONGUES FIBRES IMPREGNEES SEPAREMENT DE DISPERSION A BASE PTFERESISTANCE: -SOLVANTS-HUILES-BASES-EAU-VAPEUR-GRAISSE HYDROCARBURES PH 6-14 TEMPERATURE 280°C  VITESSE 20M/SPRESSION 60BARS DENSITE 1.75 COTE 6 MM </v>
          </cell>
          <cell r="D1559" t="str">
            <v>KG</v>
          </cell>
          <cell r="E1559" t="str">
            <v>522.52207</v>
          </cell>
          <cell r="F1559">
            <v>336</v>
          </cell>
          <cell r="G1559">
            <v>0</v>
          </cell>
          <cell r="H1559">
            <v>0</v>
          </cell>
          <cell r="I1559">
            <v>0</v>
          </cell>
          <cell r="J1559">
            <v>0</v>
          </cell>
          <cell r="K1559">
            <v>0</v>
          </cell>
          <cell r="L1559">
            <v>20</v>
          </cell>
        </row>
        <row r="1560">
          <cell r="A1560" t="str">
            <v>10019.00117</v>
          </cell>
          <cell r="B1560" t="str">
            <v>JOINT SPIRALE GRAPHITE</v>
          </cell>
          <cell r="C1560" t="str">
            <v>JOINT SPIRALE GRAPHITE  MATIERE : 304SS  CLASSE: 900LB  EPAISSEUR : 1/8''   DN : 3"   NORME : API 601  STYLE CGI  AVEC FLEXIBLE GRAPHITE</v>
          </cell>
          <cell r="D1560" t="str">
            <v>PE</v>
          </cell>
          <cell r="E1560" t="str">
            <v>522.52207</v>
          </cell>
          <cell r="F1560">
            <v>38</v>
          </cell>
          <cell r="G1560">
            <v>0</v>
          </cell>
          <cell r="H1560">
            <v>0</v>
          </cell>
          <cell r="I1560">
            <v>0</v>
          </cell>
          <cell r="J1560">
            <v>0</v>
          </cell>
          <cell r="K1560">
            <v>0</v>
          </cell>
          <cell r="L1560">
            <v>10</v>
          </cell>
        </row>
        <row r="1561">
          <cell r="A1561" t="str">
            <v>10019.02490</v>
          </cell>
          <cell r="B1561" t="str">
            <v>BAGUE ETANCHE 75X95X10  *</v>
          </cell>
          <cell r="C1561" t="str">
            <v xml:space="preserve">BAGUE D'ETANCHEITE A LEVRE DE MANCHETTE A RESSORT DE SERRAGETYPE INTERNE A ARMATURE TOLE SOUS CAOUTCHOUC SYNTHETIQUE NITRILE,RESISTANT A L'ACTION DES LUBRIFIANTS MINERAUX TYPE : PAULSTRA-IE, NATIONAL-35, STEFA-CB , CEFILAC-C, CFW-BA DIMENSIONS : 75 X 95 X 10 MM </v>
          </cell>
          <cell r="D1561" t="str">
            <v>PE</v>
          </cell>
          <cell r="E1561" t="str">
            <v>522.52207</v>
          </cell>
          <cell r="F1561">
            <v>13.593999999999999</v>
          </cell>
          <cell r="G1561">
            <v>0</v>
          </cell>
          <cell r="H1561">
            <v>0</v>
          </cell>
          <cell r="I1561">
            <v>2</v>
          </cell>
          <cell r="J1561">
            <v>0</v>
          </cell>
          <cell r="K1561">
            <v>0</v>
          </cell>
          <cell r="L1561">
            <v>0</v>
          </cell>
        </row>
        <row r="1562">
          <cell r="A1562" t="str">
            <v>10019.02491</v>
          </cell>
          <cell r="B1562" t="str">
            <v>BAGUE ETANCHE 75X95X12  *</v>
          </cell>
          <cell r="C1562" t="str">
            <v xml:space="preserve">BAGUE D'ETANCHEITE A LEVRE DE MANCHETTE A RESSORT DE SERRAGETYPE INTERNE A ARMATURE TOLE SOUS CAOUTCHOUC SYNTHETIQUE NITRILE,RESISTANT A L'ACTION DES LUBRIFIANTS MINERAUX TYPE : PAULSTRA-IE, NATIONAL-35, STEFA-CB , CEFILAC-C, CFW-BA DIMENSIONS : 75 X 95 X 12 MM </v>
          </cell>
          <cell r="D1562" t="str">
            <v>PE</v>
          </cell>
          <cell r="E1562" t="str">
            <v>522.52207</v>
          </cell>
          <cell r="F1562">
            <v>125.8741</v>
          </cell>
          <cell r="G1562">
            <v>0</v>
          </cell>
          <cell r="H1562">
            <v>0</v>
          </cell>
          <cell r="I1562">
            <v>0</v>
          </cell>
          <cell r="J1562">
            <v>5</v>
          </cell>
          <cell r="K1562">
            <v>0</v>
          </cell>
          <cell r="L1562">
            <v>0</v>
          </cell>
        </row>
        <row r="1563">
          <cell r="A1563" t="str">
            <v>10019.07224</v>
          </cell>
          <cell r="B1563" t="str">
            <v>TRESSE CARREE 14 MM</v>
          </cell>
          <cell r="C1563" t="str">
            <v xml:space="preserve">RESSE CARREE GRAPHITEE FABRIQUEE A PARTIR D'AMIANTE FIBRES LONGUES PARTICULIEREMENT FINES,CHIMIQUEMENT PURES, IMPREGNEES D'UN PRODUIT REFRACTAIRE APRES TRESSAGE TRAITE PAR ENDUCTION D'UNE EPAISSE COUCHE DE GRAPHITE POUR SOUPAPE -TIGE -PISTON -MANCHON D'EXTENTION -TURBINE RESISTANCE : EAU-VAPEUR-ACIDES ET BASES FAIBLES-SOLVANT, HUILES-GRAISSES. PH 5-9 TEMPERATURE : -30 A +650°C  VITESSE 5M/S PRESSION 300 BARS DENSITE: 1.40 COTE 14 MM </v>
          </cell>
          <cell r="D1563" t="str">
            <v>KG</v>
          </cell>
          <cell r="E1563" t="str">
            <v>522.52207</v>
          </cell>
          <cell r="F1563">
            <v>288</v>
          </cell>
          <cell r="G1563">
            <v>0</v>
          </cell>
          <cell r="H1563">
            <v>0</v>
          </cell>
          <cell r="I1563">
            <v>0</v>
          </cell>
          <cell r="J1563">
            <v>0</v>
          </cell>
          <cell r="K1563">
            <v>0</v>
          </cell>
          <cell r="L1563">
            <v>14.3</v>
          </cell>
        </row>
        <row r="1564">
          <cell r="A1564" t="str">
            <v>10019.09501</v>
          </cell>
          <cell r="B1564" t="str">
            <v>JOINT SPIRALE</v>
          </cell>
          <cell r="C1564" t="str">
            <v>JOINT SPIRALE EPAISSEUR 4,5MM - ANNEAU INOX 304 SS GRAPHITEEPAISSEUR COMPRESSE 3MM CLASSE 900 DN50</v>
          </cell>
          <cell r="D1564" t="str">
            <v>PE</v>
          </cell>
          <cell r="E1564" t="str">
            <v>522.52207</v>
          </cell>
          <cell r="F1564">
            <v>50.894100000000002</v>
          </cell>
          <cell r="G1564">
            <v>0</v>
          </cell>
          <cell r="H1564">
            <v>0</v>
          </cell>
          <cell r="I1564">
            <v>0</v>
          </cell>
          <cell r="J1564">
            <v>0</v>
          </cell>
          <cell r="K1564">
            <v>0</v>
          </cell>
          <cell r="L1564">
            <v>30</v>
          </cell>
        </row>
        <row r="1565">
          <cell r="A1565" t="str">
            <v>10019.09503</v>
          </cell>
          <cell r="B1565" t="str">
            <v>JOINT SPIRALE</v>
          </cell>
          <cell r="C1565" t="str">
            <v>JOINT SPIRALE EPAISSEUR 4,5MM - ANNEAU INOX 304 SS GRAPHITEEPAISSEUR COMPRESSE 3MM CLASSE 900 DN250</v>
          </cell>
          <cell r="D1565" t="str">
            <v>PE</v>
          </cell>
          <cell r="E1565" t="str">
            <v>522.52207</v>
          </cell>
          <cell r="F1565">
            <v>325.81400000000002</v>
          </cell>
          <cell r="G1565">
            <v>0</v>
          </cell>
          <cell r="H1565">
            <v>1</v>
          </cell>
          <cell r="I1565">
            <v>0</v>
          </cell>
          <cell r="J1565">
            <v>0</v>
          </cell>
          <cell r="K1565">
            <v>0</v>
          </cell>
          <cell r="L1565">
            <v>27</v>
          </cell>
        </row>
        <row r="1566">
          <cell r="A1566" t="str">
            <v>10019.09505</v>
          </cell>
          <cell r="B1566" t="str">
            <v>JOINT SPIRALE</v>
          </cell>
          <cell r="C1566" t="str">
            <v>JOINT SPIRALE EPAISSEUR 4,5MM - ANNEAU INOX 304 SS GRAPHITEEPAISSEUR COMPRESSE 3MM CLASSE 900 DN300</v>
          </cell>
          <cell r="D1566" t="str">
            <v>PE</v>
          </cell>
          <cell r="E1566" t="str">
            <v>522.52207</v>
          </cell>
          <cell r="F1566">
            <v>406.12650000000002</v>
          </cell>
          <cell r="G1566">
            <v>0</v>
          </cell>
          <cell r="H1566">
            <v>0</v>
          </cell>
          <cell r="I1566">
            <v>0</v>
          </cell>
          <cell r="J1566">
            <v>2</v>
          </cell>
          <cell r="K1566">
            <v>0</v>
          </cell>
          <cell r="L1566">
            <v>38</v>
          </cell>
        </row>
        <row r="1567">
          <cell r="A1567" t="str">
            <v>10046.00458</v>
          </cell>
          <cell r="B1567" t="str">
            <v>BIOGAZE HN GM</v>
          </cell>
          <cell r="C1567" t="str">
            <v xml:space="preserve">BIOGAZ H.N BOITE (BANDE DE 20 CMX19,5 CM-(G.M) </v>
          </cell>
          <cell r="D1567" t="str">
            <v>PE</v>
          </cell>
          <cell r="E1567" t="str">
            <v>223.22301</v>
          </cell>
          <cell r="F1567">
            <v>32.5</v>
          </cell>
          <cell r="G1567">
            <v>0</v>
          </cell>
          <cell r="H1567">
            <v>0</v>
          </cell>
          <cell r="I1567">
            <v>0</v>
          </cell>
          <cell r="J1567">
            <v>0</v>
          </cell>
          <cell r="K1567">
            <v>0</v>
          </cell>
          <cell r="L1567">
            <v>0</v>
          </cell>
        </row>
        <row r="1568">
          <cell r="A1568" t="str">
            <v>10019.09954</v>
          </cell>
          <cell r="B1568" t="str">
            <v>JOINT</v>
          </cell>
          <cell r="C1568" t="str">
            <v>JOINT EPAISSEUR 3MM TYPE GARLOOCK BLEU GARD N°3000 OU SIMILAIRE 3MM CLASSE 150 DN40</v>
          </cell>
          <cell r="D1568" t="str">
            <v>PE</v>
          </cell>
          <cell r="E1568" t="str">
            <v>522.52207</v>
          </cell>
          <cell r="F1568">
            <v>9.6</v>
          </cell>
          <cell r="G1568">
            <v>0</v>
          </cell>
          <cell r="H1568">
            <v>0</v>
          </cell>
          <cell r="I1568">
            <v>0</v>
          </cell>
          <cell r="J1568">
            <v>0</v>
          </cell>
          <cell r="K1568">
            <v>0</v>
          </cell>
          <cell r="L1568">
            <v>0</v>
          </cell>
        </row>
        <row r="1569">
          <cell r="A1569" t="str">
            <v>10019.09955</v>
          </cell>
          <cell r="B1569" t="str">
            <v>JOINT</v>
          </cell>
          <cell r="C1569" t="str">
            <v>JOINT EPAISSEUR 3MM TYPE GARLOOCK BLEU GARD N°3000 OU SIMILAIRE 3MM CLASSE 150 DN50</v>
          </cell>
          <cell r="D1569" t="str">
            <v>PE</v>
          </cell>
          <cell r="E1569" t="str">
            <v>522.52207</v>
          </cell>
          <cell r="F1569">
            <v>10.8</v>
          </cell>
          <cell r="G1569">
            <v>0</v>
          </cell>
          <cell r="H1569">
            <v>0</v>
          </cell>
          <cell r="I1569">
            <v>0</v>
          </cell>
          <cell r="J1569">
            <v>0</v>
          </cell>
          <cell r="K1569">
            <v>0</v>
          </cell>
          <cell r="L1569">
            <v>0</v>
          </cell>
        </row>
        <row r="1570">
          <cell r="A1570" t="str">
            <v>10019.09967</v>
          </cell>
          <cell r="B1570" t="str">
            <v>JOINT</v>
          </cell>
          <cell r="C1570" t="str">
            <v>JOINT EPAISSEUR 3MM TYPE GARLOOCK 3450 OU SIMILAIRE CLASSE 150 DN100</v>
          </cell>
          <cell r="D1570" t="str">
            <v>PE</v>
          </cell>
          <cell r="E1570" t="str">
            <v>522.52207</v>
          </cell>
          <cell r="F1570">
            <v>252</v>
          </cell>
          <cell r="G1570">
            <v>0</v>
          </cell>
          <cell r="H1570">
            <v>0</v>
          </cell>
          <cell r="I1570">
            <v>0</v>
          </cell>
          <cell r="J1570">
            <v>0</v>
          </cell>
          <cell r="K1570">
            <v>50</v>
          </cell>
          <cell r="L1570">
            <v>0</v>
          </cell>
        </row>
        <row r="1571">
          <cell r="A1571" t="str">
            <v>10019.09979</v>
          </cell>
          <cell r="B1571" t="str">
            <v>JOINT</v>
          </cell>
          <cell r="C1571" t="str">
            <v>JOINT EPAISSEUR 3MM TYPE GARLOOCK 3450 OU SIMILAIRE CLASSE 150 DN750</v>
          </cell>
          <cell r="D1571" t="str">
            <v>PE</v>
          </cell>
          <cell r="E1571" t="str">
            <v>522.52207</v>
          </cell>
          <cell r="F1571">
            <v>2444</v>
          </cell>
          <cell r="G1571">
            <v>0</v>
          </cell>
          <cell r="H1571">
            <v>0</v>
          </cell>
          <cell r="I1571">
            <v>0</v>
          </cell>
          <cell r="J1571">
            <v>0</v>
          </cell>
          <cell r="K1571">
            <v>9</v>
          </cell>
          <cell r="L1571">
            <v>0</v>
          </cell>
        </row>
        <row r="1572">
          <cell r="A1572" t="str">
            <v>10019.00240</v>
          </cell>
          <cell r="B1572" t="str">
            <v>FEUILLE DE JOINT RAINEX</v>
          </cell>
          <cell r="C1572" t="str">
            <v>FEUILLE DE JOINT RAINEX  F120 (IDEM GYLON) DIMENSIONS=1200x1200x3MM</v>
          </cell>
          <cell r="D1572" t="str">
            <v>PE</v>
          </cell>
          <cell r="E1572" t="str">
            <v>522.52207</v>
          </cell>
          <cell r="F1572">
            <v>8500</v>
          </cell>
          <cell r="G1572">
            <v>0</v>
          </cell>
          <cell r="H1572">
            <v>0</v>
          </cell>
          <cell r="I1572">
            <v>0</v>
          </cell>
          <cell r="J1572">
            <v>0</v>
          </cell>
          <cell r="K1572">
            <v>0</v>
          </cell>
          <cell r="L1572">
            <v>0</v>
          </cell>
        </row>
        <row r="1573">
          <cell r="A1573" t="str">
            <v>10019.00241</v>
          </cell>
          <cell r="B1573" t="str">
            <v>FEUILLE DE JOINT EN PTFE</v>
          </cell>
          <cell r="C1573" t="str">
            <v>FEUILLE DE JOINT EN PTFE PUR MODIFIE (COULEUR BLANCHE) AVEC DES CHARGES THERMORESISTANCE DIMENSIONS:1500x1500x6MM</v>
          </cell>
          <cell r="D1573" t="str">
            <v>PE</v>
          </cell>
          <cell r="E1573" t="str">
            <v>522.52207</v>
          </cell>
          <cell r="F1573">
            <v>10307.815199999999</v>
          </cell>
          <cell r="G1573">
            <v>1</v>
          </cell>
          <cell r="H1573">
            <v>0</v>
          </cell>
          <cell r="I1573">
            <v>1</v>
          </cell>
          <cell r="J1573">
            <v>2</v>
          </cell>
          <cell r="K1573">
            <v>1</v>
          </cell>
          <cell r="L1573">
            <v>0</v>
          </cell>
        </row>
        <row r="1574">
          <cell r="A1574" t="str">
            <v>10019.09495</v>
          </cell>
          <cell r="B1574" t="str">
            <v>JOINT SPIRALE SS304 CLASSE 600 510X585</v>
          </cell>
          <cell r="C1574" t="str">
            <v>JOINT SPIRALE EPAISSEUR 4,4MM - ANNEAU INOX 304 SS GRAPHITEEPAISSEUR COMPRESSE 3MM CLASSE 600 D.INT 510MM D.EXT 585MM</v>
          </cell>
          <cell r="D1574" t="str">
            <v>PE</v>
          </cell>
          <cell r="E1574" t="str">
            <v>522.52207</v>
          </cell>
          <cell r="F1574">
            <v>375</v>
          </cell>
          <cell r="G1574">
            <v>0</v>
          </cell>
          <cell r="H1574">
            <v>0</v>
          </cell>
          <cell r="I1574">
            <v>0</v>
          </cell>
          <cell r="J1574">
            <v>0</v>
          </cell>
          <cell r="K1574">
            <v>0</v>
          </cell>
          <cell r="L1574">
            <v>2</v>
          </cell>
        </row>
        <row r="1575">
          <cell r="A1575" t="str">
            <v>10019.00294</v>
          </cell>
          <cell r="B1575" t="str">
            <v>JOINT SPIRALE AV.ANNEAU</v>
          </cell>
          <cell r="C1575" t="str">
            <v xml:space="preserve">JOINT SPIRALE "LATTYGRAF REFLEX P.E.O"AVEC ANNEAUX EXT. ET INT. EN INOX 316L + GRAPHITEPOUR BRIDE A FACE SURELEVEE OU A EMBOITEMENT RESISTANCE TOUT FLUIDE (Y COMPRIS FLUIDES THERMIQUES) PRESSION 500 BARS, TEMPERATURE -200 A 600°C PN40 DN 25 D.EXT. 73 D.INT. 36MM </v>
          </cell>
          <cell r="D1575" t="str">
            <v>PE</v>
          </cell>
          <cell r="E1575" t="str">
            <v>522.52207</v>
          </cell>
          <cell r="F1575">
            <v>14</v>
          </cell>
          <cell r="G1575">
            <v>9</v>
          </cell>
          <cell r="H1575">
            <v>0</v>
          </cell>
          <cell r="I1575">
            <v>0</v>
          </cell>
          <cell r="J1575">
            <v>0</v>
          </cell>
          <cell r="K1575">
            <v>6</v>
          </cell>
          <cell r="L1575">
            <v>1</v>
          </cell>
        </row>
        <row r="1576">
          <cell r="A1576" t="str">
            <v>10019.00295</v>
          </cell>
          <cell r="B1576" t="str">
            <v>JOINT SPIRALE AV ANNEAU</v>
          </cell>
          <cell r="C1576" t="str">
            <v xml:space="preserve">JOINT SPIRALE "LATTYGRAF REFLEX P.E.O"AVEC ANNEAUX EXT. ET INT. EN INOX 316L + GRAPHITEPOUR BRIDE A FACE SURELEVEE OU A EMBOITEMENT RESISTANCE TOUT FLUIDE (Y COMPRIS FLUIDES THERMIQUES) PRESSION 500 BARS, TEMPERATURE -200 A 600°C PN40 DN 40 D.EXT. 94 D.INT. 50MM </v>
          </cell>
          <cell r="D1576" t="str">
            <v>PE</v>
          </cell>
          <cell r="E1576" t="str">
            <v>522.52207</v>
          </cell>
          <cell r="F1576">
            <v>20</v>
          </cell>
          <cell r="G1576">
            <v>0</v>
          </cell>
          <cell r="H1576">
            <v>0</v>
          </cell>
          <cell r="I1576">
            <v>0</v>
          </cell>
          <cell r="J1576">
            <v>0</v>
          </cell>
          <cell r="K1576">
            <v>6</v>
          </cell>
          <cell r="L1576">
            <v>10</v>
          </cell>
        </row>
        <row r="1577">
          <cell r="A1577" t="str">
            <v>10019.00296</v>
          </cell>
          <cell r="B1577" t="str">
            <v>JOINT SPIRALE AV ANNEAU</v>
          </cell>
          <cell r="C1577" t="str">
            <v xml:space="preserve">JOINT SPIRALE "LATTYGRAF REFLEX P.E.O"AVEC ANNEAUX EXT. ET INT. EN INOX 316L + GRAPHITEPOUR BRIDE A FACE SURELEVEE OU A EMBOITEMENT RESISTANCE TOUT FLUIDE (Y COMPRIS FLUIDES THERMIQUES) PRESSION 500 BARS, TEMPERATURE -200 A 600°C PN40 DN 50 D.EXT. 109 D.INT. 62MM </v>
          </cell>
          <cell r="D1577" t="str">
            <v>PE</v>
          </cell>
          <cell r="E1577" t="str">
            <v>522.52207</v>
          </cell>
          <cell r="F1577">
            <v>25</v>
          </cell>
          <cell r="G1577">
            <v>10</v>
          </cell>
          <cell r="H1577">
            <v>0</v>
          </cell>
          <cell r="I1577">
            <v>0</v>
          </cell>
          <cell r="J1577">
            <v>0</v>
          </cell>
          <cell r="K1577">
            <v>0</v>
          </cell>
          <cell r="L1577">
            <v>0</v>
          </cell>
        </row>
        <row r="1578">
          <cell r="A1578" t="str">
            <v>10019.00297</v>
          </cell>
          <cell r="B1578" t="str">
            <v>JOINT SPIRALE AV ANNEAU</v>
          </cell>
          <cell r="C1578" t="str">
            <v xml:space="preserve">JOINT SPIRALE "LATTYGRAF REFLEX P.E.O"AVEC ANNEAUX EXT. ET INT. EN INOX 316L + GRAPHITEPOUR BRIDE A FACE SURELEVEE OU A EMBOITEMENT RESISTANCE TOUT FLUIDE (Y COMPRIS FLUIDES THERMIQUES) PRESSION 500 BARS, TEMPERATURE -200 A 600°C PN40 DN 80 D.EXT. 144 D.INT. 90MM </v>
          </cell>
          <cell r="D1578" t="str">
            <v>PE</v>
          </cell>
          <cell r="E1578" t="str">
            <v>522.52207</v>
          </cell>
          <cell r="F1578">
            <v>36.213299999999997</v>
          </cell>
          <cell r="G1578">
            <v>0</v>
          </cell>
          <cell r="H1578">
            <v>0</v>
          </cell>
          <cell r="I1578">
            <v>0</v>
          </cell>
          <cell r="J1578">
            <v>0</v>
          </cell>
          <cell r="K1578">
            <v>0</v>
          </cell>
          <cell r="L1578">
            <v>18</v>
          </cell>
        </row>
        <row r="1579">
          <cell r="A1579" t="str">
            <v>10019.02394</v>
          </cell>
          <cell r="B1579" t="str">
            <v>BAGUE ETANCHE 50X65X8   *</v>
          </cell>
          <cell r="C1579" t="str">
            <v xml:space="preserve">BAGUE D'ETANCHEITE A LEVRE DE MANCHETTE A RESSORT DE SERRAGETYPE INTERNE A ARMATURE TOLE SOUS CAOUTCHOUC SYNTHETIQUE NITRILE,RESISTANT A L'ACTION DES LUBRIFIANTS MINERAUX TYPE : PAULSTRA-IE, NATIONAL-35, STEFA-CB , CEFILAC-C, CFW-BA DIMENSIONS : 50 X 65 X 8 MM </v>
          </cell>
          <cell r="D1579" t="str">
            <v>PE</v>
          </cell>
          <cell r="E1579" t="str">
            <v>522.52207</v>
          </cell>
          <cell r="F1579">
            <v>6.06</v>
          </cell>
          <cell r="G1579">
            <v>0</v>
          </cell>
          <cell r="H1579">
            <v>0</v>
          </cell>
          <cell r="I1579">
            <v>0</v>
          </cell>
          <cell r="J1579">
            <v>0</v>
          </cell>
          <cell r="K1579">
            <v>4</v>
          </cell>
          <cell r="L1579">
            <v>0</v>
          </cell>
        </row>
        <row r="1580">
          <cell r="A1580" t="str">
            <v>10019.07240</v>
          </cell>
          <cell r="B1580" t="str">
            <v>TRESSE CARREE 30 MM</v>
          </cell>
          <cell r="C1580" t="str">
            <v xml:space="preserve">TRESSE CARREE GRAPHITEE FABRIQUEE A PARTIR D'AMIANTE FIBRES LONGUES PARTICULIEREMENT FINES,CHIMIQUEMENT PURES, IMPREGNEES D'UN PRODUIT REFRACTAIRE APRES TRESSAGE TRAITE PAR ENDUCTION D'UNE EPAISSE COUCHE DE GRAPHITE POUR SOUPAPE -TIGE -PISTON -MANCHON D'EXTENTION -TURBINE RESISTANCE : EAU-VAPEUR-ACIDES ET BASES FAIBLES-SOLVANT, HUILES-GRAISSES. PH 5-9 TEMPERATURE : -30 A +650°C  VITESSE 5M/S PRESSION 300 BARS DENSITE: 1.40 COTE 30 MM </v>
          </cell>
          <cell r="D1580" t="str">
            <v>KG</v>
          </cell>
          <cell r="E1580" t="str">
            <v>522.52207</v>
          </cell>
          <cell r="F1580">
            <v>396</v>
          </cell>
          <cell r="G1580">
            <v>0</v>
          </cell>
          <cell r="H1580">
            <v>0</v>
          </cell>
          <cell r="I1580">
            <v>0</v>
          </cell>
          <cell r="J1580">
            <v>0</v>
          </cell>
          <cell r="K1580">
            <v>0</v>
          </cell>
          <cell r="L1580">
            <v>0</v>
          </cell>
        </row>
        <row r="1581">
          <cell r="A1581" t="str">
            <v>10019.07690</v>
          </cell>
          <cell r="B1581" t="str">
            <v>TRESSE CARREE 3 MM</v>
          </cell>
          <cell r="C1581" t="str">
            <v>TRESSE CARREE EN CHRYSOTIL BLANC IMPREGNE D'UN LUBRIFIANT (HUILE DE GRAPHITE ET D'ANTI-CORROSIF) MODE DE TRESSAGE :                                      2 A   4MM : 2 FACES                                      5 A 12MM : 3 FACES                                     13 A 14MM : 4 FACES                                            15MM : ENTOUREE DE TRESSAGE POUR POMPES, ROBINETTERIE, VIS TRANSPORTEUSE, MELANGEURS ET REACTEURS. RESISTANCE : -EAU -VAPEUR -HUILES -BITUMES -ALCALIS                        -VAPEUR SOLVANTS ET FLUIDES ABRASIFS. PH 2-14 TEMPERATURE= 600°C VITESSE   : POMPE CENTRIFUGE=10 A PISTON=1,5 ROBINETTERIE= 2M/S PRESSION: POMPE CENTRIFUGE 30 A PISTON 100 ROBINETTERIE 500BARS COTE 3 MM</v>
          </cell>
          <cell r="D1581" t="str">
            <v>KG</v>
          </cell>
          <cell r="E1581" t="str">
            <v>522.52207</v>
          </cell>
          <cell r="F1581">
            <v>456</v>
          </cell>
          <cell r="G1581">
            <v>0</v>
          </cell>
          <cell r="H1581">
            <v>0</v>
          </cell>
          <cell r="I1581">
            <v>0</v>
          </cell>
          <cell r="J1581">
            <v>0</v>
          </cell>
          <cell r="K1581">
            <v>0</v>
          </cell>
          <cell r="L1581">
            <v>10</v>
          </cell>
        </row>
        <row r="1582">
          <cell r="A1582" t="str">
            <v>10021.00855</v>
          </cell>
          <cell r="B1582" t="str">
            <v>DOUBLE METRE MET</v>
          </cell>
          <cell r="C1582" t="str">
            <v xml:space="preserve">DIVERS INSTRUMENTS DE CONTROLES ET MESURES . . DESIGNATION DOUBLE-METRE METALLIQUE DE POCHE DIT "D'ENTREPRENEUR" , RUBAN D'ACIER INOXYDABLE GRADUE EN MM SUR LES 2 FACES , LOGE DANS UN BOITIER RENFORCE NI CKELE,DEROULEMENT , AUTOMATIQUE PAR SIMPLE PRESSION </v>
          </cell>
          <cell r="D1582" t="str">
            <v>PE</v>
          </cell>
          <cell r="E1582" t="str">
            <v>522.52208</v>
          </cell>
          <cell r="F1582">
            <v>48</v>
          </cell>
          <cell r="G1582">
            <v>0</v>
          </cell>
          <cell r="H1582">
            <v>0</v>
          </cell>
          <cell r="I1582">
            <v>0</v>
          </cell>
          <cell r="J1582">
            <v>0</v>
          </cell>
          <cell r="K1582">
            <v>0</v>
          </cell>
          <cell r="L1582">
            <v>0</v>
          </cell>
        </row>
        <row r="1583">
          <cell r="A1583" t="str">
            <v>20701.00283</v>
          </cell>
          <cell r="B1583" t="str">
            <v>DEBIMETRE</v>
          </cell>
          <cell r="C1583" t="str">
            <v>OPTIFLUX 1100C-230V AC DN25 PN40 SANDWITCH</v>
          </cell>
          <cell r="D1583" t="str">
            <v>PE</v>
          </cell>
          <cell r="E1583" t="str">
            <v>512.51201</v>
          </cell>
          <cell r="F1583">
            <v>18974.91</v>
          </cell>
          <cell r="G1583">
            <v>0</v>
          </cell>
          <cell r="H1583">
            <v>0</v>
          </cell>
          <cell r="I1583">
            <v>0</v>
          </cell>
          <cell r="J1583">
            <v>0</v>
          </cell>
          <cell r="K1583">
            <v>0</v>
          </cell>
          <cell r="L1583">
            <v>2</v>
          </cell>
        </row>
        <row r="1584">
          <cell r="A1584" t="str">
            <v>20702.00410</v>
          </cell>
          <cell r="B1584" t="str">
            <v xml:space="preserve">VANNE PNEUMATIQUE </v>
          </cell>
          <cell r="C1584" t="str">
            <v>TYPE 251 DN80 CORPS ACIER A216 WCC ANSI 900-RTJ-S C 1,4112-CV14 LINEAIRE COURSE 15MM EXECUTION AC-3 /SM 350 ET 700CM2</v>
          </cell>
          <cell r="D1584" t="str">
            <v>PE</v>
          </cell>
          <cell r="E1584" t="str">
            <v>512.51201</v>
          </cell>
          <cell r="F1584">
            <v>167055</v>
          </cell>
          <cell r="G1584">
            <v>0</v>
          </cell>
          <cell r="H1584">
            <v>0</v>
          </cell>
          <cell r="I1584">
            <v>0</v>
          </cell>
          <cell r="J1584">
            <v>0</v>
          </cell>
          <cell r="K1584">
            <v>0</v>
          </cell>
          <cell r="L1584">
            <v>0</v>
          </cell>
        </row>
        <row r="1585">
          <cell r="A1585" t="str">
            <v>20702.00150</v>
          </cell>
          <cell r="B1585" t="str">
            <v>POSITIONNEUR ELECTROPNEUMATIQUE</v>
          </cell>
          <cell r="C1585" t="str">
            <v>TYPE 3730 -2 GRANDEUR  4-20 mA 2 CONTACT DE POSITION LOGITIEL</v>
          </cell>
          <cell r="D1585" t="str">
            <v>PE</v>
          </cell>
          <cell r="E1585" t="str">
            <v>512.51201</v>
          </cell>
          <cell r="F1585">
            <v>16063.536</v>
          </cell>
          <cell r="G1585">
            <v>0</v>
          </cell>
          <cell r="H1585">
            <v>0</v>
          </cell>
          <cell r="I1585">
            <v>0</v>
          </cell>
          <cell r="J1585">
            <v>0</v>
          </cell>
          <cell r="K1585">
            <v>0</v>
          </cell>
          <cell r="L1585">
            <v>0</v>
          </cell>
        </row>
        <row r="1586">
          <cell r="A1586" t="str">
            <v>10019.02594</v>
          </cell>
          <cell r="B1586" t="str">
            <v>BAGUE ETANCHE 160X190X15*</v>
          </cell>
          <cell r="C1586" t="str">
            <v xml:space="preserve">BAGUE D'ETANCHEITE A LEVRE DE MANCHETTE A RESSORT DE SERRAGETYPE INTERNE A ARMATURE TOLE SOUS CAOUTCHOUC SYNTHETIQUE NITRILE,RESISTANT A L'ACTION DES LUBRIFIANTS MINERAUX TYPE : PAULSTRA-IE, NATIONAL-35, STEFA-CB , CEFILAC-C, CFW-BA DIMENSIONS : 160 X 190 X 15 MM </v>
          </cell>
          <cell r="D1586" t="str">
            <v>PE</v>
          </cell>
          <cell r="E1586" t="str">
            <v>522.52207</v>
          </cell>
          <cell r="F1586">
            <v>40.164000000000001</v>
          </cell>
          <cell r="G1586">
            <v>0</v>
          </cell>
          <cell r="H1586">
            <v>0</v>
          </cell>
          <cell r="I1586">
            <v>0</v>
          </cell>
          <cell r="J1586">
            <v>0</v>
          </cell>
          <cell r="K1586">
            <v>0</v>
          </cell>
          <cell r="L1586">
            <v>12</v>
          </cell>
        </row>
        <row r="1587">
          <cell r="A1587" t="str">
            <v>10019.02368</v>
          </cell>
          <cell r="B1587" t="str">
            <v>BAGUE ETANCHE 45X62X8   *</v>
          </cell>
          <cell r="C1587" t="str">
            <v xml:space="preserve">BAGUE D'ETANCHEITE A LEVRE DE MANCHETTE A RESSORT DE SERRAGETYPE INTERNE A ARMATURE TOLE SOUS CAOUTCHOUC SYNTHETIQUE NITRILE,RESISTANT A L'ACTION DES LUBRIFIANTS MINERAUX TYPE : PAULSTRA-IE, NATIONAL-35, STEFA-CB , CEFILAC-C, CFW-BA DIMENSIONS : 45 X 62 X 8 MM </v>
          </cell>
          <cell r="D1587" t="str">
            <v>PE</v>
          </cell>
          <cell r="E1587" t="str">
            <v>522.52207</v>
          </cell>
          <cell r="F1587">
            <v>25.784700000000001</v>
          </cell>
          <cell r="G1587">
            <v>0</v>
          </cell>
          <cell r="H1587">
            <v>0</v>
          </cell>
          <cell r="I1587">
            <v>4</v>
          </cell>
          <cell r="J1587">
            <v>0</v>
          </cell>
          <cell r="K1587">
            <v>0</v>
          </cell>
          <cell r="L1587">
            <v>0</v>
          </cell>
        </row>
        <row r="1588">
          <cell r="A1588" t="str">
            <v>10019.02608</v>
          </cell>
          <cell r="B1588" t="str">
            <v>BAGUE ETANCHE 185X215X16*</v>
          </cell>
          <cell r="C1588" t="str">
            <v xml:space="preserve">BAGUE D'ETANCHEITE A LEVRE DE MANCHETTE A RESSORT DE SERRAGETYPE INTERNE A ARMATURE TOLE SOUS CAOUTCHOUC SYNTHETIQUE NITRILE,RESISTANT A L'ACTION DES LUBRIFIANTS MINERAUX TYPE : PAULSTRA-IE, NATIONAL-35, STEFA-CB , CEFILAC-C, CFW-BA DIMENSIONS : 185 X 215 X 16 MM </v>
          </cell>
          <cell r="D1588" t="str">
            <v>PE</v>
          </cell>
          <cell r="E1588" t="str">
            <v>522.52207</v>
          </cell>
          <cell r="F1588">
            <v>63.851999999999997</v>
          </cell>
          <cell r="G1588">
            <v>0</v>
          </cell>
          <cell r="H1588">
            <v>0</v>
          </cell>
          <cell r="I1588">
            <v>0</v>
          </cell>
          <cell r="J1588">
            <v>1</v>
          </cell>
          <cell r="K1588">
            <v>0</v>
          </cell>
          <cell r="L1588">
            <v>4</v>
          </cell>
        </row>
        <row r="1589">
          <cell r="A1589" t="str">
            <v>10019.05625</v>
          </cell>
          <cell r="B1589" t="str">
            <v>BAGU.ETANCH.  45X 65X10</v>
          </cell>
          <cell r="C1589" t="str">
            <v xml:space="preserve">BAGUE D'ETANCHEITE TYPE INTERNE A DOUBLE LEVRES ARMATURE VITON SERTIE DANS UN BOITIER METALLIQUE TYPE : NATIONAL 32 - STEFA CC - CFW BASL - CEFILAC CP. DIMENSIONS : 45 X 65 X 10 MM </v>
          </cell>
          <cell r="D1589" t="str">
            <v>PE</v>
          </cell>
          <cell r="E1589" t="str">
            <v>522.52207</v>
          </cell>
          <cell r="F1589">
            <v>38.9771</v>
          </cell>
          <cell r="G1589">
            <v>0</v>
          </cell>
          <cell r="H1589">
            <v>0</v>
          </cell>
          <cell r="I1589">
            <v>0</v>
          </cell>
          <cell r="J1589">
            <v>0</v>
          </cell>
          <cell r="K1589">
            <v>0</v>
          </cell>
          <cell r="L1589">
            <v>2</v>
          </cell>
        </row>
        <row r="1590">
          <cell r="A1590" t="str">
            <v>10019.09476</v>
          </cell>
          <cell r="B1590" t="str">
            <v>JOINT SPIRALE GRAPHITE</v>
          </cell>
          <cell r="C1590" t="str">
            <v xml:space="preserve">JOINT SPIRALE GRAPHITE CLASSE 600 LBS NORME ASME 16-20 MATIERE 304SS EPAISSEUR 4,4MMDN 20 MM </v>
          </cell>
          <cell r="D1590" t="str">
            <v>PE</v>
          </cell>
          <cell r="E1590" t="str">
            <v>522.52207</v>
          </cell>
          <cell r="F1590">
            <v>14</v>
          </cell>
          <cell r="G1590">
            <v>0</v>
          </cell>
          <cell r="H1590">
            <v>0</v>
          </cell>
          <cell r="I1590">
            <v>0</v>
          </cell>
          <cell r="J1590">
            <v>0</v>
          </cell>
          <cell r="K1590">
            <v>0</v>
          </cell>
          <cell r="L1590">
            <v>10</v>
          </cell>
        </row>
        <row r="1591">
          <cell r="A1591" t="str">
            <v>10019.09478</v>
          </cell>
          <cell r="B1591" t="str">
            <v>JOINT SPIRALE GRAPHITE</v>
          </cell>
          <cell r="C1591" t="str">
            <v xml:space="preserve">JOINT SPIRALE GRAPHITE CLASSE 600 LBS NORME ASME 16-20 MATIERE 304SS EPAISSEUR 4,4MMDN 25 MM </v>
          </cell>
          <cell r="D1591" t="str">
            <v>PE</v>
          </cell>
          <cell r="E1591" t="str">
            <v>522.52207</v>
          </cell>
          <cell r="F1591">
            <v>16.62</v>
          </cell>
          <cell r="G1591">
            <v>1</v>
          </cell>
          <cell r="H1591">
            <v>2</v>
          </cell>
          <cell r="I1591">
            <v>0</v>
          </cell>
          <cell r="J1591">
            <v>9</v>
          </cell>
          <cell r="K1591">
            <v>2</v>
          </cell>
          <cell r="L1591">
            <v>18</v>
          </cell>
        </row>
        <row r="1592">
          <cell r="A1592" t="str">
            <v>10019.09480</v>
          </cell>
          <cell r="B1592" t="str">
            <v>JOINT SPIRALE GRAPHITE</v>
          </cell>
          <cell r="C1592" t="str">
            <v xml:space="preserve">JOINT SPIRALE GRAPHITE CLASSE 600 LBS NORME ASME 16-20 MATIERE 304SS EPAISSEUR 4,4MMDN 40 MM </v>
          </cell>
          <cell r="D1592" t="str">
            <v>PE</v>
          </cell>
          <cell r="E1592" t="str">
            <v>522.52207</v>
          </cell>
          <cell r="F1592">
            <v>26.88</v>
          </cell>
          <cell r="G1592">
            <v>0</v>
          </cell>
          <cell r="H1592">
            <v>0</v>
          </cell>
          <cell r="I1592">
            <v>0</v>
          </cell>
          <cell r="J1592">
            <v>4</v>
          </cell>
          <cell r="K1592">
            <v>0</v>
          </cell>
          <cell r="L1592">
            <v>35</v>
          </cell>
        </row>
        <row r="1593">
          <cell r="A1593" t="str">
            <v>10019.09482</v>
          </cell>
          <cell r="B1593" t="str">
            <v>JOINT SPIRALE GRAPHITE</v>
          </cell>
          <cell r="C1593" t="str">
            <v xml:space="preserve">JOINT SPIRALE GRAPHITE CLASSE 600 LBS NORME ASME 16-20 MATIERE 304SS EPAISSEUR 4,4MMDN 50 MM </v>
          </cell>
          <cell r="D1593" t="str">
            <v>PE</v>
          </cell>
          <cell r="E1593" t="str">
            <v>522.52207</v>
          </cell>
          <cell r="F1593">
            <v>36.4</v>
          </cell>
          <cell r="G1593">
            <v>6</v>
          </cell>
          <cell r="H1593">
            <v>0</v>
          </cell>
          <cell r="I1593">
            <v>0</v>
          </cell>
          <cell r="J1593">
            <v>4</v>
          </cell>
          <cell r="K1593">
            <v>2</v>
          </cell>
          <cell r="L1593">
            <v>15</v>
          </cell>
        </row>
        <row r="1594">
          <cell r="A1594" t="str">
            <v>10019.06359</v>
          </cell>
          <cell r="B1594" t="str">
            <v>JOINT KLINGERITE</v>
          </cell>
          <cell r="C1594" t="str">
            <v>FEUILLE DE JOINT "KLINGER 1000 ARME" POUR EAU -VAPEUR ET JOINTS DE CULASSE COULEUR : NOIRE -COMPRESSIBLITE: 7 A 8,5% TEMPERATURE : 550°C  -PRESSION : 200BARDIMENSIONS : 1500 X 2000 X 4 MM</v>
          </cell>
          <cell r="D1594" t="str">
            <v>PE</v>
          </cell>
          <cell r="E1594" t="str">
            <v>522.52207</v>
          </cell>
          <cell r="F1594">
            <v>1075.2</v>
          </cell>
          <cell r="G1594">
            <v>0</v>
          </cell>
          <cell r="H1594">
            <v>0</v>
          </cell>
          <cell r="I1594">
            <v>0</v>
          </cell>
          <cell r="J1594">
            <v>0</v>
          </cell>
          <cell r="K1594">
            <v>0</v>
          </cell>
          <cell r="L1594">
            <v>0</v>
          </cell>
        </row>
        <row r="1595">
          <cell r="A1595" t="str">
            <v>10019.06758</v>
          </cell>
          <cell r="B1595" t="str">
            <v>LANIERE CAOUT.DIAM.5MM</v>
          </cell>
          <cell r="C1595" t="str">
            <v xml:space="preserve">LANIERE EN CAOUTCHOUC  POUR CONFECTION DE JOINTS TORIQUES DURETE SHORE: 60 A 80 TEMPERATURE: -30 A +200°C RESISTANCE A LA RUPTURE: 100 A 140 KG/CM2 DIAMETRE: 5 MM </v>
          </cell>
          <cell r="D1595" t="str">
            <v>KG</v>
          </cell>
          <cell r="E1595" t="str">
            <v>522.52207</v>
          </cell>
          <cell r="F1595">
            <v>852</v>
          </cell>
          <cell r="G1595">
            <v>0</v>
          </cell>
          <cell r="H1595">
            <v>0</v>
          </cell>
          <cell r="I1595">
            <v>0</v>
          </cell>
          <cell r="J1595">
            <v>0</v>
          </cell>
          <cell r="K1595">
            <v>0</v>
          </cell>
          <cell r="L1595">
            <v>0</v>
          </cell>
        </row>
        <row r="1596">
          <cell r="A1596" t="str">
            <v>10019.06760</v>
          </cell>
          <cell r="B1596" t="str">
            <v>LANIERE CAOUT.DIAM.6MM</v>
          </cell>
          <cell r="C1596" t="str">
            <v xml:space="preserve">LANIERE EN CAOUTCHOUC  POUR CONFECTION DE JOINTS TORIQUES DURETE SHORE: 60 A 80 TEMPERATURE: -30 A +200°C RESISTANCE A LA RUPTURE: 100 A 140 KG/CM2 DIAMETRE: 6 MM </v>
          </cell>
          <cell r="D1596" t="str">
            <v>KG</v>
          </cell>
          <cell r="E1596" t="str">
            <v>522.52207</v>
          </cell>
          <cell r="F1596">
            <v>768</v>
          </cell>
          <cell r="G1596">
            <v>0</v>
          </cell>
          <cell r="H1596">
            <v>0</v>
          </cell>
          <cell r="I1596">
            <v>0</v>
          </cell>
          <cell r="J1596">
            <v>0</v>
          </cell>
          <cell r="K1596">
            <v>1</v>
          </cell>
          <cell r="L1596">
            <v>0</v>
          </cell>
        </row>
        <row r="1597">
          <cell r="A1597" t="str">
            <v>10019.06762</v>
          </cell>
          <cell r="B1597" t="str">
            <v>LANIERE CAOUT.DIAM.7MM</v>
          </cell>
          <cell r="C1597" t="str">
            <v xml:space="preserve">LANIERE EN CAOUTCHOUC  POUR CONFECTION DE JOINTS TORIQUES DURETE SHORE: 60 A 80 TEMPERATURE: -30 A +200°C RESISTANCE A LA RUPTURE: 100 A 140 KG/CM2 DIAMETRE: 7 MM </v>
          </cell>
          <cell r="D1597" t="str">
            <v>KG</v>
          </cell>
          <cell r="E1597" t="str">
            <v>522.52207</v>
          </cell>
          <cell r="F1597">
            <v>732</v>
          </cell>
          <cell r="G1597">
            <v>0</v>
          </cell>
          <cell r="H1597">
            <v>0</v>
          </cell>
          <cell r="I1597">
            <v>0</v>
          </cell>
          <cell r="J1597">
            <v>0</v>
          </cell>
          <cell r="K1597">
            <v>1</v>
          </cell>
          <cell r="L1597">
            <v>0</v>
          </cell>
        </row>
        <row r="1598">
          <cell r="A1598" t="str">
            <v>10019.06764</v>
          </cell>
          <cell r="B1598" t="str">
            <v>LANIERE CAOUT.DIAM.8MM</v>
          </cell>
          <cell r="C1598" t="str">
            <v xml:space="preserve">LANIERE EN CAOUTCHOUC  POUR CONFECTION DE JOINTS TORIQUES DURETE SHORE: 60 A 80 TEMPERATURE: -30 A +200°C RESISTANCE A LA RUPTURE: 100 A 140 KG/CM2 DIAMETRE: 8 MM </v>
          </cell>
          <cell r="D1598" t="str">
            <v>KG</v>
          </cell>
          <cell r="E1598" t="str">
            <v>522.52207</v>
          </cell>
          <cell r="F1598">
            <v>714</v>
          </cell>
          <cell r="G1598">
            <v>0</v>
          </cell>
          <cell r="H1598">
            <v>0</v>
          </cell>
          <cell r="I1598">
            <v>0</v>
          </cell>
          <cell r="J1598">
            <v>0</v>
          </cell>
          <cell r="K1598">
            <v>1</v>
          </cell>
          <cell r="L1598">
            <v>0</v>
          </cell>
        </row>
        <row r="1599">
          <cell r="A1599" t="str">
            <v>10019.06805</v>
          </cell>
          <cell r="B1599" t="str">
            <v>FEUILLE JOINT PTFE</v>
          </cell>
          <cell r="C1599" t="str">
            <v xml:space="preserve">FEUILLE DE JOINT EN PTFE "DELTA FLON MG" TEMPERATURE MAXI 315°C PRESSION 80BARS FLUIDE : +H2O DIMENSIONS : 1200 X 1200 X 1 MM </v>
          </cell>
          <cell r="D1599" t="str">
            <v>PE</v>
          </cell>
          <cell r="E1599" t="str">
            <v>522.52207</v>
          </cell>
          <cell r="F1599">
            <v>628.79999999999995</v>
          </cell>
          <cell r="G1599">
            <v>0</v>
          </cell>
          <cell r="H1599">
            <v>0</v>
          </cell>
          <cell r="I1599">
            <v>0</v>
          </cell>
          <cell r="J1599">
            <v>0</v>
          </cell>
          <cell r="K1599">
            <v>0</v>
          </cell>
          <cell r="L1599">
            <v>0</v>
          </cell>
        </row>
        <row r="1600">
          <cell r="A1600" t="str">
            <v>10019.06806</v>
          </cell>
          <cell r="B1600" t="str">
            <v>BANDE PTFE EP:3    MM</v>
          </cell>
          <cell r="C1600" t="str">
            <v>BANDE EN PTFE PUR EXPANSE AVEC AUTOCOLANT POUR BRIDES ET RESERVOIRS POUR TOUS FLUIDES (SAUF METAUX ALCALINS FONDUS OU DISSOUS) PRESSION : 200 BARS -TEMPERATURE: -269 A + 260°C PH 0-14 DIMENSIONS : LONG = 25 METRES - LARG =10 MM - EP = 3MM</v>
          </cell>
          <cell r="D1600" t="str">
            <v>PE</v>
          </cell>
          <cell r="E1600" t="str">
            <v>522.52207</v>
          </cell>
          <cell r="F1600">
            <v>447.48779999999999</v>
          </cell>
          <cell r="G1600">
            <v>3</v>
          </cell>
          <cell r="H1600">
            <v>36</v>
          </cell>
          <cell r="I1600">
            <v>0</v>
          </cell>
          <cell r="J1600">
            <v>0</v>
          </cell>
          <cell r="K1600">
            <v>0</v>
          </cell>
          <cell r="L1600">
            <v>3</v>
          </cell>
        </row>
        <row r="1601">
          <cell r="A1601" t="str">
            <v>10019.06807</v>
          </cell>
          <cell r="B1601" t="str">
            <v>FEUILLE JOINT PTFE</v>
          </cell>
          <cell r="C1601" t="str">
            <v xml:space="preserve">FEUILLE DE JOINT EN PTFE "DELTA FLON MG" TEMPERATURE MAXI 315°C PRESSION 80BARS FLUIDE : +H2O DIMENSIONS : 1200 X 1200 X 1,5 MM </v>
          </cell>
          <cell r="D1601" t="str">
            <v>PE</v>
          </cell>
          <cell r="E1601" t="str">
            <v>522.52207</v>
          </cell>
          <cell r="F1601">
            <v>3706.7660000000001</v>
          </cell>
          <cell r="G1601">
            <v>0</v>
          </cell>
          <cell r="H1601">
            <v>0</v>
          </cell>
          <cell r="I1601">
            <v>0</v>
          </cell>
          <cell r="J1601">
            <v>0</v>
          </cell>
          <cell r="K1601">
            <v>0</v>
          </cell>
          <cell r="L1601">
            <v>6</v>
          </cell>
        </row>
        <row r="1602">
          <cell r="A1602" t="str">
            <v>10019.06810</v>
          </cell>
          <cell r="B1602" t="str">
            <v>BANDE PTFE EP:7    MM</v>
          </cell>
          <cell r="C1602" t="str">
            <v>BANDE EN PTFE PUR EXPANSE AVEC AUTOCOLANT POUR BRIDES ET RESERVOIRS POUR TOUS FLUIDES (SAUF METAUX ALCALINS FONDUS OU DISSOUS) PRESSION : 200 BARS -TEMPERATURE: -269 A + 260°C PH 0-14 DIMENSIONS : LONG = 25 METRES - LARG =20 MM - EP = 7MM</v>
          </cell>
          <cell r="D1602" t="str">
            <v>PE</v>
          </cell>
          <cell r="E1602" t="str">
            <v>522.52207</v>
          </cell>
          <cell r="F1602">
            <v>1539.0091</v>
          </cell>
          <cell r="G1602">
            <v>0</v>
          </cell>
          <cell r="H1602">
            <v>19</v>
          </cell>
          <cell r="I1602">
            <v>1</v>
          </cell>
          <cell r="J1602">
            <v>0</v>
          </cell>
          <cell r="K1602">
            <v>0</v>
          </cell>
          <cell r="L1602">
            <v>0</v>
          </cell>
        </row>
        <row r="1603">
          <cell r="A1603" t="str">
            <v>10019.06384</v>
          </cell>
          <cell r="B1603" t="str">
            <v>FEUILL.KLINGERIT EP:2 MM</v>
          </cell>
          <cell r="C1603" t="str">
            <v xml:space="preserve">FEUILLE DE JOINT "KLINGER ACIDIT "S" "PLUS" OU  BURGMANN 9540   POUR ACIDES (SAUF NITRIQUE) DENSITE : 2 -COMPRESSIBLITE : 12% -TEMPERATURE: 150°CPRESSION: JUSQU'A 20 BARS DIMENSIONS: 1500 X 2000 X 2 MM </v>
          </cell>
          <cell r="D1603" t="str">
            <v>PE</v>
          </cell>
          <cell r="E1603" t="str">
            <v>522.52207</v>
          </cell>
          <cell r="F1603">
            <v>864</v>
          </cell>
          <cell r="G1603">
            <v>0</v>
          </cell>
          <cell r="H1603">
            <v>0</v>
          </cell>
          <cell r="I1603">
            <v>0</v>
          </cell>
          <cell r="J1603">
            <v>0</v>
          </cell>
          <cell r="K1603">
            <v>0</v>
          </cell>
          <cell r="L1603">
            <v>0</v>
          </cell>
        </row>
        <row r="1604">
          <cell r="A1604" t="str">
            <v>10019.06386</v>
          </cell>
          <cell r="B1604" t="str">
            <v>JOINT KLINGERITE</v>
          </cell>
          <cell r="C1604" t="str">
            <v xml:space="preserve">FEUILLE DE JOINT "KLINGER ACIDIT "S" "PLUS" OU  BURGMANN 9540   POUR ACIDES (SAUF NITRIQUE) DENSITE : 2 -COMPRESSIBLITE : 12% -TEMPERATURE: 150°CPRESSION: JUSQU'A 20 BARS DIMENSIONS: 1500 X 2000 X 3 MM </v>
          </cell>
          <cell r="D1604" t="str">
            <v>PE</v>
          </cell>
          <cell r="E1604" t="str">
            <v>522.52207</v>
          </cell>
          <cell r="F1604">
            <v>834.53</v>
          </cell>
          <cell r="G1604">
            <v>0</v>
          </cell>
          <cell r="H1604">
            <v>0</v>
          </cell>
          <cell r="I1604">
            <v>0</v>
          </cell>
          <cell r="J1604">
            <v>0</v>
          </cell>
          <cell r="K1604">
            <v>0</v>
          </cell>
          <cell r="L1604">
            <v>0</v>
          </cell>
        </row>
        <row r="1605">
          <cell r="A1605" t="str">
            <v>10019.06754</v>
          </cell>
          <cell r="B1605" t="str">
            <v>LANIERE CAOUT.DIAM.3</v>
          </cell>
          <cell r="C1605" t="str">
            <v xml:space="preserve">LANIERE EN CAOUTCHOUC  POUR CONFECTION DE JOINTS TORIQUES DURETE SHORE: 60 A 80 TEMPERATURE: -30 A +200°C RESISTANCE A LA RUPTURE: 100 A 140 KG/CM2 DIAMETRE: 3 MM </v>
          </cell>
          <cell r="D1605" t="str">
            <v>KG</v>
          </cell>
          <cell r="E1605" t="str">
            <v>522.52207</v>
          </cell>
          <cell r="F1605">
            <v>1197.5999999999999</v>
          </cell>
          <cell r="G1605">
            <v>0</v>
          </cell>
          <cell r="H1605">
            <v>0</v>
          </cell>
          <cell r="I1605">
            <v>0</v>
          </cell>
          <cell r="J1605">
            <v>0</v>
          </cell>
          <cell r="K1605">
            <v>0</v>
          </cell>
          <cell r="L1605">
            <v>0</v>
          </cell>
        </row>
        <row r="1606">
          <cell r="A1606" t="str">
            <v>10019.06755</v>
          </cell>
          <cell r="B1606" t="str">
            <v>LANIERE CAOUT.DIAM.3,50MM</v>
          </cell>
          <cell r="C1606" t="str">
            <v xml:space="preserve">LANIERE EN CAOUTCHOUC  POUR CONFECTION DE JOINTS TORIQUES DURETE SHORE: 60 A 80 TEMPERATURE: -30 A +200°C RESISTANCE A LA RUPTURE: 100 A 140 KG/CM2 DIAMETRE: 3.5 MM </v>
          </cell>
          <cell r="D1606" t="str">
            <v>KG</v>
          </cell>
          <cell r="E1606" t="str">
            <v>522.52207</v>
          </cell>
          <cell r="F1606">
            <v>957.6</v>
          </cell>
          <cell r="G1606">
            <v>0</v>
          </cell>
          <cell r="H1606">
            <v>0</v>
          </cell>
          <cell r="I1606">
            <v>0</v>
          </cell>
          <cell r="J1606">
            <v>0</v>
          </cell>
          <cell r="K1606">
            <v>1</v>
          </cell>
          <cell r="L1606">
            <v>0</v>
          </cell>
        </row>
        <row r="1607">
          <cell r="A1607" t="str">
            <v>10019.06756</v>
          </cell>
          <cell r="B1607" t="str">
            <v>LANIERE CAOUT.DIAM.4MM</v>
          </cell>
          <cell r="C1607" t="str">
            <v xml:space="preserve">LANIERE EN CAOUTCHOUC  POUR CONFECTION DE JOINTS TORIQUES DURETE SHORE: 60 A 80 TEMPERATURE: -30 A +200°C RESISTANCE A LA RUPTURE: 100 A 140 KG/CM2 DIAMETRE: 4 MM </v>
          </cell>
          <cell r="D1607" t="str">
            <v>KG</v>
          </cell>
          <cell r="E1607" t="str">
            <v>522.52207</v>
          </cell>
          <cell r="F1607">
            <v>954</v>
          </cell>
          <cell r="G1607">
            <v>0</v>
          </cell>
          <cell r="H1607">
            <v>0</v>
          </cell>
          <cell r="I1607">
            <v>0</v>
          </cell>
          <cell r="J1607">
            <v>0</v>
          </cell>
          <cell r="K1607">
            <v>1</v>
          </cell>
          <cell r="L1607">
            <v>0</v>
          </cell>
        </row>
        <row r="1608">
          <cell r="A1608" t="str">
            <v>10019.06328</v>
          </cell>
          <cell r="B1608" t="str">
            <v>JOINT KLINGERITE</v>
          </cell>
          <cell r="C1608" t="str">
            <v xml:space="preserve">FEUILLE DE JOINT "KLINGER 200" DIMENSIONS: 2000 X 1500 X 4 MM </v>
          </cell>
          <cell r="D1608" t="str">
            <v>PE</v>
          </cell>
          <cell r="E1608" t="str">
            <v>522.52207</v>
          </cell>
          <cell r="F1608">
            <v>487.07690000000002</v>
          </cell>
          <cell r="G1608">
            <v>0</v>
          </cell>
          <cell r="H1608">
            <v>0</v>
          </cell>
          <cell r="I1608">
            <v>0</v>
          </cell>
          <cell r="J1608">
            <v>0</v>
          </cell>
          <cell r="K1608">
            <v>24</v>
          </cell>
          <cell r="L1608">
            <v>0</v>
          </cell>
        </row>
        <row r="1609">
          <cell r="A1609" t="str">
            <v>10019.06355</v>
          </cell>
          <cell r="B1609" t="str">
            <v>FEUILL.KLINGERIT EP:2  MM</v>
          </cell>
          <cell r="C1609" t="str">
            <v xml:space="preserve">FEUILLE DE JOINT "KLINGER 1000 ARME" POUR EAU -VAPEUR ET JOINTS DE CULASSE COULEUR : NOIRE -COMPRESSIBLITE: 7 A 8,5% TEMPERATURE : 550°C  -PRESSION : 200BARDIMENSIONS = 1500 X 2000 X 2 MM </v>
          </cell>
          <cell r="D1609" t="str">
            <v>PE</v>
          </cell>
          <cell r="E1609" t="str">
            <v>522.52207</v>
          </cell>
          <cell r="F1609">
            <v>542.625</v>
          </cell>
          <cell r="G1609">
            <v>0</v>
          </cell>
          <cell r="H1609">
            <v>0</v>
          </cell>
          <cell r="I1609">
            <v>0</v>
          </cell>
          <cell r="J1609">
            <v>0</v>
          </cell>
          <cell r="K1609">
            <v>0</v>
          </cell>
          <cell r="L1609">
            <v>0</v>
          </cell>
        </row>
        <row r="1610">
          <cell r="A1610" t="str">
            <v>10019.06357</v>
          </cell>
          <cell r="B1610" t="str">
            <v>FEUILL.KLINGERIT EP:3  MM</v>
          </cell>
          <cell r="C1610" t="str">
            <v xml:space="preserve">FEUILLE DE JOINT "KLINGER 1000 ARME" POUR EAU -VAPEUR ET JOINTS DE CULASSE COULEUR : NOIRE -COMPRESSIBLITE: 7 A 8,5% TEMPERATURE : 550°C  -PRESSION : 200BARDIMENSIONS = 1500 X 2000 X 3 MM </v>
          </cell>
          <cell r="D1610" t="str">
            <v>PE</v>
          </cell>
          <cell r="E1610" t="str">
            <v>522.52207</v>
          </cell>
          <cell r="F1610">
            <v>2568.2118</v>
          </cell>
          <cell r="G1610">
            <v>0</v>
          </cell>
          <cell r="H1610">
            <v>0</v>
          </cell>
          <cell r="I1610">
            <v>0</v>
          </cell>
          <cell r="J1610">
            <v>0</v>
          </cell>
          <cell r="K1610">
            <v>0</v>
          </cell>
          <cell r="L1610">
            <v>0</v>
          </cell>
        </row>
        <row r="1611">
          <cell r="A1611" t="str">
            <v>10019.02615</v>
          </cell>
          <cell r="B1611" t="str">
            <v>BAGUE ETANCHE 190X220X15*</v>
          </cell>
          <cell r="C1611" t="str">
            <v xml:space="preserve">BAGUE D'ETANCHEITE A LEVRE DE MANCHETTE A RESSORT DE SERRAGETYPE INTERNE A ARMATURE TOLE SOUS CAOUTCHOUC SYNTHETIQUE NITRILE,RESISTANT A L'ACTION DES LUBRIFIANTS MINERAUX TYPE : PAULSTRA-IE, NATIONAL-35, STEFA-CB , CEFILAC-C, CFW-BA DIMENSIONS : 190 X 220 X 15 MM </v>
          </cell>
          <cell r="D1611" t="str">
            <v>PE</v>
          </cell>
          <cell r="E1611" t="str">
            <v>522.52207</v>
          </cell>
          <cell r="F1611">
            <v>63.851999999999997</v>
          </cell>
          <cell r="G1611">
            <v>0</v>
          </cell>
          <cell r="H1611">
            <v>0</v>
          </cell>
          <cell r="I1611">
            <v>0</v>
          </cell>
          <cell r="J1611">
            <v>0</v>
          </cell>
          <cell r="K1611">
            <v>0</v>
          </cell>
          <cell r="L1611">
            <v>13</v>
          </cell>
        </row>
        <row r="1612">
          <cell r="A1612" t="str">
            <v>10019.02625</v>
          </cell>
          <cell r="B1612" t="str">
            <v>BAGUE ETANCHE 200X230X15*</v>
          </cell>
          <cell r="C1612" t="str">
            <v xml:space="preserve">BAGUE D'ETANCHEITE A LEVRE DE MANCHETTE A RESSORT DE SERRAGETYPE INTERNE A ARMATURE TOLE SOUS CAOUTCHOUC SYNTHETIQUE NITRILE,RESISTANT A L'ACTION DES LUBRIFIANTS MINERAUX TYPE : PAULSTRA-IE, NATIONAL-35, STEFA-CB , CEFILAC-C, CFW-BA DIMENSIONS : 200 X 230 X 15 MM </v>
          </cell>
          <cell r="D1612" t="str">
            <v>PE</v>
          </cell>
          <cell r="E1612" t="str">
            <v>522.52207</v>
          </cell>
          <cell r="F1612">
            <v>69.959999999999994</v>
          </cell>
          <cell r="G1612">
            <v>0</v>
          </cell>
          <cell r="H1612">
            <v>0</v>
          </cell>
          <cell r="I1612">
            <v>0</v>
          </cell>
          <cell r="J1612">
            <v>0</v>
          </cell>
          <cell r="K1612">
            <v>0</v>
          </cell>
          <cell r="L1612">
            <v>12</v>
          </cell>
        </row>
        <row r="1613">
          <cell r="A1613" t="str">
            <v>10044.00913</v>
          </cell>
          <cell r="B1613" t="str">
            <v>PNEU INCREVABLE PLEIN</v>
          </cell>
          <cell r="C1613" t="str">
            <v>PNEU INCREVABLE PLEIN POUR HYSTER ET KOMATSUDIMENSIONS : 700X12</v>
          </cell>
          <cell r="D1613" t="str">
            <v>PE</v>
          </cell>
          <cell r="E1613" t="str">
            <v>516.51602</v>
          </cell>
          <cell r="F1613">
            <v>4300</v>
          </cell>
          <cell r="G1613">
            <v>0</v>
          </cell>
          <cell r="H1613">
            <v>0</v>
          </cell>
          <cell r="I1613">
            <v>0</v>
          </cell>
          <cell r="J1613">
            <v>0</v>
          </cell>
          <cell r="K1613">
            <v>0</v>
          </cell>
          <cell r="L1613">
            <v>0</v>
          </cell>
        </row>
        <row r="1614">
          <cell r="A1614" t="str">
            <v>10019.07230</v>
          </cell>
          <cell r="B1614" t="str">
            <v>TRESSE CARREE 20 MM</v>
          </cell>
          <cell r="C1614" t="str">
            <v xml:space="preserve">RESSE CARREE GRAPHITEE FABRIQUEE A PARTIR D'AMIANTE FIBRES LONGUES PARTICULIEREMENT FINES,CHIMIQUEMENT PURES, IMPREGNEES D'UN PRODUIT REFRACTAIRE APRES TRESSAGE TRAITE PAR ENDUCTION D'UNE EPAISSE COUCHE DE GRAPHITE POUR SOUPAPE -TIGE -PISTON -MANCHON D'EXTENTION -TURBINE RESISTANCE : EAU-VAPEUR-ACIDES ET BASES FAIBLES-SOLVANT, HUILES-GRAISSES. PH 5-9 TEMPERATURE : -30 A +650°C  VITESSE 5M/S PRESSION 300 BARS DENSITE: 1.40 COTE 20 MM </v>
          </cell>
          <cell r="D1614" t="str">
            <v>KG</v>
          </cell>
          <cell r="E1614" t="str">
            <v>522.52207</v>
          </cell>
          <cell r="F1614">
            <v>396</v>
          </cell>
          <cell r="G1614">
            <v>0</v>
          </cell>
          <cell r="H1614">
            <v>0</v>
          </cell>
          <cell r="I1614">
            <v>0</v>
          </cell>
          <cell r="J1614">
            <v>0</v>
          </cell>
          <cell r="K1614">
            <v>20</v>
          </cell>
          <cell r="L1614">
            <v>0</v>
          </cell>
        </row>
        <row r="1615">
          <cell r="A1615" t="str">
            <v>10019.07194</v>
          </cell>
          <cell r="B1615" t="str">
            <v>TRESSE CARREE 16 MM</v>
          </cell>
          <cell r="C1615" t="str">
            <v xml:space="preserve">TRESSE CARREE POUR MOTEUR -AGITATEUR -TIGE DE PISTON TRESSAGE DIAGONAL COMPOSE D'AMIANTE CHRYSOTIL LONGUES FIBRES IMPREGNEES SEPAREMENT DE DISPERSION A BASE PTFERESISTANCE: -SOLVANTS-HUILES-BASES-EAU-VAPEUR-GRAISSE HYDROCARBURES PH 6-14 TEMPERATURE 280°C  VITESSE 20M/SPRESSION 60BARS DENSITE 1.75 COTE 16 MM </v>
          </cell>
          <cell r="D1615" t="str">
            <v>KG</v>
          </cell>
          <cell r="E1615" t="str">
            <v>522.52207</v>
          </cell>
          <cell r="F1615">
            <v>336</v>
          </cell>
          <cell r="G1615">
            <v>0</v>
          </cell>
          <cell r="H1615">
            <v>0</v>
          </cell>
          <cell r="I1615">
            <v>0</v>
          </cell>
          <cell r="J1615">
            <v>0</v>
          </cell>
          <cell r="K1615">
            <v>0</v>
          </cell>
          <cell r="L1615">
            <v>0</v>
          </cell>
        </row>
        <row r="1616">
          <cell r="A1616" t="str">
            <v>10019.06866</v>
          </cell>
          <cell r="B1616" t="str">
            <v>TRESSE CARREE PTFE 16MM</v>
          </cell>
          <cell r="C1616" t="str">
            <v xml:space="preserve">RESSE UNIVERSSELLE CARREE EN PTFE + GRAPHITE POUR ARBRE, TIGE ET VANNE RESISTANCE : EAU, VAPEUR ET ACIDE PH 0-14 TEMPERATURE 260°C PRESSION 8 BARS COTE 16 MM </v>
          </cell>
          <cell r="D1616" t="str">
            <v>KG</v>
          </cell>
          <cell r="E1616" t="str">
            <v>522.52207</v>
          </cell>
          <cell r="F1616">
            <v>293.48</v>
          </cell>
          <cell r="G1616">
            <v>0</v>
          </cell>
          <cell r="H1616">
            <v>0</v>
          </cell>
          <cell r="I1616">
            <v>0</v>
          </cell>
          <cell r="J1616">
            <v>0</v>
          </cell>
          <cell r="K1616">
            <v>0</v>
          </cell>
          <cell r="L1616">
            <v>0</v>
          </cell>
        </row>
        <row r="1617">
          <cell r="A1617" t="str">
            <v>10019.00242</v>
          </cell>
          <cell r="B1617" t="str">
            <v>FEUILLE DE JOINT UNIVERSEL</v>
          </cell>
          <cell r="C1617" t="str">
            <v>FEUILLE DE JOINT UNIVERSEL BLEU SANS AMIANTE POUR ACIDES ET PRODUITS CHIMIQUES DIMENSIONS:1600x1560x1,5MM</v>
          </cell>
          <cell r="D1617" t="str">
            <v>PE</v>
          </cell>
          <cell r="E1617" t="str">
            <v>522.52207</v>
          </cell>
          <cell r="F1617">
            <v>552</v>
          </cell>
          <cell r="G1617">
            <v>0</v>
          </cell>
          <cell r="H1617">
            <v>0</v>
          </cell>
          <cell r="I1617">
            <v>0</v>
          </cell>
          <cell r="J1617">
            <v>0</v>
          </cell>
          <cell r="K1617">
            <v>0</v>
          </cell>
          <cell r="L1617">
            <v>0</v>
          </cell>
        </row>
        <row r="1618">
          <cell r="A1618" t="str">
            <v>10019.00243</v>
          </cell>
          <cell r="B1618" t="str">
            <v>JOINT SPIRALE</v>
          </cell>
          <cell r="C1618" t="str">
            <v xml:space="preserve">JOINT SPIRALE EN INOX+GRAPHITE DN 2"1/2 CLASSE 2500LBS EP=4MM AVEC ANNEAU DE CENTRAGE INTERNE ET EXTERNE EN 316L  </v>
          </cell>
          <cell r="D1618" t="str">
            <v>PE</v>
          </cell>
          <cell r="E1618" t="str">
            <v>522.52207</v>
          </cell>
          <cell r="F1618">
            <v>42</v>
          </cell>
          <cell r="G1618">
            <v>1</v>
          </cell>
          <cell r="H1618">
            <v>0</v>
          </cell>
          <cell r="I1618">
            <v>0</v>
          </cell>
          <cell r="J1618">
            <v>0</v>
          </cell>
          <cell r="K1618">
            <v>0</v>
          </cell>
          <cell r="L1618">
            <v>9</v>
          </cell>
        </row>
        <row r="1619">
          <cell r="A1619" t="str">
            <v>10019.09992</v>
          </cell>
          <cell r="B1619" t="str">
            <v>FEUILLE EN EPDM</v>
          </cell>
          <cell r="C1619" t="str">
            <v>FEUILLE DE JOINT EN EPDM DIMENSIONS : 3000 X 1200 X 3MM</v>
          </cell>
          <cell r="D1619" t="str">
            <v>PE</v>
          </cell>
          <cell r="E1619" t="str">
            <v>522.52207</v>
          </cell>
          <cell r="F1619">
            <v>1002</v>
          </cell>
          <cell r="G1619">
            <v>0</v>
          </cell>
          <cell r="H1619">
            <v>0</v>
          </cell>
          <cell r="I1619">
            <v>0</v>
          </cell>
          <cell r="J1619">
            <v>0</v>
          </cell>
          <cell r="K1619">
            <v>0</v>
          </cell>
          <cell r="L1619">
            <v>0</v>
          </cell>
        </row>
        <row r="1620">
          <cell r="A1620" t="str">
            <v>10019.09993</v>
          </cell>
          <cell r="B1620" t="str">
            <v>FEUILLE EN VITON</v>
          </cell>
          <cell r="C1620" t="str">
            <v>FEUILLE DE JOINT EN VITON DIMENSIONS : 3000 X 1200 X 3MM</v>
          </cell>
          <cell r="D1620" t="str">
            <v>PE</v>
          </cell>
          <cell r="E1620" t="str">
            <v>522.52207</v>
          </cell>
          <cell r="F1620">
            <v>11030.769200000001</v>
          </cell>
          <cell r="G1620">
            <v>0</v>
          </cell>
          <cell r="H1620">
            <v>0</v>
          </cell>
          <cell r="I1620">
            <v>0</v>
          </cell>
          <cell r="J1620">
            <v>0</v>
          </cell>
          <cell r="K1620">
            <v>0</v>
          </cell>
          <cell r="L1620">
            <v>0</v>
          </cell>
        </row>
        <row r="1621">
          <cell r="A1621" t="str">
            <v>10019.09994</v>
          </cell>
          <cell r="B1621" t="str">
            <v>FEUILLE EN CAOUTCHOUC NATUREL</v>
          </cell>
          <cell r="C1621" t="str">
            <v>FEUILLE DE JOINT EN CAOUTCHOUC NATUREL DIMENSIONS : 3000 X 1200 X 4MM</v>
          </cell>
          <cell r="D1621" t="str">
            <v>PE</v>
          </cell>
          <cell r="E1621" t="str">
            <v>522.52207</v>
          </cell>
          <cell r="F1621">
            <v>388.8</v>
          </cell>
          <cell r="G1621">
            <v>0</v>
          </cell>
          <cell r="H1621">
            <v>0</v>
          </cell>
          <cell r="I1621">
            <v>0</v>
          </cell>
          <cell r="J1621">
            <v>0</v>
          </cell>
          <cell r="K1621">
            <v>0</v>
          </cell>
          <cell r="L1621">
            <v>0</v>
          </cell>
        </row>
        <row r="1622">
          <cell r="A1622" t="str">
            <v>10019.09995</v>
          </cell>
          <cell r="B1622" t="str">
            <v>FEUILLE EN CAOUTCHOUC NATUREL</v>
          </cell>
          <cell r="C1622" t="str">
            <v>FEUILLE DE JOINT EN CAOUTCHOUC NATUREL DIMENSIONS : 3000 X 1500 X 8MM</v>
          </cell>
          <cell r="D1622" t="str">
            <v>PE</v>
          </cell>
          <cell r="E1622" t="str">
            <v>522.52207</v>
          </cell>
          <cell r="F1622">
            <v>972</v>
          </cell>
          <cell r="G1622">
            <v>0</v>
          </cell>
          <cell r="H1622">
            <v>0</v>
          </cell>
          <cell r="I1622">
            <v>0</v>
          </cell>
          <cell r="J1622">
            <v>0</v>
          </cell>
          <cell r="K1622">
            <v>0</v>
          </cell>
          <cell r="L1622">
            <v>10</v>
          </cell>
        </row>
        <row r="1623">
          <cell r="A1623" t="str">
            <v>10019.06839</v>
          </cell>
          <cell r="B1623" t="str">
            <v>FEUILLE DE JOINT UNIVERSEL</v>
          </cell>
          <cell r="C1623" t="str">
            <v>FEUILLE DE JOINT UNIVERSEL BLEU SANS AMIANTE POUR ACIDE ET PRODUITS CHIMIQUES  DIMENSIONS : 1600 X 1560 X 3MM</v>
          </cell>
          <cell r="D1623" t="str">
            <v>PE</v>
          </cell>
          <cell r="E1623" t="str">
            <v>522.52207</v>
          </cell>
          <cell r="F1623">
            <v>847</v>
          </cell>
          <cell r="G1623">
            <v>0</v>
          </cell>
          <cell r="H1623">
            <v>0</v>
          </cell>
          <cell r="I1623">
            <v>0</v>
          </cell>
          <cell r="J1623">
            <v>0</v>
          </cell>
          <cell r="K1623">
            <v>4</v>
          </cell>
          <cell r="L1623">
            <v>17</v>
          </cell>
        </row>
        <row r="1624">
          <cell r="A1624" t="str">
            <v>10019.06822</v>
          </cell>
          <cell r="B1624" t="str">
            <v>FEUILLE DE JOINT EN PTFE</v>
          </cell>
          <cell r="C1624" t="str">
            <v>FEUILLE DE JOINT EN PTFE PUR MODIFIE CHARGE DE FIBRE DE SILICE (COULEUR MARRON) DIMENSIONS : 1500 X 1500 X 3MM</v>
          </cell>
          <cell r="D1624" t="str">
            <v>PE</v>
          </cell>
          <cell r="E1624" t="str">
            <v>522.52207</v>
          </cell>
          <cell r="F1624">
            <v>9104.2999999999993</v>
          </cell>
          <cell r="G1624">
            <v>4</v>
          </cell>
          <cell r="H1624">
            <v>0</v>
          </cell>
          <cell r="I1624">
            <v>0</v>
          </cell>
          <cell r="J1624">
            <v>3</v>
          </cell>
          <cell r="K1624">
            <v>0</v>
          </cell>
          <cell r="L1624">
            <v>0</v>
          </cell>
        </row>
        <row r="1625">
          <cell r="A1625" t="str">
            <v>10019.06823</v>
          </cell>
          <cell r="B1625" t="str">
            <v>FEUILLE DE JOINT EN PTFE</v>
          </cell>
          <cell r="C1625" t="str">
            <v>FEUILLE DE JOINT EN PTFE PUR MODIFIE CHARGE DE MICROSPHERES DE FIBRE DE VERRE (COULEUR BLEU) DIMENSIONS : 1500 X 1500 X 3MM</v>
          </cell>
          <cell r="D1625" t="str">
            <v>PE</v>
          </cell>
          <cell r="E1625" t="str">
            <v>522.52207</v>
          </cell>
          <cell r="F1625">
            <v>5780</v>
          </cell>
          <cell r="G1625">
            <v>0</v>
          </cell>
          <cell r="H1625">
            <v>0</v>
          </cell>
          <cell r="I1625">
            <v>2</v>
          </cell>
          <cell r="J1625">
            <v>0</v>
          </cell>
          <cell r="K1625">
            <v>2</v>
          </cell>
          <cell r="L1625">
            <v>2</v>
          </cell>
        </row>
        <row r="1626">
          <cell r="A1626" t="str">
            <v>10019.06897</v>
          </cell>
          <cell r="B1626" t="str">
            <v>FEUILLE DE JOINT SANS AMIANTE</v>
          </cell>
          <cell r="C1626" t="str">
            <v>FEUILLE DE JOINT SANS AMIANTE ARME GRAPHITE TEMPERATURE 600°C PRESSION 300BARS DIMENSIONS : 1600 X 1560 X 2MM</v>
          </cell>
          <cell r="D1626" t="str">
            <v>PE</v>
          </cell>
          <cell r="E1626" t="str">
            <v>522.52207</v>
          </cell>
          <cell r="F1626">
            <v>510</v>
          </cell>
          <cell r="G1626">
            <v>0</v>
          </cell>
          <cell r="H1626">
            <v>0</v>
          </cell>
          <cell r="I1626">
            <v>0</v>
          </cell>
          <cell r="J1626">
            <v>0</v>
          </cell>
          <cell r="K1626">
            <v>0</v>
          </cell>
          <cell r="L1626">
            <v>0</v>
          </cell>
        </row>
        <row r="1627">
          <cell r="A1627" t="str">
            <v>10019.00096</v>
          </cell>
          <cell r="B1627" t="str">
            <v>TRESSE CARRE</v>
          </cell>
          <cell r="C1627" t="str">
            <v>TRESSE CARRE SANS AMIANTE EN PTFE BLANCHE DIA : 6 MM T° : 300°C PRESSION : 200 BARS PH : 0-14 VITESSE : 20M/S RESISTANCE AUX PRODUITS CHIMIQUE LES PLUS AGRESSIFS</v>
          </cell>
          <cell r="D1627" t="str">
            <v>KG</v>
          </cell>
          <cell r="E1627" t="str">
            <v>522.52207</v>
          </cell>
          <cell r="F1627">
            <v>605</v>
          </cell>
          <cell r="G1627">
            <v>0</v>
          </cell>
          <cell r="H1627">
            <v>0</v>
          </cell>
          <cell r="I1627">
            <v>0</v>
          </cell>
          <cell r="J1627">
            <v>0</v>
          </cell>
          <cell r="K1627">
            <v>0</v>
          </cell>
          <cell r="L1627">
            <v>5</v>
          </cell>
        </row>
        <row r="1628">
          <cell r="A1628" t="str">
            <v>10019.06898</v>
          </cell>
          <cell r="B1628" t="str">
            <v>FEUILLE DE JOINT SANS AMIANTE</v>
          </cell>
          <cell r="C1628" t="str">
            <v>FEUILLE DE JOINT SANS AMIANTE ARME GRAPHITE TEMPERATURE 600°C PRESSION 300BARS DIMENSIONS : 1600 X 1560 X 3MM</v>
          </cell>
          <cell r="D1628" t="str">
            <v>PE</v>
          </cell>
          <cell r="E1628" t="str">
            <v>522.52207</v>
          </cell>
          <cell r="F1628">
            <v>735.23329999999999</v>
          </cell>
          <cell r="G1628">
            <v>0</v>
          </cell>
          <cell r="H1628">
            <v>0</v>
          </cell>
          <cell r="I1628">
            <v>0</v>
          </cell>
          <cell r="J1628">
            <v>0</v>
          </cell>
          <cell r="K1628">
            <v>0</v>
          </cell>
          <cell r="L1628">
            <v>0</v>
          </cell>
        </row>
        <row r="1629">
          <cell r="A1629" t="str">
            <v>10019.06899</v>
          </cell>
          <cell r="B1629" t="str">
            <v>FEUILLE DE JOINT SANS AMIANTE</v>
          </cell>
          <cell r="C1629" t="str">
            <v>FEUILLE DE JOINT SANS AMIANTE ARME GRAPHITE TEMPERATURE 600°C PRESSION 300BARS DIMENSIONS : 1600 X 1560 X 4MM</v>
          </cell>
          <cell r="D1629" t="str">
            <v>PE</v>
          </cell>
          <cell r="E1629" t="str">
            <v>522.52207</v>
          </cell>
          <cell r="F1629">
            <v>5936.7</v>
          </cell>
          <cell r="G1629">
            <v>0</v>
          </cell>
          <cell r="H1629">
            <v>0</v>
          </cell>
          <cell r="I1629">
            <v>0</v>
          </cell>
          <cell r="J1629">
            <v>0</v>
          </cell>
          <cell r="K1629">
            <v>0</v>
          </cell>
          <cell r="L1629">
            <v>0</v>
          </cell>
        </row>
        <row r="1630">
          <cell r="A1630" t="str">
            <v>10023.05113</v>
          </cell>
          <cell r="B1630" t="str">
            <v>ELECT.ENROB.S/R AC IN3,15</v>
          </cell>
          <cell r="C1630" t="str">
            <v xml:space="preserve">ELECTRODES ENROBEES POUR SOUDAGE ET RECHARGEMENT ACIERS INOX A BAS CARBONEGENRE CASTOLIN 33000 UTP 68 MOLC / SAF RCND 18-8-3 / ARCOS INOXEND B SOUDOMETAL SOUDOCHROM B316 ESAB OK6330DIAMETRE 3,15 MM COMPOSITIONS CHIMIQUES C0,04/100SI0,9/100MN1/100NI14/100MO2,5/100CR 20/100 CU0,75/100 P0,04/100 S 0,03/100 RESISTANCE 70 KG/MM2 DURETE BRINELL 170 HB ALLONGEMENT 30 POUR CENT MODE DE SOUDAGE TOUTES POSITIONS NORME AWS E 316L-16 COURANT ALTERNATIF OU CONTINU ENROBAGE BASIQUE RESILIENCE A +20 DEGRES C 10DAJ/CM2 </v>
          </cell>
          <cell r="D1630" t="str">
            <v>KG</v>
          </cell>
          <cell r="E1630" t="str">
            <v>522.52208</v>
          </cell>
          <cell r="F1630">
            <v>115</v>
          </cell>
          <cell r="G1630">
            <v>0</v>
          </cell>
          <cell r="H1630">
            <v>0</v>
          </cell>
          <cell r="I1630">
            <v>65.599999999999994</v>
          </cell>
          <cell r="J1630">
            <v>0</v>
          </cell>
          <cell r="K1630">
            <v>0</v>
          </cell>
          <cell r="L1630">
            <v>73.8</v>
          </cell>
        </row>
        <row r="1631">
          <cell r="A1631" t="str">
            <v>10023.05112</v>
          </cell>
          <cell r="B1631" t="str">
            <v>ELECT.ENR S/R AC IN.DIAM .2,5</v>
          </cell>
          <cell r="C1631" t="str">
            <v xml:space="preserve">ELECTRODES ENROBEES POUR SOUDAGE ET RECHARGEMENT ACIERS INOX A BAS CARBONEGENRE CASTOLIN 33000 UTP 68 MOLC / SAF RCND 18-8-3 / ARCOS INOXEND B SOUDOMETAL SOUDOCHROM B316 ESAB OK6330DIAMETRE 2,5 MM COMPOSITIONS CHIMIQUES C0,04/100SI0,9/100MN1/100NI14/100MO2,5/100CR20/100 CU0,75/100P0,04/100 S0,03/100 RESISTANCE 70 KG/MM2 DURETE BRINELL 170 HB ALLONGEMENT 30 POUR CENT MODE DE SOUDAGE TOUTES POSITIONS NORME AWS E 316L-16 COURANT ALTERNATIF OU CONTINU ENROBAGE BASIQUE RESILIENCE A +20DEGRES C 10DAJ/CM2 </v>
          </cell>
          <cell r="D1631" t="str">
            <v>KG</v>
          </cell>
          <cell r="E1631" t="str">
            <v>522.52208</v>
          </cell>
          <cell r="F1631">
            <v>120</v>
          </cell>
          <cell r="G1631">
            <v>0</v>
          </cell>
          <cell r="H1631">
            <v>0</v>
          </cell>
          <cell r="I1631">
            <v>102.3</v>
          </cell>
          <cell r="J1631">
            <v>0</v>
          </cell>
          <cell r="K1631">
            <v>0</v>
          </cell>
          <cell r="L1631">
            <v>37.1</v>
          </cell>
        </row>
        <row r="1632">
          <cell r="A1632" t="str">
            <v>10023.05130</v>
          </cell>
          <cell r="B1632" t="str">
            <v>ELECTROD ENROBA BASIQ 3,2</v>
          </cell>
          <cell r="C1632" t="str">
            <v xml:space="preserve">SOUDURE BAGUETTE ENROBEES . . DESIGNATION ELECTRODE AENROBAGE BASIQUE , CLASSIFICATION : AWS E310MO-16 , DIAMETRE : 3,2 MM , SUIVANT FICHE TECHNIQUE CI-JOINTE </v>
          </cell>
          <cell r="D1632" t="str">
            <v>KG</v>
          </cell>
          <cell r="E1632" t="str">
            <v>522.52208</v>
          </cell>
          <cell r="F1632">
            <v>187</v>
          </cell>
          <cell r="G1632">
            <v>0</v>
          </cell>
          <cell r="H1632">
            <v>0</v>
          </cell>
          <cell r="I1632">
            <v>0</v>
          </cell>
          <cell r="J1632">
            <v>0</v>
          </cell>
          <cell r="K1632">
            <v>0</v>
          </cell>
          <cell r="L1632">
            <v>0</v>
          </cell>
        </row>
        <row r="1633">
          <cell r="A1633" t="str">
            <v>10023.05132</v>
          </cell>
          <cell r="B1633" t="str">
            <v>ELECTRODE:2,5 MM</v>
          </cell>
          <cell r="C1633" t="str">
            <v xml:space="preserve">SOUDURE ELECTRODES ENROBEES . . REFERENCE GENRE=CASTOLIN:33 300,UTP:68 HF,SAF:RCN 24-12S , GENRE=ARCOS:CHROMEND J,SOUDOMETAL:SOUDOCHROM C 310 DESTINATION POUR SOUDAGE ET RECHARGEMENT , DES ACIERS REFRACTAIRES TYPE 24-12 DIAMETRE 2,5 MM COMPOSITIONS CHIMIQUES C=0,10 POUR CENT-SI=0,90 POUR CENT-MO=0,75 POUR CENT- , NI=14 POUR CENT-CR=25 POUR CENT-CU=0,75 POUR CENT- , P=0,040 POUR CENT-S=0,030 POUR CENT-MN=1,5 POUR CENT. RESISTANCE SUPERIEURE A 60 KGS/MM2 , RESILIENCE: A(+20 DEGRES C) 6 DAJ/CM2 ALLONGEMENT 35 POUR CENT MODE DE SOUDAGE TOUTES POSITIONS NORME AWS E 309L-16 COURANT ALTERNATIF OU CONTINU ENROBAGE BASIQUE </v>
          </cell>
          <cell r="D1633" t="str">
            <v>KG</v>
          </cell>
          <cell r="E1633" t="str">
            <v>522.52208</v>
          </cell>
          <cell r="F1633">
            <v>257.90109999999999</v>
          </cell>
          <cell r="G1633">
            <v>0</v>
          </cell>
          <cell r="H1633">
            <v>0</v>
          </cell>
          <cell r="I1633">
            <v>0</v>
          </cell>
          <cell r="J1633">
            <v>0</v>
          </cell>
          <cell r="K1633">
            <v>5.4</v>
          </cell>
          <cell r="L1633">
            <v>0</v>
          </cell>
        </row>
        <row r="1634">
          <cell r="A1634" t="str">
            <v>10023.05133</v>
          </cell>
          <cell r="B1634" t="str">
            <v>ELECTRODE:3,15 MM</v>
          </cell>
          <cell r="C1634" t="str">
            <v xml:space="preserve">SOUDURE ELECTRODES ENROBEES . . COMPOSITION C=0,10 P/CENT, SI=0,90 P/CENT, MO-0,75 P/CENT , NI=14 P/CENT, CR=25 P/CENT, CU=0,75 P/CENT , P=0,040 P/CENT, S=0,030 P/CENT, MN=1,5 P/CENT DESTINATION SOUDAGE ET RECHARGEMENT DES ACIERS REFRACTAIRES (24-12, GENRE:SOUDOMETAL=SOUDOCHROM C 310, ARCOS=CHROMEND J GENRE CASTOLIN=33300, UTP=68HF, SAF=RCN 24-12S DIAMETRE 3,15 MM RESISTANCE SUPERIEURE A 60 KGS/MM2 ALLONGEMENT 35 P/CENT MODE DE SOUDAGE TOUTES POSITIONS NORME AWS E 309 L- 16 COURANT ALTERNATIF OU CONTINU ENROBAGE BASIQUE RESILIENCE A(+20 DEGRES C) 6 DAJ/CM2 </v>
          </cell>
          <cell r="D1634" t="str">
            <v>KG</v>
          </cell>
          <cell r="E1634" t="str">
            <v>522.52208</v>
          </cell>
          <cell r="F1634">
            <v>245.0103</v>
          </cell>
          <cell r="G1634">
            <v>0</v>
          </cell>
          <cell r="H1634">
            <v>0</v>
          </cell>
          <cell r="I1634">
            <v>0</v>
          </cell>
          <cell r="J1634">
            <v>0</v>
          </cell>
          <cell r="K1634">
            <v>0</v>
          </cell>
          <cell r="L1634">
            <v>0</v>
          </cell>
        </row>
        <row r="1635">
          <cell r="A1635" t="str">
            <v>10023.05139</v>
          </cell>
          <cell r="B1635" t="str">
            <v>ELECT.ENROB.ACIE IN D:2,5</v>
          </cell>
          <cell r="C1635" t="str">
            <v xml:space="preserve">SOUDURE ELECTRODES ENROBEES . . DESTINATION SOUDAGE DES ACIERS INOXYDABLES , AU CHROME.NICKEL.MOLYBDENE , AVEC OU SANS CUIVRE POUR RESISTANCE A LA CORROSION , EN MILIEUX SULFURIQUES CHAUDS ET CHLORIDRIQUES FROIDS , GENRE:ESAB=OK 69-33, SOUDONETAL=SOUDOCHROME 5-6 GENRE SAF=SAFINOX RCNDU 20-25-5S, CASTOLIN=EC 3237 DIAMETRE 2,5 MM RESISTANCE SUPERIEURE A 55 KGS/MM2 ALLONGEMENT 38 POUR CENT MODE DE SOUDAGE TOUTES POSITIONS NORME HORS NORME COURANT ALTERNATIF OU CONTINU ENROBAGE BASIQUE </v>
          </cell>
          <cell r="D1635" t="str">
            <v>KG</v>
          </cell>
          <cell r="E1635" t="str">
            <v>522.52208</v>
          </cell>
          <cell r="F1635">
            <v>248.28569999999999</v>
          </cell>
          <cell r="G1635">
            <v>0</v>
          </cell>
          <cell r="H1635">
            <v>0</v>
          </cell>
          <cell r="I1635">
            <v>0</v>
          </cell>
          <cell r="J1635">
            <v>20</v>
          </cell>
          <cell r="K1635">
            <v>10</v>
          </cell>
          <cell r="L1635">
            <v>0</v>
          </cell>
        </row>
        <row r="1636">
          <cell r="A1636" t="str">
            <v>10023.05140</v>
          </cell>
          <cell r="B1636" t="str">
            <v>ELECT.ENROB ACI.IN.D:3,15</v>
          </cell>
          <cell r="C1636" t="str">
            <v xml:space="preserve">SOUDURE ELECTRODES ENROBEES . . DESIGNATION POUR SOUDAGE ACIERS INOX AU CHROME NICKEL MOLYBDENE , AVEC OU SANS CUIVRE POUR RESISTANCE A LA CORROSION , EN MILIEU SULFURIQUE CHAUD ET CHLORHYDRIQUE FROID MARQUE GENRE SAF SAFINOX RCNDU 20-25-5-S CASTOLIN EC 3237 GENRE ESAB OK 69-33 SOUDOMETAL SOUDOCHROM 5.6 DIAMETRE 3,15 MM RESISTANCE SUPERIEURE 55 KG/MM2 ALLONGEMENT 38 POUR CENT MODE DE SOUDAGE TOUTES POSITIONS NORME HORS NORME COURANT ALTERNATIF OU CONTINU ENROBAGE BASIQUE </v>
          </cell>
          <cell r="D1636" t="str">
            <v>KG</v>
          </cell>
          <cell r="E1636" t="str">
            <v>522.52208</v>
          </cell>
          <cell r="F1636">
            <v>210</v>
          </cell>
          <cell r="G1636">
            <v>0</v>
          </cell>
          <cell r="H1636">
            <v>0</v>
          </cell>
          <cell r="I1636">
            <v>0</v>
          </cell>
          <cell r="J1636">
            <v>0</v>
          </cell>
          <cell r="K1636">
            <v>0</v>
          </cell>
          <cell r="L1636">
            <v>0</v>
          </cell>
        </row>
        <row r="1637">
          <cell r="A1637" t="str">
            <v>10023.05141</v>
          </cell>
          <cell r="B1637" t="str">
            <v>ELECT.ENROB.ACIE.INOX.D:4</v>
          </cell>
          <cell r="C1637" t="str">
            <v xml:space="preserve">SOUDURE ELECTRODES ENROBEES . . REFERENCE GENRE=SAF:SAFINOX RCNDU 20-25-5 S,CASTOLIN: EC3237 , GENRE=ESAB:OK 69-33,SOUDOMETAL:SOUDOCHROM 5.6 DESTINATION POUR SOUDAGE DES ACIERS INOXYDABLES AUX CR-NI-MO , AVEC OU SANS CU , POUR RESISTANCE A LA CORROSION EN MILIEUX SULFIRIQUES , CHAUDS ET CHLORHYDRIQUES FROIDS DIAMETRE 4 MM RESISTANCE SUPERIEUR A 55 KGS/MM2 ALLONGEMENT 38 POUR CENT MODE DE SOUDAGE TOUTES POSITIONS NORME HORS NORME COURANT ALTERNATIF OU CONTINU ENROBAGE BASIQUE </v>
          </cell>
          <cell r="D1637" t="str">
            <v>KG</v>
          </cell>
          <cell r="E1637" t="str">
            <v>522.52208</v>
          </cell>
          <cell r="F1637">
            <v>198</v>
          </cell>
          <cell r="G1637">
            <v>0</v>
          </cell>
          <cell r="H1637">
            <v>0</v>
          </cell>
          <cell r="I1637">
            <v>0</v>
          </cell>
          <cell r="J1637">
            <v>0</v>
          </cell>
          <cell r="K1637">
            <v>0</v>
          </cell>
          <cell r="L1637">
            <v>0</v>
          </cell>
        </row>
        <row r="1638">
          <cell r="A1638" t="str">
            <v>10023.05136</v>
          </cell>
          <cell r="B1638" t="str">
            <v>ELECT.ENR.S/R AC REF D2,5</v>
          </cell>
          <cell r="C1638" t="str">
            <v xml:space="preserve">SOUDURE ELECTRODES ENROBEES . . COMPOSITION C=0,08 P/CENT, CR=25A28 P/CENT, NI=20A22 P/CENT , MO=0,75 P/CENT, MN=2 P/CENT, SI=0,75 P/CENT , P=0,030 P/CENT, S=0,030 P/CENT, CU=0,75 P/CENT DESTINATION SOUDAGE ET RECHARGEMENT DES ACIERS REFRACTAIRES (25-20, GENRE: ESAB=OK 69-13, ARCOS=CHROMEND H GENRE SAF=SAFINOX RCN 25-20, CASTOLIN=INOX ARC D 1607 DIAMETRE 2,5 MM RESISTANCE SUPERIEURE A 65 KGS/MM2 ALLONGEMENT 30 P/CENT MODE DE SOUDAGE TOUTES POSITIONS NORME AWS E 310-16 COURANT ALTERNATIF OU CONTINU ENROBAGE BASIQUE </v>
          </cell>
          <cell r="D1638" t="str">
            <v>KG</v>
          </cell>
          <cell r="E1638" t="str">
            <v>522.52208</v>
          </cell>
          <cell r="F1638">
            <v>161.69999999999999</v>
          </cell>
          <cell r="G1638">
            <v>0</v>
          </cell>
          <cell r="H1638">
            <v>0</v>
          </cell>
          <cell r="I1638">
            <v>0</v>
          </cell>
          <cell r="J1638">
            <v>0</v>
          </cell>
          <cell r="K1638">
            <v>0</v>
          </cell>
          <cell r="L1638">
            <v>0</v>
          </cell>
        </row>
        <row r="1639">
          <cell r="A1639" t="str">
            <v>10023.05137</v>
          </cell>
          <cell r="B1639" t="str">
            <v>ELEC.EN.S/R AC REF D:3,15</v>
          </cell>
          <cell r="C1639" t="str">
            <v xml:space="preserve">SOUDURE ELECTRODES ENROBEES . . COMPOSITION C=0,08 P/CENT, CR=25A28 P/CENT, NI=20A22 P/CENT , MO=0,75 P/CENT, MN=2 P/CENT, SI=0,75 P/CENT , P=0,30 P/CENT,S=0,030 P/CENT,CU=0,75 P/CENT DESTINATION SOUDAGE ET RECHARGEMENT DES ACIERS REFRACTAIRES (25-20, GENRE: ESAB=OK 69-13, ARCOS=CHROMEND H GENRE SAF=SAFINOX RCN 25-20, CASTOLIN=INOX ARC D 1607 DIAMETRE 3,15 MM RESISTANCE SUPERIEURE A 65 KGS/MM2 ALLONGEMENT 30 P/CENT MODE DE SOUDAGE TOUTES POSITIONS NORME AWS E 310-16 COURANT ALTERNATIF OU CONTINU ENROBAGE BASIQUE </v>
          </cell>
          <cell r="D1639" t="str">
            <v>KG</v>
          </cell>
          <cell r="E1639" t="str">
            <v>522.52208</v>
          </cell>
          <cell r="F1639">
            <v>155.1</v>
          </cell>
          <cell r="G1639">
            <v>0</v>
          </cell>
          <cell r="H1639">
            <v>0</v>
          </cell>
          <cell r="I1639">
            <v>0</v>
          </cell>
          <cell r="J1639">
            <v>0</v>
          </cell>
          <cell r="K1639">
            <v>0</v>
          </cell>
          <cell r="L1639">
            <v>0</v>
          </cell>
        </row>
        <row r="1640">
          <cell r="A1640" t="str">
            <v>10023.05114</v>
          </cell>
          <cell r="B1640" t="str">
            <v>ELECT.ENROB.S/R AC IN.D 4</v>
          </cell>
          <cell r="C1640" t="str">
            <v xml:space="preserve">SOUDURE ELECTRODES ENROBEES . . COMPOSITION C=0,040 P/CENT,SI=0,90 P/CENT, MN=1 P/CENT , NI=14 P/CENT, MO=2,50 P/CENT, CR=20 P/CENT , CU=0,75 P/CENT,P=0,040 P/CENT, S=0,030 P/CENT DESTINATION SOUDAGE ET RECHARGEMENT DES ACIERS , INOXYDABLES A BAS CARBONE , GENRE:SOUDOMETAL=SOUDOCHROM B 316,ESAB=OK 63-30 GENRE CASTOLIN=33000, UTP=68 MOLC,SAF=RCND 18-8-3 DIAMETRE 4 MM RESISTANCE 70 KSS/MM2 DURETE BRINELL 170 HB ALLONGEMENT 30 P/CENT MODE DE SOUDAGE TOUTES POSITIONS NORME AWS E 316L-16 COURANT ALTERNATIF OU CONTINU ENROBAGE BASIQUE RESILIENCE A(+20 DEGRES C) 10 DAJ/CM2 </v>
          </cell>
          <cell r="D1640" t="str">
            <v>KG</v>
          </cell>
          <cell r="E1640" t="str">
            <v>522.52208</v>
          </cell>
          <cell r="F1640">
            <v>119.532</v>
          </cell>
          <cell r="G1640">
            <v>0</v>
          </cell>
          <cell r="H1640">
            <v>0</v>
          </cell>
          <cell r="I1640">
            <v>0</v>
          </cell>
          <cell r="J1640">
            <v>0</v>
          </cell>
          <cell r="K1640">
            <v>94.72</v>
          </cell>
          <cell r="L1640">
            <v>0</v>
          </cell>
        </row>
        <row r="1641">
          <cell r="A1641" t="str">
            <v>10023.05123</v>
          </cell>
          <cell r="B1641" t="str">
            <v>ELEC.ENR.S/R AC IN D:3,15</v>
          </cell>
          <cell r="C1641" t="str">
            <v xml:space="preserve">SOUDURE ELECTRODES ENROBEES . . DESIGNATION POUR SOUDURE ET RECHARGEMENT DES ACIERS INOXYDABLES , ACIERS INCONNUS ACIERS DIFFILEMENT SOUDABLES MARQUE GENRE CASTOLIN 3026 SAF RCN 29-10 ARCOS CHROMEND 29-9 GENRE SOUDOMETAL SOUDOCHROM D DIAMETRE 3,15 MM COMPOSITIONS CHIMIQUES C0,04/100 SI0,9/100 MN2,5/100 MO0,75/100 NI11,5/100 , CR28A30/100 P0,04/100 S0,03/100 CU0,75/100 RESISTANCE SUPERIEURE 80 KG/MM2 DURETE BRINELL 240 HB ALLONGEMENT 25 POUR CENT MODE DE SOUDAGE TOUTES POSITIONS NORME AWS E 312L-16 AWS E 312-16 COURANT ALTERNATIF OU CONTINU ENROBAGE BASIQUE RESILIENCE A 20 DEGRES C 8 DAJ/CM2 </v>
          </cell>
          <cell r="D1641" t="str">
            <v>KG</v>
          </cell>
          <cell r="E1641" t="str">
            <v>522.52208</v>
          </cell>
          <cell r="F1641">
            <v>118.9808</v>
          </cell>
          <cell r="G1641">
            <v>0</v>
          </cell>
          <cell r="H1641">
            <v>0</v>
          </cell>
          <cell r="I1641">
            <v>0</v>
          </cell>
          <cell r="J1641">
            <v>0</v>
          </cell>
          <cell r="K1641">
            <v>74.459999999999994</v>
          </cell>
          <cell r="L1641">
            <v>0</v>
          </cell>
        </row>
        <row r="1642">
          <cell r="A1642" t="str">
            <v>10023.05122</v>
          </cell>
          <cell r="B1642" t="str">
            <v>ELECTRODES D:2,5 MM</v>
          </cell>
          <cell r="C1642" t="str">
            <v xml:space="preserve">SOUDURE ELECTRODES ENROBEES . . DESTINATION POUR LA SOUDURE ET RECHARGEMENT DES ACIERS INOXYDABLES, ACIERS INCONNUS ACIERS DIFFICILEMENT SOUDABLES DIAMETRE 2,5 MM COMPOSITIONS CHIMIQUES C=0,040P.CENT SI=0,90P.CENT MN=2,5P.CENT MO=0,75P.CENT, NI=11,50P.CENT CR=28A30P.CENT P=0,0,040P.CENT , S=0,030P.CENT CU=0,75P.CENT RESISTANCE SUPERIEURE 80 KGS/MM2 DURETE BRINELL 240 HB ALLONGEMENT 25 POUR CENT MODE DE SOUDAGE TOUTES POSITIONS NORME AWS E 312 L- 16 AWS E 312 - 16 COURANT ALTERNATIF OU CONTINU ENROBAGE BASIQUE RESILIENCE A(20 DEGRES CENTIGRADES) 8 DAJ/CM2 , GENRE:CASTOLIN 3026 -SAF RCN 29-10 -ARCOS CHROMEND29-9, SOUDOMETAL SOUDOCHROM D </v>
          </cell>
          <cell r="D1642" t="str">
            <v>KG</v>
          </cell>
          <cell r="E1642" t="str">
            <v>522.52208</v>
          </cell>
          <cell r="F1642">
            <v>141.619</v>
          </cell>
          <cell r="G1642">
            <v>0</v>
          </cell>
          <cell r="H1642">
            <v>0</v>
          </cell>
          <cell r="I1642">
            <v>0</v>
          </cell>
          <cell r="J1642">
            <v>0</v>
          </cell>
          <cell r="K1642">
            <v>45.08</v>
          </cell>
          <cell r="L1642">
            <v>0</v>
          </cell>
        </row>
        <row r="1643">
          <cell r="A1643" t="str">
            <v>10023.00975</v>
          </cell>
          <cell r="B1643" t="str">
            <v>LETTR VIGNET 100</v>
          </cell>
          <cell r="C1643" t="str">
            <v xml:space="preserve">LETTRES VIGNETTES EN ZINC  HAUTEUR 100 MM MODE DE LIVRAISON JEU COMPLET </v>
          </cell>
          <cell r="D1643" t="str">
            <v>JE</v>
          </cell>
          <cell r="E1643" t="str">
            <v>522.52208</v>
          </cell>
          <cell r="F1643">
            <v>286</v>
          </cell>
          <cell r="G1643">
            <v>0</v>
          </cell>
          <cell r="H1643">
            <v>0</v>
          </cell>
          <cell r="I1643">
            <v>0</v>
          </cell>
          <cell r="J1643">
            <v>0</v>
          </cell>
          <cell r="K1643">
            <v>0</v>
          </cell>
          <cell r="L1643">
            <v>1</v>
          </cell>
        </row>
        <row r="1644">
          <cell r="A1644" t="str">
            <v>10023.00973</v>
          </cell>
          <cell r="B1644" t="str">
            <v>LETTRE VIGNET 50</v>
          </cell>
          <cell r="C1644" t="str">
            <v xml:space="preserve">LETTRES VIGNETTES EN ZINC  HAUTEUR 50 MM MODE DE LIVRAISON JEU COMPLET </v>
          </cell>
          <cell r="D1644" t="str">
            <v>JE</v>
          </cell>
          <cell r="E1644" t="str">
            <v>522.52208</v>
          </cell>
          <cell r="F1644">
            <v>165</v>
          </cell>
          <cell r="G1644">
            <v>0</v>
          </cell>
          <cell r="H1644">
            <v>0</v>
          </cell>
          <cell r="I1644">
            <v>0</v>
          </cell>
          <cell r="J1644">
            <v>0</v>
          </cell>
          <cell r="K1644">
            <v>0</v>
          </cell>
          <cell r="L1644">
            <v>1</v>
          </cell>
        </row>
        <row r="1645">
          <cell r="A1645" t="str">
            <v>10023.05110</v>
          </cell>
          <cell r="B1645" t="str">
            <v>ELECT.SAF.RCND18-8-3(1,6)</v>
          </cell>
          <cell r="C1645" t="str">
            <v xml:space="preserve">SOUDURE ELECTRODES ENROBEES . . COMPOSITION C=0,040 P/CENT, SI=0,90 P/CENT, MN=1 P/CENT, , NI=14 P/CENT, MO=2,50 P/CENT, CR=20 P/CENT , CU=0,75 P/CENT,P=0,040 P/CENT, S=0,030 P/CENT DESTINATION SOUDAGE ET RECHARGEMENT DES ACIERS , INOXYDABLE A BAS CARBONE , GENRE:SOUDOMETAL=SOUDOCHROM B 316, ESAB=OK 63-30 GENRE CASTOLIN=33000, UTP=68 MOLC, SAF=RCND 18-8-3 DIAMETRE 1,6 MM RESISTANCE 70 KGS/MM2 DURETE BRINELL 170 HB ALLONGEMENT 30 P/CENT MODE DE SOUDAGE TOUTES POSITIONS NORME AWS E 316L-16 COURANT ALTERNATIF OU CONTINU ENROBAGE BASIQUE RESILIENCE A(+20 DEGRES C) 10 DAJ/CM2 </v>
          </cell>
          <cell r="D1645" t="str">
            <v>KG</v>
          </cell>
          <cell r="E1645" t="str">
            <v>522.52208</v>
          </cell>
          <cell r="F1645">
            <v>280.94560000000001</v>
          </cell>
          <cell r="G1645">
            <v>0</v>
          </cell>
          <cell r="H1645">
            <v>0</v>
          </cell>
          <cell r="I1645">
            <v>0</v>
          </cell>
          <cell r="J1645">
            <v>0</v>
          </cell>
          <cell r="K1645">
            <v>0</v>
          </cell>
          <cell r="L1645">
            <v>59.8</v>
          </cell>
        </row>
        <row r="1646">
          <cell r="A1646" t="str">
            <v>10025.06659</v>
          </cell>
          <cell r="B1646" t="str">
            <v>DISQUE A TRONCONNER</v>
          </cell>
          <cell r="C1646" t="str">
            <v>DISQUE A TRONCONNER KLINGSPORT REF A24 N.SUPRA POUR LE DECOUPAGE DE L'INOX ET ACIER SPECIAUXHOMOLOGATION NFE 75220 ET DSA 1760DISQUE FORME 42 BOMBEABRASIF : OXYDE DE ZIRCONIUMDIAMETRE 125 ALESAGE 22,2MM EPAISSEUR 3,2MM</v>
          </cell>
          <cell r="D1646" t="str">
            <v>PE</v>
          </cell>
          <cell r="E1646" t="str">
            <v>522.52208</v>
          </cell>
          <cell r="F1646">
            <v>6.69</v>
          </cell>
          <cell r="G1646">
            <v>0</v>
          </cell>
          <cell r="H1646">
            <v>100</v>
          </cell>
          <cell r="I1646">
            <v>0</v>
          </cell>
          <cell r="J1646">
            <v>0</v>
          </cell>
          <cell r="K1646">
            <v>25</v>
          </cell>
          <cell r="L1646">
            <v>100</v>
          </cell>
        </row>
        <row r="1647">
          <cell r="A1647" t="str">
            <v>10022.00506</v>
          </cell>
          <cell r="B1647" t="str">
            <v>CLE POLYGONAL C.COU.12X14</v>
          </cell>
          <cell r="C1647" t="str">
            <v xml:space="preserve">OUTILLAGE CLES POLYGONALES 12 PANS CONTRE-COUDEES A 70 DEGRES DESIGNATION FORGE A CHAUD,TRAITE THERMIQUEMENT MATIERE ACIER VANACHROME GENRE FACOM =55 DIMENSIONS 12 X 14 MM PRESENTATION CHROME -POLI </v>
          </cell>
          <cell r="D1647" t="str">
            <v>PE</v>
          </cell>
          <cell r="E1647" t="str">
            <v>522.52208</v>
          </cell>
          <cell r="F1647">
            <v>102.52800000000001</v>
          </cell>
          <cell r="G1647">
            <v>0</v>
          </cell>
          <cell r="H1647">
            <v>0</v>
          </cell>
          <cell r="I1647">
            <v>0</v>
          </cell>
          <cell r="J1647">
            <v>0</v>
          </cell>
          <cell r="K1647">
            <v>0</v>
          </cell>
          <cell r="L1647">
            <v>0</v>
          </cell>
        </row>
        <row r="1648">
          <cell r="A1648" t="str">
            <v>10024.00964</v>
          </cell>
          <cell r="B1648" t="str">
            <v>PIOCHE OEIL ROND</v>
          </cell>
          <cell r="C1648" t="str">
            <v xml:space="preserve">PIOCHE A OEIL ROND,DOUILLE LONGUE,(SANS MANCHE)  POIDS 3,200 KGS ENVIRON DESTINATION DE TERRASSIER </v>
          </cell>
          <cell r="D1648" t="str">
            <v>PE</v>
          </cell>
          <cell r="E1648" t="str">
            <v>522.52208</v>
          </cell>
          <cell r="F1648">
            <v>78</v>
          </cell>
          <cell r="G1648">
            <v>0</v>
          </cell>
          <cell r="H1648">
            <v>0</v>
          </cell>
          <cell r="I1648">
            <v>0</v>
          </cell>
          <cell r="J1648">
            <v>0</v>
          </cell>
          <cell r="K1648">
            <v>0</v>
          </cell>
          <cell r="L1648">
            <v>0</v>
          </cell>
        </row>
        <row r="1649">
          <cell r="A1649" t="str">
            <v>10024.00964</v>
          </cell>
          <cell r="B1649" t="str">
            <v>PIOCHE OEIL ROND</v>
          </cell>
          <cell r="C1649" t="str">
            <v xml:space="preserve">PIOCHE A OEIL ROND,DOUILLE LONGUE,(SANS MANCHE)  POIDS 3,200 KGS ENVIRON DESTINATION DE TERRASSIER </v>
          </cell>
          <cell r="D1649" t="str">
            <v>PE</v>
          </cell>
          <cell r="E1649" t="str">
            <v>522.52208</v>
          </cell>
          <cell r="F1649">
            <v>78</v>
          </cell>
          <cell r="G1649">
            <v>0</v>
          </cell>
          <cell r="H1649">
            <v>0</v>
          </cell>
          <cell r="I1649">
            <v>0</v>
          </cell>
          <cell r="J1649">
            <v>0</v>
          </cell>
          <cell r="K1649">
            <v>6</v>
          </cell>
          <cell r="L1649">
            <v>0</v>
          </cell>
        </row>
        <row r="1650">
          <cell r="A1650" t="str">
            <v>10023.00087</v>
          </cell>
          <cell r="B1650" t="str">
            <v>TETE HP DE 20 10</v>
          </cell>
          <cell r="C1650" t="str">
            <v>SOUDURE CHALUMEAUX COUPEUR OXY-ACETYLENIQUE TETE DE RECHANGE , POUR HAUTE ET BASSE PRESSION , CALIBRE:20/10 DESTINATION POUR CHALUMEAU COUPEUR PYROCOPT G1W 000 262 063</v>
          </cell>
          <cell r="D1650" t="str">
            <v>PE</v>
          </cell>
          <cell r="E1650" t="str">
            <v>522.52208</v>
          </cell>
          <cell r="F1650">
            <v>68.400000000000006</v>
          </cell>
          <cell r="G1650">
            <v>0</v>
          </cell>
          <cell r="H1650">
            <v>0</v>
          </cell>
          <cell r="I1650">
            <v>0</v>
          </cell>
          <cell r="J1650">
            <v>0</v>
          </cell>
          <cell r="K1650">
            <v>14</v>
          </cell>
          <cell r="L1650">
            <v>0</v>
          </cell>
        </row>
        <row r="1651">
          <cell r="A1651" t="str">
            <v>10024.00990</v>
          </cell>
          <cell r="B1651" t="str">
            <v>BROUETTES EN FER</v>
          </cell>
          <cell r="C1651" t="str">
            <v xml:space="preserve">DESIGNATION BROUETTE ENTIEREMENT METALLIQUE EN TOLE DE 20/10 , ENVIRON EMBOUTIE, A ROUE CAOUTCHOUTEE INCREVABLE , AVEC OU SANS PARE-CHOC ? CONTENANCE 75 LITRES ENVIRON </v>
          </cell>
          <cell r="D1651" t="str">
            <v>PE</v>
          </cell>
          <cell r="E1651" t="str">
            <v>522.52208</v>
          </cell>
          <cell r="F1651">
            <v>456</v>
          </cell>
          <cell r="G1651">
            <v>0</v>
          </cell>
          <cell r="H1651">
            <v>0</v>
          </cell>
          <cell r="I1651">
            <v>0</v>
          </cell>
          <cell r="J1651">
            <v>0</v>
          </cell>
          <cell r="K1651">
            <v>0</v>
          </cell>
          <cell r="L1651">
            <v>0</v>
          </cell>
        </row>
        <row r="1652">
          <cell r="A1652" t="str">
            <v>10024.00990</v>
          </cell>
          <cell r="B1652" t="str">
            <v>BROUETTES EN FER</v>
          </cell>
          <cell r="C1652" t="str">
            <v xml:space="preserve">DESIGNATION BROUETTE ENTIEREMENT METALLIQUE EN TOLE DE 20/10 , ENVIRON EMBOUTIE, A ROUE CAOUTCHOUTEE INCREVABLE , AVEC OU SANS PARE-CHOC ? CONTENANCE 75 LITRES ENVIRON </v>
          </cell>
          <cell r="D1652" t="str">
            <v>PE</v>
          </cell>
          <cell r="E1652" t="str">
            <v>522.52208</v>
          </cell>
          <cell r="F1652">
            <v>456</v>
          </cell>
          <cell r="G1652">
            <v>0</v>
          </cell>
          <cell r="H1652">
            <v>0</v>
          </cell>
          <cell r="I1652">
            <v>0</v>
          </cell>
          <cell r="J1652">
            <v>0</v>
          </cell>
          <cell r="K1652">
            <v>0</v>
          </cell>
          <cell r="L1652">
            <v>0</v>
          </cell>
        </row>
        <row r="1653">
          <cell r="A1653" t="str">
            <v>10022.00614</v>
          </cell>
          <cell r="B1653" t="str">
            <v>LAME SCI 300 11D</v>
          </cell>
          <cell r="C1653" t="str">
            <v xml:space="preserve">OUTILLAGE LAMES DE SCIES A METAUX DROITE LONGUEUR 300 MM MATIERE EN ACIER A 2 POUR CENT DE TUNGSTENE FORME A MAIN SECTION 13 X 0,65 MM DENTURE 11 DENTS AU CM </v>
          </cell>
          <cell r="D1653" t="str">
            <v>PE</v>
          </cell>
          <cell r="E1653" t="str">
            <v>522.52208</v>
          </cell>
          <cell r="F1653">
            <v>11.5162</v>
          </cell>
          <cell r="G1653">
            <v>0</v>
          </cell>
          <cell r="H1653">
            <v>0</v>
          </cell>
          <cell r="I1653">
            <v>0</v>
          </cell>
          <cell r="J1653">
            <v>0</v>
          </cell>
          <cell r="K1653">
            <v>0</v>
          </cell>
          <cell r="L1653">
            <v>0</v>
          </cell>
        </row>
        <row r="1654">
          <cell r="A1654" t="str">
            <v>10023.00510</v>
          </cell>
          <cell r="B1654" t="str">
            <v>ELECTRODE EN TUNGSTENE</v>
          </cell>
          <cell r="C1654" t="str">
            <v>ELECTRODE EN TUNGSTENEDIAMETRE : 2.4MM</v>
          </cell>
          <cell r="D1654" t="str">
            <v>PE</v>
          </cell>
          <cell r="E1654" t="str">
            <v>522.52208</v>
          </cell>
          <cell r="F1654">
            <v>23.28</v>
          </cell>
          <cell r="G1654">
            <v>0</v>
          </cell>
          <cell r="H1654">
            <v>0</v>
          </cell>
          <cell r="I1654">
            <v>0</v>
          </cell>
          <cell r="J1654">
            <v>0</v>
          </cell>
          <cell r="K1654">
            <v>0</v>
          </cell>
          <cell r="L1654">
            <v>30</v>
          </cell>
        </row>
        <row r="1655">
          <cell r="A1655" t="str">
            <v>10023.00511</v>
          </cell>
          <cell r="B1655" t="str">
            <v>ELECTRODE EN TUNGSTENE</v>
          </cell>
          <cell r="C1655" t="str">
            <v>ELECTRODE EN TUNGSTENEDIAMETRE : 3MM</v>
          </cell>
          <cell r="D1655" t="str">
            <v>PE</v>
          </cell>
          <cell r="E1655" t="str">
            <v>522.52208</v>
          </cell>
          <cell r="F1655">
            <v>23.28</v>
          </cell>
          <cell r="G1655">
            <v>0</v>
          </cell>
          <cell r="H1655">
            <v>0</v>
          </cell>
          <cell r="I1655">
            <v>0</v>
          </cell>
          <cell r="J1655">
            <v>0</v>
          </cell>
          <cell r="K1655">
            <v>0</v>
          </cell>
          <cell r="L1655">
            <v>50</v>
          </cell>
        </row>
        <row r="1656">
          <cell r="A1656" t="str">
            <v>10023.05321</v>
          </cell>
          <cell r="B1656" t="str">
            <v>ELECTRODE ENROBE</v>
          </cell>
          <cell r="C1656" t="str">
            <v>ELECTRODE ENROBE POUR SOUDURE ET RECHARGEMENT DES ACIERS INOXIDABLES,COMPOSITION CHIMIQUE:Mo16-Cr23-Fe1-c&lt;0,02-Si&lt;0,2 NORME AWS 5,11,E Ni 6059 (NiCr23Mo16) DIAMETRE 1,6MM</v>
          </cell>
          <cell r="D1656" t="str">
            <v>KG</v>
          </cell>
          <cell r="E1656" t="str">
            <v>522.52208</v>
          </cell>
          <cell r="F1656">
            <v>407.4</v>
          </cell>
          <cell r="G1656">
            <v>0</v>
          </cell>
          <cell r="H1656">
            <v>0</v>
          </cell>
          <cell r="I1656">
            <v>0</v>
          </cell>
          <cell r="J1656">
            <v>0</v>
          </cell>
          <cell r="K1656">
            <v>0</v>
          </cell>
          <cell r="L1656">
            <v>0</v>
          </cell>
        </row>
        <row r="1657">
          <cell r="A1657" t="str">
            <v>10023.05322</v>
          </cell>
          <cell r="B1657" t="str">
            <v>ELECTRODE ENROBE</v>
          </cell>
          <cell r="C1657" t="str">
            <v>ELECTRODE ENROBE POUR SOUDURE ET RECHARGEMENT DES ACIERS INOXIDABLES,COMPOSITION CHIMIQUE:Mo16-Cr23-Fe1-c&lt;0,02-Si&lt;0,2 NORME AWS 5,11,E Ni 6059 (NiCr23Mo16) DIAMETRE 3,2MM</v>
          </cell>
          <cell r="D1657" t="str">
            <v>KG</v>
          </cell>
          <cell r="E1657" t="str">
            <v>522.52208</v>
          </cell>
          <cell r="F1657">
            <v>407.4</v>
          </cell>
          <cell r="G1657">
            <v>0</v>
          </cell>
          <cell r="H1657">
            <v>0</v>
          </cell>
          <cell r="I1657">
            <v>0</v>
          </cell>
          <cell r="J1657">
            <v>0</v>
          </cell>
          <cell r="K1657">
            <v>5</v>
          </cell>
          <cell r="L1657">
            <v>0</v>
          </cell>
        </row>
        <row r="1658">
          <cell r="A1658" t="str">
            <v>10023.00483</v>
          </cell>
          <cell r="B1658" t="str">
            <v>ELECTRODE ENROBEE</v>
          </cell>
          <cell r="C1658" t="str">
            <v>SOUDUREELECTRODE ENROBEE EN 308 HRDIAMETRE : 2,5 MM</v>
          </cell>
          <cell r="D1658" t="str">
            <v>KG</v>
          </cell>
          <cell r="E1658" t="str">
            <v>522.52208</v>
          </cell>
          <cell r="F1658">
            <v>236.77260000000001</v>
          </cell>
          <cell r="G1658">
            <v>0</v>
          </cell>
          <cell r="H1658">
            <v>0</v>
          </cell>
          <cell r="I1658">
            <v>5</v>
          </cell>
          <cell r="J1658">
            <v>0</v>
          </cell>
          <cell r="K1658">
            <v>0</v>
          </cell>
          <cell r="L1658">
            <v>15</v>
          </cell>
        </row>
        <row r="1659">
          <cell r="A1659" t="str">
            <v>10023.00484</v>
          </cell>
          <cell r="B1659" t="str">
            <v>ELECTRODE ENROBEE</v>
          </cell>
          <cell r="C1659" t="str">
            <v>SOUDUREELECTRODE ENROBEE EN 308 HRDIAMETRE : 3,15 MM</v>
          </cell>
          <cell r="D1659" t="str">
            <v>KG</v>
          </cell>
          <cell r="E1659" t="str">
            <v>522.52208</v>
          </cell>
          <cell r="F1659">
            <v>226.0924</v>
          </cell>
          <cell r="G1659">
            <v>0</v>
          </cell>
          <cell r="H1659">
            <v>0</v>
          </cell>
          <cell r="I1659">
            <v>0</v>
          </cell>
          <cell r="J1659">
            <v>0</v>
          </cell>
          <cell r="K1659">
            <v>0</v>
          </cell>
          <cell r="L1659">
            <v>85</v>
          </cell>
        </row>
        <row r="1660">
          <cell r="A1660" t="str">
            <v>10023.00485</v>
          </cell>
          <cell r="B1660" t="str">
            <v>ELECTRODE ENROBEE</v>
          </cell>
          <cell r="C1660" t="str">
            <v>SOUDUREELECTRODE ENROBEE EN 308 HRDIAMETRE : 4 MM</v>
          </cell>
          <cell r="D1660" t="str">
            <v>KG</v>
          </cell>
          <cell r="E1660" t="str">
            <v>522.52208</v>
          </cell>
          <cell r="F1660">
            <v>205.8</v>
          </cell>
          <cell r="G1660">
            <v>0</v>
          </cell>
          <cell r="H1660">
            <v>0</v>
          </cell>
          <cell r="I1660">
            <v>0</v>
          </cell>
          <cell r="J1660">
            <v>0</v>
          </cell>
          <cell r="K1660">
            <v>35</v>
          </cell>
          <cell r="L1660">
            <v>0</v>
          </cell>
        </row>
        <row r="1661">
          <cell r="A1661" t="str">
            <v>10023.05003</v>
          </cell>
          <cell r="B1661" t="str">
            <v>ELECTRODE:3,15 MM</v>
          </cell>
          <cell r="C1661" t="str">
            <v xml:space="preserve">SOUDURE ELECTRODES ENROBEES . . DESTINATION POUR SOUDAGE ET RECHARGEMENT DES FONTES NEUVES , FONTES ALLIEES FONTES A HAUTES CARACTERISTIQUES , MECANIQUES FONTES GRISES DIAMETRE 3,15 MM COMPOSITIONS CHIMIQUES C=1,50P.CENT SI=4P.CENT MN=1P.CENT NI=50 A 60P.CENT , CU=2,5P.CENT S=0,025P.CENT FE=SOLDE DURETE BRINELL 200 HB MODE DE SOUDAGE TOUTES POSITIONS NORME AWS EN1 FE C1 COURANT ALTERNATIF OU CONTINU ENROBAGE BASIQUE , GENRE:CASTOLIN CP 1923 -UTP 85 FN -SAF SAFONTE DOUCE , ARCOS MIXAL 22 -SOUDOMETAL SOUDOFONTE D </v>
          </cell>
          <cell r="D1661" t="str">
            <v>KG</v>
          </cell>
          <cell r="E1661" t="str">
            <v>522.52208</v>
          </cell>
          <cell r="F1661">
            <v>276.81</v>
          </cell>
          <cell r="G1661">
            <v>0</v>
          </cell>
          <cell r="H1661">
            <v>0</v>
          </cell>
          <cell r="I1661">
            <v>0</v>
          </cell>
          <cell r="J1661">
            <v>0</v>
          </cell>
          <cell r="K1661">
            <v>0</v>
          </cell>
          <cell r="L1661">
            <v>0</v>
          </cell>
        </row>
        <row r="1662">
          <cell r="A1662" t="str">
            <v>10023.05002</v>
          </cell>
          <cell r="B1662" t="str">
            <v>ELECTRODE:2,5 MM</v>
          </cell>
          <cell r="C1662" t="str">
            <v xml:space="preserve">SOUDURE ELECTRODES ENROBEES . . COMPOSITION C=1,50 P/CENT-SI=4 P/CENT-MN=1 P/CENT-NI=50A60 P/CENT , CU=2,5 P/CENT-S=0,025 P/CENT-FE=SOLDE DESTINATION SOUDAGE ET RECHARGEMENT DES FONES NEUVES , FONTES ALLIEES - FONTES GRISES , FONTES A HAUTES CARACTERISTIQUES MECANIQUES , GENRE,SOUDOMETAL=SOUDOFONTE D, UTP=85FN, ARCOS=MIXAL22GENRE CASTOLIN-CP 1923,SAF=SAFONTE DOUCE, DIAMETRE 2,5 MM DURETE BRINELL 200 HB MODE DE SOUDAGE TOUTES POSITIONTS NORME AWS ENI FE C1 COURANT ALTERNATIF OU CONTINU ENROBAGE BASIQUE </v>
          </cell>
          <cell r="D1662" t="str">
            <v>KG</v>
          </cell>
          <cell r="E1662" t="str">
            <v>522.52208</v>
          </cell>
          <cell r="F1662">
            <v>336.8082</v>
          </cell>
          <cell r="G1662">
            <v>0</v>
          </cell>
          <cell r="H1662">
            <v>0</v>
          </cell>
          <cell r="I1662">
            <v>0</v>
          </cell>
          <cell r="J1662">
            <v>0</v>
          </cell>
          <cell r="K1662">
            <v>0</v>
          </cell>
          <cell r="L1662">
            <v>1.75</v>
          </cell>
        </row>
        <row r="1663">
          <cell r="A1663" t="str">
            <v>10023.05138</v>
          </cell>
          <cell r="B1663" t="str">
            <v>ELECT.ENR.S/R AC REF D:4</v>
          </cell>
          <cell r="C1663" t="str">
            <v xml:space="preserve">SOUDURE ELECTRODES ENROBEES . . COMPOSITION C=0,08 P/CENT, CR=25A28 P/CENT, NI=20A22 P/CENT , MO=0,75 P/CENT, MN=2 P/CENT, SI=0,75 P/CENT , P=0,30 P/CENT,S=0,030 P/CENT,CU=0,75 P/CENT DESTINATION SOUDAGE ET RECHARGEMENT DES ACIERS REFRACTAIRES (25-20, GENRE: ESAB=OK 69-13, ARCOS=CHROMEND H GENRE SAF=SAFINOX RCN 25-20, CASTOLIN=INOX ARC D 1607 DIAMETRE 4 MM RESISTANCE SUPERIEURE A 65 KGS/MM2 ALLONGEMENT 30 P/CENT MODE DE SOUDAGE TOUTES POSITIONS NORME AWS E 310-16 COURANT ALTERNATIF OU CONTINU ENROBAGE BASIQUE </v>
          </cell>
          <cell r="D1663" t="str">
            <v>KG</v>
          </cell>
          <cell r="E1663" t="str">
            <v>522.52208</v>
          </cell>
          <cell r="F1663">
            <v>317.51089999999999</v>
          </cell>
          <cell r="G1663">
            <v>0</v>
          </cell>
          <cell r="H1663">
            <v>0</v>
          </cell>
          <cell r="I1663">
            <v>0</v>
          </cell>
          <cell r="J1663">
            <v>0</v>
          </cell>
          <cell r="K1663">
            <v>7.1</v>
          </cell>
          <cell r="L1663">
            <v>0</v>
          </cell>
        </row>
        <row r="1664">
          <cell r="A1664" t="str">
            <v>10043.01515</v>
          </cell>
          <cell r="B1664" t="str">
            <v>COLLIER CREMAILLERE 15MM</v>
          </cell>
          <cell r="C1664" t="str">
            <v xml:space="preserve">COLLIER DE SERRAGE POUR DURITE ET TUYAU EN VINYLE DIAMETRE 15 COMPOSITION A CREMAILLERE-GENRE SERFLEX </v>
          </cell>
          <cell r="D1664" t="str">
            <v>PE</v>
          </cell>
          <cell r="E1664" t="str">
            <v>522.52203</v>
          </cell>
          <cell r="F1664">
            <v>5</v>
          </cell>
          <cell r="G1664">
            <v>0</v>
          </cell>
          <cell r="H1664">
            <v>202</v>
          </cell>
          <cell r="I1664">
            <v>0</v>
          </cell>
          <cell r="J1664">
            <v>330</v>
          </cell>
          <cell r="K1664">
            <v>20</v>
          </cell>
          <cell r="L1664">
            <v>128</v>
          </cell>
        </row>
        <row r="1665">
          <cell r="A1665" t="str">
            <v>10043.01518</v>
          </cell>
          <cell r="B1665" t="str">
            <v>COLLIER CREMAILLERE 20MM</v>
          </cell>
          <cell r="C1665" t="str">
            <v xml:space="preserve">FOURNITURES POUR VEHICULES AUTOMOBILES COLLIER DE SERRAGE  DESTINATION POUR DURITE ET TUYAU EN VINYLE DIAMETRE 20 COMPOSITION A CREMAILLERE-GENRE SERFLEX </v>
          </cell>
          <cell r="D1665" t="str">
            <v>PE</v>
          </cell>
          <cell r="E1665" t="str">
            <v>522.52203</v>
          </cell>
          <cell r="F1665">
            <v>6.1</v>
          </cell>
          <cell r="G1665">
            <v>0</v>
          </cell>
          <cell r="H1665">
            <v>0</v>
          </cell>
          <cell r="I1665">
            <v>0</v>
          </cell>
          <cell r="J1665">
            <v>0</v>
          </cell>
          <cell r="K1665">
            <v>500</v>
          </cell>
          <cell r="L1665">
            <v>0</v>
          </cell>
        </row>
        <row r="1666">
          <cell r="A1666" t="str">
            <v>10043.01521</v>
          </cell>
          <cell r="B1666" t="str">
            <v>COLLIER CREMAILLERE 30MM</v>
          </cell>
          <cell r="C1666" t="str">
            <v xml:space="preserve">FOURNITURES POUR VEHICULES AUTOMOBILES COLLIER DE SERRAGE  DESTINATION POUR DURITE ET TUYAU EN VINYLE DIAMETRE 30 COMPOSITION A CREMAILLERE-GENRE SERFLEX </v>
          </cell>
          <cell r="D1666" t="str">
            <v>PE</v>
          </cell>
          <cell r="E1666" t="str">
            <v>522.52203</v>
          </cell>
          <cell r="F1666">
            <v>6.4</v>
          </cell>
          <cell r="G1666">
            <v>0</v>
          </cell>
          <cell r="H1666">
            <v>0</v>
          </cell>
          <cell r="I1666">
            <v>0</v>
          </cell>
          <cell r="J1666">
            <v>194</v>
          </cell>
          <cell r="K1666">
            <v>0</v>
          </cell>
          <cell r="L1666">
            <v>0</v>
          </cell>
        </row>
        <row r="1667">
          <cell r="A1667" t="str">
            <v>10043.01523</v>
          </cell>
          <cell r="B1667" t="str">
            <v>COLLIER CREMAILLERE 40MM</v>
          </cell>
          <cell r="C1667" t="str">
            <v xml:space="preserve">FOURNITURES POUR VEHICULES AUTOMOBILES COLLIER DE SERRAGE  DESTINATION POUR DURITE ET TUYAU EN VINYLE DIAMETRE 40 COMPOSITION A CREMAILLERE-GENRE SERFLEX </v>
          </cell>
          <cell r="D1667" t="str">
            <v>PE</v>
          </cell>
          <cell r="E1667" t="str">
            <v>522.52203</v>
          </cell>
          <cell r="F1667">
            <v>6.7</v>
          </cell>
          <cell r="G1667">
            <v>0</v>
          </cell>
          <cell r="H1667">
            <v>100</v>
          </cell>
          <cell r="I1667">
            <v>30</v>
          </cell>
          <cell r="J1667">
            <v>0</v>
          </cell>
          <cell r="K1667">
            <v>0</v>
          </cell>
          <cell r="L1667">
            <v>70</v>
          </cell>
        </row>
        <row r="1668">
          <cell r="A1668" t="str">
            <v>10043.01529</v>
          </cell>
          <cell r="B1668" t="str">
            <v>COLLIER CREMAILLERE 60MM</v>
          </cell>
          <cell r="C1668" t="str">
            <v xml:space="preserve">FOURNITURES POUR VEHICULES AUTOMOBILES COLLIER DE SERRAGE  DESTINATION POUR DURITE ET TUYAU EN VINYLE DIAMETRE 60 COMPOSITION A CREMAILLERE-GENRE SERFLEX </v>
          </cell>
          <cell r="D1668" t="str">
            <v>PE</v>
          </cell>
          <cell r="E1668" t="str">
            <v>522.52203</v>
          </cell>
          <cell r="F1668">
            <v>7.1</v>
          </cell>
          <cell r="G1668">
            <v>0</v>
          </cell>
          <cell r="H1668">
            <v>0</v>
          </cell>
          <cell r="I1668">
            <v>0</v>
          </cell>
          <cell r="J1668">
            <v>0</v>
          </cell>
          <cell r="K1668">
            <v>190</v>
          </cell>
          <cell r="L1668">
            <v>0</v>
          </cell>
        </row>
        <row r="1669">
          <cell r="A1669" t="str">
            <v>10043.01532</v>
          </cell>
          <cell r="B1669" t="str">
            <v>COLLIER CREMAILLERE 80MM</v>
          </cell>
          <cell r="C1669" t="str">
            <v xml:space="preserve">FOURNITURES POUR VEHICULES AUTOMOBILES COLLIER DE SERRAGE  DESTINATION POUR DURITE ET TUYAU EN VINYLE DIAMETRE 80 COMPOSITION A CREMAILLERE-GENRE SERFLEX </v>
          </cell>
          <cell r="D1669" t="str">
            <v>PE</v>
          </cell>
          <cell r="E1669" t="str">
            <v>522.52203</v>
          </cell>
          <cell r="F1669">
            <v>5.1369999999999996</v>
          </cell>
          <cell r="G1669">
            <v>0</v>
          </cell>
          <cell r="H1669">
            <v>0</v>
          </cell>
          <cell r="I1669">
            <v>0</v>
          </cell>
          <cell r="J1669">
            <v>0</v>
          </cell>
          <cell r="K1669">
            <v>0</v>
          </cell>
          <cell r="L1669">
            <v>0</v>
          </cell>
        </row>
        <row r="1670">
          <cell r="A1670" t="str">
            <v>10043.01610</v>
          </cell>
          <cell r="B1670" t="str">
            <v>COLLIER CREMAIL INOX D18</v>
          </cell>
          <cell r="C1670" t="str">
            <v xml:space="preserve">FOURNITURES POUR VEHICULES AUTOMOBILES COLLIER DE SERRAGE A CREMAILLERE  DIAMETRE MINI:18 MM MAXI:28 MM </v>
          </cell>
          <cell r="D1670" t="str">
            <v>PE</v>
          </cell>
          <cell r="E1670" t="str">
            <v>522.52203</v>
          </cell>
          <cell r="F1670">
            <v>14.4</v>
          </cell>
          <cell r="G1670">
            <v>0</v>
          </cell>
          <cell r="H1670">
            <v>0</v>
          </cell>
          <cell r="I1670">
            <v>0</v>
          </cell>
          <cell r="J1670">
            <v>0</v>
          </cell>
          <cell r="K1670">
            <v>15</v>
          </cell>
          <cell r="L1670">
            <v>0</v>
          </cell>
        </row>
        <row r="1671">
          <cell r="A1671" t="str">
            <v>10043.01614</v>
          </cell>
          <cell r="B1671" t="str">
            <v>COLLIER CREMAIL INOX D24</v>
          </cell>
          <cell r="C1671" t="str">
            <v xml:space="preserve">FOURNITURES POUR VEHICULES AUTOMOBILES COLLIER DE SERRAGE A CREMAILLERE  DIAMETRE MAXI:24 , MINI:36 MM </v>
          </cell>
          <cell r="D1671" t="str">
            <v>PE</v>
          </cell>
          <cell r="E1671" t="str">
            <v>522.52203</v>
          </cell>
          <cell r="F1671">
            <v>3.621</v>
          </cell>
          <cell r="G1671">
            <v>0</v>
          </cell>
          <cell r="H1671">
            <v>0</v>
          </cell>
          <cell r="I1671">
            <v>0</v>
          </cell>
          <cell r="J1671">
            <v>0</v>
          </cell>
          <cell r="K1671">
            <v>0</v>
          </cell>
          <cell r="L1671">
            <v>0</v>
          </cell>
        </row>
        <row r="1672">
          <cell r="A1672" t="str">
            <v>10043.01622</v>
          </cell>
          <cell r="B1672" t="str">
            <v>COLLIER CREMAIL INOX D68</v>
          </cell>
          <cell r="C1672" t="str">
            <v xml:space="preserve">FOURNITURES POUR VEHICULES AUTOMOBILES COLLIER DE SERRAGE A CREMAILLERE  DIAMETRE MAXI:68 , MINI:82 MM </v>
          </cell>
          <cell r="D1672" t="str">
            <v>PE</v>
          </cell>
          <cell r="E1672" t="str">
            <v>522.52203</v>
          </cell>
          <cell r="F1672">
            <v>23.847999999999999</v>
          </cell>
          <cell r="G1672">
            <v>0</v>
          </cell>
          <cell r="H1672">
            <v>0</v>
          </cell>
          <cell r="I1672">
            <v>0</v>
          </cell>
          <cell r="J1672">
            <v>0</v>
          </cell>
          <cell r="K1672">
            <v>0</v>
          </cell>
          <cell r="L1672">
            <v>0</v>
          </cell>
        </row>
        <row r="1673">
          <cell r="A1673" t="str">
            <v>10023.05022</v>
          </cell>
          <cell r="B1673" t="str">
            <v>ELECTRODE:2,5 MM</v>
          </cell>
          <cell r="C1673" t="str">
            <v xml:space="preserve">SOUDURE ELECTRODES ENROBEES . . DESTINATION POUR SOUDAGE COURANT DES: , ACIERS ORDINAIRES , ACIERS NON ALLIES , ACIERS AU CARBONE GENRE SAF G 53 - ARCOS NAVALEND.A - SOUDOMETAL PRIMAFIXE DIAMETRE 2,5 MM COMPOSITIONS CHIMIQUES C=0,060POUR CENT-SI=0,40POUR CENT-MN=0,50POUR CENT , S INFERIEUR A 0,020P.CENT-P INFERIEUR A 0,020P.CENT , GENRE- ESAB OK 46-12 RESISTANCE SUPERIEURE A 45 KGS/MM2 DURETE BRINELL 160HB ALLONGEMENT 27 POUR CENT MODE DE SOUDAGE TOUTES POSITIONS NORME AWS E 6013 COURANT ALTERNATIF OU CONTINU ENROBAGE RUTILE RESILIENCE A(+20 DEGRE C) SUPERIEURE A 11 DAJ/CM2 </v>
          </cell>
          <cell r="D1673" t="str">
            <v>KG</v>
          </cell>
          <cell r="E1673" t="str">
            <v>522.52208</v>
          </cell>
          <cell r="F1673">
            <v>12.7525</v>
          </cell>
          <cell r="G1673">
            <v>0</v>
          </cell>
          <cell r="H1673">
            <v>0</v>
          </cell>
          <cell r="I1673">
            <v>0</v>
          </cell>
          <cell r="J1673">
            <v>6</v>
          </cell>
          <cell r="K1673">
            <v>0</v>
          </cell>
          <cell r="L1673">
            <v>40.5</v>
          </cell>
        </row>
        <row r="1674">
          <cell r="A1674" t="str">
            <v>10023.05023</v>
          </cell>
          <cell r="B1674" t="str">
            <v>ELECTRODE:3,15 MM</v>
          </cell>
          <cell r="C1674" t="str">
            <v xml:space="preserve">SOUDURE ELECTRODES ENROBEES . . DESTINATION POUR SOUDAGE COURANT DES: , ACIERS ORDINAIRES , ACIERS NON ALLIES , ACIERS AU CARBONE GENRE SAF G 53 - ARCOS NAVALEND.A - SOUDOMETAL PRIMAFIXE DIAMETRE 3,15 MM COMPOSITIONS CHIMIQUES C=0,060POUR CENT-SI=0,40POUR CENT-MN=0,50POUR CENT , S INFERIEUR A 0,020P.CENT-P INFERIEUR A 0,020P.CENT , GENRE- ESAB OK 46-12 RESISTANCE SUPERIEURE A 45 KGS/MM2 DURETE BRINELL 160HB ALLONGEMENT 27 POUR CENT MODE DE SOUDAGE TOUTES POSITIONS NORME AWS E 6013 COURANT ALTERNATIF OU CONTINU ENROBAGE RUTILE RESILIENCE A(+20 DEGRE C) SUPERIEURE A 11 DAJ/CM2 </v>
          </cell>
          <cell r="D1674" t="str">
            <v>KG</v>
          </cell>
          <cell r="E1674" t="str">
            <v>522.52208</v>
          </cell>
          <cell r="F1674">
            <v>11.872400000000001</v>
          </cell>
          <cell r="G1674">
            <v>0</v>
          </cell>
          <cell r="H1674">
            <v>0</v>
          </cell>
          <cell r="I1674">
            <v>5.2</v>
          </cell>
          <cell r="J1674">
            <v>6</v>
          </cell>
          <cell r="K1674">
            <v>10.4</v>
          </cell>
          <cell r="L1674">
            <v>20</v>
          </cell>
        </row>
        <row r="1675">
          <cell r="A1675" t="str">
            <v>10023.05024</v>
          </cell>
          <cell r="B1675" t="str">
            <v>ELECTRODE:4 MM</v>
          </cell>
          <cell r="C1675" t="str">
            <v xml:space="preserve">SOUDURE ELECTRODES ENROBEES . . DESTINATION POUR SOUDAGE COURANT DES: , ACIERS ORDINAIRES , ACIERS NON ALLIES , ACIERS AU CARBONE GENRE SAF G 53 - ARCOS NAVALEND.A - SOUDOMETAL PRIMAFIXE DIAMETRE 4 MM COMPOSITIONS CHIMIQUES C=0,060POUR CENT-SI=0,40POUR CENT-MN=0,50POUR CENT , S INFERIEUR A 0,020P.CENT- P INFERIEUR A 0,020P.CENT , GENRE-ESAB OK 46-12 RESISTANCE SUPERIEUR A 45 KGS/MM2 DURETE BRINELL 160HB ALLONGEMENT 27 POUR CENT MODE DE SOUDAGE TOUTES POSITIONS NORME AWS E 6013 COURANT ALTERNATIF OU CONTINU ENROBAGE RUTILE RESILIENCE A(+20 DEGRE C) SUPERIEURE A 11 DAJ/CM2 </v>
          </cell>
          <cell r="D1675" t="str">
            <v>KG</v>
          </cell>
          <cell r="E1675" t="str">
            <v>522.52208</v>
          </cell>
          <cell r="F1675">
            <v>11.747999999999999</v>
          </cell>
          <cell r="G1675">
            <v>0</v>
          </cell>
          <cell r="H1675">
            <v>0</v>
          </cell>
          <cell r="I1675">
            <v>0</v>
          </cell>
          <cell r="J1675">
            <v>0</v>
          </cell>
          <cell r="K1675">
            <v>35.81</v>
          </cell>
          <cell r="L1675">
            <v>0</v>
          </cell>
        </row>
        <row r="1676">
          <cell r="A1676" t="str">
            <v>10023.05042</v>
          </cell>
          <cell r="B1676" t="str">
            <v>ELECTRODE:2,5 MM</v>
          </cell>
          <cell r="C1676" t="str">
            <v xml:space="preserve">SOUDURE ELECTRODES ENROBEES . . DESTINATION POUR SOUDAGE DES ACIERS FAIBLEMENT ALLIES AU MOLIBDENEGENRE ARCOS DUCTILEND 55 -SOUDOMETAL COMET J 50 DIAMETRE 2,5 MM COMPOSITIONS CHIMIQUES C=0,10P.CENT-SI=0,75P.CENT-MN=1,60P.CENT-NI=0,30P.CENT, CR=0,20P.CENT-MO=0,30P.CENT-V=0,80P.CENT , GENRE-ESAB OK 48-30 - SAF NF 510 RESISTANCE SUPERIEURE A 50 KGS/MM2 DURETE BRINELL 170HB ALLONGEMENT 30 POUR CENT MODE DE SOUDAGE TOUTES POSITIONS NORME AWS E 7018 COURANT ALTERNATIF OU CONTINU ENROBAGE BASIQUE RESILIENCE 20 DAJ/CM2 </v>
          </cell>
          <cell r="D1676" t="str">
            <v>KG</v>
          </cell>
          <cell r="E1676" t="str">
            <v>522.52208</v>
          </cell>
          <cell r="F1676">
            <v>18</v>
          </cell>
          <cell r="G1676">
            <v>0</v>
          </cell>
          <cell r="H1676">
            <v>0</v>
          </cell>
          <cell r="I1676">
            <v>0</v>
          </cell>
          <cell r="J1676">
            <v>0</v>
          </cell>
          <cell r="K1676">
            <v>0</v>
          </cell>
          <cell r="L1676">
            <v>51.6</v>
          </cell>
        </row>
        <row r="1677">
          <cell r="A1677" t="str">
            <v>10023.05043</v>
          </cell>
          <cell r="B1677" t="str">
            <v>ELECTRODE:3,15 MM</v>
          </cell>
          <cell r="C1677" t="str">
            <v xml:space="preserve">SOUDURE ELECTRODES ENROBEES . . DESTINATION POUR SOUDAGE DES ACIERS FAIBLEMENT ALLIES , AU MOLYBDENE (MO) DIAMETRE 3,15 MM COMPOSITIONS CHIMIQUES C=0,10P.CENT SI=0,75P.CENT MN=1,60P.CENT NI=0,30P.CENT, CR=0,20P.CENT MO=0,30P.CENT V=0,80P.CENT RESISTANCE SUPERIEURE 50 KGS/MM2 DURETE BRINELL 170 HB ALLONGEMENT 30 POUR CENT MODE DE SOUDAGE TOUTES POSITIONS COURANT ALTERNATIF OU CONTINU ENROBAGE BASIQUE RESILIENCE 20 DAJ/CM2 , GENRE:ARCOS DUCTILEND 55 -SOUDOMETAL COMET J 50 , ESAB OK 48-30 -SAF NF 510 </v>
          </cell>
          <cell r="D1677" t="str">
            <v>KG</v>
          </cell>
          <cell r="E1677" t="str">
            <v>522.52208</v>
          </cell>
          <cell r="F1677">
            <v>17</v>
          </cell>
          <cell r="G1677">
            <v>0</v>
          </cell>
          <cell r="H1677">
            <v>0</v>
          </cell>
          <cell r="I1677">
            <v>35.799999999999997</v>
          </cell>
          <cell r="J1677">
            <v>0</v>
          </cell>
          <cell r="K1677">
            <v>0</v>
          </cell>
          <cell r="L1677">
            <v>47.3</v>
          </cell>
        </row>
        <row r="1678">
          <cell r="A1678" t="str">
            <v>10023.05044</v>
          </cell>
          <cell r="B1678" t="str">
            <v>ELECTRODE:4 MM</v>
          </cell>
          <cell r="C1678" t="str">
            <v xml:space="preserve">SOUDURE ELECTRODES ENROBEES . . DESTINATION POUR SOUDAGE DES ACIERS FAIBLEMENT ALLIES , AU MOLYBDENE (MO) DIAMETRE 4 MM COMPOSITIONS CHIMIQUES C=0,10P.CENT SI=0,75P.CENT MN=1,60P.CENT NI=0,30P.CENT, CR=0,20P.CENT MO=0,30P.CENT V=0,80P.CENT RESISTANCE SUPERIEURE 50 KGS/MM2 DURETE BRINELL 170 HB ALLONGEMENT 30 POUR CENT MODE DE SOUDAGE TOUTES POSITIONS COURANT ALTERNATIF OU CONTINU ENROBAGE BASIQUE RESILIENCE 20 DAJ/CM2 , GENRE:ARCOS DUCTILEND 55 -SOUDOMETAL COMET J 50 , ESAB OK 48-30 -SAF NF 510 </v>
          </cell>
          <cell r="D1678" t="str">
            <v>KG</v>
          </cell>
          <cell r="E1678" t="str">
            <v>522.52208</v>
          </cell>
          <cell r="F1678">
            <v>26.4</v>
          </cell>
          <cell r="G1678">
            <v>0</v>
          </cell>
          <cell r="H1678">
            <v>0</v>
          </cell>
          <cell r="I1678">
            <v>0</v>
          </cell>
          <cell r="J1678">
            <v>0</v>
          </cell>
          <cell r="K1678">
            <v>0</v>
          </cell>
          <cell r="L1678">
            <v>0</v>
          </cell>
        </row>
        <row r="1679">
          <cell r="A1679" t="str">
            <v>10023.00075</v>
          </cell>
          <cell r="B1679" t="str">
            <v>CHAL COUP PYROCO</v>
          </cell>
          <cell r="C1679" t="str">
            <v>SOUDURE CHALUMEAUX COUPEUR OXY-ACETYLENIQUE  DESIGNATION PYROCOPT G1 ,A HAUTE ET BASSE PRESSION GENRE SAF:7608-0002 AVEC CERTIFICAT DE CONFORMITE</v>
          </cell>
          <cell r="D1679" t="str">
            <v>PE</v>
          </cell>
          <cell r="E1679" t="str">
            <v>522.52208</v>
          </cell>
          <cell r="F1679">
            <v>946.8</v>
          </cell>
          <cell r="G1679">
            <v>0</v>
          </cell>
          <cell r="H1679">
            <v>0</v>
          </cell>
          <cell r="I1679">
            <v>0</v>
          </cell>
          <cell r="J1679">
            <v>0</v>
          </cell>
          <cell r="K1679">
            <v>3</v>
          </cell>
          <cell r="L1679">
            <v>0</v>
          </cell>
        </row>
        <row r="1680">
          <cell r="A1680" t="str">
            <v>10023.00085</v>
          </cell>
          <cell r="B1680" t="str">
            <v>TETE HP DE 10 10</v>
          </cell>
          <cell r="C1680" t="str">
            <v>SOUDURE CHALUMEAUX COUPEUR OXY-ACETYLENIQUE TETE DE RECHANGE , POUR HAUTE ET BASSE PRESSION , CALIBRE:10/10 DESTINATION POUR CHALUMEAU COUPEUR PYROCOPT G1W 000 262 060</v>
          </cell>
          <cell r="D1680" t="str">
            <v>PE</v>
          </cell>
          <cell r="E1680" t="str">
            <v>522.52208</v>
          </cell>
          <cell r="F1680">
            <v>68.891999999999996</v>
          </cell>
          <cell r="G1680">
            <v>0</v>
          </cell>
          <cell r="H1680">
            <v>0</v>
          </cell>
          <cell r="I1680">
            <v>0</v>
          </cell>
          <cell r="J1680">
            <v>0</v>
          </cell>
          <cell r="K1680">
            <v>9</v>
          </cell>
          <cell r="L1680">
            <v>0</v>
          </cell>
        </row>
        <row r="1681">
          <cell r="A1681" t="str">
            <v>10019.06400</v>
          </cell>
          <cell r="B1681" t="str">
            <v>FEUILL.JOINT2000X1500X0,5</v>
          </cell>
          <cell r="C1681" t="str">
            <v xml:space="preserve">FEUILLE DE JOINT "KLINGER OILIT" POUR HYDROCARBURES - SOLVANT -METHANE -PROPANEVAPEUR -EAU -GAZ DE VILLE -FLUIDES -CALOPORTEURSFLUIDES CRYOGENIQUE FREONS -GAZ DE LACQ DENSITE : 2 -COULEUR : NOIRE -COMPRESSIBILITE : 9,5A10%TEMPERATURE : -196 A 500°C -PRESSION : 100 BARSDIMENSIONS: 2000 X 1500 X 0,5MM </v>
          </cell>
          <cell r="D1681" t="str">
            <v>PE</v>
          </cell>
          <cell r="E1681" t="str">
            <v>522.52207</v>
          </cell>
          <cell r="F1681">
            <v>156</v>
          </cell>
          <cell r="G1681">
            <v>2</v>
          </cell>
          <cell r="H1681">
            <v>0</v>
          </cell>
          <cell r="I1681">
            <v>0</v>
          </cell>
          <cell r="J1681">
            <v>0</v>
          </cell>
          <cell r="K1681">
            <v>0</v>
          </cell>
          <cell r="L1681">
            <v>0</v>
          </cell>
        </row>
        <row r="1682">
          <cell r="A1682" t="str">
            <v>10019.06402</v>
          </cell>
          <cell r="B1682" t="str">
            <v>FEUILL.JOINT2000X1500X1,5</v>
          </cell>
          <cell r="C1682" t="str">
            <v xml:space="preserve">FEUILLE DE JOINT "KLINGER OILIT" POUR HYDROCARBURES - SOLVANT -METHANE -PROPANEVAPEUR -EAU -GAZ DE VILLE -FLUIDES -CALOPORTEURSFLUIDES CRYOGENIQUE FREONS -GAZ DE LACQ DENSITE : 2 -COULEUR : NOIRE -COMPRESSIBILITE : 9,5A10%TEMPERATURE : -196 A 500°C -PRESSION : 100 BARSDIMENSIONS: 2000 X 1500 X 1,5MM </v>
          </cell>
          <cell r="D1682" t="str">
            <v>PE</v>
          </cell>
          <cell r="E1682" t="str">
            <v>522.52207</v>
          </cell>
          <cell r="F1682">
            <v>410</v>
          </cell>
          <cell r="G1682">
            <v>0</v>
          </cell>
          <cell r="H1682">
            <v>0</v>
          </cell>
          <cell r="I1682">
            <v>0</v>
          </cell>
          <cell r="J1682">
            <v>0</v>
          </cell>
          <cell r="K1682">
            <v>0</v>
          </cell>
          <cell r="L1682">
            <v>2</v>
          </cell>
        </row>
        <row r="1683">
          <cell r="A1683" t="str">
            <v>10016.00173</v>
          </cell>
          <cell r="B1683" t="str">
            <v>ACCOUPLEMENT GUARDEX TAILLE: M-48</v>
          </cell>
          <cell r="C1683" t="str">
            <v>ACCOUPLEMENT COMPLET (GUARDIAN) TYPE GUARDEX TAILLE M-48LONGUEUR TOTALE : 3,91"DIAMETRE MAXI : 3,88"DIAMETRE CHEMISE DENTEE : 3,06"LONGUEUR DE LA CHEMISE : 1,93"LES MOYEUX DOIVENT ETRE LIVRES SANS PERCAGE</v>
          </cell>
          <cell r="D1683" t="str">
            <v>PE</v>
          </cell>
          <cell r="E1683" t="str">
            <v>515.51515</v>
          </cell>
          <cell r="F1683">
            <v>5170</v>
          </cell>
          <cell r="G1683">
            <v>0</v>
          </cell>
          <cell r="H1683">
            <v>0</v>
          </cell>
          <cell r="I1683">
            <v>0</v>
          </cell>
          <cell r="J1683">
            <v>0</v>
          </cell>
          <cell r="K1683">
            <v>0</v>
          </cell>
          <cell r="L1683">
            <v>1</v>
          </cell>
        </row>
        <row r="1684">
          <cell r="A1684" t="str">
            <v>10016.00174</v>
          </cell>
          <cell r="B1684" t="str">
            <v>MANCHON EN NYLON</v>
          </cell>
          <cell r="C1684" t="str">
            <v>MANCHON EN NYLON POUR ACCOUPLEMENT (GUARDIAN) TYPE GUARDEX TAILLE M-48</v>
          </cell>
          <cell r="D1684" t="str">
            <v>PE</v>
          </cell>
          <cell r="E1684" t="str">
            <v>515.51515</v>
          </cell>
          <cell r="F1684">
            <v>1850</v>
          </cell>
          <cell r="G1684">
            <v>0</v>
          </cell>
          <cell r="H1684">
            <v>0</v>
          </cell>
          <cell r="I1684">
            <v>0</v>
          </cell>
          <cell r="J1684">
            <v>0</v>
          </cell>
          <cell r="K1684">
            <v>0</v>
          </cell>
          <cell r="L1684">
            <v>2</v>
          </cell>
        </row>
        <row r="1685">
          <cell r="A1685" t="str">
            <v>10019.10137</v>
          </cell>
          <cell r="B1685" t="str">
            <v xml:space="preserve">JOINT SPIRALE GRAPHITE </v>
          </cell>
          <cell r="C1685" t="str">
            <v>JOINT SPIRALE GRAPHITE EN INOX 304SS DN600 PN16  EPAISSEUR 4,4 AVEC ANNEAUX DE CENTRAGE INTERNE ET EXTERNE EN INOX 316L</v>
          </cell>
          <cell r="D1685" t="str">
            <v>PE</v>
          </cell>
          <cell r="E1685" t="str">
            <v>522.52207</v>
          </cell>
          <cell r="F1685">
            <v>455</v>
          </cell>
          <cell r="G1685">
            <v>2</v>
          </cell>
          <cell r="H1685">
            <v>0</v>
          </cell>
          <cell r="I1685">
            <v>0</v>
          </cell>
          <cell r="J1685">
            <v>0</v>
          </cell>
          <cell r="K1685">
            <v>0</v>
          </cell>
          <cell r="L1685">
            <v>0</v>
          </cell>
        </row>
        <row r="1686">
          <cell r="A1686" t="str">
            <v>10019.10135</v>
          </cell>
          <cell r="B1686" t="str">
            <v xml:space="preserve">JOINT SPIRALE GRAPHITE  </v>
          </cell>
          <cell r="C1686" t="str">
            <v>JOINT SPIRALE GRAPHITE CLASSE 150 LBS NORME ASME 16-20 MATIERE 304SS EPAISSEUR 4,4MM DN 400 MM</v>
          </cell>
          <cell r="D1686" t="str">
            <v>PE</v>
          </cell>
          <cell r="E1686" t="str">
            <v>522.52207</v>
          </cell>
          <cell r="F1686">
            <v>260.4615</v>
          </cell>
          <cell r="G1686">
            <v>1</v>
          </cell>
          <cell r="H1686">
            <v>1</v>
          </cell>
          <cell r="I1686">
            <v>0</v>
          </cell>
          <cell r="J1686">
            <v>0</v>
          </cell>
          <cell r="K1686">
            <v>0</v>
          </cell>
          <cell r="L1686">
            <v>10</v>
          </cell>
        </row>
        <row r="1687">
          <cell r="A1687" t="str">
            <v>10023.05060</v>
          </cell>
          <cell r="B1687" t="str">
            <v>ELECTRODE ENROBEE D:2,5MM</v>
          </cell>
          <cell r="C1687" t="str">
            <v xml:space="preserve">SOUDURE ELECTRODES ENROBEES . . COMPOSITION C=0,08P/CENT, SI=0,75P/CENT, MN=0,90P/CENT, , S=0,040P/CENT, P=0,030P/CENT, CR=1,50P/CENT,MO=0,50P/CDESTINATION POUR SOUDAGE DES ACIERS FAIBLEMENT ALLIES , ACIERS RESISTANT AU FLUAGE 1P/CENT CR-0,5P/CENT MO , (CHROMESCO 4) , GENRE: SOUDOMETAL=MOLYCROM 15 GENRE SAF:SAFER CD 60 - ARCOS=CHROMEND 1CM - ESAB:OK 76-18 DIAMETRE 2,5 MM RESISTANCE SUPERIEURE A 55 KG/MM2 ALLONGEMENT 20 POUR CENT MODE DE SOUDAGE TOUTES POSITIONS NORME AWS E 8018 B2 COURANT ALTERNATIF OU CONTINU ENROBAGE BASIQUE </v>
          </cell>
          <cell r="D1687" t="str">
            <v>KG</v>
          </cell>
          <cell r="E1687" t="str">
            <v>522.52208</v>
          </cell>
          <cell r="F1687">
            <v>128.6627</v>
          </cell>
          <cell r="G1687">
            <v>0</v>
          </cell>
          <cell r="H1687">
            <v>0</v>
          </cell>
          <cell r="I1687">
            <v>0</v>
          </cell>
          <cell r="J1687">
            <v>0</v>
          </cell>
          <cell r="K1687">
            <v>16.8</v>
          </cell>
          <cell r="L1687">
            <v>0</v>
          </cell>
        </row>
        <row r="1688">
          <cell r="A1688" t="str">
            <v>10023.05062</v>
          </cell>
          <cell r="B1688" t="str">
            <v>ELECTRODE ENROBEE D:3,15</v>
          </cell>
          <cell r="C1688" t="str">
            <v xml:space="preserve">SOUDURE ELECTRODES ENROBEES . . DESIGNATION POUR SOUDAGE DES ACIERS FAIBLEMENT ALLIES , ACIERS RESISTANT AU FLUAGE , 1 P/CENT CR ET 0,5 P/CENT MO (CHROMESCO 4) REFERENCE GENRE=SAF:SAFER CD 60 , ARCOS:CHROMEND 1 CM , GENRE=ESAB:OK 76-18 , SOUDOMETAL:MOLYCROM 15 DIAMETRE 3,15 MM COMPOSITIONS CHIMIQUES C=0,08 P/CENT-SI=0,75 P/CENT-MN=0,90 P/CENT , S=0,040 P/CENT-P=0,030 P/CENT-CR=1,50 P/CENT , MO=0,50 P/CENT RESISTANCE SUPERIEURE A 55 KGS/MM2 ALLONGEMENT 20 POUR CENT MODE DE SOUDAGE TOUTES POSITIONS NORME AWS E 8018 B2 COURANT ALTERNATIF OU CONTINU(SAFER CD60 EN CONTINU UNIQUEMENTENROBAGE BASIQUE </v>
          </cell>
          <cell r="D1688" t="str">
            <v>KG</v>
          </cell>
          <cell r="E1688" t="str">
            <v>522.52208</v>
          </cell>
          <cell r="F1688">
            <v>126.14960000000001</v>
          </cell>
          <cell r="G1688">
            <v>0</v>
          </cell>
          <cell r="H1688">
            <v>0</v>
          </cell>
          <cell r="I1688">
            <v>15.3</v>
          </cell>
          <cell r="J1688">
            <v>0</v>
          </cell>
          <cell r="K1688">
            <v>27.2</v>
          </cell>
          <cell r="L1688">
            <v>0</v>
          </cell>
        </row>
        <row r="1689">
          <cell r="A1689" t="str">
            <v>10019.06316</v>
          </cell>
          <cell r="B1689" t="str">
            <v>FEUILL.KLINGERIT EP:3 MM</v>
          </cell>
          <cell r="C1689" t="str">
            <v xml:space="preserve">FEUILLE DE JOINT "KLINGERIT ACIDIT LORIS" DIMENSIONS = 2000 X 1500 X 3 MM </v>
          </cell>
          <cell r="D1689" t="str">
            <v>PE</v>
          </cell>
          <cell r="E1689" t="str">
            <v>522.52207</v>
          </cell>
          <cell r="F1689">
            <v>1455.1020000000001</v>
          </cell>
          <cell r="G1689">
            <v>0</v>
          </cell>
          <cell r="H1689">
            <v>0</v>
          </cell>
          <cell r="I1689">
            <v>0</v>
          </cell>
          <cell r="J1689">
            <v>0</v>
          </cell>
          <cell r="K1689">
            <v>3</v>
          </cell>
          <cell r="L1689">
            <v>0</v>
          </cell>
        </row>
        <row r="1690">
          <cell r="A1690" t="str">
            <v>10025.06684</v>
          </cell>
          <cell r="B1690" t="str">
            <v>DISQUE A MEULER L'INOX</v>
          </cell>
          <cell r="C1690" t="str">
            <v>DISQUE A MEULER L'INOX DIAMETRE 125 ALESAGE 22,2MM EPAISSEUR 7MM</v>
          </cell>
          <cell r="D1690" t="str">
            <v>PE</v>
          </cell>
          <cell r="E1690" t="str">
            <v>522.52208</v>
          </cell>
          <cell r="F1690">
            <v>12.9793</v>
          </cell>
          <cell r="G1690">
            <v>0</v>
          </cell>
          <cell r="H1690">
            <v>10</v>
          </cell>
          <cell r="I1690">
            <v>0</v>
          </cell>
          <cell r="J1690">
            <v>0</v>
          </cell>
          <cell r="K1690">
            <v>0</v>
          </cell>
          <cell r="L1690">
            <v>140</v>
          </cell>
        </row>
        <row r="1691">
          <cell r="A1691" t="str">
            <v>10019.06343</v>
          </cell>
          <cell r="B1691" t="str">
            <v>JOINT KLINGERITE</v>
          </cell>
          <cell r="C1691" t="str">
            <v xml:space="preserve">FEUILLE DE JOINT "KLINGER UNIVERSAL 400" POUR SOLVANT-HYDROCARBURE-VAPEUR-EAUBASES CONCENTREES ACIDES FAIBLES ET ACIDES GRAS DENSITE :2  -COULEUR : BLEUE -COMPRESSIBILITE : 7A10% TEMPERATUTRE : 550°C -PRESSION : JUSQU'A 150 BARS DIMENSIONS = 1500 X 2000 X 2 MM </v>
          </cell>
          <cell r="D1691" t="str">
            <v>PE</v>
          </cell>
          <cell r="E1691" t="str">
            <v>522.52207</v>
          </cell>
          <cell r="F1691">
            <v>864</v>
          </cell>
          <cell r="G1691">
            <v>0</v>
          </cell>
          <cell r="H1691">
            <v>0</v>
          </cell>
          <cell r="I1691">
            <v>0</v>
          </cell>
          <cell r="J1691">
            <v>0</v>
          </cell>
          <cell r="K1691">
            <v>0</v>
          </cell>
          <cell r="L1691">
            <v>0</v>
          </cell>
        </row>
        <row r="1692">
          <cell r="A1692" t="str">
            <v>10025.06685</v>
          </cell>
          <cell r="B1692" t="str">
            <v>DISQUE A MEULER L'ACIER</v>
          </cell>
          <cell r="C1692" t="str">
            <v>DISQUE A MEULER L'ACIER DIAMETRE 125 ALESAGE 22,2MM EPAISSEUR 7MM</v>
          </cell>
          <cell r="D1692" t="str">
            <v>PE</v>
          </cell>
          <cell r="E1692" t="str">
            <v>522.52208</v>
          </cell>
          <cell r="F1692">
            <v>12.89</v>
          </cell>
          <cell r="G1692">
            <v>0</v>
          </cell>
          <cell r="H1692">
            <v>11</v>
          </cell>
          <cell r="I1692">
            <v>0</v>
          </cell>
          <cell r="J1692">
            <v>24</v>
          </cell>
          <cell r="K1692">
            <v>10</v>
          </cell>
          <cell r="L1692">
            <v>0</v>
          </cell>
        </row>
        <row r="1693">
          <cell r="A1693" t="str">
            <v>10025.06658</v>
          </cell>
          <cell r="B1693" t="str">
            <v>DISQUE A TRONCONNER L'ACIER</v>
          </cell>
          <cell r="C1693" t="str">
            <v>DISQUE A TRONCONNER L'ACIER DIAMETRE 125 ALESAGE 22,2MM EPAISSEUR 3,2MM</v>
          </cell>
          <cell r="D1693" t="str">
            <v>PE</v>
          </cell>
          <cell r="E1693" t="str">
            <v>522.52208</v>
          </cell>
          <cell r="F1693">
            <v>7.2</v>
          </cell>
          <cell r="G1693">
            <v>0</v>
          </cell>
          <cell r="H1693">
            <v>0</v>
          </cell>
          <cell r="I1693">
            <v>0</v>
          </cell>
          <cell r="J1693">
            <v>0</v>
          </cell>
          <cell r="K1693">
            <v>25</v>
          </cell>
          <cell r="L1693">
            <v>0</v>
          </cell>
        </row>
        <row r="1694">
          <cell r="A1694" t="str">
            <v>10019.06345</v>
          </cell>
          <cell r="B1694" t="str">
            <v>JOINT KLINGERITE</v>
          </cell>
          <cell r="C1694" t="str">
            <v xml:space="preserve">FEUILLE DE JOINT "KLINGER UNIVERSAL 400" POUR SOLVANT-HYDROCARBURE-VAPEUR-EAUBASES CONCENTREES ACIDES FAIBLES ET ACIDES GRAS DENSITE :2  -COULEUR : BLEUE -COMPRESSIBILITE : 7A10% TEMPERATUTRE : 550°C -PRESSION : JUSQU'A 150 BARS DIMENSIONS = 1500 X 2000 X 3 MM </v>
          </cell>
          <cell r="D1694" t="str">
            <v>PE</v>
          </cell>
          <cell r="E1694" t="str">
            <v>522.52207</v>
          </cell>
          <cell r="F1694">
            <v>1157.2070000000001</v>
          </cell>
          <cell r="G1694">
            <v>0</v>
          </cell>
          <cell r="H1694">
            <v>0</v>
          </cell>
          <cell r="I1694">
            <v>0</v>
          </cell>
          <cell r="J1694">
            <v>0</v>
          </cell>
          <cell r="K1694">
            <v>0</v>
          </cell>
          <cell r="L1694">
            <v>0</v>
          </cell>
        </row>
        <row r="1695">
          <cell r="A1695" t="str">
            <v>10019.06347</v>
          </cell>
          <cell r="B1695" t="str">
            <v>FEUILL.KLINGERIT EP:4  MM</v>
          </cell>
          <cell r="C1695" t="str">
            <v xml:space="preserve">FEUILLE DE JOINT "KLINGER UNIVERSAL 400" POUR SOLVANT-HYDROCARBURE-VAPEUR-EAUBASES CONCENTREES ACIDES FAIBLES ET ACIDES GRAS DENSITE :2  -COULEUR : BLEUE -COMPRESSIBILITE : 7A10% TEMPERATUTRE : 550°C -PRESSION : JUSQU'A 150 BARS DIMENSIONS = 1500 X 2000 X 4 MM </v>
          </cell>
          <cell r="D1695" t="str">
            <v>PE</v>
          </cell>
          <cell r="E1695" t="str">
            <v>522.52207</v>
          </cell>
          <cell r="F1695">
            <v>542.22220000000004</v>
          </cell>
          <cell r="G1695">
            <v>0</v>
          </cell>
          <cell r="H1695">
            <v>0</v>
          </cell>
          <cell r="I1695">
            <v>0</v>
          </cell>
          <cell r="J1695">
            <v>0</v>
          </cell>
          <cell r="K1695">
            <v>0</v>
          </cell>
          <cell r="L1695">
            <v>5</v>
          </cell>
        </row>
        <row r="1696">
          <cell r="A1696" t="str">
            <v>10016.00007</v>
          </cell>
          <cell r="B1696" t="str">
            <v>FLECTOR TAILLE 38</v>
          </cell>
          <cell r="C1696" t="str">
            <v>FLECTOR ROTEX KTR TAILLE : 38DURETE : SHORE A</v>
          </cell>
          <cell r="D1696" t="str">
            <v>PE</v>
          </cell>
          <cell r="E1696" t="str">
            <v>515.51515</v>
          </cell>
          <cell r="F1696">
            <v>76.650000000000006</v>
          </cell>
          <cell r="G1696">
            <v>0</v>
          </cell>
          <cell r="H1696">
            <v>0</v>
          </cell>
          <cell r="I1696">
            <v>0</v>
          </cell>
          <cell r="J1696">
            <v>0</v>
          </cell>
          <cell r="K1696">
            <v>0</v>
          </cell>
          <cell r="L1696">
            <v>3</v>
          </cell>
        </row>
        <row r="1697">
          <cell r="A1697" t="str">
            <v>10019.02291</v>
          </cell>
          <cell r="B1697" t="str">
            <v>BAGUE ETANCHE 35X47X7   *</v>
          </cell>
          <cell r="C1697" t="str">
            <v xml:space="preserve">BAGUE D'ETANCHEITE A LEVRE DE MANCHETTE A RESSORT DE SERRAGETYPE INTERNE A ARMATURE TOLE SOUS CAOUTCHOUC SYNTHETIQUE NITRILE,RESISTANT A L'ACTION DES LUBRIFIANTS MINERAUX TYPE : PAULSTRA-IE, NATIONAL-35, STEFA-CB , CEFILAC-C, CFW-BA DIMENSIONS : 35 X 47 X 7 MM </v>
          </cell>
          <cell r="D1697" t="str">
            <v>PE</v>
          </cell>
          <cell r="E1697" t="str">
            <v>522.52207</v>
          </cell>
          <cell r="F1697">
            <v>4.3319999999999999</v>
          </cell>
          <cell r="G1697">
            <v>0</v>
          </cell>
          <cell r="H1697">
            <v>0</v>
          </cell>
          <cell r="I1697">
            <v>0</v>
          </cell>
          <cell r="J1697">
            <v>0</v>
          </cell>
          <cell r="K1697">
            <v>5</v>
          </cell>
          <cell r="L1697">
            <v>0</v>
          </cell>
        </row>
        <row r="1698">
          <cell r="A1698" t="str">
            <v>10019.00307</v>
          </cell>
          <cell r="B1698" t="str">
            <v>JOINT SPIRALE AV ANNEAU</v>
          </cell>
          <cell r="C1698" t="str">
            <v xml:space="preserve">JOINT SPIRALE "LATTYGRAF REFLEX P.E.O"AVEC ANNEAUX EXT. ET INT. EN INOX 316L + GRAPHITEPOUR BRIDE A FACE SURELEVEE OU A EMBOITEMENT RESISTANCE TOUT FLUIDE (Y COMPRIS FLUIDES THERMIQUES) PRESSION 500 BARS, TEMPERATURE -200 A 600°C PN25 DN 500 D.EXT. 527 D.INT. 501MM </v>
          </cell>
          <cell r="D1698" t="str">
            <v>PE</v>
          </cell>
          <cell r="E1698" t="str">
            <v>522.52207</v>
          </cell>
          <cell r="F1698">
            <v>506.66669999999999</v>
          </cell>
          <cell r="G1698">
            <v>6</v>
          </cell>
          <cell r="H1698">
            <v>0</v>
          </cell>
          <cell r="I1698">
            <v>0</v>
          </cell>
          <cell r="J1698">
            <v>0</v>
          </cell>
          <cell r="K1698">
            <v>0</v>
          </cell>
          <cell r="L1698">
            <v>0</v>
          </cell>
        </row>
        <row r="1699">
          <cell r="A1699" t="str">
            <v>10019.07254</v>
          </cell>
          <cell r="B1699" t="str">
            <v>TRESSE CARREE  4 MM</v>
          </cell>
          <cell r="C1699" t="str">
            <v xml:space="preserve">TRESSE CARREE EN FILS EXTREMEMENT FINS DE PTFE ET FABRIQUEE SANS LUBRIFIANT POUR GROSSES SOUPAPES -AXE A ROTATION LENTE POMPE A PISTON -AGITATEUR -MELANGEUR -COMPRESSEUR RESISTANCE: -EAU -VAPEUR -ACIDES -BASES -SOLVANTS -HUILES -GRAISSES -HYDROCARBURES PH 0-14 TEMPERATURE 280°C VITESSE 5M/S  PRESSION  200BARS DENSITE 1.60 COTE: 4 MM </v>
          </cell>
          <cell r="D1699" t="str">
            <v>KG</v>
          </cell>
          <cell r="E1699" t="str">
            <v>522.52207</v>
          </cell>
          <cell r="F1699">
            <v>692</v>
          </cell>
          <cell r="G1699">
            <v>0</v>
          </cell>
          <cell r="H1699">
            <v>0</v>
          </cell>
          <cell r="I1699">
            <v>0</v>
          </cell>
          <cell r="J1699">
            <v>0</v>
          </cell>
          <cell r="K1699">
            <v>0</v>
          </cell>
          <cell r="L1699">
            <v>3</v>
          </cell>
        </row>
        <row r="1700">
          <cell r="A1700" t="str">
            <v>10014.01075</v>
          </cell>
          <cell r="B1700" t="str">
            <v>ROULEAU SUP. RIGIDE 465X133X25</v>
          </cell>
          <cell r="C1700" t="str">
            <v xml:space="preserve">INFRASTRUCTURE ET EQUIPEMENT POUR CONVOYEURS ROULEAUX DE PARCOURS SUPERIEUR RIGIDEDESTINATION POUR BANDE LARGEUR 1200 MM DIMENSIONS : LONG CYLINDRE = 465MM - DIA CYL = 133 - DIA AXE = 25CAHIER DE CHARGE EN VOTRE POSSESSION  SUIVANT FICHE TECHNIQUE CI-JOINTE </v>
          </cell>
          <cell r="D1700" t="str">
            <v>PE</v>
          </cell>
          <cell r="E1700" t="str">
            <v>522.52204</v>
          </cell>
          <cell r="F1700">
            <v>329.27679999999998</v>
          </cell>
          <cell r="G1700">
            <v>0</v>
          </cell>
          <cell r="H1700">
            <v>0</v>
          </cell>
          <cell r="I1700">
            <v>0</v>
          </cell>
          <cell r="J1700">
            <v>0</v>
          </cell>
          <cell r="K1700">
            <v>0</v>
          </cell>
          <cell r="L1700">
            <v>0</v>
          </cell>
        </row>
        <row r="1701">
          <cell r="A1701" t="str">
            <v>10014.01076</v>
          </cell>
          <cell r="B1701" t="str">
            <v>ROULEAU INF. RIGIDE 1400X133X25</v>
          </cell>
          <cell r="C1701" t="str">
            <v xml:space="preserve">INFRASTRUCTURE ET EQUIPEMENT POUR CONVOYEURS ROULEAUX DE PARCOURS INFERIEUR  RIGIDEDESTINATION POUR BANDE LARGEUR 1200 MM DIMENSIONS : LONG CYLINDRE = 1400MM - DIA CYL = 133 - DIA AXE = 25SUIVANT FICHE TECHNIQUE CI-JOINTE </v>
          </cell>
          <cell r="D1701" t="str">
            <v>PE</v>
          </cell>
          <cell r="E1701" t="str">
            <v>522.52204</v>
          </cell>
          <cell r="F1701">
            <v>626.928</v>
          </cell>
          <cell r="G1701">
            <v>0</v>
          </cell>
          <cell r="H1701">
            <v>0</v>
          </cell>
          <cell r="I1701">
            <v>0</v>
          </cell>
          <cell r="J1701">
            <v>0</v>
          </cell>
          <cell r="K1701">
            <v>0</v>
          </cell>
          <cell r="L1701">
            <v>0</v>
          </cell>
        </row>
        <row r="1702">
          <cell r="A1702" t="str">
            <v>10016.00141</v>
          </cell>
          <cell r="B1702" t="str">
            <v>ACCOUPLEMENT COMPLET  TAILLE:60</v>
          </cell>
          <cell r="C1702" t="str">
            <v>ACCOUPLEMENT COMPLETTAILLE: 60GENRE:WESTCAR TYPE LRVPOUR COUPLEUR HYDRAULIQUE TYPE: K-LRV</v>
          </cell>
          <cell r="D1702" t="str">
            <v>PE</v>
          </cell>
          <cell r="E1702" t="str">
            <v>515.51515</v>
          </cell>
          <cell r="F1702">
            <v>4600</v>
          </cell>
          <cell r="G1702">
            <v>0</v>
          </cell>
          <cell r="H1702">
            <v>0</v>
          </cell>
          <cell r="I1702">
            <v>0</v>
          </cell>
          <cell r="J1702">
            <v>0</v>
          </cell>
          <cell r="K1702">
            <v>0</v>
          </cell>
          <cell r="L1702">
            <v>2</v>
          </cell>
        </row>
        <row r="1703">
          <cell r="A1703" t="str">
            <v>10016.00143</v>
          </cell>
          <cell r="B1703" t="str">
            <v>ELEMENT ELASTIQUE</v>
          </cell>
          <cell r="C1703" t="str">
            <v>ELEMENT ELASTIQUE REP:8 POUR ACCOUPLEMENT GENRE: WESTCAR TYPE: LRV,TAILLE: 60</v>
          </cell>
          <cell r="D1703" t="str">
            <v>PE</v>
          </cell>
          <cell r="E1703" t="str">
            <v>515.51515</v>
          </cell>
          <cell r="F1703">
            <v>1540.01</v>
          </cell>
          <cell r="G1703">
            <v>0</v>
          </cell>
          <cell r="H1703">
            <v>0</v>
          </cell>
          <cell r="I1703">
            <v>0</v>
          </cell>
          <cell r="J1703">
            <v>0</v>
          </cell>
          <cell r="K1703">
            <v>0</v>
          </cell>
          <cell r="L1703">
            <v>6</v>
          </cell>
        </row>
        <row r="1704">
          <cell r="A1704" t="str">
            <v>10016.00144</v>
          </cell>
          <cell r="B1704" t="str">
            <v>ACCOUPLEMENT MAYR</v>
          </cell>
          <cell r="C1704" t="str">
            <v>ACCOUPLEMENT A GLISSEMENTTAILLE: 01GENRE: MAYR  TYPE: 494.520.3COUPLE DE GLISSEMENT: 8,5 Nm</v>
          </cell>
          <cell r="D1704" t="str">
            <v>PE</v>
          </cell>
          <cell r="E1704" t="str">
            <v>515.51515</v>
          </cell>
          <cell r="F1704">
            <v>6100</v>
          </cell>
          <cell r="G1704">
            <v>0</v>
          </cell>
          <cell r="H1704">
            <v>0</v>
          </cell>
          <cell r="I1704">
            <v>6</v>
          </cell>
          <cell r="J1704">
            <v>0</v>
          </cell>
          <cell r="K1704">
            <v>0</v>
          </cell>
          <cell r="L1704">
            <v>0</v>
          </cell>
        </row>
        <row r="1705">
          <cell r="A1705" t="str">
            <v>10016.00145</v>
          </cell>
          <cell r="B1705" t="str">
            <v>ACCOUPLEMENT MAYR</v>
          </cell>
          <cell r="C1705" t="str">
            <v>ACCOUPLEMENT A GLISSEMENTTAILLE: 01GENRE: MAYR  TYPE: 494.520.3COUPLE DE GLISSEMENT: 5 Nm</v>
          </cell>
          <cell r="D1705" t="str">
            <v>PE</v>
          </cell>
          <cell r="E1705" t="str">
            <v>515.51515</v>
          </cell>
          <cell r="F1705">
            <v>6100</v>
          </cell>
          <cell r="G1705">
            <v>0</v>
          </cell>
          <cell r="H1705">
            <v>0</v>
          </cell>
          <cell r="I1705">
            <v>0</v>
          </cell>
          <cell r="J1705">
            <v>0</v>
          </cell>
          <cell r="K1705">
            <v>0</v>
          </cell>
          <cell r="L1705">
            <v>6</v>
          </cell>
        </row>
        <row r="1706">
          <cell r="A1706" t="str">
            <v>10016.00148</v>
          </cell>
          <cell r="B1706" t="str">
            <v>ACCOUPLEMENT MAYR</v>
          </cell>
          <cell r="C1706" t="str">
            <v>ACCOUPLEMENT A GLISSEMENTTAILLE:01GENRE: MAYR  TYPE: 494.520.3COUPLE DE GLISSEMENT: 7,5 Nm</v>
          </cell>
          <cell r="D1706" t="str">
            <v>PE</v>
          </cell>
          <cell r="E1706" t="str">
            <v>515.51515</v>
          </cell>
          <cell r="F1706">
            <v>6100</v>
          </cell>
          <cell r="G1706">
            <v>0</v>
          </cell>
          <cell r="H1706">
            <v>0</v>
          </cell>
          <cell r="I1706">
            <v>0</v>
          </cell>
          <cell r="J1706">
            <v>0</v>
          </cell>
          <cell r="K1706">
            <v>0</v>
          </cell>
          <cell r="L1706">
            <v>6</v>
          </cell>
        </row>
        <row r="1707">
          <cell r="A1707" t="str">
            <v>10019.07290</v>
          </cell>
          <cell r="B1707" t="str">
            <v>TRESSE CARREE 10 MM</v>
          </cell>
          <cell r="C1707" t="str">
            <v xml:space="preserve">TRESSE CARREE EN BOURAGE D'AMIANTE LONGUES FIBRES IMPRGNEE DE GRAPHITE OU DE PTFE RESISTANCE: -ACIDES FAIBLES -EAU -VAPEUR -BASES FAIBLESOLVANTS -HUILES -GRAISSES PH 6-8 TEMPERATURE 600°C VITESSE 10M/S PRESSION 100BARS COTE 10 MM </v>
          </cell>
          <cell r="D1707" t="str">
            <v>KG</v>
          </cell>
          <cell r="E1707" t="str">
            <v>522.52207</v>
          </cell>
          <cell r="F1707">
            <v>350</v>
          </cell>
          <cell r="G1707">
            <v>0</v>
          </cell>
          <cell r="H1707">
            <v>0</v>
          </cell>
          <cell r="I1707">
            <v>0</v>
          </cell>
          <cell r="J1707">
            <v>0</v>
          </cell>
          <cell r="K1707">
            <v>0</v>
          </cell>
          <cell r="L1707">
            <v>10</v>
          </cell>
        </row>
        <row r="1708">
          <cell r="A1708" t="str">
            <v>10019.07292</v>
          </cell>
          <cell r="B1708" t="str">
            <v>TRESSE CARREE 12 MM</v>
          </cell>
          <cell r="C1708" t="str">
            <v xml:space="preserve">TRESSE CARREE EN BOURAGE SANS AMIANTE LONGUES FIBRES IMPRGNEE DE GRAPHITE OU DE PTFE RESISTANCE: -ACIDES FAIBLES -EAU -VAPEUR -BASES FAIBLESOLVANTS -HUILES -GRAISSES PH 6-8 TEMPERATURE 600°C VITESSE 10M/S PRESSION 100BARS COTE 12 MM </v>
          </cell>
          <cell r="D1708" t="str">
            <v>KG</v>
          </cell>
          <cell r="E1708" t="str">
            <v>522.52207</v>
          </cell>
          <cell r="F1708">
            <v>444</v>
          </cell>
          <cell r="G1708">
            <v>0</v>
          </cell>
          <cell r="H1708">
            <v>0</v>
          </cell>
          <cell r="I1708">
            <v>0</v>
          </cell>
          <cell r="J1708">
            <v>0</v>
          </cell>
          <cell r="K1708">
            <v>7</v>
          </cell>
          <cell r="L1708">
            <v>0</v>
          </cell>
        </row>
        <row r="1709">
          <cell r="A1709" t="str">
            <v>10019.07296</v>
          </cell>
          <cell r="B1709" t="str">
            <v>TRESSE CARREE 16 MM</v>
          </cell>
          <cell r="C1709" t="str">
            <v xml:space="preserve">TRESSE CARREE EN BOURAGE D'AMIANTE LONGUES FIBRES IMPRGNEE DE GRAPHITE OU DE PTFE RESISTANCE: -ACIDES FAIBLES -EAU -VAPEUR -BASES FAIBLESOLVANTS -HUILES -GRAISSES PH 6-8 TEMPERATURE 600°C VITESSE 10M/S PRESSION 100BARS COTE 16 MM </v>
          </cell>
          <cell r="D1709" t="str">
            <v>KG</v>
          </cell>
          <cell r="E1709" t="str">
            <v>522.52207</v>
          </cell>
          <cell r="F1709">
            <v>350</v>
          </cell>
          <cell r="G1709">
            <v>0</v>
          </cell>
          <cell r="H1709">
            <v>0</v>
          </cell>
          <cell r="I1709">
            <v>0</v>
          </cell>
          <cell r="J1709">
            <v>0</v>
          </cell>
          <cell r="K1709">
            <v>0</v>
          </cell>
          <cell r="L1709">
            <v>0</v>
          </cell>
        </row>
        <row r="1710">
          <cell r="A1710" t="str">
            <v>10019.06314</v>
          </cell>
          <cell r="B1710" t="str">
            <v>FEUILL.KLINGERIT EP:2 MM</v>
          </cell>
          <cell r="C1710" t="str">
            <v xml:space="preserve">FEUILLE DE JOINT "KLINGERIT ACIDIT LORIS" DIMENSIONS = 2000 X 1500 X 2 MM </v>
          </cell>
          <cell r="D1710" t="str">
            <v>PE</v>
          </cell>
          <cell r="E1710" t="str">
            <v>522.52207</v>
          </cell>
          <cell r="F1710">
            <v>864</v>
          </cell>
          <cell r="G1710">
            <v>0</v>
          </cell>
          <cell r="H1710">
            <v>0</v>
          </cell>
          <cell r="I1710">
            <v>0</v>
          </cell>
          <cell r="J1710">
            <v>0</v>
          </cell>
          <cell r="K1710">
            <v>0</v>
          </cell>
          <cell r="L1710">
            <v>0</v>
          </cell>
        </row>
        <row r="1711">
          <cell r="A1711" t="str">
            <v>10019.06457</v>
          </cell>
          <cell r="B1711" t="str">
            <v>FEUILLE JOINT GRAPHITE</v>
          </cell>
          <cell r="C1711" t="str">
            <v xml:space="preserve">FEUILLE DE JOINT EN GRAPHITE "SIGRAFLEX C2A" TEMPERATURE= MAXI 550°C   PRESSION= 100 BARS POUR FLUIDE ET VAPEURDIMENSIONS 1000 X 1000 X 3MM </v>
          </cell>
          <cell r="D1711" t="str">
            <v>PE</v>
          </cell>
          <cell r="E1711" t="str">
            <v>522.52207</v>
          </cell>
          <cell r="F1711">
            <v>494.8904</v>
          </cell>
          <cell r="G1711">
            <v>0</v>
          </cell>
          <cell r="H1711">
            <v>0</v>
          </cell>
          <cell r="I1711">
            <v>0</v>
          </cell>
          <cell r="J1711">
            <v>5</v>
          </cell>
          <cell r="K1711">
            <v>0</v>
          </cell>
          <cell r="L1711">
            <v>0</v>
          </cell>
        </row>
        <row r="1712">
          <cell r="A1712" t="str">
            <v>10019.02409</v>
          </cell>
          <cell r="B1712" t="str">
            <v>BAGUE ETANCHE.50X80X12</v>
          </cell>
          <cell r="C1712" t="str">
            <v xml:space="preserve">BAGUE D'ETANCHEITE A LEVRE DE MANCHETTE A RESSORT DE SERRAGETYPE INTERNE A ARMATURE TOLE SOUS CAOUTCHOUC SYNTHETIQUE NITRILE,RESISTANT A L'ACTION DES LUBRIFIANTS MINERAUX TYPE : PAULSTRA-IE, NATIONAL-35, STEFA-CB , CEFILAC-C, CFW-BA DIMENSIONS : 50 X 80 X 12 MM </v>
          </cell>
          <cell r="D1712" t="str">
            <v>PE</v>
          </cell>
          <cell r="E1712" t="str">
            <v>522.52207</v>
          </cell>
          <cell r="F1712">
            <v>9.7899999999999991</v>
          </cell>
          <cell r="G1712">
            <v>0</v>
          </cell>
          <cell r="H1712">
            <v>0</v>
          </cell>
          <cell r="I1712">
            <v>0</v>
          </cell>
          <cell r="J1712">
            <v>30</v>
          </cell>
          <cell r="K1712">
            <v>100</v>
          </cell>
          <cell r="L1712">
            <v>0</v>
          </cell>
        </row>
        <row r="1713">
          <cell r="A1713" t="str">
            <v>10016.00095</v>
          </cell>
          <cell r="B1713" t="str">
            <v>FLECTOR TAILLE 42</v>
          </cell>
          <cell r="C1713" t="str">
            <v>FLECTOR ROTEX KTRTAILLE: 42TYPE: A-HDURETE: 98 SHORE A (ROUGE)</v>
          </cell>
          <cell r="D1713" t="str">
            <v>PE</v>
          </cell>
          <cell r="E1713" t="str">
            <v>515.51515</v>
          </cell>
          <cell r="F1713">
            <v>177.87</v>
          </cell>
          <cell r="G1713">
            <v>0</v>
          </cell>
          <cell r="H1713">
            <v>0</v>
          </cell>
          <cell r="I1713">
            <v>0</v>
          </cell>
          <cell r="J1713">
            <v>0</v>
          </cell>
          <cell r="K1713">
            <v>2</v>
          </cell>
          <cell r="L1713">
            <v>7</v>
          </cell>
        </row>
        <row r="1714">
          <cell r="A1714" t="str">
            <v>10019.00270</v>
          </cell>
          <cell r="B1714" t="str">
            <v>JOINT SPIRALE</v>
          </cell>
          <cell r="C1714" t="str">
            <v>JOINT SPIRALE EN INOX GRAPHITE DN 1" CLASSE 2500 LBS EPAISSEUR 4MM AVEC ANNEAU DE CENTRAGE INTERNE ET EXTERNE EN 316L</v>
          </cell>
          <cell r="D1714" t="str">
            <v>PE</v>
          </cell>
          <cell r="E1714" t="str">
            <v>522.52207</v>
          </cell>
          <cell r="F1714">
            <v>80</v>
          </cell>
          <cell r="G1714">
            <v>0</v>
          </cell>
          <cell r="H1714">
            <v>0</v>
          </cell>
          <cell r="I1714">
            <v>0</v>
          </cell>
          <cell r="J1714">
            <v>0</v>
          </cell>
          <cell r="K1714">
            <v>0</v>
          </cell>
          <cell r="L1714">
            <v>0</v>
          </cell>
        </row>
        <row r="1715">
          <cell r="A1715" t="str">
            <v>10019.00271</v>
          </cell>
          <cell r="B1715" t="str">
            <v>JOINT SPIRALE</v>
          </cell>
          <cell r="C1715" t="str">
            <v>JOINT SPIRALE GRAPHITE CLASSE 150 LBS NORME ASME 16-20 MATIERE 304SS EPAISSEUR 4,4MM DN 24"</v>
          </cell>
          <cell r="D1715" t="str">
            <v>PE</v>
          </cell>
          <cell r="E1715" t="str">
            <v>522.52207</v>
          </cell>
          <cell r="F1715">
            <v>637.69230000000005</v>
          </cell>
          <cell r="G1715">
            <v>2</v>
          </cell>
          <cell r="H1715">
            <v>8</v>
          </cell>
          <cell r="I1715">
            <v>0</v>
          </cell>
          <cell r="J1715">
            <v>3</v>
          </cell>
          <cell r="K1715">
            <v>0</v>
          </cell>
          <cell r="L1715">
            <v>0</v>
          </cell>
        </row>
        <row r="1716">
          <cell r="A1716" t="str">
            <v>10019.07270</v>
          </cell>
          <cell r="B1716" t="str">
            <v>TRESSE CARREE COTE 20MM</v>
          </cell>
          <cell r="C1716" t="str">
            <v xml:space="preserve">TRESSE CARREE EN FILS EXTREMEMENT FINS DE PTFE ET FABRIQUEE SANS LUBRIFIANT POUR GROSSES SOUPAPES -AXE A ROTATION LENTE POMPE A PISTON -AGITATEUR -MELANGEUR -COMPRESSEUR RESISTANCE: -EAU -VAPEUR -ACIDES -BASES -SOLVANTS -HUILES -GRAISSES -HYDROCARBURES PH 0-14 TEMPERATURE 280°C VITESSE 5M/S  PRESSION  200BARS DENSITE 1.60 COTE 20 MM </v>
          </cell>
          <cell r="D1716" t="str">
            <v>KG</v>
          </cell>
          <cell r="E1716" t="str">
            <v>522.52207</v>
          </cell>
          <cell r="F1716">
            <v>324</v>
          </cell>
          <cell r="G1716">
            <v>0</v>
          </cell>
          <cell r="H1716">
            <v>0</v>
          </cell>
          <cell r="I1716">
            <v>0</v>
          </cell>
          <cell r="J1716">
            <v>0</v>
          </cell>
          <cell r="K1716">
            <v>0</v>
          </cell>
          <cell r="L1716">
            <v>0</v>
          </cell>
        </row>
        <row r="1717">
          <cell r="A1717" t="str">
            <v>10019.07289</v>
          </cell>
          <cell r="B1717" t="str">
            <v>TRESSE CARREE  8 MM</v>
          </cell>
          <cell r="C1717" t="str">
            <v xml:space="preserve">TRESSE CARREE EN BOURAGE SANS AMIANTE LONGUES FIBRES IMPRGNEE DE GRAPHITE OU DE PTFE RESISTANCE: -ACIDES FAIBLES -EAU -VAPEUR -BASES FAIBLESOLVANTS -HUILES -GRAISSES PH 6-8 TEMPERATURE 600°C VITESSE 10M/S PRESSION 100BARS COTE 8 MM </v>
          </cell>
          <cell r="D1717" t="str">
            <v>KG</v>
          </cell>
          <cell r="E1717" t="str">
            <v>522.52207</v>
          </cell>
          <cell r="F1717">
            <v>583</v>
          </cell>
          <cell r="G1717">
            <v>0</v>
          </cell>
          <cell r="H1717">
            <v>0</v>
          </cell>
          <cell r="I1717">
            <v>0</v>
          </cell>
          <cell r="J1717">
            <v>0</v>
          </cell>
          <cell r="K1717">
            <v>0</v>
          </cell>
          <cell r="L1717">
            <v>5</v>
          </cell>
        </row>
        <row r="1718">
          <cell r="A1718" t="str">
            <v>10019.10138</v>
          </cell>
          <cell r="B1718" t="str">
            <v xml:space="preserve">JOINT SPIRALE GRAPHITE </v>
          </cell>
          <cell r="C1718" t="str">
            <v>JOINT SPIRALE GRAPHITE EN INOX 304SS DN300 PN16  EPAISSEUR 4,4 AVEC ANNEAUX DE CENTRAGE INTERNE ET EXTERNE EN INOX 316L</v>
          </cell>
          <cell r="D1718" t="str">
            <v>PE</v>
          </cell>
          <cell r="E1718" t="str">
            <v>522.52207</v>
          </cell>
          <cell r="F1718">
            <v>135.36000000000001</v>
          </cell>
          <cell r="G1718">
            <v>0</v>
          </cell>
          <cell r="H1718">
            <v>0</v>
          </cell>
          <cell r="I1718">
            <v>0</v>
          </cell>
          <cell r="J1718">
            <v>0</v>
          </cell>
          <cell r="K1718">
            <v>0</v>
          </cell>
          <cell r="L1718">
            <v>4</v>
          </cell>
        </row>
        <row r="1719">
          <cell r="A1719" t="str">
            <v>10019.10203</v>
          </cell>
          <cell r="B1719" t="str">
            <v>FEILLE DE JOINT PTFE 1500X1500X1,5MM</v>
          </cell>
          <cell r="C1719" t="str">
            <v>FEUILLE DE JOINT EN PTFE PUR MODIFIE (COULEUR BLANCHE) AVEC DES CHARGES THERMORESISTANCE DIMENSIONS:1500x1500x1,5MM</v>
          </cell>
          <cell r="D1719" t="str">
            <v>PE</v>
          </cell>
          <cell r="E1719" t="str">
            <v>522.52207</v>
          </cell>
          <cell r="F1719">
            <v>949.46</v>
          </cell>
          <cell r="G1719">
            <v>4</v>
          </cell>
          <cell r="H1719">
            <v>0</v>
          </cell>
          <cell r="I1719">
            <v>0</v>
          </cell>
          <cell r="J1719">
            <v>0</v>
          </cell>
          <cell r="K1719">
            <v>0</v>
          </cell>
          <cell r="L1719">
            <v>0</v>
          </cell>
        </row>
        <row r="1720">
          <cell r="A1720" t="str">
            <v>10019.10134</v>
          </cell>
          <cell r="B1720" t="str">
            <v xml:space="preserve">JOINT SPIRALE GRAPHITE </v>
          </cell>
          <cell r="C1720" t="str">
            <v>JOINT SPIRALE GRAPHITE CLASSE 150 LBS NORME ASME 16-20 MATIERE 304SS EPAISSEUR 4,4MM DN 500 MM</v>
          </cell>
          <cell r="D1720" t="str">
            <v>PE</v>
          </cell>
          <cell r="E1720" t="str">
            <v>522.52207</v>
          </cell>
          <cell r="F1720">
            <v>327.42860000000002</v>
          </cell>
          <cell r="G1720">
            <v>0</v>
          </cell>
          <cell r="H1720">
            <v>0</v>
          </cell>
          <cell r="I1720">
            <v>0</v>
          </cell>
          <cell r="J1720">
            <v>0</v>
          </cell>
          <cell r="K1720">
            <v>0</v>
          </cell>
          <cell r="L1720">
            <v>7</v>
          </cell>
        </row>
        <row r="1721">
          <cell r="A1721" t="str">
            <v>10019.10204</v>
          </cell>
          <cell r="B1721" t="str">
            <v>FEILLE DE JOINT PTFE 1500X1500X2MM</v>
          </cell>
          <cell r="C1721" t="str">
            <v>FEUILLE DE JOINT EN PTFE PUR MODIFIE (COULEUR BLANCHE) AVEC DES CHARGES THERMORESISTANCE DIMENSIONS:1500x1500x2MM</v>
          </cell>
          <cell r="D1721" t="str">
            <v>PE</v>
          </cell>
          <cell r="E1721" t="str">
            <v>522.52207</v>
          </cell>
          <cell r="F1721">
            <v>1265.3599999999999</v>
          </cell>
          <cell r="G1721">
            <v>0</v>
          </cell>
          <cell r="H1721">
            <v>0</v>
          </cell>
          <cell r="I1721">
            <v>0</v>
          </cell>
          <cell r="J1721">
            <v>2</v>
          </cell>
          <cell r="K1721">
            <v>0</v>
          </cell>
          <cell r="L1721">
            <v>2</v>
          </cell>
        </row>
        <row r="1722">
          <cell r="A1722" t="str">
            <v>10019.10202</v>
          </cell>
          <cell r="B1722" t="str">
            <v>FEILLE DE JOINT PTFE 1500X1500X1MM</v>
          </cell>
          <cell r="C1722" t="str">
            <v>FEUILLE DE JOINT EN PTFE PUR MODIFIE (COULEUR BLANCHE) AVEC DES CHARGES THERMORESISTANCE DIMENSIONS:1500x1500x1MM</v>
          </cell>
          <cell r="D1722" t="str">
            <v>PE</v>
          </cell>
          <cell r="E1722" t="str">
            <v>522.52207</v>
          </cell>
          <cell r="F1722">
            <v>631.79999999999995</v>
          </cell>
          <cell r="G1722">
            <v>0</v>
          </cell>
          <cell r="H1722">
            <v>0</v>
          </cell>
          <cell r="I1722">
            <v>1</v>
          </cell>
          <cell r="J1722">
            <v>0</v>
          </cell>
          <cell r="K1722">
            <v>0</v>
          </cell>
          <cell r="L1722">
            <v>1</v>
          </cell>
        </row>
        <row r="1723">
          <cell r="A1723" t="str">
            <v>10019.06811</v>
          </cell>
          <cell r="B1723" t="str">
            <v>BANDE EN FIBRE DE VERRE</v>
          </cell>
          <cell r="C1723" t="str">
            <v>BANDE EN FIBRE DE VERRE POUR GAZ SO2.SO3108TEMPERATURE 550°C   PRESSION 3 BARSEN ROULEAU DE 30METRES LARGEUR 50MM EP 3MM</v>
          </cell>
          <cell r="D1723" t="str">
            <v>PE</v>
          </cell>
          <cell r="E1723" t="str">
            <v>522.52207</v>
          </cell>
          <cell r="F1723">
            <v>160</v>
          </cell>
          <cell r="G1723">
            <v>6</v>
          </cell>
          <cell r="H1723">
            <v>0</v>
          </cell>
          <cell r="I1723">
            <v>0</v>
          </cell>
          <cell r="J1723">
            <v>150</v>
          </cell>
          <cell r="K1723">
            <v>0</v>
          </cell>
          <cell r="L1723">
            <v>0</v>
          </cell>
        </row>
        <row r="1724">
          <cell r="A1724" t="str">
            <v>10001.00293</v>
          </cell>
          <cell r="B1724" t="str">
            <v>GAZ PROPANE(CHARGE 35 KGS</v>
          </cell>
          <cell r="C1724" t="str">
            <v>GAZ PROPANE (CHARGE DE 35 KGS) N.B : PRODUIT DANGEREUX (FICHE DE DONNEES DE SECURITE EST EXIGEE LORS DE LA LIVRAISON DU  PRODUIT)</v>
          </cell>
          <cell r="D1724" t="str">
            <v>PE</v>
          </cell>
          <cell r="E1724" t="str">
            <v>522.52210</v>
          </cell>
          <cell r="F1724">
            <v>416.34629999999999</v>
          </cell>
          <cell r="G1724">
            <v>0</v>
          </cell>
          <cell r="H1724">
            <v>0</v>
          </cell>
          <cell r="I1724">
            <v>0</v>
          </cell>
          <cell r="J1724">
            <v>0</v>
          </cell>
          <cell r="K1724">
            <v>0</v>
          </cell>
          <cell r="L1724">
            <v>0</v>
          </cell>
        </row>
        <row r="1725">
          <cell r="A1725" t="str">
            <v>10022.00674</v>
          </cell>
          <cell r="B1725" t="str">
            <v>PINCE COUPAN 250</v>
          </cell>
          <cell r="C1725" t="str">
            <v xml:space="preserve">OUTILLAGE PINCES COUPANTES SUR BOUT,NOIRES LONGUEUR 250 MM </v>
          </cell>
          <cell r="D1725" t="str">
            <v>PE</v>
          </cell>
          <cell r="E1725" t="str">
            <v>522.52208</v>
          </cell>
          <cell r="F1725">
            <v>261.50400000000002</v>
          </cell>
          <cell r="G1725">
            <v>0</v>
          </cell>
          <cell r="H1725">
            <v>0</v>
          </cell>
          <cell r="I1725">
            <v>0</v>
          </cell>
          <cell r="J1725">
            <v>0</v>
          </cell>
          <cell r="K1725">
            <v>0</v>
          </cell>
          <cell r="L1725">
            <v>0</v>
          </cell>
        </row>
        <row r="1726">
          <cell r="A1726" t="str">
            <v>10019.07761</v>
          </cell>
          <cell r="B1726" t="str">
            <v>TRESSE CARREE COTE 25MM</v>
          </cell>
          <cell r="C1726" t="str">
            <v>TRESSE CARREE SANS AMIANTE "BURGMANN 5426"EN FIL SYNTHETIQUE AUTO LUBRIFIANTPOUR POMPES D'EAU DE MERPH 0-14 TEMPERATURE -200 A 280°C PRESSION 250 BARSVITESSE 25M/S COTE 25MM</v>
          </cell>
          <cell r="D1726" t="str">
            <v>KG</v>
          </cell>
          <cell r="E1726" t="str">
            <v>522.52207</v>
          </cell>
          <cell r="F1726">
            <v>318</v>
          </cell>
          <cell r="G1726">
            <v>0</v>
          </cell>
          <cell r="H1726">
            <v>0</v>
          </cell>
          <cell r="I1726">
            <v>0</v>
          </cell>
          <cell r="J1726">
            <v>0</v>
          </cell>
          <cell r="K1726">
            <v>10</v>
          </cell>
          <cell r="L1726">
            <v>0</v>
          </cell>
        </row>
        <row r="1727">
          <cell r="A1727" t="str">
            <v>10001.00478</v>
          </cell>
          <cell r="B1727" t="str">
            <v>HUILE DEGRIPANTE GENRE TRANSYL</v>
          </cell>
          <cell r="C1727" t="str">
            <v>HUILE DEGRIPPANTE / LUBRIFIANTE GENRE TRANSYL POUR DEMONTAGE ET MAINTENANCE DE TOUS ASSEMBLAGES  ET POUR TOUTES LUBRIFICATIONS NECESSITANT UN GRAND  POUVOIR DE PENETRATION ET D'AUTO-ETALEMENT.  LIVREE EN BIDON DE 2 LITRES.N.B : PRODUIT DANGEREUX (FICHE DE DONNEES DE SECURITE EST EXIGEE LORS DE LA LIVRAISON DU  PRODUIT)</v>
          </cell>
          <cell r="D1727" t="str">
            <v>L</v>
          </cell>
          <cell r="E1727" t="str">
            <v>522.52212</v>
          </cell>
          <cell r="F1727">
            <v>41</v>
          </cell>
          <cell r="G1727">
            <v>0</v>
          </cell>
          <cell r="H1727">
            <v>0</v>
          </cell>
          <cell r="I1727">
            <v>0</v>
          </cell>
          <cell r="J1727">
            <v>0</v>
          </cell>
          <cell r="K1727">
            <v>0</v>
          </cell>
          <cell r="L1727">
            <v>0</v>
          </cell>
        </row>
        <row r="1728">
          <cell r="A1728" t="str">
            <v>10019.09621</v>
          </cell>
          <cell r="B1728" t="str">
            <v>JOINT</v>
          </cell>
          <cell r="C1728" t="str">
            <v>JOINT EPAISSEUR 3MM TYPE GARLOOCK FAWN CLASE 150 DN200</v>
          </cell>
          <cell r="D1728" t="str">
            <v>PE</v>
          </cell>
          <cell r="E1728" t="str">
            <v>522.52207</v>
          </cell>
          <cell r="F1728">
            <v>598.79999999999995</v>
          </cell>
          <cell r="G1728">
            <v>0</v>
          </cell>
          <cell r="H1728">
            <v>0</v>
          </cell>
          <cell r="I1728">
            <v>0</v>
          </cell>
          <cell r="J1728">
            <v>0</v>
          </cell>
          <cell r="K1728">
            <v>6</v>
          </cell>
          <cell r="L1728">
            <v>0</v>
          </cell>
        </row>
        <row r="1729">
          <cell r="A1729" t="str">
            <v>10000.03338</v>
          </cell>
          <cell r="B1729" t="str">
            <v>FLEUR DE CHAUX</v>
          </cell>
          <cell r="C1729" t="str">
            <v>MATIERES AUXILIAIRES POUR TAITEMENT DES EAUX ET SOUFRE FLEUR DE CHAUX FILTRATION DU SOUFRE-DECARBONATATION QUALITE: SANS TRACES D'ARSENIC OU DE FLUOR Ca(OH)2 = 90% FINESSE = 95% D'ADMIS AU TAMIS AFNOR N°18 CONDITIONNEMENT : EN SACS RENFORCES DE 40 KGS N.B: GARANTIE EXIGEE A L'UTILISATION</v>
          </cell>
          <cell r="D1729" t="str">
            <v>KG</v>
          </cell>
          <cell r="E1729" t="str">
            <v>111.11101</v>
          </cell>
          <cell r="F1729">
            <v>1.8</v>
          </cell>
          <cell r="G1729">
            <v>0</v>
          </cell>
          <cell r="H1729">
            <v>0</v>
          </cell>
          <cell r="I1729">
            <v>2000</v>
          </cell>
          <cell r="J1729">
            <v>0</v>
          </cell>
          <cell r="K1729">
            <v>0</v>
          </cell>
          <cell r="L1729">
            <v>0</v>
          </cell>
        </row>
        <row r="1730">
          <cell r="A1730" t="str">
            <v>10000.03338</v>
          </cell>
          <cell r="B1730" t="str">
            <v>FLEUR DE CHAUX</v>
          </cell>
          <cell r="C1730" t="str">
            <v>MATIERES AUXILIAIRES POUR TAITEMENT DES EAUX ET SOUFRE FLEUR DE CHAUX FILTRATION DU SOUFRE-DECARBONATATION QUALITE: SANS TRACES D'ARSENIC OU DE FLUOR Ca(OH)2 = 90% FINESSE = 95% D'ADMIS AU TAMIS AFNOR N°18 CONDITIONNEMENT : EN SACS RENFORCES DE 40 KGS N.B: GARANTIE EXIGEE A L'UTILISATION</v>
          </cell>
          <cell r="D1730" t="str">
            <v>KG</v>
          </cell>
          <cell r="E1730" t="str">
            <v>111.11101</v>
          </cell>
          <cell r="F1730">
            <v>1.8</v>
          </cell>
          <cell r="G1730">
            <v>0</v>
          </cell>
          <cell r="H1730">
            <v>0</v>
          </cell>
          <cell r="I1730">
            <v>0</v>
          </cell>
          <cell r="J1730">
            <v>0</v>
          </cell>
          <cell r="K1730">
            <v>0</v>
          </cell>
          <cell r="L1730">
            <v>0</v>
          </cell>
        </row>
        <row r="1731">
          <cell r="A1731" t="str">
            <v>10019.06082</v>
          </cell>
          <cell r="B1731" t="str">
            <v>FEUILLE EN FEUTRE</v>
          </cell>
          <cell r="C1731" t="str">
            <v xml:space="preserve">FEUILLE FEUTRE POUR JOINTS MACHINE OUTILSET PALIERS MOTEURSDIMENSIONS = 1000 X 700 X 6 MM </v>
          </cell>
          <cell r="D1731" t="str">
            <v>PE</v>
          </cell>
          <cell r="E1731" t="str">
            <v>522.52207</v>
          </cell>
          <cell r="F1731">
            <v>106.928</v>
          </cell>
          <cell r="G1731">
            <v>0</v>
          </cell>
          <cell r="H1731">
            <v>0</v>
          </cell>
          <cell r="I1731">
            <v>0</v>
          </cell>
          <cell r="J1731">
            <v>0</v>
          </cell>
          <cell r="K1731">
            <v>0</v>
          </cell>
          <cell r="L1731">
            <v>1</v>
          </cell>
        </row>
        <row r="1732">
          <cell r="A1732" t="str">
            <v>10003.01855</v>
          </cell>
          <cell r="B1732" t="str">
            <v>TOLE LISSE NOIRE E 24</v>
          </cell>
          <cell r="C1732" t="str">
            <v xml:space="preserve">TOLE LISSE NOIRE - NUANCE : AFNOR E 24 LONGUEUR = 3 METRES - LARGEUR = 1,5 METRE EPAISSEUR = 15 MM </v>
          </cell>
          <cell r="D1732" t="str">
            <v>KG</v>
          </cell>
          <cell r="E1732" t="str">
            <v>522.52213</v>
          </cell>
          <cell r="F1732">
            <v>7.8506</v>
          </cell>
          <cell r="G1732">
            <v>0</v>
          </cell>
          <cell r="H1732">
            <v>0</v>
          </cell>
          <cell r="I1732">
            <v>0</v>
          </cell>
          <cell r="J1732">
            <v>0</v>
          </cell>
          <cell r="K1732">
            <v>0</v>
          </cell>
          <cell r="L1732">
            <v>0</v>
          </cell>
        </row>
        <row r="1733">
          <cell r="A1733" t="str">
            <v>10003.04500</v>
          </cell>
          <cell r="B1733" t="str">
            <v>TOLE ACIER INOX</v>
          </cell>
          <cell r="C1733" t="str">
            <v xml:space="preserve">TOLE EN ACIER INOXYDABLE NUANCE AFNOR : Z1 NCDU 25-20              AISI      : 904 L GENRE : "CREUSOT-LOIRE URANUS B6" OU "UGINE NS B6" COMPOSITION -CHIMIQUE MOYENNE (%) : C &lt; 0,02 - Cr : 20 - Ni : 25 -  Mo : 4,3 - Cu : 1,5 LONGUEUR = 3 METRES LARGEUR = 1,5 METRE EPAISSEUR = 16 MM </v>
          </cell>
          <cell r="D1733" t="str">
            <v>PE</v>
          </cell>
          <cell r="E1733" t="str">
            <v>522.52213</v>
          </cell>
          <cell r="F1733">
            <v>67455.08</v>
          </cell>
          <cell r="G1733">
            <v>0</v>
          </cell>
          <cell r="H1733">
            <v>1</v>
          </cell>
          <cell r="I1733">
            <v>0</v>
          </cell>
          <cell r="J1733">
            <v>1</v>
          </cell>
          <cell r="K1733">
            <v>0</v>
          </cell>
          <cell r="L1733">
            <v>0</v>
          </cell>
        </row>
        <row r="1734">
          <cell r="A1734" t="str">
            <v>10019.09980</v>
          </cell>
          <cell r="B1734" t="str">
            <v>JOINT</v>
          </cell>
          <cell r="C1734" t="str">
            <v>JOINT EPAISSEUR 3MM TYPE GARLOOCK 3450 OU SIMILAIRE CLASSE 150 DN900</v>
          </cell>
          <cell r="D1734" t="str">
            <v>PE</v>
          </cell>
          <cell r="E1734" t="str">
            <v>522.52207</v>
          </cell>
          <cell r="F1734">
            <v>3300</v>
          </cell>
          <cell r="G1734">
            <v>0</v>
          </cell>
          <cell r="H1734">
            <v>0</v>
          </cell>
          <cell r="I1734">
            <v>0</v>
          </cell>
          <cell r="J1734">
            <v>0</v>
          </cell>
          <cell r="K1734">
            <v>1</v>
          </cell>
          <cell r="L1734">
            <v>0</v>
          </cell>
        </row>
        <row r="1735">
          <cell r="A1735" t="str">
            <v>10019.06934</v>
          </cell>
          <cell r="B1735" t="str">
            <v>TRESSE CARREE SANS AMIANT</v>
          </cell>
          <cell r="C1735" t="str">
            <v xml:space="preserve">TRESSE CARREE SANS AMIANTE "LATTY FLON 4488" PH 1-13 TEMPERATURE -220 A +300°C PRESSION 30MPA/300BARS VITESSE 30M/S COTE 10 MM LONGUEUR 12 METRES </v>
          </cell>
          <cell r="D1735" t="str">
            <v>PE</v>
          </cell>
          <cell r="E1735" t="str">
            <v>522.52207</v>
          </cell>
          <cell r="F1735">
            <v>556</v>
          </cell>
          <cell r="G1735">
            <v>0</v>
          </cell>
          <cell r="H1735">
            <v>0</v>
          </cell>
          <cell r="I1735">
            <v>0</v>
          </cell>
          <cell r="J1735">
            <v>0</v>
          </cell>
          <cell r="K1735">
            <v>0</v>
          </cell>
          <cell r="L1735">
            <v>2</v>
          </cell>
        </row>
        <row r="1736">
          <cell r="A1736" t="str">
            <v>10019.09601</v>
          </cell>
          <cell r="B1736" t="str">
            <v>JOINT</v>
          </cell>
          <cell r="C1736" t="str">
            <v>JOINT EPAISSEUR 3MM TYPE GARLOOCK FAWN CLASE 150 DN40</v>
          </cell>
          <cell r="D1736" t="str">
            <v>PE</v>
          </cell>
          <cell r="E1736" t="str">
            <v>522.52207</v>
          </cell>
          <cell r="F1736">
            <v>54</v>
          </cell>
          <cell r="G1736">
            <v>0</v>
          </cell>
          <cell r="H1736">
            <v>0</v>
          </cell>
          <cell r="I1736">
            <v>0</v>
          </cell>
          <cell r="J1736">
            <v>0</v>
          </cell>
          <cell r="K1736">
            <v>0</v>
          </cell>
          <cell r="L1736">
            <v>0</v>
          </cell>
        </row>
        <row r="1737">
          <cell r="A1737" t="str">
            <v>10022.00448</v>
          </cell>
          <cell r="B1737" t="str">
            <v>CLE MOLETTE  600</v>
          </cell>
          <cell r="C1737" t="str">
            <v xml:space="preserve">OUTILLAGE CLES A MOLETTE  , SIMPLE LONGUEUR 24 POUCES (600 MM) OUVERTURE MAXIMALE:65 MM GENRE FACOM 113 SERIE MEULE-CHROME </v>
          </cell>
          <cell r="D1737" t="str">
            <v>PE</v>
          </cell>
          <cell r="E1737" t="str">
            <v>522.52208</v>
          </cell>
          <cell r="F1737">
            <v>1296</v>
          </cell>
          <cell r="G1737">
            <v>0</v>
          </cell>
          <cell r="H1737">
            <v>0</v>
          </cell>
          <cell r="I1737">
            <v>0</v>
          </cell>
          <cell r="J1737">
            <v>0</v>
          </cell>
          <cell r="K1737">
            <v>0</v>
          </cell>
          <cell r="L1737">
            <v>0</v>
          </cell>
        </row>
        <row r="1738">
          <cell r="A1738" t="str">
            <v>10019.02578</v>
          </cell>
          <cell r="B1738" t="str">
            <v>BAGUE ETANCHE 140X170X15*</v>
          </cell>
          <cell r="C1738" t="str">
            <v xml:space="preserve">BAGUE D'ETANCHEITE A LEVRE DE MANCHETTE A RESSORT DE SERRAGETYPE INTERNE A ARMATURE TOLE SOUS CAOUTCHOUC SYNTHETIQUE NITRILE,RESISTANT A L'ACTION DES LUBRIFIANTS MINERAUX TYPE : PAULSTRA-IE, NATIONAL-35, STEFA-CB , CEFILAC-C, CFW-BA DIMENSIONS : 140 X 170 X 15 MM </v>
          </cell>
          <cell r="D1738" t="str">
            <v>PE</v>
          </cell>
          <cell r="E1738" t="str">
            <v>522.52207</v>
          </cell>
          <cell r="F1738">
            <v>29.256</v>
          </cell>
          <cell r="G1738">
            <v>0</v>
          </cell>
          <cell r="H1738">
            <v>0</v>
          </cell>
          <cell r="I1738">
            <v>0</v>
          </cell>
          <cell r="J1738">
            <v>0</v>
          </cell>
          <cell r="K1738">
            <v>8</v>
          </cell>
          <cell r="L1738">
            <v>0</v>
          </cell>
        </row>
        <row r="1739">
          <cell r="A1739" t="str">
            <v>10003.04494</v>
          </cell>
          <cell r="B1739" t="str">
            <v>TOLE ACIER INOX</v>
          </cell>
          <cell r="C1739" t="str">
            <v xml:space="preserve">TOLE EN ACIER INOXYDABLE NUANCE AFNOR : Z1 NCDU 25-20              AISI      : 904 L GENRE : "CREUSOT-LOIRE URANUS B6" OU "UGINE NS B6" COMPOSITION -CHIMIQUE MOYENNE (%) : C &lt; 0,02 - Cr : 20 - Ni : 25 -  Mo : 4,3 - Cu : 1,5 LONGUEUR = 3 METRES LARGEUR = 1,5 METRE EPAISSEUR = 12 MM </v>
          </cell>
          <cell r="D1739" t="str">
            <v>KG</v>
          </cell>
          <cell r="E1739" t="str">
            <v>522.52213</v>
          </cell>
          <cell r="F1739">
            <v>167.84200000000001</v>
          </cell>
          <cell r="G1739">
            <v>0</v>
          </cell>
          <cell r="H1739">
            <v>0</v>
          </cell>
          <cell r="I1739">
            <v>0</v>
          </cell>
          <cell r="J1739">
            <v>432</v>
          </cell>
          <cell r="K1739">
            <v>0</v>
          </cell>
          <cell r="L1739">
            <v>0</v>
          </cell>
        </row>
        <row r="1740">
          <cell r="A1740" t="str">
            <v>10003.04677</v>
          </cell>
          <cell r="B1740" t="str">
            <v>TOLE ACIER INOX</v>
          </cell>
          <cell r="C1740" t="str">
            <v xml:space="preserve">TOLE EN ACIER INOXYDABLE NUANCE AFNOR : Z2 CND 17-13                DIN     : X2 Cr Ni Mo 18-12GENRE : "CREUSOT-LOIRE ICL 166 BC "OU" UGINE NSM 22S COMPOSITION -CHIMIQUE MOYENNE (%) : C &lt; 0,03 - Cr : 16-18 - Ni : 11,5-13,5 -  Mo : 2,5-3 - Mn : 2 - Si : 1 LONGUEUR = 3 METRES LARGEUR   = 1,5 METRE EPAISSEUR = 8 MM </v>
          </cell>
          <cell r="D1740" t="str">
            <v>PE</v>
          </cell>
          <cell r="E1740" t="str">
            <v>522.52213</v>
          </cell>
          <cell r="F1740">
            <v>10368</v>
          </cell>
          <cell r="G1740">
            <v>0</v>
          </cell>
          <cell r="H1740">
            <v>3</v>
          </cell>
          <cell r="I1740">
            <v>0</v>
          </cell>
          <cell r="J1740">
            <v>0</v>
          </cell>
          <cell r="K1740">
            <v>0</v>
          </cell>
          <cell r="L1740">
            <v>0</v>
          </cell>
        </row>
        <row r="1741">
          <cell r="A1741" t="str">
            <v>10003.04499</v>
          </cell>
          <cell r="B1741" t="str">
            <v>TOLE ACIER INOX</v>
          </cell>
          <cell r="C1741" t="str">
            <v xml:space="preserve">TOLE EN ACIER INOXYDABLE NUANCE AFNOR : Z1 NCDU 25-20              AISI      : 904 L GENRE : "CREUSOT-LOIRE URANUS B6" OU "UGINE NS B6" COMPOSITION -CHIMIQUE MOYENNE (%) : C &lt; 0,02 - Cr : 20 - Ni : 25 -  Mo : 4,3 - Cu : 1,5 LONGUEUR = 3 METRES LARGEUR = 1,5 METRE EPAISSEUR = 15 MM </v>
          </cell>
          <cell r="D1741" t="str">
            <v>PE</v>
          </cell>
          <cell r="E1741" t="str">
            <v>522.52213</v>
          </cell>
          <cell r="F1741">
            <v>68174.675000000003</v>
          </cell>
          <cell r="G1741">
            <v>0</v>
          </cell>
          <cell r="H1741">
            <v>1</v>
          </cell>
          <cell r="I1741">
            <v>0</v>
          </cell>
          <cell r="J1741">
            <v>0</v>
          </cell>
          <cell r="K1741">
            <v>0</v>
          </cell>
          <cell r="L1741">
            <v>0</v>
          </cell>
        </row>
        <row r="1742">
          <cell r="A1742" t="str">
            <v>10003.04888</v>
          </cell>
          <cell r="B1742" t="str">
            <v>TOLE PERFOREE INOX</v>
          </cell>
          <cell r="C1742" t="str">
            <v>TOLE PERFOREE EN ACIER INOXYDABLE NUANCE AFNOR : Z1 NCDU 25-20              AISI      : 904 L GENRE : CREUSOT-LOIRE URANUS B6 OUUGINE NS B 6COMPOSITION -CHIMIQUE MOYENNE (%) : C &lt;ou= 0,02 - Cr : 20 - Ni : 25 -  Mo : 4,3 - Cu : 1,5 LONGUEUR = 3 METRES LARGEUR   = 1,5 METRES EPAISSEUR = 4 MM ENTRAXE = 15 MM DIAMETRE TROUS = 10 MM</v>
          </cell>
          <cell r="D1742" t="str">
            <v>PE</v>
          </cell>
          <cell r="E1742" t="str">
            <v>522.52213</v>
          </cell>
          <cell r="F1742">
            <v>22652.794699999999</v>
          </cell>
          <cell r="G1742">
            <v>0</v>
          </cell>
          <cell r="H1742">
            <v>5</v>
          </cell>
          <cell r="I1742">
            <v>0</v>
          </cell>
          <cell r="J1742">
            <v>0</v>
          </cell>
          <cell r="K1742">
            <v>0</v>
          </cell>
          <cell r="L1742">
            <v>0</v>
          </cell>
        </row>
        <row r="1743">
          <cell r="A1743" t="str">
            <v>10001.00431</v>
          </cell>
          <cell r="B1743" t="str">
            <v>GRAISSE MULTI - USAGE</v>
          </cell>
          <cell r="C1743" t="str">
            <v xml:space="preserve">GRAISSE MULTI-USAGE  NLGI1 </v>
          </cell>
          <cell r="D1743" t="str">
            <v>KG</v>
          </cell>
          <cell r="E1743" t="str">
            <v>522.52212</v>
          </cell>
          <cell r="F1743">
            <v>19</v>
          </cell>
          <cell r="G1743">
            <v>0</v>
          </cell>
          <cell r="H1743">
            <v>390</v>
          </cell>
          <cell r="I1743">
            <v>180</v>
          </cell>
          <cell r="J1743">
            <v>0</v>
          </cell>
          <cell r="K1743">
            <v>540</v>
          </cell>
          <cell r="L1743">
            <v>0</v>
          </cell>
        </row>
        <row r="1744">
          <cell r="A1744" t="str">
            <v>10019.00201</v>
          </cell>
          <cell r="B1744" t="str">
            <v>JOINT DECOUPE FLAT RING GASKET</v>
          </cell>
          <cell r="C1744" t="str">
            <v>JOINT DECOUPE FLAT RING GASKET POUR BRIDE RF FLGSSUIVANT NORME B16.21/B16.5 CLASSE 300MATIERE: FLEXIBLE GRAPHITEEPAISSEUR ; 3MMDN 20</v>
          </cell>
          <cell r="D1744" t="str">
            <v>PE</v>
          </cell>
          <cell r="E1744" t="str">
            <v>522.52207</v>
          </cell>
          <cell r="F1744">
            <v>315.89999999999998</v>
          </cell>
          <cell r="G1744">
            <v>0</v>
          </cell>
          <cell r="H1744">
            <v>0</v>
          </cell>
          <cell r="I1744">
            <v>0</v>
          </cell>
          <cell r="J1744">
            <v>1</v>
          </cell>
          <cell r="K1744">
            <v>0</v>
          </cell>
          <cell r="L1744">
            <v>3</v>
          </cell>
        </row>
        <row r="1745">
          <cell r="A1745" t="str">
            <v>10023.05004</v>
          </cell>
          <cell r="B1745" t="str">
            <v>ELECTRODE:4 MM</v>
          </cell>
          <cell r="C1745" t="str">
            <v xml:space="preserve">SOUDURE ELECTRODES ENROBEES . . DESIGNATION POUR SOUDAGE ET RECHARGEMENT DES FONTES NEUVES , FONTE:ALLIEE(A HAUTE CARACTERISTIQUE MECANIQUE) GRISE MARQUE GENRE:ARCOS MIXAL SOUDOMETAL SOUDOFONTE D GENRE CASTOLIN CP1923 UTP 85FN SAF SAFONTE DOUCE DIAMETRE 4 MM COMPOSITIONS CHIMIQUES C1,5/100SI4/100MN1/100NI50A60/100CU2,5/100SO,025/100 , FE SOLDE , DURETE DU METAL DEPOSE 200 HB MODE DE SOUDAGE TOUTES POSITIONS NORME AWS ENI FE C1 COURANT ALTERNATIF OU CONTINU ENROBAGE BASIQUE </v>
          </cell>
          <cell r="D1745" t="str">
            <v>KG</v>
          </cell>
          <cell r="E1745" t="str">
            <v>522.52208</v>
          </cell>
          <cell r="F1745">
            <v>259.863</v>
          </cell>
          <cell r="G1745">
            <v>0</v>
          </cell>
          <cell r="H1745">
            <v>0</v>
          </cell>
          <cell r="I1745">
            <v>0</v>
          </cell>
          <cell r="J1745">
            <v>0</v>
          </cell>
          <cell r="K1745">
            <v>0</v>
          </cell>
          <cell r="L1745">
            <v>0</v>
          </cell>
        </row>
        <row r="1746">
          <cell r="A1746" t="str">
            <v>10000.03358</v>
          </cell>
          <cell r="B1746" t="str">
            <v>CATALSEUR AU VANDIUM</v>
          </cell>
          <cell r="C1746" t="str">
            <v>CATALYSEUR AU VANADIUM   SUIVANTS SPECIFICATION TECHNIQUES GENRE MECS XLP 220</v>
          </cell>
          <cell r="D1746" t="str">
            <v>L</v>
          </cell>
          <cell r="E1746" t="str">
            <v>522.52202</v>
          </cell>
          <cell r="F1746">
            <v>30.3188</v>
          </cell>
          <cell r="G1746">
            <v>0</v>
          </cell>
          <cell r="H1746">
            <v>0</v>
          </cell>
          <cell r="I1746">
            <v>0</v>
          </cell>
          <cell r="J1746">
            <v>0</v>
          </cell>
          <cell r="K1746">
            <v>0</v>
          </cell>
          <cell r="L1746">
            <v>0</v>
          </cell>
        </row>
        <row r="1747">
          <cell r="A1747" t="str">
            <v>10000.03357</v>
          </cell>
          <cell r="B1747" t="str">
            <v>CATALSEUR AU VANDIUM</v>
          </cell>
          <cell r="C1747" t="str">
            <v>CATALYSEUR AU VANADIUMPOUR INSTALLATIONS AUX : 1er ,2éme, 3éme et 4éme  Lits. SUIVANTS SPECIFICATION TECHNIQUES GENRE MECS XLP 110</v>
          </cell>
          <cell r="D1747" t="str">
            <v>L</v>
          </cell>
          <cell r="E1747" t="str">
            <v>522.52202</v>
          </cell>
          <cell r="F1747">
            <v>32.449800000000003</v>
          </cell>
          <cell r="G1747">
            <v>0</v>
          </cell>
          <cell r="H1747">
            <v>280000</v>
          </cell>
          <cell r="I1747">
            <v>0</v>
          </cell>
          <cell r="J1747">
            <v>0</v>
          </cell>
          <cell r="K1747">
            <v>0</v>
          </cell>
          <cell r="L1747">
            <v>0</v>
          </cell>
        </row>
        <row r="1748">
          <cell r="A1748" t="str">
            <v>10000.03357</v>
          </cell>
          <cell r="B1748" t="str">
            <v>CATALSEUR AU VANDIUM</v>
          </cell>
          <cell r="C1748" t="str">
            <v>CATALYSEUR AU VANADIUMPOUR INSTALLATIONS AUX : 1er ,2éme, 3éme et 4éme  Lits. SUIVANTS SPECIFICATION TECHNIQUES GENRE MECS XLP 110</v>
          </cell>
          <cell r="D1748" t="str">
            <v>L</v>
          </cell>
          <cell r="E1748" t="str">
            <v>522.52202</v>
          </cell>
          <cell r="F1748">
            <v>32.449800000000003</v>
          </cell>
          <cell r="G1748">
            <v>0</v>
          </cell>
          <cell r="H1748">
            <v>0</v>
          </cell>
          <cell r="I1748">
            <v>0</v>
          </cell>
          <cell r="J1748">
            <v>60000</v>
          </cell>
          <cell r="K1748">
            <v>0</v>
          </cell>
          <cell r="L1748">
            <v>0</v>
          </cell>
        </row>
        <row r="1749">
          <cell r="A1749" t="str">
            <v>10001.00488</v>
          </cell>
          <cell r="B1749" t="str">
            <v>GRAISSE ANTI-GRIPPANT</v>
          </cell>
          <cell r="C1749" t="str">
            <v>GRAISSE ANTI-GRIPPANTEGENRE : - MOLYKOTE 725              - AFER FRANCE CU 900</v>
          </cell>
          <cell r="D1749" t="str">
            <v>PE</v>
          </cell>
          <cell r="E1749" t="str">
            <v>522.52212</v>
          </cell>
          <cell r="F1749">
            <v>180</v>
          </cell>
          <cell r="G1749">
            <v>0</v>
          </cell>
          <cell r="H1749">
            <v>0</v>
          </cell>
          <cell r="I1749">
            <v>0</v>
          </cell>
          <cell r="J1749">
            <v>0</v>
          </cell>
          <cell r="K1749">
            <v>0</v>
          </cell>
          <cell r="L1749">
            <v>24</v>
          </cell>
        </row>
        <row r="1750">
          <cell r="A1750" t="str">
            <v>10019.07586</v>
          </cell>
          <cell r="B1750" t="str">
            <v>TRESSE CARREE 18 MM</v>
          </cell>
          <cell r="C1750" t="str">
            <v xml:space="preserve">TRESSE CARREE EN FIBRE DE RAMIE IMPREGNEE DE PTFE SPECIAL POUR POMPE, ROBINETTERIE, RAFFINEUR ET FILTRERESISTANCE : EAU -EAU DE MER -ACIDES FAIBLES ET ALCALISSAUMURE -HUILES -GRAISSES -PATES CHIMIQUES. PH 2-12 TEMPERATURE -50 A+140°C VITESSE POMPES 12M/S ROBINETTERIES 2M/S. PRESSION POMPES 20 A 100BARS ROBINETTERIE 100BARSCOTE 18 MM </v>
          </cell>
          <cell r="D1750" t="str">
            <v>KG</v>
          </cell>
          <cell r="E1750" t="str">
            <v>522.52207</v>
          </cell>
          <cell r="F1750">
            <v>293.48</v>
          </cell>
          <cell r="G1750">
            <v>0</v>
          </cell>
          <cell r="H1750">
            <v>0</v>
          </cell>
          <cell r="I1750">
            <v>0</v>
          </cell>
          <cell r="J1750">
            <v>0</v>
          </cell>
          <cell r="K1750">
            <v>0</v>
          </cell>
          <cell r="L1750">
            <v>0</v>
          </cell>
        </row>
        <row r="1751">
          <cell r="A1751" t="str">
            <v>10019.02586</v>
          </cell>
          <cell r="B1751" t="str">
            <v>BAGUE ETANCHE 150X180X15*</v>
          </cell>
          <cell r="C1751" t="str">
            <v xml:space="preserve">BAGUE D'ETANCHEITE A LEVRE DE MANCHETTE A RESSORT DE SERRAGETYPE INTERNE A ARMATURE TOLE SOUS CAOUTCHOUC SYNTHETIQUE NITRILE,RESISTANT A L'ACTION DES LUBRIFIANTS MINERAUX TYPE : PAULSTRA-IE, NATIONAL-35, STEFA-CB , CEFILAC-C, CFW-BA DIMENSIONS : 150 X 180 X 15 MM </v>
          </cell>
          <cell r="D1751" t="str">
            <v>PE</v>
          </cell>
          <cell r="E1751" t="str">
            <v>522.52207</v>
          </cell>
          <cell r="F1751">
            <v>34.368000000000002</v>
          </cell>
          <cell r="G1751">
            <v>0</v>
          </cell>
          <cell r="H1751">
            <v>0</v>
          </cell>
          <cell r="I1751">
            <v>0</v>
          </cell>
          <cell r="J1751">
            <v>0</v>
          </cell>
          <cell r="K1751">
            <v>0</v>
          </cell>
          <cell r="L1751">
            <v>8</v>
          </cell>
        </row>
        <row r="1752">
          <cell r="A1752" t="str">
            <v>10023.00965</v>
          </cell>
          <cell r="B1752" t="str">
            <v>CHIFF VIGNET 100</v>
          </cell>
          <cell r="C1752" t="str">
            <v xml:space="preserve">CHIFFRES VIGNETTES EN ZINC  HAUTEUR 100 MM MODE DE LIVRAISON JEU COMPLET </v>
          </cell>
          <cell r="D1752" t="str">
            <v>JE</v>
          </cell>
          <cell r="E1752" t="str">
            <v>522.52208</v>
          </cell>
          <cell r="F1752">
            <v>143</v>
          </cell>
          <cell r="G1752">
            <v>0</v>
          </cell>
          <cell r="H1752">
            <v>0</v>
          </cell>
          <cell r="I1752">
            <v>0</v>
          </cell>
          <cell r="J1752">
            <v>0</v>
          </cell>
          <cell r="K1752">
            <v>0</v>
          </cell>
          <cell r="L1752">
            <v>1</v>
          </cell>
        </row>
        <row r="1753">
          <cell r="A1753" t="str">
            <v>10023.00966</v>
          </cell>
          <cell r="B1753" t="str">
            <v>CHIFFRE VIGNETTE HAUT.70</v>
          </cell>
          <cell r="C1753" t="str">
            <v xml:space="preserve">CHIFFRES VIGNETTES EN ZINC  HAUTEUR 70 MODE DE LIVRAISON JEU COMPLET DE 0 A 9 </v>
          </cell>
          <cell r="D1753" t="str">
            <v>JE</v>
          </cell>
          <cell r="E1753" t="str">
            <v>522.52208</v>
          </cell>
          <cell r="F1753">
            <v>104.5</v>
          </cell>
          <cell r="G1753">
            <v>0</v>
          </cell>
          <cell r="H1753">
            <v>0</v>
          </cell>
          <cell r="I1753">
            <v>0</v>
          </cell>
          <cell r="J1753">
            <v>0</v>
          </cell>
          <cell r="K1753">
            <v>0</v>
          </cell>
          <cell r="L1753">
            <v>1</v>
          </cell>
        </row>
        <row r="1754">
          <cell r="A1754" t="str">
            <v>10019.06323</v>
          </cell>
          <cell r="B1754" t="str">
            <v>FEUILL.KLINGERIT EP:2 MM</v>
          </cell>
          <cell r="C1754" t="str">
            <v xml:space="preserve">FEUILLE DE JOINT "KLINGER 200" DIMENSIONS = 2000 X 1500 X 2 MM </v>
          </cell>
          <cell r="D1754" t="str">
            <v>PE</v>
          </cell>
          <cell r="E1754" t="str">
            <v>522.52207</v>
          </cell>
          <cell r="F1754">
            <v>420</v>
          </cell>
          <cell r="G1754">
            <v>0</v>
          </cell>
          <cell r="H1754">
            <v>0</v>
          </cell>
          <cell r="I1754">
            <v>0</v>
          </cell>
          <cell r="J1754">
            <v>0</v>
          </cell>
          <cell r="K1754">
            <v>0</v>
          </cell>
          <cell r="L1754">
            <v>0</v>
          </cell>
        </row>
        <row r="1755">
          <cell r="A1755" t="str">
            <v>10019.06318</v>
          </cell>
          <cell r="B1755" t="str">
            <v>FEUILL.KLINGERIT EP:4 MM</v>
          </cell>
          <cell r="C1755" t="str">
            <v xml:space="preserve">FEUILLE DE JOINT "KLINGERIT ACIDIT LORIS" DIMENSIONS = 2000 X 1500 X 4 MM </v>
          </cell>
          <cell r="D1755" t="str">
            <v>PE</v>
          </cell>
          <cell r="E1755" t="str">
            <v>522.52207</v>
          </cell>
          <cell r="F1755">
            <v>1939.905</v>
          </cell>
          <cell r="G1755">
            <v>0</v>
          </cell>
          <cell r="H1755">
            <v>0</v>
          </cell>
          <cell r="I1755">
            <v>0</v>
          </cell>
          <cell r="J1755">
            <v>4</v>
          </cell>
          <cell r="K1755">
            <v>3</v>
          </cell>
          <cell r="L1755">
            <v>0</v>
          </cell>
        </row>
        <row r="1756">
          <cell r="A1756" t="str">
            <v>10019.06325</v>
          </cell>
          <cell r="B1756" t="str">
            <v>FEUILL.KLINGERIT EP:3 MM</v>
          </cell>
          <cell r="C1756" t="str">
            <v xml:space="preserve">FEUILLE DE JOINT "KLINGER 200" DIMENSIONS = 2000 X 1500 X 3 MM </v>
          </cell>
          <cell r="D1756" t="str">
            <v>PE</v>
          </cell>
          <cell r="E1756" t="str">
            <v>522.52207</v>
          </cell>
          <cell r="F1756">
            <v>540.59820000000002</v>
          </cell>
          <cell r="G1756">
            <v>0</v>
          </cell>
          <cell r="H1756">
            <v>0</v>
          </cell>
          <cell r="I1756">
            <v>0</v>
          </cell>
          <cell r="J1756">
            <v>0</v>
          </cell>
          <cell r="K1756">
            <v>0</v>
          </cell>
          <cell r="L1756">
            <v>0</v>
          </cell>
        </row>
        <row r="1757">
          <cell r="A1757" t="str">
            <v>10024.00981</v>
          </cell>
          <cell r="B1757" t="str">
            <v>PELLE COL DE CYGNE</v>
          </cell>
          <cell r="C1757" t="str">
            <v xml:space="preserve">OUTILLAGE PELLE COL DE CYGNE (SANS MANCHE),EN TOLE ACIER MI-DUR-A 56  NORME DE LA DOUILLE NF E 78 003 DIAMETRE NORMAL DE LA DOUILLE = 39 MM EPAISSEUR 16/10 MM A 17/10 MM POIDS 1,350 KG ENVIRON DIMENSIONS 310 X 310 MM ENVIRON RESISTANCE 56-65 KG/MM2 </v>
          </cell>
          <cell r="D1757" t="str">
            <v>PE</v>
          </cell>
          <cell r="E1757" t="str">
            <v>522.52208</v>
          </cell>
          <cell r="F1757">
            <v>20.7</v>
          </cell>
          <cell r="G1757">
            <v>0</v>
          </cell>
          <cell r="H1757">
            <v>0</v>
          </cell>
          <cell r="I1757">
            <v>0</v>
          </cell>
          <cell r="J1757">
            <v>0</v>
          </cell>
          <cell r="K1757">
            <v>0</v>
          </cell>
          <cell r="L1757">
            <v>0</v>
          </cell>
        </row>
        <row r="1758">
          <cell r="A1758" t="str">
            <v>10024.00981</v>
          </cell>
          <cell r="B1758" t="str">
            <v>PELLE COL DE CYGNE</v>
          </cell>
          <cell r="C1758" t="str">
            <v xml:space="preserve">OUTILLAGE PELLE COL DE CYGNE (SANS MANCHE),EN TOLE ACIER MI-DUR-A 56  NORME DE LA DOUILLE NF E 78 003 DIAMETRE NORMAL DE LA DOUILLE = 39 MM EPAISSEUR 16/10 MM A 17/10 MM POIDS 1,350 KG ENVIRON DIMENSIONS 310 X 310 MM ENVIRON RESISTANCE 56-65 KG/MM2 </v>
          </cell>
          <cell r="D1758" t="str">
            <v>PE</v>
          </cell>
          <cell r="E1758" t="str">
            <v>522.52208</v>
          </cell>
          <cell r="F1758">
            <v>20.7</v>
          </cell>
          <cell r="G1758">
            <v>0</v>
          </cell>
          <cell r="H1758">
            <v>0</v>
          </cell>
          <cell r="I1758">
            <v>0</v>
          </cell>
          <cell r="J1758">
            <v>0</v>
          </cell>
          <cell r="K1758">
            <v>25</v>
          </cell>
          <cell r="L1758">
            <v>0</v>
          </cell>
        </row>
        <row r="1759">
          <cell r="A1759" t="str">
            <v>10025.06300</v>
          </cell>
          <cell r="B1759" t="str">
            <v>MEULE A MOYEU DEPORTE</v>
          </cell>
          <cell r="C1759" t="str">
            <v>MEULE A MOYEU DEPORTE ET ARMATURE TEXTILE INCORPOREE EMPLOI SUR MACHINE ROTATIVE EPAISSEUR 6,4 MM DIAMETRE EXTERIEUR :180 MM ALESAGE 23 MM TYPE D'AGGLOMERANT RESINOIDE VITESSE 80 M/S. 8500T/MM</v>
          </cell>
          <cell r="D1759" t="str">
            <v>PE</v>
          </cell>
          <cell r="E1759" t="str">
            <v>522.52208</v>
          </cell>
          <cell r="F1759">
            <v>18.728400000000001</v>
          </cell>
          <cell r="G1759">
            <v>0</v>
          </cell>
          <cell r="H1759">
            <v>0</v>
          </cell>
          <cell r="I1759">
            <v>0</v>
          </cell>
          <cell r="J1759">
            <v>0</v>
          </cell>
          <cell r="K1759">
            <v>10</v>
          </cell>
          <cell r="L1759">
            <v>0</v>
          </cell>
        </row>
        <row r="1760">
          <cell r="A1760" t="str">
            <v>10003.05288</v>
          </cell>
          <cell r="B1760" t="str">
            <v>TOLE INOX REFRACTAIRE</v>
          </cell>
          <cell r="C1760" t="str">
            <v xml:space="preserve">TOLE EN ACIER INOXYDABLE REFRACTAIRE NUANCE : AFNOR -  Z12 CN 25-20                 AISI - 310 S                DIN - X6 Cr Ni 25-20 GENRE : UGINE 310 S 24 OU CREUZOT-LOIRE SIRIUS 310LONGUEUR = 3 METRES LARGEUR = 1,5 METRE EPAISSEUR = 6 MM </v>
          </cell>
          <cell r="D1760" t="str">
            <v>PE</v>
          </cell>
          <cell r="E1760" t="str">
            <v>522.52213</v>
          </cell>
          <cell r="F1760">
            <v>11642.4</v>
          </cell>
          <cell r="G1760">
            <v>0</v>
          </cell>
          <cell r="H1760">
            <v>0</v>
          </cell>
          <cell r="I1760">
            <v>0</v>
          </cell>
          <cell r="J1760">
            <v>0</v>
          </cell>
          <cell r="K1760">
            <v>0</v>
          </cell>
          <cell r="L1760">
            <v>1</v>
          </cell>
        </row>
        <row r="1761">
          <cell r="A1761" t="str">
            <v>10025.06322</v>
          </cell>
          <cell r="B1761" t="str">
            <v>DISQUE A MEULER</v>
          </cell>
          <cell r="C1761" t="str">
            <v>MEULE EPAISSEUR 6,4 MM DIAMETRE EXTERIEUR:127 MM ALESAGE 22,2 MM GRAIN A 24 N</v>
          </cell>
          <cell r="D1761" t="str">
            <v>PE</v>
          </cell>
          <cell r="E1761" t="str">
            <v>522.52208</v>
          </cell>
          <cell r="F1761">
            <v>20.8538</v>
          </cell>
          <cell r="G1761">
            <v>0</v>
          </cell>
          <cell r="H1761">
            <v>0</v>
          </cell>
          <cell r="I1761">
            <v>0</v>
          </cell>
          <cell r="J1761">
            <v>0</v>
          </cell>
          <cell r="K1761">
            <v>0</v>
          </cell>
          <cell r="L1761">
            <v>80</v>
          </cell>
        </row>
        <row r="1762">
          <cell r="A1762" t="str">
            <v>10025.06323</v>
          </cell>
          <cell r="B1762" t="str">
            <v>MEUL EBARB. A30N 125X22X6</v>
          </cell>
          <cell r="C1762" t="str">
            <v xml:space="preserve">MEULE D'EBARBAGE AVEC ARMATURE TEXTILE INCORPOREE POUR LES TRAVAUX DES ACIERS INOXYDABLES EPAISSEUR 6 MM DIAMETRE EXTERIEUR : 125 MM ALESAGE 22 MM GRAIN A30N </v>
          </cell>
          <cell r="D1762" t="str">
            <v>PE</v>
          </cell>
          <cell r="E1762" t="str">
            <v>522.52208</v>
          </cell>
          <cell r="F1762">
            <v>22.3674</v>
          </cell>
          <cell r="G1762">
            <v>0</v>
          </cell>
          <cell r="H1762">
            <v>2</v>
          </cell>
          <cell r="I1762">
            <v>0</v>
          </cell>
          <cell r="J1762">
            <v>0</v>
          </cell>
          <cell r="K1762">
            <v>0</v>
          </cell>
          <cell r="L1762">
            <v>98</v>
          </cell>
        </row>
        <row r="1763">
          <cell r="A1763" t="str">
            <v>10003.05291</v>
          </cell>
          <cell r="B1763" t="str">
            <v>TOLE INOX REFRACTAIRE EP10mm</v>
          </cell>
          <cell r="C1763" t="str">
            <v xml:space="preserve">TOLE EN ACIER INOXYDABLE REFRACTAIRE NUANCE : AFNOR -  Z12 CN 25-20                 AISI - 310 S                DIN - X6 Cr Ni 25-20 GENRE : UGINE 310 S 24 OU CREUZOT-LOIRE SIRIUS 310LONGUEUR = 3 METRES LARGEUR = 1,5 METRE EPAISSEUR = 10 MM </v>
          </cell>
          <cell r="D1763" t="str">
            <v>PE</v>
          </cell>
          <cell r="E1763" t="str">
            <v>522.52213</v>
          </cell>
          <cell r="F1763">
            <v>20350.7</v>
          </cell>
          <cell r="G1763">
            <v>0</v>
          </cell>
          <cell r="H1763">
            <v>1</v>
          </cell>
          <cell r="I1763">
            <v>0</v>
          </cell>
          <cell r="J1763">
            <v>0</v>
          </cell>
          <cell r="K1763">
            <v>1</v>
          </cell>
          <cell r="L1763">
            <v>1</v>
          </cell>
        </row>
        <row r="1764">
          <cell r="A1764" t="str">
            <v>10004.06170</v>
          </cell>
          <cell r="B1764" t="str">
            <v>ROND ACIER INOX</v>
          </cell>
          <cell r="C1764" t="str">
            <v xml:space="preserve">ROND EN ACIER INOXYDABLENUANCE : AFNOR Z2 CND 17-13 OU DIN X2 CR NI MO 18-12 GENRE UGINE NSM 22 S OU CREUSOT-LOIRE ICL 166 BC COMPOSITION CHIMIQUE MOYENNE :  C &lt;ou=0,03 &amp; Si=1 &amp; Mn=2 &amp; Cr=16-18 &amp; Ni=11,5-13,5 &amp; Mo=2,5-3LONGUEUR = 6 METRES DIAMETRE = 60 MM </v>
          </cell>
          <cell r="D1764" t="str">
            <v>KG</v>
          </cell>
          <cell r="E1764" t="str">
            <v>522.52213</v>
          </cell>
          <cell r="F1764">
            <v>31.504000000000001</v>
          </cell>
          <cell r="G1764">
            <v>0</v>
          </cell>
          <cell r="H1764">
            <v>0</v>
          </cell>
          <cell r="I1764">
            <v>0</v>
          </cell>
          <cell r="J1764">
            <v>0</v>
          </cell>
          <cell r="K1764">
            <v>0</v>
          </cell>
          <cell r="L1764">
            <v>0</v>
          </cell>
        </row>
        <row r="1765">
          <cell r="A1765" t="str">
            <v>10004.08219</v>
          </cell>
          <cell r="B1765" t="str">
            <v>ROND INOX UB6 DIA  65MM</v>
          </cell>
          <cell r="C1765"/>
          <cell r="D1765" t="str">
            <v>KG</v>
          </cell>
          <cell r="E1765" t="str">
            <v>522.52213</v>
          </cell>
          <cell r="F1765">
            <v>55.725999999999999</v>
          </cell>
          <cell r="G1765">
            <v>0</v>
          </cell>
          <cell r="H1765">
            <v>0</v>
          </cell>
          <cell r="I1765">
            <v>0</v>
          </cell>
          <cell r="J1765">
            <v>0</v>
          </cell>
          <cell r="K1765">
            <v>0</v>
          </cell>
          <cell r="L1765">
            <v>0</v>
          </cell>
        </row>
        <row r="1766">
          <cell r="A1766" t="str">
            <v>10001.00760</v>
          </cell>
          <cell r="B1766" t="str">
            <v>COURROIE TRANSPORTEUSE - 800 EP 800/4 6+4 A</v>
          </cell>
          <cell r="C1766" t="str">
            <v>COURROIE TRANSPORTEUSE - Carcasse Textile - ANTI ABRASION - Largeur 800 - Classe 800 - Selon fiche technique 10001.00760_0820</v>
          </cell>
          <cell r="D1766" t="str">
            <v>M</v>
          </cell>
          <cell r="E1766" t="str">
            <v>522.52204</v>
          </cell>
          <cell r="F1766">
            <v>735.91369999999995</v>
          </cell>
          <cell r="G1766">
            <v>0</v>
          </cell>
          <cell r="H1766">
            <v>0</v>
          </cell>
          <cell r="I1766">
            <v>0</v>
          </cell>
          <cell r="J1766">
            <v>0</v>
          </cell>
          <cell r="K1766">
            <v>0</v>
          </cell>
          <cell r="L1766">
            <v>0</v>
          </cell>
        </row>
        <row r="1767">
          <cell r="A1767" t="str">
            <v>10001.00760</v>
          </cell>
          <cell r="B1767" t="str">
            <v>COURROIE TRANSPORTEUSE - 800 EP 800/4 6+4 A</v>
          </cell>
          <cell r="C1767" t="str">
            <v>COURROIE TRANSPORTEUSE - Carcasse Textile - ANTI ABRASION - Largeur 800 - Classe 800 - Selon fiche technique 10001.00760_0820</v>
          </cell>
          <cell r="D1767" t="str">
            <v>M</v>
          </cell>
          <cell r="E1767" t="str">
            <v>522.52204</v>
          </cell>
          <cell r="F1767">
            <v>735.91369999999995</v>
          </cell>
          <cell r="G1767">
            <v>0</v>
          </cell>
          <cell r="H1767">
            <v>0</v>
          </cell>
          <cell r="I1767">
            <v>0</v>
          </cell>
          <cell r="J1767">
            <v>0</v>
          </cell>
          <cell r="K1767">
            <v>0</v>
          </cell>
          <cell r="L1767">
            <v>0</v>
          </cell>
        </row>
        <row r="1768">
          <cell r="A1768" t="str">
            <v>10001.00762</v>
          </cell>
          <cell r="B1768" t="str">
            <v>COURROIE TRANSPORTEUSE - 1200 EP 800/4 6+4 A</v>
          </cell>
          <cell r="C1768" t="str">
            <v>COURROIE TRANSPORTEUSE - Carcasse Textile - ANTI ABRASION - Largeur 1200 - Classe 800 - Selon fiche technique 10001.00762_0820</v>
          </cell>
          <cell r="D1768" t="str">
            <v>M</v>
          </cell>
          <cell r="E1768" t="str">
            <v>522.52204</v>
          </cell>
          <cell r="F1768">
            <v>966.86450000000002</v>
          </cell>
          <cell r="G1768">
            <v>0</v>
          </cell>
          <cell r="H1768">
            <v>0</v>
          </cell>
          <cell r="I1768">
            <v>0</v>
          </cell>
          <cell r="J1768">
            <v>0</v>
          </cell>
          <cell r="K1768">
            <v>0</v>
          </cell>
          <cell r="L1768">
            <v>0</v>
          </cell>
        </row>
        <row r="1769">
          <cell r="A1769" t="str">
            <v>10001.00762</v>
          </cell>
          <cell r="B1769" t="str">
            <v>COURROIE TRANSPORTEUSE - 1200 EP 800/4 6+4 A</v>
          </cell>
          <cell r="C1769" t="str">
            <v>COURROIE TRANSPORTEUSE - Carcasse Textile - ANTI ABRASION - Largeur 1200 - Classe 800 - Selon fiche technique 10001.00762_0820</v>
          </cell>
          <cell r="D1769" t="str">
            <v>M</v>
          </cell>
          <cell r="E1769" t="str">
            <v>522.52204</v>
          </cell>
          <cell r="F1769">
            <v>966.86450000000002</v>
          </cell>
          <cell r="G1769">
            <v>0</v>
          </cell>
          <cell r="H1769">
            <v>0</v>
          </cell>
          <cell r="I1769">
            <v>0</v>
          </cell>
          <cell r="J1769">
            <v>0</v>
          </cell>
          <cell r="K1769">
            <v>0</v>
          </cell>
          <cell r="L1769">
            <v>0</v>
          </cell>
        </row>
        <row r="1770">
          <cell r="A1770" t="str">
            <v>10001.00275</v>
          </cell>
          <cell r="B1770" t="str">
            <v>OXYGENE INDUSTRI</v>
          </cell>
          <cell r="C1770" t="str">
            <v>OXYGENE COMPRIME (USAGE INDUSTRIEL) NB : PRODUIT DANGEREUX (FICHE DE DONNEE DE SECURITE EST EXIGE LORS DE LA LIVRAISON DU PRODUIT).</v>
          </cell>
          <cell r="D1770" t="str">
            <v>M3</v>
          </cell>
          <cell r="E1770" t="str">
            <v>522.52210</v>
          </cell>
          <cell r="F1770">
            <v>23.532</v>
          </cell>
          <cell r="G1770">
            <v>0</v>
          </cell>
          <cell r="H1770">
            <v>0</v>
          </cell>
          <cell r="I1770">
            <v>0</v>
          </cell>
          <cell r="J1770">
            <v>0</v>
          </cell>
          <cell r="K1770">
            <v>10</v>
          </cell>
          <cell r="L1770">
            <v>0</v>
          </cell>
        </row>
        <row r="1771">
          <cell r="A1771" t="str">
            <v>10001.00285</v>
          </cell>
          <cell r="B1771" t="str">
            <v>ACETYLENE DISSOU</v>
          </cell>
          <cell r="C1771" t="str">
            <v>ACETYLENE DISSOUS DANS LE MITYLE FORME HAMIDE  POUR SOUDUR N.B : PRODUIT DANGEREUX (FICHE DE DONNEES DE SECURITE EST EXIGEE LORS DE LA LIVRAISON DU  PRODUIT)</v>
          </cell>
          <cell r="D1771" t="str">
            <v>M3</v>
          </cell>
          <cell r="E1771" t="str">
            <v>522.52210</v>
          </cell>
          <cell r="F1771">
            <v>82.703999999999994</v>
          </cell>
          <cell r="G1771">
            <v>0</v>
          </cell>
          <cell r="H1771">
            <v>0</v>
          </cell>
          <cell r="I1771">
            <v>0</v>
          </cell>
          <cell r="J1771">
            <v>0</v>
          </cell>
          <cell r="K1771">
            <v>0</v>
          </cell>
          <cell r="L1771">
            <v>0</v>
          </cell>
        </row>
        <row r="1772">
          <cell r="A1772" t="str">
            <v>10019.06784</v>
          </cell>
          <cell r="B1772" t="str">
            <v>BANDE PTFE EP:0,1  MM</v>
          </cell>
          <cell r="C1772" t="str">
            <v xml:space="preserve">BANDE EN PTFE POUR FILETAGES ET RACCORDS VISSES RESISTANCE : EAU-VAPEUR-HUILES-SOLVANTS-ACIDES-LESSIVES.PRESSION : 50 BARS -TEMPERATURE: -200 A +280° PH 0-14 DIMENSIONS: LONGUEUR=12METRES LARGEUR=12MM EP=0,1 MM </v>
          </cell>
          <cell r="D1772" t="str">
            <v>PE</v>
          </cell>
          <cell r="E1772" t="str">
            <v>522.52207</v>
          </cell>
          <cell r="F1772">
            <v>5.9208999999999996</v>
          </cell>
          <cell r="G1772">
            <v>0</v>
          </cell>
          <cell r="H1772">
            <v>0</v>
          </cell>
          <cell r="I1772">
            <v>0</v>
          </cell>
          <cell r="J1772">
            <v>0</v>
          </cell>
          <cell r="K1772">
            <v>0</v>
          </cell>
          <cell r="L1772">
            <v>0</v>
          </cell>
        </row>
        <row r="1773">
          <cell r="A1773" t="str">
            <v>10016.00192</v>
          </cell>
          <cell r="B1773" t="str">
            <v>ELEMENT ELASTIQUE TAILLE 38</v>
          </cell>
          <cell r="C1773" t="str">
            <v>ELEMENT ELASTIQUE KTR POLY-NORM TYPE AR TAILLE 38</v>
          </cell>
          <cell r="D1773" t="str">
            <v>PE</v>
          </cell>
          <cell r="E1773" t="str">
            <v>515.51515</v>
          </cell>
          <cell r="F1773">
            <v>76.650000000000006</v>
          </cell>
          <cell r="G1773">
            <v>0</v>
          </cell>
          <cell r="H1773">
            <v>0</v>
          </cell>
          <cell r="I1773">
            <v>0</v>
          </cell>
          <cell r="J1773">
            <v>0</v>
          </cell>
          <cell r="K1773">
            <v>0</v>
          </cell>
          <cell r="L1773">
            <v>2</v>
          </cell>
        </row>
        <row r="1774">
          <cell r="A1774" t="str">
            <v>10016.00193</v>
          </cell>
          <cell r="B1774" t="str">
            <v>ACCOUPLEMENT COMPLET KTR ROTEX TAILLE: 42</v>
          </cell>
          <cell r="C1774" t="str">
            <v>ACCOUPLEMENT COMPLET ROTEX KTR-MATIERE : EN FONTE GRISE GG 25-TAILLE : 42 -TYPE : ZS-DKM-H - DP=24 -ELEMENT ELASTIQUE 98 Sh-A EN POLYURETANE NB : DIAMETRE D'ALESAGE A PRECISER LORS DE LA COMMANDE</v>
          </cell>
          <cell r="D1774" t="str">
            <v>PE</v>
          </cell>
          <cell r="E1774" t="str">
            <v>515.51515</v>
          </cell>
          <cell r="F1774">
            <v>1650.62</v>
          </cell>
          <cell r="G1774">
            <v>0</v>
          </cell>
          <cell r="H1774">
            <v>0</v>
          </cell>
          <cell r="I1774">
            <v>0</v>
          </cell>
          <cell r="J1774">
            <v>0</v>
          </cell>
          <cell r="K1774">
            <v>0</v>
          </cell>
          <cell r="L1774">
            <v>3</v>
          </cell>
        </row>
        <row r="1775">
          <cell r="A1775" t="str">
            <v>10016.00194</v>
          </cell>
          <cell r="B1775" t="str">
            <v>ACCOUPLEMENT COMPLET KTR ROTEX TAILLE: 38</v>
          </cell>
          <cell r="C1775" t="str">
            <v>ACCOUPLEMENT COMPLET ROTEX KTR TAILLE : 38 MATIERE : ALUMINIUM MOULE ,ALESAGE FINI DIAMETRE 42,ELEMENT ELASTIQUE 92 Sh-A EN POLYURETANE</v>
          </cell>
          <cell r="D1775" t="str">
            <v>PE</v>
          </cell>
          <cell r="E1775" t="str">
            <v>515.51515</v>
          </cell>
          <cell r="F1775">
            <v>1076.73</v>
          </cell>
          <cell r="G1775">
            <v>0</v>
          </cell>
          <cell r="H1775">
            <v>0</v>
          </cell>
          <cell r="I1775">
            <v>0</v>
          </cell>
          <cell r="J1775">
            <v>0</v>
          </cell>
          <cell r="K1775">
            <v>0</v>
          </cell>
          <cell r="L1775">
            <v>2</v>
          </cell>
        </row>
        <row r="1776">
          <cell r="A1776" t="str">
            <v>10016.00195</v>
          </cell>
          <cell r="B1776" t="str">
            <v>ELEMENT ELASTIQUE TAILLE 38</v>
          </cell>
          <cell r="C1776" t="str">
            <v>ELEMENT ELASTIQUE 92SH-A EN POLYURETANE POUR ACCOUPLEMEN KTR ROTEX TAILLE 38</v>
          </cell>
          <cell r="D1776" t="str">
            <v>PE</v>
          </cell>
          <cell r="E1776" t="str">
            <v>515.51515</v>
          </cell>
          <cell r="F1776">
            <v>120.68</v>
          </cell>
          <cell r="G1776">
            <v>0</v>
          </cell>
          <cell r="H1776">
            <v>0</v>
          </cell>
          <cell r="I1776">
            <v>1</v>
          </cell>
          <cell r="J1776">
            <v>0</v>
          </cell>
          <cell r="K1776">
            <v>0</v>
          </cell>
          <cell r="L1776">
            <v>1</v>
          </cell>
        </row>
        <row r="1777">
          <cell r="A1777" t="str">
            <v>10019.06794</v>
          </cell>
          <cell r="B1777" t="str">
            <v>BANDE PTFE EP:2 MM</v>
          </cell>
          <cell r="C1777" t="str">
            <v xml:space="preserve">FEUILLE EN TEFLON PTFE DIMENSIONS : 1200 X 1200 X 2 MM </v>
          </cell>
          <cell r="D1777" t="str">
            <v>PE</v>
          </cell>
          <cell r="E1777" t="str">
            <v>522.52207</v>
          </cell>
          <cell r="F1777">
            <v>1872</v>
          </cell>
          <cell r="G1777">
            <v>0</v>
          </cell>
          <cell r="H1777">
            <v>0</v>
          </cell>
          <cell r="I1777">
            <v>0</v>
          </cell>
          <cell r="J1777">
            <v>0</v>
          </cell>
          <cell r="K1777">
            <v>0</v>
          </cell>
          <cell r="L1777">
            <v>0</v>
          </cell>
        </row>
        <row r="1778">
          <cell r="A1778" t="str">
            <v>10019.06802</v>
          </cell>
          <cell r="B1778" t="str">
            <v>BANDE PTFE EP:2    MM</v>
          </cell>
          <cell r="C1778" t="str">
            <v>BANDE EN PTFE PUR EXPANSE AVEC AUTOCOLANT POUR BRIDES ET RESERVOIRS POUR TOUS FLUIDES (SAUF METAUX ALCALINS FONDUS OU DISSOUS) PRESSION : 200 BARS -TEMPERATURE: -269 A + 260°C PH 0-14 DIMENSIONS : LONG 50 METRES - LARG = 5 MM - EP = 2MM</v>
          </cell>
          <cell r="D1778" t="str">
            <v>PE</v>
          </cell>
          <cell r="E1778" t="str">
            <v>522.52207</v>
          </cell>
          <cell r="F1778">
            <v>233</v>
          </cell>
          <cell r="G1778">
            <v>0</v>
          </cell>
          <cell r="H1778">
            <v>6</v>
          </cell>
          <cell r="I1778">
            <v>0</v>
          </cell>
          <cell r="J1778">
            <v>0</v>
          </cell>
          <cell r="K1778">
            <v>0</v>
          </cell>
          <cell r="L1778">
            <v>12</v>
          </cell>
        </row>
        <row r="1779">
          <cell r="A1779" t="str">
            <v>10003.04452</v>
          </cell>
          <cell r="B1779" t="str">
            <v>TOLE ACIER INOX</v>
          </cell>
          <cell r="C1779" t="str">
            <v xml:space="preserve">TOLE EN ACIER INOXYDABLE NUANCE AFNOR : Z1 NCDU 25-20              AISI      : 904 L GENRE : "CREUSOT-LOIRE URANUS B6" OU "UGINE NS B6" COMPOSITION -CHIMIQUE MOYENNE (%) : C &lt; 0,02 - Cr : 20 - Ni : 25 -  Mo : 4,3 - Cu : 1,5 LONGUEUR = 3 METRES LARGEUR = 1,5 METRE EPAISSEUR = 8 MM </v>
          </cell>
          <cell r="D1779" t="str">
            <v>PE</v>
          </cell>
          <cell r="E1779" t="str">
            <v>522.52213</v>
          </cell>
          <cell r="F1779">
            <v>26784</v>
          </cell>
          <cell r="G1779">
            <v>0</v>
          </cell>
          <cell r="H1779">
            <v>1</v>
          </cell>
          <cell r="I1779">
            <v>0</v>
          </cell>
          <cell r="J1779">
            <v>0</v>
          </cell>
          <cell r="K1779">
            <v>1</v>
          </cell>
          <cell r="L1779">
            <v>0</v>
          </cell>
        </row>
        <row r="1780">
          <cell r="A1780" t="str">
            <v>10003.04442</v>
          </cell>
          <cell r="B1780" t="str">
            <v>TOLE ACIER INOX</v>
          </cell>
          <cell r="C1780" t="str">
            <v xml:space="preserve">TOLE EN ACIER INOXYDABLE NUANCE AFNOR : Z1 NCDU 25-20              AISI      : 904 L GENRE : "CREUSOT-LOIRE URANUS B6" OU "UGINE NS B6" COMPOSITION -CHIMIQUE MOYENNE (%) : C &lt; 0,02 - Cr : 20 - Ni : 25 -  Mo : 4,3 - Cu : 1,5 LONGUEUR = 3 METRES LARGEUR = 1,5 METRE EPAISSEUR = 3 MM </v>
          </cell>
          <cell r="D1780" t="str">
            <v>PE</v>
          </cell>
          <cell r="E1780" t="str">
            <v>522.52213</v>
          </cell>
          <cell r="F1780">
            <v>10044</v>
          </cell>
          <cell r="G1780">
            <v>0</v>
          </cell>
          <cell r="H1780">
            <v>1</v>
          </cell>
          <cell r="I1780">
            <v>0</v>
          </cell>
          <cell r="J1780">
            <v>0</v>
          </cell>
          <cell r="K1780">
            <v>0</v>
          </cell>
          <cell r="L1780">
            <v>0</v>
          </cell>
        </row>
        <row r="1781">
          <cell r="A1781" t="str">
            <v>10003.04444</v>
          </cell>
          <cell r="B1781" t="str">
            <v>TOLE ACIER INOX</v>
          </cell>
          <cell r="C1781" t="str">
            <v xml:space="preserve">TOLE EN ACIER INOXYDABLE NUANCE AFNOR : Z1 NCDU 25-20              AISI      : 904 L GENRE : "CREUSOT-LOIRE URANUS B6" OU "UGINE NS B6" COMPOSITION -CHIMIQUE MOYENNE (%) : C &lt; 0,02 - Cr : 20 - Ni : 25 -  Mo : 4,3 - Cu : 1,5 LONGUEUR = 3 METRES LARGEUR = 1,5 METRE EPAISSEUR = 4 MM </v>
          </cell>
          <cell r="D1781" t="str">
            <v>PE</v>
          </cell>
          <cell r="E1781" t="str">
            <v>522.52213</v>
          </cell>
          <cell r="F1781">
            <v>13392</v>
          </cell>
          <cell r="G1781">
            <v>0</v>
          </cell>
          <cell r="H1781">
            <v>2</v>
          </cell>
          <cell r="I1781">
            <v>0</v>
          </cell>
          <cell r="J1781">
            <v>0</v>
          </cell>
          <cell r="K1781">
            <v>0</v>
          </cell>
          <cell r="L1781">
            <v>0</v>
          </cell>
        </row>
        <row r="1782">
          <cell r="A1782" t="str">
            <v>10003.04448</v>
          </cell>
          <cell r="B1782" t="str">
            <v>TOLE ACIER INOX</v>
          </cell>
          <cell r="C1782" t="str">
            <v xml:space="preserve">TOLE EN ACIER INOXYDABLE NUANCE AFNOR : Z1 NCDU 25-20              AISI      : 904 L GENRE : "CREUSOT-LOIRE URANUS B6" OU "UGINE NS B6" COMPOSITION -CHIMIQUE MOYENNE (%) : C &lt; 0,02 - Cr : 20 - Ni : 25 -  Mo : 4,3 - Cu : 1,5 LONGUEUR = 3 METRES LARGEUR = 1,5 METRE EPAISSEUR = 6 MM </v>
          </cell>
          <cell r="D1782" t="str">
            <v>PE</v>
          </cell>
          <cell r="E1782" t="str">
            <v>522.52213</v>
          </cell>
          <cell r="F1782">
            <v>20412</v>
          </cell>
          <cell r="G1782">
            <v>0</v>
          </cell>
          <cell r="H1782">
            <v>3</v>
          </cell>
          <cell r="I1782">
            <v>0</v>
          </cell>
          <cell r="J1782">
            <v>0</v>
          </cell>
          <cell r="K1782">
            <v>0</v>
          </cell>
          <cell r="L1782">
            <v>0</v>
          </cell>
        </row>
        <row r="1783">
          <cell r="A1783" t="str">
            <v>10019.04538</v>
          </cell>
          <cell r="B1783" t="str">
            <v>BAGUE ETANCHE 60X85X12</v>
          </cell>
          <cell r="C1783" t="str">
            <v>BAGUE D'ETANCHEITE LEVRE DE MANCHETTE A RESSORT DE SERRAGE PLUS LEVRES SUPPLEMENTAIRES TYPE INTERNE A ARMATURE TOLE SOUS CAOUTCHOUC SYNTHETIQUE NITRILE, RESISTANTA L'ACTION DES LUBRIFIANTS MINERAUX TYPE : NATIONAL 32 - STEFA CC - CEFILAC CP - CFW BASL DIMENSIONS : 60 X 85 X 12 MM</v>
          </cell>
          <cell r="D1783" t="str">
            <v>PE</v>
          </cell>
          <cell r="E1783" t="str">
            <v>522.52207</v>
          </cell>
          <cell r="F1783">
            <v>8.8704000000000001</v>
          </cell>
          <cell r="G1783">
            <v>0</v>
          </cell>
          <cell r="H1783">
            <v>0</v>
          </cell>
          <cell r="I1783">
            <v>0</v>
          </cell>
          <cell r="J1783">
            <v>0</v>
          </cell>
          <cell r="K1783">
            <v>0</v>
          </cell>
          <cell r="L1783">
            <v>0</v>
          </cell>
        </row>
        <row r="1784">
          <cell r="A1784" t="str">
            <v>10001.00362</v>
          </cell>
          <cell r="B1784" t="str">
            <v>HUILE HYDRAULIQUE ISO 68</v>
          </cell>
          <cell r="C1784" t="str">
            <v>HUILE HYDRAULIQUE MI-FLUIDE ISO 68 LIVREE EN FUTSUIVANT FICHE TECHNIQUE OCP NB : PRODUIT DANGEREUX (FICHE DE DONNEE DE SECURITE EST EXIGE LORS DE LA LIVRAISON DU PRODUIT).</v>
          </cell>
          <cell r="D1784" t="str">
            <v>KG</v>
          </cell>
          <cell r="E1784" t="str">
            <v>522.52212</v>
          </cell>
          <cell r="F1784">
            <v>17.448</v>
          </cell>
          <cell r="G1784">
            <v>0</v>
          </cell>
          <cell r="H1784">
            <v>0</v>
          </cell>
          <cell r="I1784">
            <v>0</v>
          </cell>
          <cell r="J1784">
            <v>0</v>
          </cell>
          <cell r="K1784">
            <v>0</v>
          </cell>
          <cell r="L1784">
            <v>0</v>
          </cell>
        </row>
        <row r="1785">
          <cell r="A1785" t="str">
            <v>10019.04566</v>
          </cell>
          <cell r="B1785" t="str">
            <v>BAGUE ETANCHE 70X90X12</v>
          </cell>
          <cell r="C1785" t="str">
            <v>BAGUE D'ETANCHEITE LEVRE DE MANCHETTE A RESSORT DE SERRAGE PLUS LEVRES SUPPLEMENTAIRES TYPE INTERNE A ARMATURE TOLE SOUS CAOUTCHOUC SYNTHETIQUE NITRILE, RESISTANTA L'ACTION DES LUBRIFIANTS MINERAUX TYPE : NATIONAL 32 - STEFA CC - CEFILAC CP - CFW BASL DIMENSIONS : 70 X 90 X 12 MM</v>
          </cell>
          <cell r="D1785" t="str">
            <v>PE</v>
          </cell>
          <cell r="E1785" t="str">
            <v>522.52207</v>
          </cell>
          <cell r="F1785">
            <v>9.1080000000000005</v>
          </cell>
          <cell r="G1785">
            <v>0</v>
          </cell>
          <cell r="H1785">
            <v>0</v>
          </cell>
          <cell r="I1785">
            <v>0</v>
          </cell>
          <cell r="J1785">
            <v>0</v>
          </cell>
          <cell r="K1785">
            <v>9</v>
          </cell>
          <cell r="L1785">
            <v>0</v>
          </cell>
        </row>
        <row r="1786">
          <cell r="A1786" t="str">
            <v>10019.00813</v>
          </cell>
          <cell r="B1786" t="str">
            <v>BANDE D'ETANCHEITE EN FIBRE DE VERRE 500X3</v>
          </cell>
          <cell r="C1786" t="str">
            <v>BANDE D'ETANCHEITE EN FIBRE DE VERRELARGEUR 500MM EPAISSEUR 3MM</v>
          </cell>
          <cell r="D1786" t="str">
            <v>M</v>
          </cell>
          <cell r="E1786" t="str">
            <v>522.52207</v>
          </cell>
          <cell r="F1786">
            <v>320</v>
          </cell>
          <cell r="G1786">
            <v>0</v>
          </cell>
          <cell r="H1786">
            <v>0</v>
          </cell>
          <cell r="I1786">
            <v>0</v>
          </cell>
          <cell r="J1786">
            <v>0</v>
          </cell>
          <cell r="K1786">
            <v>0</v>
          </cell>
          <cell r="L1786">
            <v>0</v>
          </cell>
        </row>
        <row r="1787">
          <cell r="A1787" t="str">
            <v>10003.04454</v>
          </cell>
          <cell r="B1787" t="str">
            <v>TOLE ACIER INOX</v>
          </cell>
          <cell r="C1787" t="str">
            <v xml:space="preserve">TOLE EN ACIER INOXYDABLE NUANCE AFNOR : Z1 NCDU 25-20              AISI      : 904 L GENRE : "CREUSOT-LOIRE URANUS B6" OU "UGINE NS B6" COMPOSITION -CHIMIQUE MOYENNE (%) : C &lt; 0,02 - Cr : 20 - Ni : 25 -  Mo : 4,3 - Cu : 1,5 LONGUEUR = 3 METRES LARGEUR = 1,5 METRE EPAISSEUR = 10 MM </v>
          </cell>
          <cell r="D1787" t="str">
            <v>PE</v>
          </cell>
          <cell r="E1787" t="str">
            <v>522.52213</v>
          </cell>
          <cell r="F1787">
            <v>35742.857100000001</v>
          </cell>
          <cell r="G1787">
            <v>0</v>
          </cell>
          <cell r="H1787">
            <v>7</v>
          </cell>
          <cell r="I1787">
            <v>1</v>
          </cell>
          <cell r="J1787">
            <v>3</v>
          </cell>
          <cell r="K1787">
            <v>2</v>
          </cell>
          <cell r="L1787">
            <v>0</v>
          </cell>
        </row>
        <row r="1788">
          <cell r="A1788" t="str">
            <v>10001.00420</v>
          </cell>
          <cell r="B1788" t="str">
            <v>GRAISSE P/ENGRAGES NUS</v>
          </cell>
          <cell r="C1788" t="str">
            <v>GRAISSES POUR ENGRANAGES NUS, COURONNES DENTEES, GLISSIERE COURONNES DES SECHEURS, CABLES, CARDANS DE TRANSMISSIONGENRE : - MOBILTAC 375 NC               - SHELL MALLEUS GL 500               - KLUBER GRAFLOSCON C-SG 2000 ULTRA               - PETRON OPEN GEAR LUB 595 NC              - CANDAT PULGIR              - BEL RAY MOLYLUBE SF 100 NB : PRODUIT DANGEREUX (FICHE DE DONNEE DE SECURITE EST EXIGE LORS DE LA LIVRAISON DU PRODUIT).</v>
          </cell>
          <cell r="D1788" t="str">
            <v>KG</v>
          </cell>
          <cell r="E1788" t="str">
            <v>522.52212</v>
          </cell>
          <cell r="F1788">
            <v>46.2239</v>
          </cell>
          <cell r="G1788">
            <v>0</v>
          </cell>
          <cell r="H1788">
            <v>0</v>
          </cell>
          <cell r="I1788">
            <v>0</v>
          </cell>
          <cell r="J1788">
            <v>0</v>
          </cell>
          <cell r="K1788">
            <v>400</v>
          </cell>
          <cell r="L1788">
            <v>0</v>
          </cell>
        </row>
        <row r="1789">
          <cell r="A1789" t="str">
            <v>10003.04485</v>
          </cell>
          <cell r="B1789" t="str">
            <v>TOLE ACIER INOX</v>
          </cell>
          <cell r="C1789" t="str">
            <v xml:space="preserve">TOLE EN ACIER INOXYDABLE NUANCE AFNOR : Z1 NCDU 25-20              AISI      : 904 L GENRE : "CREUSOT-LOIRE URANUS B6" OU "UGINE NS B6" COMPOSITION -CHIMIQUE MOYENNE (%) : C &lt; 0,02 - Cr : 20 - Ni : 25 -  Mo : 4,3 - Cu : 1,5 LONGUEUR = 2 METRES LARGEUR = 1 METRE EPAISSEUR = 20 MM </v>
          </cell>
          <cell r="D1789" t="str">
            <v>PE</v>
          </cell>
          <cell r="E1789" t="str">
            <v>522.52213</v>
          </cell>
          <cell r="F1789">
            <v>41408</v>
          </cell>
          <cell r="G1789">
            <v>0</v>
          </cell>
          <cell r="H1789">
            <v>0</v>
          </cell>
          <cell r="I1789">
            <v>0</v>
          </cell>
          <cell r="J1789">
            <v>0</v>
          </cell>
          <cell r="K1789">
            <v>1</v>
          </cell>
          <cell r="L1789">
            <v>0</v>
          </cell>
        </row>
        <row r="1790">
          <cell r="A1790" t="str">
            <v>10001.00432</v>
          </cell>
          <cell r="B1790" t="str">
            <v>GRAISSE UNIVERSEL ADHESIV</v>
          </cell>
          <cell r="C1790" t="str">
            <v>GRAISSES UNIVERSELLE ADHESIVE  TRES DOPEE NLGI 2  SUIVANT FICHE TECHNIQUE OCP N.B : PRODUIT DANGEREUX (FICHE DE DONNEES DE SECURITE EST EXIGEE LORS DE LA LIVRAISON DU  PRODUIT)</v>
          </cell>
          <cell r="D1790" t="str">
            <v>KG</v>
          </cell>
          <cell r="E1790" t="str">
            <v>522.52212</v>
          </cell>
          <cell r="F1790">
            <v>27.665500000000002</v>
          </cell>
          <cell r="G1790">
            <v>0</v>
          </cell>
          <cell r="H1790">
            <v>770</v>
          </cell>
          <cell r="I1790">
            <v>930</v>
          </cell>
          <cell r="J1790">
            <v>200</v>
          </cell>
          <cell r="K1790">
            <v>360</v>
          </cell>
          <cell r="L1790">
            <v>0</v>
          </cell>
        </row>
        <row r="1791">
          <cell r="A1791" t="str">
            <v>10001.00433</v>
          </cell>
          <cell r="B1791" t="str">
            <v>GRAISSE UNIVERSELL NLGI 3</v>
          </cell>
          <cell r="C1791" t="str">
            <v>GRAISSES UNIVERSELLE ADHESIVE TRES DOPEE NLGI 3 SUIVANT FICHE TECHNIQUE OCP NB : PRODUIT DANGEREUX (FICHE DE DONNEE DE SECURITE EST EXIGE LORS DE LA LIVRAISON DU PRODUIT).</v>
          </cell>
          <cell r="D1791" t="str">
            <v>KG</v>
          </cell>
          <cell r="E1791" t="str">
            <v>522.52212</v>
          </cell>
          <cell r="F1791">
            <v>21.3</v>
          </cell>
          <cell r="G1791">
            <v>0</v>
          </cell>
          <cell r="H1791">
            <v>160</v>
          </cell>
          <cell r="I1791">
            <v>940</v>
          </cell>
          <cell r="J1791">
            <v>40</v>
          </cell>
          <cell r="K1791">
            <v>1130</v>
          </cell>
          <cell r="L1791">
            <v>0</v>
          </cell>
        </row>
        <row r="1792">
          <cell r="A1792" t="str">
            <v>10001.00614</v>
          </cell>
          <cell r="B1792" t="str">
            <v>GRAISSE KLUBER FLUID CF-3 ULTRA</v>
          </cell>
          <cell r="C1792" t="str">
            <v>GRAISSE KLUBER FLUID CF-3 ULTRA</v>
          </cell>
          <cell r="D1792" t="str">
            <v>KG</v>
          </cell>
          <cell r="E1792" t="str">
            <v>522.52212</v>
          </cell>
          <cell r="F1792">
            <v>189</v>
          </cell>
          <cell r="G1792">
            <v>0</v>
          </cell>
          <cell r="H1792">
            <v>0</v>
          </cell>
          <cell r="I1792">
            <v>0</v>
          </cell>
          <cell r="J1792">
            <v>0</v>
          </cell>
          <cell r="K1792">
            <v>0</v>
          </cell>
          <cell r="L1792">
            <v>0</v>
          </cell>
        </row>
        <row r="1793">
          <cell r="A1793" t="str">
            <v>10019.02635</v>
          </cell>
          <cell r="B1793" t="str">
            <v>BAGUE ETANCHE 220X250X15*</v>
          </cell>
          <cell r="C1793" t="str">
            <v xml:space="preserve">BAGUE D'ETANCHEITE A LEVRE DE MANCHETTE A RESSORT DE SERRAGETYPE INTERNE A ARMATURE TOLE SOUS CAOUTCHOUC SYNTHETIQUE NITRILE,RESISTANT A L'ACTION DES LUBRIFIANTS MINERAUX TYPE : PAULSTRA-IE, NATIONAL-35, STEFA-CB , CEFILAC-C, CFW-BA DIMENSIONS : 220 X 250 X 15 MM </v>
          </cell>
          <cell r="D1793" t="str">
            <v>PE</v>
          </cell>
          <cell r="E1793" t="str">
            <v>522.52207</v>
          </cell>
          <cell r="F1793">
            <v>86.4</v>
          </cell>
          <cell r="G1793">
            <v>0</v>
          </cell>
          <cell r="H1793">
            <v>0</v>
          </cell>
          <cell r="I1793">
            <v>0</v>
          </cell>
          <cell r="J1793">
            <v>3</v>
          </cell>
          <cell r="K1793">
            <v>0</v>
          </cell>
          <cell r="L1793">
            <v>0</v>
          </cell>
        </row>
        <row r="1794">
          <cell r="A1794" t="str">
            <v>10001.00102</v>
          </cell>
          <cell r="B1794" t="str">
            <v>GAZ DIOXYDE DE SOUFRE SO2 2000PPM</v>
          </cell>
          <cell r="C1794" t="str">
            <v xml:space="preserve">GAZ DIOXYDE DE SOUFRE SO2 3,8 DIOXYDE DE SOUFRE - 5,0 AZOTE - 2000 PPM </v>
          </cell>
          <cell r="D1794" t="str">
            <v>M3</v>
          </cell>
          <cell r="E1794" t="str">
            <v>522.52210</v>
          </cell>
          <cell r="F1794">
            <v>31550</v>
          </cell>
          <cell r="G1794">
            <v>0</v>
          </cell>
          <cell r="H1794">
            <v>0</v>
          </cell>
          <cell r="I1794">
            <v>0</v>
          </cell>
          <cell r="J1794">
            <v>0</v>
          </cell>
          <cell r="K1794">
            <v>0</v>
          </cell>
          <cell r="L1794">
            <v>0</v>
          </cell>
        </row>
        <row r="1795">
          <cell r="A1795" t="str">
            <v>10019.10106</v>
          </cell>
          <cell r="B1795" t="str">
            <v>JOINT SPIRALE A BASE DE GRAPHITE</v>
          </cell>
          <cell r="C1795" t="str">
            <v>JOINT SPIRALE EN INOX + GRAPHITE DN1/2" CLASSE 600LBS EP4,5 AVEC ANNEAUX DE CENTRAGE INTERNE ET EXTERNE EN 316L</v>
          </cell>
          <cell r="D1795" t="str">
            <v>PE</v>
          </cell>
          <cell r="E1795" t="str">
            <v>522.52207</v>
          </cell>
          <cell r="F1795">
            <v>17.399999999999999</v>
          </cell>
          <cell r="G1795">
            <v>1</v>
          </cell>
          <cell r="H1795">
            <v>2</v>
          </cell>
          <cell r="I1795">
            <v>14</v>
          </cell>
          <cell r="J1795">
            <v>0</v>
          </cell>
          <cell r="K1795">
            <v>0</v>
          </cell>
          <cell r="L1795">
            <v>3</v>
          </cell>
        </row>
        <row r="1796">
          <cell r="A1796" t="str">
            <v>10001.00100</v>
          </cell>
          <cell r="B1796" t="str">
            <v>GAZ SO2 600PPM</v>
          </cell>
          <cell r="C1796" t="str">
            <v xml:space="preserve">GAZ DIOXYDE DE SOUFRE SO2 3,8 DIOXYDE DE SOUFRE - 5,0 AZOTE - 600 PPM </v>
          </cell>
          <cell r="D1796" t="str">
            <v>M3</v>
          </cell>
          <cell r="E1796" t="str">
            <v>522.52210</v>
          </cell>
          <cell r="F1796">
            <v>2550</v>
          </cell>
          <cell r="G1796">
            <v>0</v>
          </cell>
          <cell r="H1796">
            <v>0</v>
          </cell>
          <cell r="I1796">
            <v>0</v>
          </cell>
          <cell r="J1796">
            <v>0</v>
          </cell>
          <cell r="K1796">
            <v>0</v>
          </cell>
          <cell r="L1796">
            <v>0</v>
          </cell>
        </row>
        <row r="1797">
          <cell r="A1797" t="str">
            <v>10000.02001</v>
          </cell>
          <cell r="B1797" t="str">
            <v>GASOIL 50</v>
          </cell>
          <cell r="C1797" t="str">
            <v>GASOIL 50PRODUIT DANGEREUX(FICHE DE DONNEES DE SECURITE EST EXIGE LORS DE LA LIVRAISON DU PRODUIT)</v>
          </cell>
          <cell r="D1797" t="str">
            <v>L</v>
          </cell>
          <cell r="E1797" t="str">
            <v>211.21101</v>
          </cell>
          <cell r="F1797">
            <v>7.92</v>
          </cell>
          <cell r="G1797">
            <v>0</v>
          </cell>
          <cell r="H1797">
            <v>0</v>
          </cell>
          <cell r="I1797">
            <v>0</v>
          </cell>
          <cell r="J1797">
            <v>0</v>
          </cell>
          <cell r="K1797">
            <v>8</v>
          </cell>
          <cell r="L1797">
            <v>0</v>
          </cell>
        </row>
        <row r="1798">
          <cell r="A1798" t="str">
            <v>10000.02001</v>
          </cell>
          <cell r="B1798" t="str">
            <v>GASOIL 50</v>
          </cell>
          <cell r="C1798" t="str">
            <v>GASOIL 50PRODUIT DANGEREUX(FICHE DE DONNEES DE SECURITE EST EXIGE LORS DE LA LIVRAISON DU PRODUIT)</v>
          </cell>
          <cell r="D1798" t="str">
            <v>L</v>
          </cell>
          <cell r="E1798" t="str">
            <v>211.21101</v>
          </cell>
          <cell r="F1798">
            <v>7.92</v>
          </cell>
          <cell r="G1798">
            <v>0</v>
          </cell>
          <cell r="H1798">
            <v>150000</v>
          </cell>
          <cell r="I1798">
            <v>183000</v>
          </cell>
          <cell r="J1798">
            <v>0</v>
          </cell>
          <cell r="K1798">
            <v>120000</v>
          </cell>
          <cell r="L1798">
            <v>0</v>
          </cell>
        </row>
        <row r="1799">
          <cell r="A1799" t="str">
            <v>10001.00290</v>
          </cell>
          <cell r="B1799" t="str">
            <v>GAZ BUTANE CHARGE</v>
          </cell>
          <cell r="C1799" t="str">
            <v>GAZ BUTANE (CHARGE DE 13 KGS ENVIRON)  N.B : PRODUIT DANGEREUX (FICHE DE DONNEES DE SECURITE EST EXIGEE LORS DE LA LIVRAISON DU  PRODUIT)</v>
          </cell>
          <cell r="D1799" t="str">
            <v>PE</v>
          </cell>
          <cell r="E1799" t="str">
            <v>522.52210</v>
          </cell>
          <cell r="F1799">
            <v>41.344799999999999</v>
          </cell>
          <cell r="G1799">
            <v>0</v>
          </cell>
          <cell r="H1799">
            <v>0</v>
          </cell>
          <cell r="I1799">
            <v>0</v>
          </cell>
          <cell r="J1799">
            <v>0</v>
          </cell>
          <cell r="K1799">
            <v>0</v>
          </cell>
          <cell r="L1799">
            <v>0</v>
          </cell>
        </row>
        <row r="1800">
          <cell r="A1800" t="str">
            <v>10001.00101</v>
          </cell>
          <cell r="B1800" t="str">
            <v>GAZ SO2 1000PPM</v>
          </cell>
          <cell r="C1800" t="str">
            <v xml:space="preserve">GAZ DIOXYDE DE SOUFRE SO2 3,8 DIOXYDE DE SOUFRE - 5,0 AZOTE - 1000 PPM </v>
          </cell>
          <cell r="D1800" t="str">
            <v>M3</v>
          </cell>
          <cell r="E1800" t="str">
            <v>522.52210</v>
          </cell>
          <cell r="F1800">
            <v>30350</v>
          </cell>
          <cell r="G1800">
            <v>0</v>
          </cell>
          <cell r="H1800">
            <v>0</v>
          </cell>
          <cell r="I1800">
            <v>0</v>
          </cell>
          <cell r="J1800">
            <v>0</v>
          </cell>
          <cell r="K1800">
            <v>0</v>
          </cell>
          <cell r="L1800">
            <v>0</v>
          </cell>
        </row>
        <row r="1801">
          <cell r="A1801" t="str">
            <v>10023.05176</v>
          </cell>
          <cell r="B1801" t="str">
            <v>ELECTRODE:6 MM</v>
          </cell>
          <cell r="C1801" t="str">
            <v xml:space="preserve">SOUDURE BAGUETTE ARC-AIR  DESTINATION POUR DECOUPAGE - GOUGEAGE - CHANFREINAGE , UTILISEES AVEC AIR COMPRIME DIAMETRE 6 MM COURANT ALTERNATIF OU CONTINU ENROBAGE CUIVRE </v>
          </cell>
          <cell r="D1801" t="str">
            <v>KG</v>
          </cell>
          <cell r="E1801" t="str">
            <v>522.52208</v>
          </cell>
          <cell r="F1801">
            <v>125.9983</v>
          </cell>
          <cell r="G1801">
            <v>1</v>
          </cell>
          <cell r="H1801">
            <v>0</v>
          </cell>
          <cell r="I1801">
            <v>29.73</v>
          </cell>
          <cell r="J1801">
            <v>0</v>
          </cell>
          <cell r="K1801">
            <v>4</v>
          </cell>
          <cell r="L1801">
            <v>71.94</v>
          </cell>
        </row>
        <row r="1802">
          <cell r="A1802" t="str">
            <v>10023.05178</v>
          </cell>
          <cell r="B1802" t="str">
            <v>ELECTRODE:8 MM</v>
          </cell>
          <cell r="C1802" t="str">
            <v xml:space="preserve">SOUDURE  DESIGNATION BAGUETTES ARC- AIR DESTINATION POUR DECOUPAGE , GOUGEAGE ET CHANFREINAGE UTILISEES , AVEC AIR COMPRIME , NATURE D'ENROBAGE : CUIVRE DIAMETRE 8 MM COURANT ALTERNATIF OU CONTINU </v>
          </cell>
          <cell r="D1802" t="str">
            <v>KG</v>
          </cell>
          <cell r="E1802" t="str">
            <v>522.52208</v>
          </cell>
          <cell r="F1802">
            <v>108.2531</v>
          </cell>
          <cell r="G1802">
            <v>1</v>
          </cell>
          <cell r="H1802">
            <v>0</v>
          </cell>
          <cell r="I1802">
            <v>0</v>
          </cell>
          <cell r="J1802">
            <v>0</v>
          </cell>
          <cell r="K1802">
            <v>0</v>
          </cell>
          <cell r="L1802">
            <v>89.84</v>
          </cell>
        </row>
        <row r="1803">
          <cell r="A1803" t="str">
            <v>10019.10127</v>
          </cell>
          <cell r="B1803" t="str">
            <v>JOINT SPIRALE A BASE DE GRAPHITE</v>
          </cell>
          <cell r="C1803" t="str">
            <v>JOINT SPIRALE EN INOX + GRAPHITE DN18" CLASSE 600LBS EP4,5 AVEC ANNEAUX DE CENTRAGE INTERNE ET EXTERNE EN 316L</v>
          </cell>
          <cell r="D1803" t="str">
            <v>PE</v>
          </cell>
          <cell r="E1803" t="str">
            <v>522.52207</v>
          </cell>
          <cell r="F1803">
            <v>337.2577</v>
          </cell>
          <cell r="G1803">
            <v>4</v>
          </cell>
          <cell r="H1803">
            <v>0</v>
          </cell>
          <cell r="I1803">
            <v>0</v>
          </cell>
          <cell r="J1803">
            <v>1</v>
          </cell>
          <cell r="K1803">
            <v>0</v>
          </cell>
          <cell r="L1803">
            <v>23</v>
          </cell>
        </row>
        <row r="1804">
          <cell r="A1804" t="str">
            <v>10019.02551</v>
          </cell>
          <cell r="B1804" t="str">
            <v>BAGUE ETANCHE 115X140X13*</v>
          </cell>
          <cell r="C1804" t="str">
            <v xml:space="preserve">BAGUE D'ETANCHEITE A LEVRE DE MANCHETTE A RESSORT DE SERRAGETYPE INTERNE A ARMATURE TOLE SOUS CAOUTCHOUC SYNTHETIQUE NITRILE,RESISTANT A L'ACTION DES LUBRIFIANTS MINERAUX TYPE : PAULSTRA-IE, NATIONAL-35, STEFA-CB , CEFILAC-C, CFW-BA DIMENSIONS : 115 X 140 X 13 MM </v>
          </cell>
          <cell r="D1804" t="str">
            <v>PE</v>
          </cell>
          <cell r="E1804" t="str">
            <v>522.52207</v>
          </cell>
          <cell r="F1804">
            <v>20.352</v>
          </cell>
          <cell r="G1804">
            <v>0</v>
          </cell>
          <cell r="H1804">
            <v>0</v>
          </cell>
          <cell r="I1804">
            <v>0</v>
          </cell>
          <cell r="J1804">
            <v>0</v>
          </cell>
          <cell r="K1804">
            <v>8</v>
          </cell>
          <cell r="L1804">
            <v>0</v>
          </cell>
        </row>
        <row r="1805">
          <cell r="A1805" t="str">
            <v>10019.02640</v>
          </cell>
          <cell r="B1805" t="str">
            <v>BAGUE ETANCHE 230X260X15*</v>
          </cell>
          <cell r="C1805" t="str">
            <v xml:space="preserve">BAGUE D'ETANCHEITE A LEVRE DE MANCHETTE A RESSORT DE SERRAGETYPE INTERNE A ARMATURE TOLE SOUS CAOUTCHOUC SYNTHETIQUE NITRILE,RESISTANT A L'ACTION DES LUBRIFIANTS MINERAUX TYPE : PAULSTRA-IE, NATIONAL-35, STEFA-CB , CEFILAC-C, CFW-BA DIMENSIONS : 230 X 260 X 15 MM </v>
          </cell>
          <cell r="D1805" t="str">
            <v>PE</v>
          </cell>
          <cell r="E1805" t="str">
            <v>522.52207</v>
          </cell>
          <cell r="F1805">
            <v>95.195999999999998</v>
          </cell>
          <cell r="G1805">
            <v>0</v>
          </cell>
          <cell r="H1805">
            <v>0</v>
          </cell>
          <cell r="I1805">
            <v>0</v>
          </cell>
          <cell r="J1805">
            <v>0</v>
          </cell>
          <cell r="K1805">
            <v>0</v>
          </cell>
          <cell r="L1805">
            <v>6</v>
          </cell>
        </row>
        <row r="1806">
          <cell r="A1806" t="str">
            <v>10019.02645</v>
          </cell>
          <cell r="B1806" t="str">
            <v>BAGUE ETANCHE 240X270X15*</v>
          </cell>
          <cell r="C1806" t="str">
            <v xml:space="preserve">BAGUE D'ETANCHEITE A LEVRE DE MANCHETTE A RESSORT DE SERRAGETYPE INTERNE A ARMATURE TOLE SOUS CAOUTCHOUC SYNTHETIQUE NITRILE,RESISTANT A L'ACTION DES LUBRIFIANTS MINERAUX TYPE : PAULSTRA-IE, NATIONAL-35, STEFA-CB , CEFILAC-C, CFW-BA DIMENSIONS : 240 X 270 X 15 MM </v>
          </cell>
          <cell r="D1806" t="str">
            <v>PE</v>
          </cell>
          <cell r="E1806" t="str">
            <v>522.52207</v>
          </cell>
          <cell r="F1806">
            <v>103.68</v>
          </cell>
          <cell r="G1806">
            <v>0</v>
          </cell>
          <cell r="H1806">
            <v>0</v>
          </cell>
          <cell r="I1806">
            <v>0</v>
          </cell>
          <cell r="J1806">
            <v>0</v>
          </cell>
          <cell r="K1806">
            <v>0</v>
          </cell>
          <cell r="L1806">
            <v>1</v>
          </cell>
        </row>
        <row r="1807">
          <cell r="A1807" t="str">
            <v>10019.10128</v>
          </cell>
          <cell r="B1807" t="str">
            <v>JOINT SPIRALE A BASE DE GRAPHITE</v>
          </cell>
          <cell r="C1807" t="str">
            <v>JOINT SPIRALE EN INOX + GRAPHITE DN18" CLASSE 900LBS EP4,5 AVEC ANNEAUX DE CENTRAGE INTERNE ET EXTERNE EN 316L</v>
          </cell>
          <cell r="D1807" t="str">
            <v>PE</v>
          </cell>
          <cell r="E1807" t="str">
            <v>522.52207</v>
          </cell>
          <cell r="F1807">
            <v>391.9975</v>
          </cell>
          <cell r="G1807">
            <v>2</v>
          </cell>
          <cell r="H1807">
            <v>0</v>
          </cell>
          <cell r="I1807">
            <v>0</v>
          </cell>
          <cell r="J1807">
            <v>0</v>
          </cell>
          <cell r="K1807">
            <v>0</v>
          </cell>
          <cell r="L1807">
            <v>16</v>
          </cell>
        </row>
        <row r="1808">
          <cell r="A1808" t="str">
            <v>10000.03319</v>
          </cell>
          <cell r="B1808" t="str">
            <v>RESINE INERTE</v>
          </cell>
          <cell r="C1808" t="str">
            <v>MATIERES AUXILIAIRES RESINE INERTE POUR TRAITEMENT DES EAUX GENRE LEWATIT IN 42 OU DUOLITE S4LF OU PRODUIT SIMILAIRE CONDITIONNEMENT : EN FUTS DE 200LITRES REPONDANT AUX NORMES D'EMBALLAGES MARITIME UTILISES POUR L'EXPORTATION N.B : GARANTIE EXIGEE A L'UTILISATION</v>
          </cell>
          <cell r="D1808" t="str">
            <v>L</v>
          </cell>
          <cell r="E1808" t="str">
            <v>111.11101</v>
          </cell>
          <cell r="F1808">
            <v>33.368299999999998</v>
          </cell>
          <cell r="G1808">
            <v>0</v>
          </cell>
          <cell r="H1808">
            <v>2950</v>
          </cell>
          <cell r="I1808">
            <v>0</v>
          </cell>
          <cell r="J1808">
            <v>0</v>
          </cell>
          <cell r="K1808">
            <v>0</v>
          </cell>
          <cell r="L1808">
            <v>0</v>
          </cell>
        </row>
        <row r="1809">
          <cell r="A1809" t="str">
            <v>10003.04671</v>
          </cell>
          <cell r="B1809" t="str">
            <v>TOLE ACIER INOX</v>
          </cell>
          <cell r="C1809" t="str">
            <v xml:space="preserve">TOLE EN ACIER INOXYDABLE NUANCE AFNOR : Z2 CND 17-13                DIN     : X2 Cr Ni Mo 18-12GENRE : "CREUSOT-LOIRE ICL 166 BC "OU" UGINE NSM 22S COMPOSITION -CHIMIQUE MOYENNE (%) : C &lt; 0,03 - Cr : 16-18 - Ni : 11,5-13,5 -  Mo : 2,5-3 - Mn : 2 - Si : 1 LONGUEUR = 3 METRES LARGEUR   = 1,5 METRE EPAISSEUR = 5 MM </v>
          </cell>
          <cell r="D1809" t="str">
            <v>PE</v>
          </cell>
          <cell r="E1809" t="str">
            <v>522.52213</v>
          </cell>
          <cell r="F1809">
            <v>6480</v>
          </cell>
          <cell r="G1809">
            <v>0</v>
          </cell>
          <cell r="H1809">
            <v>0</v>
          </cell>
          <cell r="I1809">
            <v>0</v>
          </cell>
          <cell r="J1809">
            <v>0</v>
          </cell>
          <cell r="K1809">
            <v>0</v>
          </cell>
          <cell r="L1809">
            <v>0</v>
          </cell>
        </row>
        <row r="1810">
          <cell r="A1810" t="str">
            <v>10003.04673</v>
          </cell>
          <cell r="B1810" t="str">
            <v>TOLE ACIER INOX</v>
          </cell>
          <cell r="C1810" t="str">
            <v xml:space="preserve">TOLE EN ACIER INOXYDABLE NUANCE AFNOR : Z2 CND 17-13                DIN     : X2 Cr Ni Mo 18-12GENRE : "CREUSOT-LOIRE ICL 166 BC "OU" UGINE NSM 22S COMPOSITION -CHIMIQUE MOYENNE (%) : C &lt; 0,03 - Cr : 16-18 - Ni : 11,5-13,5 -  Mo : 2,5-3 - Mn : 2 - Si : 1 LONGUEUR = 3 METRES LARGEUR   = 1,5 METRE EPAISSEUR = 6 MM </v>
          </cell>
          <cell r="D1810" t="str">
            <v>PE</v>
          </cell>
          <cell r="E1810" t="str">
            <v>522.52213</v>
          </cell>
          <cell r="F1810">
            <v>7835</v>
          </cell>
          <cell r="G1810">
            <v>0</v>
          </cell>
          <cell r="H1810">
            <v>6</v>
          </cell>
          <cell r="I1810">
            <v>2</v>
          </cell>
          <cell r="J1810">
            <v>0</v>
          </cell>
          <cell r="K1810">
            <v>0</v>
          </cell>
          <cell r="L1810">
            <v>0</v>
          </cell>
        </row>
        <row r="1811">
          <cell r="A1811" t="str">
            <v>10003.04669</v>
          </cell>
          <cell r="B1811" t="str">
            <v>TOLE ACIER INOX</v>
          </cell>
          <cell r="C1811" t="str">
            <v xml:space="preserve">TOLE EN ACIER INOXYDABLE NUANCE AFNOR : Z2 CND 17-13                DIN     : X2 Cr Ni Mo 18-12GENRE : "CREUSOT-LOIRE ICL 166 BC "OU" UGINE NSM 22S COMPOSITION -CHIMIQUE MOYENNE (%) : C &lt; 0,03 - Cr : 16-18 - Ni : 11,5-13,5 -  Mo : 2,5-3 - Mn : 2 - Si : 1 LONGUEUR = 3 METRES LARGEUR   = 1,5 METRE EPAISSEUR = 4 MM </v>
          </cell>
          <cell r="D1811" t="str">
            <v>PE</v>
          </cell>
          <cell r="E1811" t="str">
            <v>522.52213</v>
          </cell>
          <cell r="F1811">
            <v>5594.6666999999998</v>
          </cell>
          <cell r="G1811">
            <v>0</v>
          </cell>
          <cell r="H1811">
            <v>2</v>
          </cell>
          <cell r="I1811">
            <v>0</v>
          </cell>
          <cell r="J1811">
            <v>1</v>
          </cell>
          <cell r="K1811">
            <v>0</v>
          </cell>
          <cell r="L1811">
            <v>0</v>
          </cell>
        </row>
        <row r="1812">
          <cell r="A1812" t="str">
            <v>10000.02005</v>
          </cell>
          <cell r="B1812" t="str">
            <v>GASOIL 350</v>
          </cell>
          <cell r="C1812" t="str">
            <v xml:space="preserve">CARBURANTGASOIL 350 </v>
          </cell>
          <cell r="D1812" t="str">
            <v>L</v>
          </cell>
          <cell r="E1812" t="str">
            <v>211.21101</v>
          </cell>
          <cell r="F1812">
            <v>8.9140999999999995</v>
          </cell>
          <cell r="G1812">
            <v>0</v>
          </cell>
          <cell r="H1812">
            <v>0</v>
          </cell>
          <cell r="I1812">
            <v>0</v>
          </cell>
          <cell r="J1812">
            <v>0</v>
          </cell>
          <cell r="K1812">
            <v>0</v>
          </cell>
          <cell r="L1812">
            <v>0</v>
          </cell>
        </row>
        <row r="1813">
          <cell r="A1813" t="str">
            <v>10019.09486</v>
          </cell>
          <cell r="B1813" t="str">
            <v>JOINT SPIRALE GRAPHITE</v>
          </cell>
          <cell r="C1813" t="str">
            <v xml:space="preserve">JOINT SPIRALE GRAPHITE CLASSE 600 LBS NORME ASME 16-20 MATIERE 304SS EPAISSEUR 4,4MMDN 100 MM </v>
          </cell>
          <cell r="D1813" t="str">
            <v>PE</v>
          </cell>
          <cell r="E1813" t="str">
            <v>522.52207</v>
          </cell>
          <cell r="F1813">
            <v>98.154499999999999</v>
          </cell>
          <cell r="G1813">
            <v>13</v>
          </cell>
          <cell r="H1813">
            <v>0</v>
          </cell>
          <cell r="I1813">
            <v>2</v>
          </cell>
          <cell r="J1813">
            <v>2</v>
          </cell>
          <cell r="K1813">
            <v>0</v>
          </cell>
          <cell r="L1813">
            <v>11</v>
          </cell>
        </row>
        <row r="1814">
          <cell r="A1814" t="str">
            <v>10000.01000</v>
          </cell>
          <cell r="B1814" t="str">
            <v>ESSENCE</v>
          </cell>
          <cell r="C1814" t="str">
            <v>CARBURANT ESSENCE LEGERE  N.B : PRODUIT DANGEREUX (FICHE DE DONNEES DE SECURITE EST EXIGEE LORS DE LA LIVRAISON DU  PRODUIT)</v>
          </cell>
          <cell r="D1814" t="str">
            <v>L</v>
          </cell>
          <cell r="E1814" t="str">
            <v>211.21101</v>
          </cell>
          <cell r="F1814">
            <v>11.0077</v>
          </cell>
          <cell r="G1814">
            <v>0</v>
          </cell>
          <cell r="H1814">
            <v>0</v>
          </cell>
          <cell r="I1814">
            <v>0</v>
          </cell>
          <cell r="J1814">
            <v>0</v>
          </cell>
          <cell r="K1814">
            <v>0</v>
          </cell>
          <cell r="L1814">
            <v>0</v>
          </cell>
        </row>
        <row r="1815">
          <cell r="A1815" t="str">
            <v>10016.00059</v>
          </cell>
          <cell r="B1815" t="str">
            <v>ACCOUPLEMENT</v>
          </cell>
          <cell r="C1815" t="str">
            <v>ACCOUPLEMENT REX OMEGA TYPE ES TAILLE 4-R LONGUEUR 184</v>
          </cell>
          <cell r="D1815" t="str">
            <v>PE</v>
          </cell>
          <cell r="E1815" t="str">
            <v>515.51515</v>
          </cell>
          <cell r="F1815">
            <v>1808.212</v>
          </cell>
          <cell r="G1815">
            <v>0</v>
          </cell>
          <cell r="H1815">
            <v>2</v>
          </cell>
          <cell r="I1815">
            <v>2</v>
          </cell>
          <cell r="J1815">
            <v>1</v>
          </cell>
          <cell r="K1815">
            <v>0</v>
          </cell>
          <cell r="L1815">
            <v>0</v>
          </cell>
        </row>
        <row r="1816">
          <cell r="A1816" t="str">
            <v>10000.01005</v>
          </cell>
          <cell r="B1816" t="str">
            <v>ESSENCE SUPER SANS PLOMB</v>
          </cell>
          <cell r="C1816" t="str">
            <v>CARBURANTESSENCE SUPER SANS PLOMB PRODUIT DANGEREUX(FICHE DE DONNEES DE SECURITE EST EXIGE LORS DE LA LIVRAISON DU PRODUIT)</v>
          </cell>
          <cell r="D1816" t="str">
            <v>L</v>
          </cell>
          <cell r="E1816" t="str">
            <v>211.21101</v>
          </cell>
          <cell r="F1816">
            <v>9.5015000000000001</v>
          </cell>
          <cell r="G1816">
            <v>0</v>
          </cell>
          <cell r="H1816">
            <v>0</v>
          </cell>
          <cell r="I1816">
            <v>0</v>
          </cell>
          <cell r="J1816">
            <v>0</v>
          </cell>
          <cell r="K1816">
            <v>10</v>
          </cell>
          <cell r="L1816">
            <v>0</v>
          </cell>
        </row>
        <row r="1817">
          <cell r="A1817" t="str">
            <v>10000.01005</v>
          </cell>
          <cell r="B1817" t="str">
            <v>ESSENCE SUPER SANS PLOMB</v>
          </cell>
          <cell r="C1817" t="str">
            <v>CARBURANTESSENCE SUPER SANS PLOMB PRODUIT DANGEREUX(FICHE DE DONNEES DE SECURITE EST EXIGE LORS DE LA LIVRAISON DU PRODUIT)</v>
          </cell>
          <cell r="D1817" t="str">
            <v>L</v>
          </cell>
          <cell r="E1817" t="str">
            <v>211.21101</v>
          </cell>
          <cell r="F1817">
            <v>9.5015000000000001</v>
          </cell>
          <cell r="G1817">
            <v>0</v>
          </cell>
          <cell r="H1817">
            <v>0</v>
          </cell>
          <cell r="I1817">
            <v>0</v>
          </cell>
          <cell r="J1817">
            <v>0</v>
          </cell>
          <cell r="K1817">
            <v>16</v>
          </cell>
          <cell r="L1817">
            <v>0</v>
          </cell>
        </row>
        <row r="1818">
          <cell r="A1818" t="str">
            <v>10000.02000</v>
          </cell>
          <cell r="B1818" t="str">
            <v>GASOIL</v>
          </cell>
          <cell r="C1818" t="str">
            <v>CARBURANT GASOIL  N.B : PRODUIT DANGEREUX (FICHE DE DONNEES DE SECURITE EST EXIGEE LORS DE LA LIVRAISON DU  PRODUIT)</v>
          </cell>
          <cell r="D1818" t="str">
            <v>L</v>
          </cell>
          <cell r="E1818" t="str">
            <v>211.21101</v>
          </cell>
          <cell r="F1818">
            <v>7.0050999999999997</v>
          </cell>
          <cell r="G1818">
            <v>0</v>
          </cell>
          <cell r="H1818">
            <v>0</v>
          </cell>
          <cell r="I1818">
            <v>0</v>
          </cell>
          <cell r="J1818">
            <v>0</v>
          </cell>
          <cell r="K1818">
            <v>0</v>
          </cell>
          <cell r="L1818">
            <v>0</v>
          </cell>
        </row>
        <row r="1819">
          <cell r="A1819" t="str">
            <v>10000.02000</v>
          </cell>
          <cell r="B1819" t="str">
            <v>GASOIL</v>
          </cell>
          <cell r="C1819" t="str">
            <v>CARBURANT GASOIL  N.B : PRODUIT DANGEREUX (FICHE DE DONNEES DE SECURITE EST EXIGEE LORS DE LA LIVRAISON DU  PRODUIT)</v>
          </cell>
          <cell r="D1819" t="str">
            <v>L</v>
          </cell>
          <cell r="E1819" t="str">
            <v>211.21101</v>
          </cell>
          <cell r="F1819">
            <v>7.0050999999999997</v>
          </cell>
          <cell r="G1819">
            <v>0</v>
          </cell>
          <cell r="H1819">
            <v>0</v>
          </cell>
          <cell r="I1819">
            <v>0</v>
          </cell>
          <cell r="J1819">
            <v>0</v>
          </cell>
          <cell r="K1819">
            <v>0</v>
          </cell>
          <cell r="L1819">
            <v>0</v>
          </cell>
        </row>
        <row r="1820">
          <cell r="A1820" t="str">
            <v>10016.00060</v>
          </cell>
          <cell r="B1820" t="str">
            <v>ACCOUPLEMENT</v>
          </cell>
          <cell r="C1820" t="str">
            <v>ACCOUPLEMENT REX OMEGA TYPE ES TAILLE 3-R LONGUEUR 184</v>
          </cell>
          <cell r="D1820" t="str">
            <v>PE</v>
          </cell>
          <cell r="E1820" t="str">
            <v>515.51515</v>
          </cell>
          <cell r="F1820">
            <v>1632.8230000000001</v>
          </cell>
          <cell r="G1820">
            <v>0</v>
          </cell>
          <cell r="H1820">
            <v>1</v>
          </cell>
          <cell r="I1820">
            <v>0</v>
          </cell>
          <cell r="J1820">
            <v>0</v>
          </cell>
          <cell r="K1820">
            <v>0</v>
          </cell>
          <cell r="L1820">
            <v>2</v>
          </cell>
        </row>
        <row r="1821">
          <cell r="A1821" t="str">
            <v>10000.03305</v>
          </cell>
          <cell r="B1821" t="str">
            <v>RESINE ANIONIQUE FORTE BA</v>
          </cell>
          <cell r="C1821" t="str">
            <v xml:space="preserve">MATIERES AUXILIAIRES POUR TRAITEMENT DES EAUX RESINE ANIONIQUE FORTEMENT BASIQUEGENRE : LEWATIT M500WS OU DUOLITE A113LF OU PRODUITS SIMILAIRE CONDITIONNEMENT EN FUT DE 200 LITRES REPONDANT AUX NORMES DES EMBALLAGES MARITIMES UTILISES POUR L'EXPORTATION N.B: GARANTIE EXIGEE A L'UTILISATION </v>
          </cell>
          <cell r="D1821" t="str">
            <v>L</v>
          </cell>
          <cell r="E1821" t="str">
            <v>111.11101</v>
          </cell>
          <cell r="F1821">
            <v>45.958599999999997</v>
          </cell>
          <cell r="G1821">
            <v>0</v>
          </cell>
          <cell r="H1821">
            <v>600</v>
          </cell>
          <cell r="I1821">
            <v>0</v>
          </cell>
          <cell r="J1821">
            <v>0</v>
          </cell>
          <cell r="K1821">
            <v>0</v>
          </cell>
          <cell r="L1821">
            <v>0</v>
          </cell>
        </row>
        <row r="1822">
          <cell r="A1822" t="str">
            <v>10019.09488</v>
          </cell>
          <cell r="B1822" t="str">
            <v>JOINT SPIRALE GRAPHITE</v>
          </cell>
          <cell r="C1822" t="str">
            <v xml:space="preserve">JOINT SPIRALE GRAPHITE CLASSE 600 LBS NORME ASME 16-20 MATIERE 304SS EPAISSEUR 4,4MMDN 150 MM </v>
          </cell>
          <cell r="D1822" t="str">
            <v>PE</v>
          </cell>
          <cell r="E1822" t="str">
            <v>522.52207</v>
          </cell>
          <cell r="F1822">
            <v>133.08000000000001</v>
          </cell>
          <cell r="G1822">
            <v>4</v>
          </cell>
          <cell r="H1822">
            <v>0</v>
          </cell>
          <cell r="I1822">
            <v>0</v>
          </cell>
          <cell r="J1822">
            <v>0</v>
          </cell>
          <cell r="K1822">
            <v>0</v>
          </cell>
          <cell r="L1822">
            <v>23</v>
          </cell>
        </row>
        <row r="1823">
          <cell r="A1823" t="str">
            <v>10016.00061</v>
          </cell>
          <cell r="B1823" t="str">
            <v>ACCOUPLEMENT</v>
          </cell>
          <cell r="C1823" t="str">
            <v>ACCOUPLEMENT REX OMEGA TYPE ES TAILLE 10-R LONGUEUR 184</v>
          </cell>
          <cell r="D1823" t="str">
            <v>PE</v>
          </cell>
          <cell r="E1823" t="str">
            <v>515.51515</v>
          </cell>
          <cell r="F1823">
            <v>3414.96</v>
          </cell>
          <cell r="G1823">
            <v>0</v>
          </cell>
          <cell r="H1823">
            <v>4</v>
          </cell>
          <cell r="I1823">
            <v>0</v>
          </cell>
          <cell r="J1823">
            <v>2</v>
          </cell>
          <cell r="K1823">
            <v>1</v>
          </cell>
          <cell r="L1823">
            <v>1</v>
          </cell>
        </row>
        <row r="1824">
          <cell r="A1824" t="str">
            <v>10016.00062</v>
          </cell>
          <cell r="B1824" t="str">
            <v>ACCOUPLEMENT</v>
          </cell>
          <cell r="C1824" t="str">
            <v>ACCOUPLEMENT REX OMEGA TYPE ES TAILLE 20 LONGUEUR 238</v>
          </cell>
          <cell r="D1824" t="str">
            <v>PE</v>
          </cell>
          <cell r="E1824" t="str">
            <v>515.51515</v>
          </cell>
          <cell r="F1824">
            <v>4195.6071000000002</v>
          </cell>
          <cell r="G1824">
            <v>0</v>
          </cell>
          <cell r="H1824">
            <v>0</v>
          </cell>
          <cell r="I1824">
            <v>0</v>
          </cell>
          <cell r="J1824">
            <v>0</v>
          </cell>
          <cell r="K1824">
            <v>0</v>
          </cell>
          <cell r="L1824">
            <v>2</v>
          </cell>
        </row>
        <row r="1825">
          <cell r="A1825" t="str">
            <v>10016.00063</v>
          </cell>
          <cell r="B1825" t="str">
            <v>ACCOUPLEMENT</v>
          </cell>
          <cell r="C1825" t="str">
            <v>ACCOUPLEMENT REX OMEGA TYPE ES TAILLE 40 LONGUEUR 238</v>
          </cell>
          <cell r="D1825" t="str">
            <v>PE</v>
          </cell>
          <cell r="E1825" t="str">
            <v>515.51515</v>
          </cell>
          <cell r="F1825">
            <v>6929.4</v>
          </cell>
          <cell r="G1825">
            <v>0</v>
          </cell>
          <cell r="H1825">
            <v>0</v>
          </cell>
          <cell r="I1825">
            <v>0</v>
          </cell>
          <cell r="J1825">
            <v>0</v>
          </cell>
          <cell r="K1825">
            <v>0</v>
          </cell>
          <cell r="L1825">
            <v>2</v>
          </cell>
        </row>
        <row r="1826">
          <cell r="A1826" t="str">
            <v>10016.00064</v>
          </cell>
          <cell r="B1826" t="str">
            <v>ACCOUPLEMENT</v>
          </cell>
          <cell r="C1826" t="str">
            <v>ACCOUPLEMENT REX OMEGA TYPE ES TAILLE 5 LONGUEUR 97</v>
          </cell>
          <cell r="D1826" t="str">
            <v>PE</v>
          </cell>
          <cell r="E1826" t="str">
            <v>515.51515</v>
          </cell>
          <cell r="F1826">
            <v>2250.5115000000001</v>
          </cell>
          <cell r="G1826">
            <v>0</v>
          </cell>
          <cell r="H1826">
            <v>2</v>
          </cell>
          <cell r="I1826">
            <v>0</v>
          </cell>
          <cell r="J1826">
            <v>0</v>
          </cell>
          <cell r="K1826">
            <v>0</v>
          </cell>
          <cell r="L1826">
            <v>0</v>
          </cell>
        </row>
        <row r="1827">
          <cell r="A1827" t="str">
            <v>10019.09484</v>
          </cell>
          <cell r="B1827" t="str">
            <v>JOINT SPIRALE GRAPHITE</v>
          </cell>
          <cell r="C1827" t="str">
            <v xml:space="preserve">JOINT SPIRALE GRAPHITE CLASSE 600 LBS NORME ASME 16-20 MATIERE 304SS EPAISSEUR 4,4MMDN 80 MM </v>
          </cell>
          <cell r="D1827" t="str">
            <v>PE</v>
          </cell>
          <cell r="E1827" t="str">
            <v>522.52207</v>
          </cell>
          <cell r="F1827">
            <v>59.230800000000002</v>
          </cell>
          <cell r="G1827">
            <v>6</v>
          </cell>
          <cell r="H1827">
            <v>0</v>
          </cell>
          <cell r="I1827">
            <v>0</v>
          </cell>
          <cell r="J1827">
            <v>1</v>
          </cell>
          <cell r="K1827">
            <v>0</v>
          </cell>
          <cell r="L1827">
            <v>25</v>
          </cell>
        </row>
        <row r="1828">
          <cell r="A1828" t="str">
            <v>10019.09750</v>
          </cell>
          <cell r="B1828" t="str">
            <v>JOINT NEOPRENE DN15</v>
          </cell>
          <cell r="C1828" t="str">
            <v xml:space="preserve">JOINT EN NEOPRENE "GARLOOK 7986 BLACK NOEOPRENE CLASSE 150LBS POUR EAU DE MERDIMENSIONS: DN: 15 D.EXT 89 EP.3 MM DIAMETRE SUR AXE DES TROUS : 60,3 MM DIAMETRE DES TROUS : 16 MM NOMBRE TROU : 4  </v>
          </cell>
          <cell r="D1828" t="str">
            <v>PE</v>
          </cell>
          <cell r="E1828" t="str">
            <v>522.52207</v>
          </cell>
          <cell r="F1828">
            <v>1.8</v>
          </cell>
          <cell r="G1828">
            <v>0</v>
          </cell>
          <cell r="H1828">
            <v>0</v>
          </cell>
          <cell r="I1828">
            <v>0</v>
          </cell>
          <cell r="J1828">
            <v>0</v>
          </cell>
          <cell r="K1828">
            <v>4</v>
          </cell>
          <cell r="L1828">
            <v>0</v>
          </cell>
        </row>
        <row r="1829">
          <cell r="A1829" t="str">
            <v>10004.09910</v>
          </cell>
          <cell r="B1829" t="str">
            <v>PLAQUE IMMATRICULATION</v>
          </cell>
          <cell r="C1829" t="str">
            <v>PLAQUE D IMMATRICULATION POUR MATERIEL IMMOBILISE ALUMINIUM EPAISSEUR = 1 MM SUIVANT PLAN OCP EC-NI-01 REPERE 2 FORME RECTANGULAIRE 70X25 MM</v>
          </cell>
          <cell r="D1829" t="str">
            <v>PE</v>
          </cell>
          <cell r="E1829" t="str">
            <v>522.52217</v>
          </cell>
          <cell r="F1829">
            <v>36</v>
          </cell>
          <cell r="G1829">
            <v>0</v>
          </cell>
          <cell r="H1829">
            <v>0</v>
          </cell>
          <cell r="I1829">
            <v>0</v>
          </cell>
          <cell r="J1829">
            <v>0</v>
          </cell>
          <cell r="K1829">
            <v>0</v>
          </cell>
          <cell r="L1829">
            <v>0</v>
          </cell>
        </row>
        <row r="1830">
          <cell r="A1830" t="str">
            <v>10003.05292</v>
          </cell>
          <cell r="B1830" t="str">
            <v>TOLE EN ACIER REFRACTAIRE</v>
          </cell>
          <cell r="C1830" t="str">
            <v xml:space="preserve">TOLE EN ACIER  REFRACTAIRE NUANCE : AISI - 310 SLONGUEUR = 3 METRES; LARGEUR = 1,5 METRE; EPAISSEUR = 20 MM </v>
          </cell>
          <cell r="D1830" t="str">
            <v>PE</v>
          </cell>
          <cell r="E1830" t="str">
            <v>522.52213</v>
          </cell>
          <cell r="F1830">
            <v>38318</v>
          </cell>
          <cell r="G1830">
            <v>0</v>
          </cell>
          <cell r="H1830">
            <v>1</v>
          </cell>
          <cell r="I1830">
            <v>0</v>
          </cell>
          <cell r="J1830">
            <v>0</v>
          </cell>
          <cell r="K1830">
            <v>1</v>
          </cell>
          <cell r="L1830">
            <v>0</v>
          </cell>
        </row>
        <row r="1831">
          <cell r="A1831" t="str">
            <v>10003.01868</v>
          </cell>
          <cell r="B1831" t="str">
            <v>TOLE LISSE NOIRE E 24</v>
          </cell>
          <cell r="C1831" t="str">
            <v xml:space="preserve">TOLE LISSE NOIRE - NUANCE : AFNOR E 24 LONGUEUR = 3 METRES - LARGEUR = 1,5 METRE EPAISSEUR = 30 MM </v>
          </cell>
          <cell r="D1831" t="str">
            <v>KG</v>
          </cell>
          <cell r="E1831" t="str">
            <v>522.52213</v>
          </cell>
          <cell r="F1831">
            <v>6.6</v>
          </cell>
          <cell r="G1831">
            <v>0</v>
          </cell>
          <cell r="H1831">
            <v>0</v>
          </cell>
          <cell r="I1831">
            <v>0</v>
          </cell>
          <cell r="J1831">
            <v>0</v>
          </cell>
          <cell r="K1831">
            <v>0</v>
          </cell>
          <cell r="L1831">
            <v>0</v>
          </cell>
        </row>
        <row r="1832">
          <cell r="A1832" t="str">
            <v>10019.09650</v>
          </cell>
          <cell r="B1832" t="str">
            <v>JOINT ANTI-ACIDE DN350</v>
          </cell>
          <cell r="C1832" t="str">
            <v>JOINT ANTI-ACIDE "GARLOOK GYLON FAWN"CLASSE 150LBS POUR ACIDE SULFURIQUE DN 350 D.EXT 448 EP. 3 MM,</v>
          </cell>
          <cell r="D1832" t="str">
            <v>PE</v>
          </cell>
          <cell r="E1832" t="str">
            <v>522.52207</v>
          </cell>
          <cell r="F1832">
            <v>2340</v>
          </cell>
          <cell r="G1832">
            <v>0</v>
          </cell>
          <cell r="H1832">
            <v>0</v>
          </cell>
          <cell r="I1832">
            <v>0</v>
          </cell>
          <cell r="J1832">
            <v>0</v>
          </cell>
          <cell r="K1832">
            <v>2</v>
          </cell>
          <cell r="L1832">
            <v>0</v>
          </cell>
        </row>
        <row r="1833">
          <cell r="A1833" t="str">
            <v>10003.01860</v>
          </cell>
          <cell r="B1833" t="str">
            <v>TOLE LISSE NOIRE E 24</v>
          </cell>
          <cell r="C1833" t="str">
            <v xml:space="preserve">TOLE LISSE NOIRE - NUANCE : AFNOR E 24 LONGUEUR = 3 METRES - LARGEUR = 1,5 METRE EPAISSEUR = 20 MM </v>
          </cell>
          <cell r="D1833" t="str">
            <v>KG</v>
          </cell>
          <cell r="E1833" t="str">
            <v>522.52213</v>
          </cell>
          <cell r="F1833">
            <v>6.6</v>
          </cell>
          <cell r="G1833">
            <v>0</v>
          </cell>
          <cell r="H1833">
            <v>0</v>
          </cell>
          <cell r="I1833">
            <v>0</v>
          </cell>
          <cell r="J1833">
            <v>0</v>
          </cell>
          <cell r="K1833">
            <v>0</v>
          </cell>
          <cell r="L1833">
            <v>1370</v>
          </cell>
        </row>
        <row r="1834">
          <cell r="A1834" t="str">
            <v>10003.01865</v>
          </cell>
          <cell r="B1834" t="str">
            <v>TOLE LISSE NOIRE E 24</v>
          </cell>
          <cell r="C1834" t="str">
            <v xml:space="preserve">TOLE LISSE NOIRE - NUANCE : AFNOR E 24 LONGUEUR = 3 METRES - LARGEUR = 1,5 METRE EPAISSEUR = 25 MM </v>
          </cell>
          <cell r="D1834" t="str">
            <v>KG</v>
          </cell>
          <cell r="E1834" t="str">
            <v>522.52213</v>
          </cell>
          <cell r="F1834">
            <v>6.6</v>
          </cell>
          <cell r="G1834">
            <v>0</v>
          </cell>
          <cell r="H1834">
            <v>0</v>
          </cell>
          <cell r="I1834">
            <v>0</v>
          </cell>
          <cell r="J1834">
            <v>0</v>
          </cell>
          <cell r="K1834">
            <v>0</v>
          </cell>
          <cell r="L1834">
            <v>886</v>
          </cell>
        </row>
        <row r="1835">
          <cell r="A1835" t="str">
            <v>10000.03330</v>
          </cell>
          <cell r="B1835" t="str">
            <v>ANTI-ALGUES - ANTI-MOULES</v>
          </cell>
          <cell r="C1835" t="str">
            <v>MATIERES AUXILIAIRES ANTI-ALGUES / ANTI-MOULES GENRE : BEZ (B5) OU DUOLITE INTERNATIONAL (FB15 OU Z87) OU NALCO (5 WC 475 NI) OU BIOSANT (9073/X) OU PRODUIT SIMILAIRE CONDITIONNEMENT: EN FUT PLASTIQUE DE 200KG REPONDANT AUX NORMES DE TRANSPORT MARITIME. N.B: GARANTIE EXIGEE A L'UTILISATION</v>
          </cell>
          <cell r="D1835" t="str">
            <v>KG</v>
          </cell>
          <cell r="E1835" t="str">
            <v>111.11101</v>
          </cell>
          <cell r="F1835">
            <v>22.377300000000002</v>
          </cell>
          <cell r="G1835">
            <v>0</v>
          </cell>
          <cell r="H1835">
            <v>0</v>
          </cell>
          <cell r="I1835">
            <v>0</v>
          </cell>
          <cell r="J1835">
            <v>0</v>
          </cell>
          <cell r="K1835">
            <v>34200</v>
          </cell>
          <cell r="L1835">
            <v>0</v>
          </cell>
        </row>
        <row r="1836">
          <cell r="A1836" t="str">
            <v>10019.05657</v>
          </cell>
          <cell r="B1836" t="str">
            <v>BAG.ETANCH.170X200X15</v>
          </cell>
          <cell r="C1836" t="str">
            <v xml:space="preserve">BAGUE D'ETANCHEITE TYPE INTERNE A DOUBLE LEVRES ARMATURE VITON SERTIE DANS UN BOITIER METALLIQUE TYPE : NATIONAL 32 - STEFA CC - CFW BASL - CEFILAC CP. DIMENSIONS : 170 X 200 X 15 MM </v>
          </cell>
          <cell r="D1836" t="str">
            <v>PE</v>
          </cell>
          <cell r="E1836" t="str">
            <v>522.52207</v>
          </cell>
          <cell r="F1836">
            <v>64.319999999999993</v>
          </cell>
          <cell r="G1836">
            <v>0</v>
          </cell>
          <cell r="H1836">
            <v>0</v>
          </cell>
          <cell r="I1836">
            <v>0</v>
          </cell>
          <cell r="J1836">
            <v>0</v>
          </cell>
          <cell r="K1836">
            <v>0</v>
          </cell>
          <cell r="L1836">
            <v>0</v>
          </cell>
        </row>
        <row r="1837">
          <cell r="A1837" t="str">
            <v>10014.01715</v>
          </cell>
          <cell r="B1837" t="str">
            <v>ROULEAU SUP NU DE 133X0950X25X0958X0982XE18</v>
          </cell>
          <cell r="C1837" t="str">
            <v>ROULEAU DE PARCOURS TYPE INFERIEUR NU DIMENSIONS: 133/0950/25/0958/0982/E18 POUR BANDE 800 MM SUIVANT FICHE TECHNIQUE CI JOINTE</v>
          </cell>
          <cell r="D1837" t="str">
            <v>PE</v>
          </cell>
          <cell r="E1837" t="str">
            <v>522.52204</v>
          </cell>
          <cell r="F1837">
            <v>422.52</v>
          </cell>
          <cell r="G1837">
            <v>0</v>
          </cell>
          <cell r="H1837">
            <v>29</v>
          </cell>
          <cell r="I1837">
            <v>0</v>
          </cell>
          <cell r="J1837">
            <v>0</v>
          </cell>
          <cell r="K1837">
            <v>0</v>
          </cell>
          <cell r="L1837">
            <v>0</v>
          </cell>
        </row>
        <row r="1838">
          <cell r="A1838" t="str">
            <v>10014.01716</v>
          </cell>
          <cell r="B1838" t="str">
            <v>ROULEAU CAOUTCHOUTE DE 159X0950X25X0958X0982XE18</v>
          </cell>
          <cell r="C1838" t="str">
            <v>ROULEAU DE PARCOURS CAOUTCHOUTE DIMENSIONS: 159/0950/25/0958/0982/E18 POUR BANDE 800 MM SUIVANT FICHE TECHNIQUE CI JOINTE</v>
          </cell>
          <cell r="D1838" t="str">
            <v>PE</v>
          </cell>
          <cell r="E1838" t="str">
            <v>522.52204</v>
          </cell>
          <cell r="F1838">
            <v>3179.4360000000001</v>
          </cell>
          <cell r="G1838">
            <v>0</v>
          </cell>
          <cell r="H1838">
            <v>0</v>
          </cell>
          <cell r="I1838">
            <v>0</v>
          </cell>
          <cell r="J1838">
            <v>0</v>
          </cell>
          <cell r="K1838">
            <v>0</v>
          </cell>
          <cell r="L1838">
            <v>5</v>
          </cell>
        </row>
        <row r="1839">
          <cell r="A1839" t="str">
            <v>10014.01717</v>
          </cell>
          <cell r="B1839" t="str">
            <v>ROULEAU ANTICOLMATANT DE 133X0950X25X0958X0982XE18</v>
          </cell>
          <cell r="C1839" t="str">
            <v>ROULEAU DE PARCOURS ANTICOLMATANT DIMENSIONS: 133/0950/25/0958/0982/E18 POUR BANDE 800 MM SUIVANT FICHE TECHNIQUE CI JOINTE</v>
          </cell>
          <cell r="D1839" t="str">
            <v>PE</v>
          </cell>
          <cell r="E1839" t="str">
            <v>522.52204</v>
          </cell>
          <cell r="F1839">
            <v>963.53970000000004</v>
          </cell>
          <cell r="G1839">
            <v>0</v>
          </cell>
          <cell r="H1839">
            <v>0</v>
          </cell>
          <cell r="I1839">
            <v>0</v>
          </cell>
          <cell r="J1839">
            <v>0</v>
          </cell>
          <cell r="K1839">
            <v>0</v>
          </cell>
          <cell r="L1839">
            <v>20</v>
          </cell>
        </row>
        <row r="1840">
          <cell r="A1840" t="str">
            <v>10014.01718</v>
          </cell>
          <cell r="B1840" t="str">
            <v>ROULEAU DECRASSEUR HELICOIDAL DE 193,7X1400X30X1408X1432XE22</v>
          </cell>
          <cell r="C1840" t="str">
            <v>ROULEAU DE PARCOURS DECRASSEUR HELICOIDAL DIMENSIONS: 193,7/1400/30/1408/1432/E22  SUIVANT FICHE TECHNIQUE CI JOINTE</v>
          </cell>
          <cell r="D1840" t="str">
            <v>PE</v>
          </cell>
          <cell r="E1840" t="str">
            <v>522.52204</v>
          </cell>
          <cell r="F1840">
            <v>1282.4513999999999</v>
          </cell>
          <cell r="G1840">
            <v>0</v>
          </cell>
          <cell r="H1840">
            <v>0</v>
          </cell>
          <cell r="I1840">
            <v>0</v>
          </cell>
          <cell r="J1840">
            <v>0</v>
          </cell>
          <cell r="K1840">
            <v>0</v>
          </cell>
          <cell r="L1840">
            <v>0</v>
          </cell>
        </row>
        <row r="1841">
          <cell r="A1841" t="str">
            <v>10014.01720</v>
          </cell>
          <cell r="B1841" t="str">
            <v>ROULEAU AMORTISSEUR DE 133X0465X25X0473X0497XE18</v>
          </cell>
          <cell r="C1841" t="str">
            <v>ROULEAU DE PARCOURS TYPE AMORTISSEUR DIMENSIONS: 133/0465/25/0473/0497/E18 POUR BANDE 800 MM SUIVANT FICHE TECHNIQUE CI JOINTE</v>
          </cell>
          <cell r="D1841" t="str">
            <v>PE</v>
          </cell>
          <cell r="E1841" t="str">
            <v>522.52204</v>
          </cell>
          <cell r="F1841">
            <v>396.07909999999998</v>
          </cell>
          <cell r="G1841">
            <v>0</v>
          </cell>
          <cell r="H1841">
            <v>0</v>
          </cell>
          <cell r="I1841">
            <v>0</v>
          </cell>
          <cell r="J1841">
            <v>0</v>
          </cell>
          <cell r="K1841">
            <v>0</v>
          </cell>
          <cell r="L1841">
            <v>0</v>
          </cell>
        </row>
        <row r="1842">
          <cell r="A1842" t="str">
            <v>10014.01721</v>
          </cell>
          <cell r="B1842" t="str">
            <v>ROULEAU ANTICOLMATANT DE 133X1400X25X1408X1432XE18</v>
          </cell>
          <cell r="C1842" t="str">
            <v>ROULEAU DE PARCOURS ANTICOLMATANT DIMENSIONS: 133/1400/25/1408/1432/E18 POUR BANDE 1200 MM SUIVANT FICHE TECHNIQUE CI JOINTE</v>
          </cell>
          <cell r="D1842" t="str">
            <v>PE</v>
          </cell>
          <cell r="E1842" t="str">
            <v>522.52204</v>
          </cell>
          <cell r="F1842">
            <v>1105.6575</v>
          </cell>
          <cell r="G1842">
            <v>0</v>
          </cell>
          <cell r="H1842">
            <v>0</v>
          </cell>
          <cell r="I1842">
            <v>0</v>
          </cell>
          <cell r="J1842">
            <v>0</v>
          </cell>
          <cell r="K1842">
            <v>0</v>
          </cell>
          <cell r="L1842">
            <v>6</v>
          </cell>
        </row>
        <row r="1843">
          <cell r="A1843" t="str">
            <v>10001.00376</v>
          </cell>
          <cell r="B1843" t="str">
            <v>HUILE CARTER EP EPAISSE ISO 460</v>
          </cell>
          <cell r="C1843" t="str">
            <v>HUILE EPAISSE EXTREME PRESSION ISO 460LIVREE EN FUTSUIVANT FICHE TECHNIQUE OCP NB : PRODUIT DANGEREUX (FICHE DE DONNEE DE SECURITE EST EXIGE LORS DE LA LIVRAISON DU PRODUIT).</v>
          </cell>
          <cell r="D1843" t="str">
            <v>KG</v>
          </cell>
          <cell r="E1843" t="str">
            <v>522.52212</v>
          </cell>
          <cell r="F1843">
            <v>16.319299999999998</v>
          </cell>
          <cell r="G1843">
            <v>0</v>
          </cell>
          <cell r="H1843">
            <v>0</v>
          </cell>
          <cell r="I1843">
            <v>185</v>
          </cell>
          <cell r="J1843">
            <v>0</v>
          </cell>
          <cell r="K1843">
            <v>370</v>
          </cell>
          <cell r="L1843">
            <v>585</v>
          </cell>
        </row>
        <row r="1844">
          <cell r="A1844" t="str">
            <v>10014.01714</v>
          </cell>
          <cell r="B1844" t="str">
            <v>ROULEAU SUP NU DE 133X315X20X323X0341XE14</v>
          </cell>
          <cell r="C1844" t="str">
            <v>ROULEAU DE PARCOURS TYPE SUPERIEUR NU DIMENSIONS: 133/315/20/323/0341/E14 POUR BANDE 800 MM SUIVANT FICHE TECHNIQUE CI JOINTE</v>
          </cell>
          <cell r="D1844" t="str">
            <v>PE</v>
          </cell>
          <cell r="E1844" t="str">
            <v>522.52204</v>
          </cell>
          <cell r="F1844">
            <v>183.792</v>
          </cell>
          <cell r="G1844">
            <v>0</v>
          </cell>
          <cell r="H1844">
            <v>0</v>
          </cell>
          <cell r="I1844">
            <v>0</v>
          </cell>
          <cell r="J1844">
            <v>0</v>
          </cell>
          <cell r="K1844">
            <v>30</v>
          </cell>
          <cell r="L1844">
            <v>16</v>
          </cell>
        </row>
        <row r="1845">
          <cell r="A1845" t="str">
            <v>10014.01724</v>
          </cell>
          <cell r="B1845" t="str">
            <v>ROULEAU CAOUTCHOUTE DE 159X1400X25X1408X1432XE18</v>
          </cell>
          <cell r="C1845" t="str">
            <v>ROULEAU DE PARCOURS CAOUTCHOUTE DIMENSIONS: 159/1400/25/1408/1432/E18 POUR BANDE 1200 MM SUIVANT FICHE TECHNIQUE CI JOINTE</v>
          </cell>
          <cell r="D1845" t="str">
            <v>PE</v>
          </cell>
          <cell r="E1845" t="str">
            <v>522.52204</v>
          </cell>
          <cell r="F1845">
            <v>4549.4880000000003</v>
          </cell>
          <cell r="G1845">
            <v>0</v>
          </cell>
          <cell r="H1845">
            <v>0</v>
          </cell>
          <cell r="I1845">
            <v>0</v>
          </cell>
          <cell r="J1845">
            <v>0</v>
          </cell>
          <cell r="K1845">
            <v>0</v>
          </cell>
          <cell r="L1845">
            <v>0</v>
          </cell>
        </row>
        <row r="1846">
          <cell r="A1846" t="str">
            <v>10001.00392</v>
          </cell>
          <cell r="B1846" t="str">
            <v>HUILE MIN INHIBEE TURBINE</v>
          </cell>
          <cell r="C1846" t="str">
            <v xml:space="preserve">HUILE POUR TURBINE ISO 46 SUIVANT FICHE TECHNIQUE OCP </v>
          </cell>
          <cell r="D1846" t="str">
            <v>KG</v>
          </cell>
          <cell r="E1846" t="str">
            <v>522.52212</v>
          </cell>
          <cell r="F1846">
            <v>21.575299999999999</v>
          </cell>
          <cell r="G1846">
            <v>0</v>
          </cell>
          <cell r="H1846">
            <v>11470</v>
          </cell>
          <cell r="I1846">
            <v>185</v>
          </cell>
          <cell r="J1846">
            <v>200</v>
          </cell>
          <cell r="K1846">
            <v>0</v>
          </cell>
          <cell r="L1846">
            <v>0</v>
          </cell>
        </row>
        <row r="1847">
          <cell r="A1847" t="str">
            <v>10000.03307</v>
          </cell>
          <cell r="B1847" t="str">
            <v>RESINE CATIONIQUE FORTE</v>
          </cell>
          <cell r="C1847" t="str">
            <v>MATIERES AUXILIAIRES. RESINE CATIONIQUE FORTE. DEMINIRALISATION FINALE. GENRE: LEWATIT MONOPLUS S 200 KR. OU PRODUIT SIMILAIRE. CONDITIONNEMENT: EN FUT DE 200 LITRES.      CORRESPONDANT AUX NORMES DES  EMBALLAGES MARITIMES UTILISES POUR L'EXPORTATION.N.B: GARANTIE EXIGEE A L'UTILISATION</v>
          </cell>
          <cell r="D1847" t="str">
            <v>L</v>
          </cell>
          <cell r="E1847" t="str">
            <v>111.11101</v>
          </cell>
          <cell r="F1847">
            <v>35.109000000000002</v>
          </cell>
          <cell r="G1847">
            <v>0</v>
          </cell>
          <cell r="H1847">
            <v>800</v>
          </cell>
          <cell r="I1847">
            <v>0</v>
          </cell>
          <cell r="J1847">
            <v>200</v>
          </cell>
          <cell r="K1847">
            <v>0</v>
          </cell>
          <cell r="L1847">
            <v>0</v>
          </cell>
        </row>
        <row r="1848">
          <cell r="A1848" t="str">
            <v>10000.03308</v>
          </cell>
          <cell r="B1848" t="str">
            <v>RESINE ANIONIQUE FORTE.B</v>
          </cell>
          <cell r="C1848" t="str">
            <v>MATIERES AUXILIAIRES. RESINE ANIONIQUE FORTEMENT BASIQUE. POUR TRAITEMENT DES EAUX. GENRE: LEWATIT MONOPLUS M 800 KR. OU PRODUIT SIMILAIRE. CONDITIONNEMENT: EN FUT DE 200 LITRES. CORRESPONDANT AUX NORMES DES  EMBALLAGES MARITIMES UTILISES POUR L'EXPORTATION.N.B: GARANTIE EXIGEE A L'UTILISATION</v>
          </cell>
          <cell r="D1848" t="str">
            <v>L</v>
          </cell>
          <cell r="E1848" t="str">
            <v>111.11101</v>
          </cell>
          <cell r="F1848">
            <v>80.082499999999996</v>
          </cell>
          <cell r="G1848">
            <v>0</v>
          </cell>
          <cell r="H1848">
            <v>1200</v>
          </cell>
          <cell r="I1848">
            <v>0</v>
          </cell>
          <cell r="J1848">
            <v>200</v>
          </cell>
          <cell r="K1848">
            <v>0</v>
          </cell>
          <cell r="L1848">
            <v>0</v>
          </cell>
        </row>
        <row r="1849">
          <cell r="A1849" t="str">
            <v>10019.04622</v>
          </cell>
          <cell r="B1849" t="str">
            <v>BAGUE ETANCHE 130X160X15</v>
          </cell>
          <cell r="C1849" t="str">
            <v>BAGUE D'ETANCHEITE LEVRE DE MANCHETTE A RESSORT DE SERRAGE PLUS LEVRES SUPPLEMENTAIRES TYPE INTERNE A ARMATURE TOLE SOUS CAOUTCHOUC SYNTHETIQUE NITRILE, RESISTANTA L'ACTION DES LUBRIFIANTS MINERAUX TYPE : NATIONAL 32 - STEFA CC - CEFILAC CP - CFW BASL DIMENSIONS : 130 X 160 X 15 MM</v>
          </cell>
          <cell r="D1849" t="str">
            <v>PE</v>
          </cell>
          <cell r="E1849" t="str">
            <v>522.52207</v>
          </cell>
          <cell r="F1849">
            <v>1286.1283000000001</v>
          </cell>
          <cell r="G1849">
            <v>0</v>
          </cell>
          <cell r="H1849">
            <v>0</v>
          </cell>
          <cell r="I1849">
            <v>0</v>
          </cell>
          <cell r="J1849">
            <v>3</v>
          </cell>
          <cell r="K1849">
            <v>0</v>
          </cell>
          <cell r="L1849">
            <v>0</v>
          </cell>
        </row>
        <row r="1850">
          <cell r="A1850" t="str">
            <v>10019.09496</v>
          </cell>
          <cell r="B1850" t="str">
            <v>JOINT SPIRALE GRAPHITE</v>
          </cell>
          <cell r="C1850" t="str">
            <v xml:space="preserve">JOINT SPIRALE GRAPHITE CLASSE 900 LBS NORME ASME 16-20 MATIERE 304SS EPAISSEUR 4,4MMDN 20 MM </v>
          </cell>
          <cell r="D1850" t="str">
            <v>PE</v>
          </cell>
          <cell r="E1850" t="str">
            <v>522.52207</v>
          </cell>
          <cell r="F1850">
            <v>8</v>
          </cell>
          <cell r="G1850">
            <v>2</v>
          </cell>
          <cell r="H1850">
            <v>0</v>
          </cell>
          <cell r="I1850">
            <v>0</v>
          </cell>
          <cell r="J1850">
            <v>0</v>
          </cell>
          <cell r="K1850">
            <v>0</v>
          </cell>
          <cell r="L1850">
            <v>18</v>
          </cell>
        </row>
        <row r="1851">
          <cell r="A1851" t="str">
            <v>10019.09498</v>
          </cell>
          <cell r="B1851" t="str">
            <v>JOINT SPIRALE GRAPHITE</v>
          </cell>
          <cell r="C1851" t="str">
            <v xml:space="preserve">JOINT SPIRALE GRAPHITE CLASSE 900 LBS NORME ASME 16-20 MATIERE 304SS EPAISSEUR 4,4MMDN 25 MM </v>
          </cell>
          <cell r="D1851" t="str">
            <v>PE</v>
          </cell>
          <cell r="E1851" t="str">
            <v>522.52207</v>
          </cell>
          <cell r="F1851">
            <v>27.72</v>
          </cell>
          <cell r="G1851">
            <v>0</v>
          </cell>
          <cell r="H1851">
            <v>2</v>
          </cell>
          <cell r="I1851">
            <v>2</v>
          </cell>
          <cell r="J1851">
            <v>0</v>
          </cell>
          <cell r="K1851">
            <v>8</v>
          </cell>
          <cell r="L1851">
            <v>4</v>
          </cell>
        </row>
        <row r="1852">
          <cell r="A1852" t="str">
            <v>10006.00051</v>
          </cell>
          <cell r="B1852" t="str">
            <v>CHAMOTTE 5-10MM   40%</v>
          </cell>
          <cell r="C1852" t="str">
            <v xml:space="preserve">CHAMOTTES GRANULOMETRIE : 5-10 MM TENEUR EN ALUMINE 40 % </v>
          </cell>
          <cell r="D1852" t="str">
            <v>T</v>
          </cell>
          <cell r="E1852" t="str">
            <v>314.31403</v>
          </cell>
          <cell r="F1852">
            <v>3050</v>
          </cell>
          <cell r="G1852">
            <v>0</v>
          </cell>
          <cell r="H1852">
            <v>0</v>
          </cell>
          <cell r="I1852">
            <v>0</v>
          </cell>
          <cell r="J1852">
            <v>0</v>
          </cell>
          <cell r="K1852">
            <v>0</v>
          </cell>
          <cell r="L1852">
            <v>33.6</v>
          </cell>
        </row>
        <row r="1853">
          <cell r="A1853" t="str">
            <v>10019.09500</v>
          </cell>
          <cell r="B1853" t="str">
            <v>JOINT SPIRALE GRAPHITE</v>
          </cell>
          <cell r="C1853" t="str">
            <v xml:space="preserve">JOINT SPIRALE GRAPHITE CLASSE 900 LBS NORME ASME 16-20 MATIERE 304SS EPAISSEUR 4,4MMDN 40 MM </v>
          </cell>
          <cell r="D1853" t="str">
            <v>PE</v>
          </cell>
          <cell r="E1853" t="str">
            <v>522.52207</v>
          </cell>
          <cell r="F1853">
            <v>33.6</v>
          </cell>
          <cell r="G1853">
            <v>10</v>
          </cell>
          <cell r="H1853">
            <v>0</v>
          </cell>
          <cell r="I1853">
            <v>0</v>
          </cell>
          <cell r="J1853">
            <v>0</v>
          </cell>
          <cell r="K1853">
            <v>0</v>
          </cell>
          <cell r="L1853">
            <v>18</v>
          </cell>
        </row>
        <row r="1854">
          <cell r="A1854" t="str">
            <v>10019.09502</v>
          </cell>
          <cell r="B1854" t="str">
            <v>JOINT SPIRALE GRAPHITE</v>
          </cell>
          <cell r="C1854" t="str">
            <v xml:space="preserve">JOINT SPIRALE GRAPHITE CLASSE 900 LBS NORME ASME 16-20 MATIERE 304SS EPAISSEUR 4,4MMDN 100 MM </v>
          </cell>
          <cell r="D1854" t="str">
            <v>PE</v>
          </cell>
          <cell r="E1854" t="str">
            <v>522.52207</v>
          </cell>
          <cell r="F1854">
            <v>94.65</v>
          </cell>
          <cell r="G1854">
            <v>0</v>
          </cell>
          <cell r="H1854">
            <v>0</v>
          </cell>
          <cell r="I1854">
            <v>0</v>
          </cell>
          <cell r="J1854">
            <v>0</v>
          </cell>
          <cell r="K1854">
            <v>0</v>
          </cell>
          <cell r="L1854">
            <v>32</v>
          </cell>
        </row>
        <row r="1855">
          <cell r="A1855" t="str">
            <v>10006.00052</v>
          </cell>
          <cell r="B1855" t="str">
            <v>CHAMOTTE 10-15MM  40%</v>
          </cell>
          <cell r="C1855" t="str">
            <v xml:space="preserve">CHAMOTTES GRANULOMETRIE : 10/15 MM TENEUR EN ALUMINE 40 % </v>
          </cell>
          <cell r="D1855" t="str">
            <v>T</v>
          </cell>
          <cell r="E1855" t="str">
            <v>314.31403</v>
          </cell>
          <cell r="F1855">
            <v>3050</v>
          </cell>
          <cell r="G1855">
            <v>0</v>
          </cell>
          <cell r="H1855">
            <v>0</v>
          </cell>
          <cell r="I1855">
            <v>0</v>
          </cell>
          <cell r="J1855">
            <v>0</v>
          </cell>
          <cell r="K1855">
            <v>0</v>
          </cell>
          <cell r="L1855">
            <v>0</v>
          </cell>
        </row>
        <row r="1856">
          <cell r="A1856" t="str">
            <v>10019.09490</v>
          </cell>
          <cell r="B1856" t="str">
            <v>JOINT SPIRALE GRAPHITE</v>
          </cell>
          <cell r="C1856" t="str">
            <v xml:space="preserve">JOINT SPIRALE GRAPHITE CLASSE 600 LBS NORME ASME 16-20 MATIERE 304SS EPAISSEUR 4,4MMDN 200 MM </v>
          </cell>
          <cell r="D1856" t="str">
            <v>PE</v>
          </cell>
          <cell r="E1856" t="str">
            <v>522.52207</v>
          </cell>
          <cell r="F1856">
            <v>178.92869999999999</v>
          </cell>
          <cell r="G1856">
            <v>6</v>
          </cell>
          <cell r="H1856">
            <v>0</v>
          </cell>
          <cell r="I1856">
            <v>1</v>
          </cell>
          <cell r="J1856">
            <v>2</v>
          </cell>
          <cell r="K1856">
            <v>0</v>
          </cell>
          <cell r="L1856">
            <v>26</v>
          </cell>
        </row>
        <row r="1857">
          <cell r="A1857" t="str">
            <v>10019.09492</v>
          </cell>
          <cell r="B1857" t="str">
            <v>JOINT SPIRALE GRAPHITE</v>
          </cell>
          <cell r="C1857" t="str">
            <v xml:space="preserve">JOINT SPIRALE GRAPHITE CLASSE 600 LBS NORME ASME 16-20 MATIERE 304SS EPAISSEUR 4,4MMDN 300 MM </v>
          </cell>
          <cell r="D1857" t="str">
            <v>PE</v>
          </cell>
          <cell r="E1857" t="str">
            <v>522.52207</v>
          </cell>
          <cell r="F1857">
            <v>299.61270000000002</v>
          </cell>
          <cell r="G1857">
            <v>2</v>
          </cell>
          <cell r="H1857">
            <v>0</v>
          </cell>
          <cell r="I1857">
            <v>0</v>
          </cell>
          <cell r="J1857">
            <v>0</v>
          </cell>
          <cell r="K1857">
            <v>0</v>
          </cell>
          <cell r="L1857">
            <v>15</v>
          </cell>
        </row>
        <row r="1858">
          <cell r="A1858" t="str">
            <v>10019.09494</v>
          </cell>
          <cell r="B1858" t="str">
            <v>JOINT SPIRALE GRAPHITE</v>
          </cell>
          <cell r="C1858" t="str">
            <v xml:space="preserve">JOINT SPIRALE GRAPHITE CLASSE 900 LBS NORME ASME 16-20 MATIERE 304SS EPAISSEUR 4,4MMDN 15 MM </v>
          </cell>
          <cell r="D1858" t="str">
            <v>PE</v>
          </cell>
          <cell r="E1858" t="str">
            <v>522.52207</v>
          </cell>
          <cell r="F1858">
            <v>5</v>
          </cell>
          <cell r="G1858">
            <v>0</v>
          </cell>
          <cell r="H1858">
            <v>0</v>
          </cell>
          <cell r="I1858">
            <v>0</v>
          </cell>
          <cell r="J1858">
            <v>0</v>
          </cell>
          <cell r="K1858">
            <v>10</v>
          </cell>
          <cell r="L1858">
            <v>0</v>
          </cell>
        </row>
        <row r="1859">
          <cell r="A1859" t="str">
            <v>10019.09508</v>
          </cell>
          <cell r="B1859" t="str">
            <v>JOINT SPIRALE GRAPHITE</v>
          </cell>
          <cell r="C1859" t="str">
            <v xml:space="preserve">JOINT SPIRALE GRAPHITE CLASSE 900 LBS NORME ASME 16-20 MATIERE 304SS EPAISSEUR 4,4MMDN 350 MM </v>
          </cell>
          <cell r="D1859" t="str">
            <v>PE</v>
          </cell>
          <cell r="E1859" t="str">
            <v>522.52207</v>
          </cell>
          <cell r="F1859">
            <v>200</v>
          </cell>
          <cell r="G1859">
            <v>0</v>
          </cell>
          <cell r="H1859">
            <v>0</v>
          </cell>
          <cell r="I1859">
            <v>0</v>
          </cell>
          <cell r="J1859">
            <v>0</v>
          </cell>
          <cell r="K1859">
            <v>0</v>
          </cell>
          <cell r="L1859">
            <v>10</v>
          </cell>
        </row>
        <row r="1860">
          <cell r="A1860" t="str">
            <v>10019.09504</v>
          </cell>
          <cell r="B1860" t="str">
            <v>JOINT SPIRALE GRAPHITE</v>
          </cell>
          <cell r="C1860" t="str">
            <v xml:space="preserve">JOINT SPIRALE GRAPHITE CLASSE 900 LBS NORME ASME 16-20 MATIERE 304SS EPAISSEUR 4,4MMDN 150 MM </v>
          </cell>
          <cell r="D1860" t="str">
            <v>PE</v>
          </cell>
          <cell r="E1860" t="str">
            <v>522.52207</v>
          </cell>
          <cell r="F1860">
            <v>69.2727</v>
          </cell>
          <cell r="G1860">
            <v>0</v>
          </cell>
          <cell r="H1860">
            <v>0</v>
          </cell>
          <cell r="I1860">
            <v>0</v>
          </cell>
          <cell r="J1860">
            <v>0</v>
          </cell>
          <cell r="K1860">
            <v>0</v>
          </cell>
          <cell r="L1860">
            <v>22</v>
          </cell>
        </row>
        <row r="1861">
          <cell r="A1861" t="str">
            <v>10019.09506</v>
          </cell>
          <cell r="B1861" t="str">
            <v>JOINT SPIRALE GRAPHITE</v>
          </cell>
          <cell r="C1861" t="str">
            <v xml:space="preserve">JOINT SPIRALE GRAPHITE CLASSE 900 LBS NORME ASME 16-20 MATIERE 304SS EPAISSEUR 4,4MMDN 200 MM </v>
          </cell>
          <cell r="D1861" t="str">
            <v>PE</v>
          </cell>
          <cell r="E1861" t="str">
            <v>522.52207</v>
          </cell>
          <cell r="F1861">
            <v>211.5882</v>
          </cell>
          <cell r="G1861">
            <v>2</v>
          </cell>
          <cell r="H1861">
            <v>0</v>
          </cell>
          <cell r="I1861">
            <v>0</v>
          </cell>
          <cell r="J1861">
            <v>0</v>
          </cell>
          <cell r="K1861">
            <v>0</v>
          </cell>
          <cell r="L1861">
            <v>23</v>
          </cell>
        </row>
        <row r="1862">
          <cell r="A1862" t="str">
            <v>10001.00498</v>
          </cell>
          <cell r="B1862" t="str">
            <v>CORTROL OS 5601</v>
          </cell>
          <cell r="C1862" t="str">
            <v>REDUCTEUR ORGANIQUE D'OXYGENE OS 5601N.B : PRODUIT DANGEREUX (FICHE DE DONNEES DE SECURITE EST EXIGEE AVANT UTILISATION DU  PRODUIT)</v>
          </cell>
          <cell r="D1862" t="str">
            <v>KG</v>
          </cell>
          <cell r="E1862" t="str">
            <v>111.11101</v>
          </cell>
          <cell r="F1862">
            <v>30</v>
          </cell>
          <cell r="G1862">
            <v>0</v>
          </cell>
          <cell r="H1862">
            <v>0</v>
          </cell>
          <cell r="I1862">
            <v>0</v>
          </cell>
          <cell r="J1862">
            <v>120</v>
          </cell>
          <cell r="K1862">
            <v>120</v>
          </cell>
          <cell r="L1862">
            <v>0</v>
          </cell>
        </row>
        <row r="1863">
          <cell r="A1863" t="str">
            <v>10000.02153</v>
          </cell>
          <cell r="B1863" t="str">
            <v>REDUCTEUR ORGANIQUE DE L’OXYGENE</v>
          </cell>
          <cell r="C1863" t="str">
            <v>REDUCTEUR ORGANIQUE DE L’OXYGENECORTROL OS 5601N.B : PRODUIT DANGEREUX (FICHE DE DONNEES DE SECURITE EST EXIGEE AVANT UTILISATION DU  PRODUIT)</v>
          </cell>
          <cell r="D1863" t="str">
            <v>KG</v>
          </cell>
          <cell r="E1863" t="str">
            <v>111.11101</v>
          </cell>
          <cell r="F1863">
            <v>32</v>
          </cell>
          <cell r="G1863">
            <v>0</v>
          </cell>
          <cell r="H1863">
            <v>0</v>
          </cell>
          <cell r="I1863">
            <v>0</v>
          </cell>
          <cell r="J1863">
            <v>0</v>
          </cell>
          <cell r="K1863">
            <v>0</v>
          </cell>
          <cell r="L1863">
            <v>0</v>
          </cell>
        </row>
        <row r="1864">
          <cell r="A1864" t="str">
            <v>10016.00936</v>
          </cell>
          <cell r="B1864" t="str">
            <v>ACCOUPLEMENT KTR</v>
          </cell>
          <cell r="C1864" t="str">
            <v>REF. ROTEX, TAILLE: 24, LONGUEUR: 70MM (NON ALESE)EN ACIER</v>
          </cell>
          <cell r="D1864" t="str">
            <v>PE</v>
          </cell>
          <cell r="E1864" t="str">
            <v>515.51515</v>
          </cell>
          <cell r="F1864">
            <v>347.31799999999998</v>
          </cell>
          <cell r="G1864">
            <v>0</v>
          </cell>
          <cell r="H1864">
            <v>0</v>
          </cell>
          <cell r="I1864">
            <v>0</v>
          </cell>
          <cell r="J1864">
            <v>1</v>
          </cell>
          <cell r="K1864">
            <v>6</v>
          </cell>
          <cell r="L1864">
            <v>4</v>
          </cell>
        </row>
        <row r="1865">
          <cell r="A1865" t="str">
            <v>10016.00937</v>
          </cell>
          <cell r="B1865" t="str">
            <v>FLECTOR P/ACCOUPLEMENT T:24</v>
          </cell>
          <cell r="C1865" t="str">
            <v>FLECTOR POUR ACCOUPLEMENT KTR REF. ROTEX, TAILLE 24</v>
          </cell>
          <cell r="D1865" t="str">
            <v>PE</v>
          </cell>
          <cell r="E1865" t="str">
            <v>515.51515</v>
          </cell>
          <cell r="F1865">
            <v>48.976700000000001</v>
          </cell>
          <cell r="G1865">
            <v>0</v>
          </cell>
          <cell r="H1865">
            <v>2</v>
          </cell>
          <cell r="I1865">
            <v>0</v>
          </cell>
          <cell r="J1865">
            <v>2</v>
          </cell>
          <cell r="K1865">
            <v>12</v>
          </cell>
          <cell r="L1865">
            <v>4</v>
          </cell>
        </row>
        <row r="1866">
          <cell r="A1866" t="str">
            <v>10016.00065</v>
          </cell>
          <cell r="B1866" t="str">
            <v>ACCOUPLEMENT</v>
          </cell>
          <cell r="C1866" t="str">
            <v>ACCOUPLEMENT REX OMEGA TYPE ES TAILLE 10 LONGUEUR 97</v>
          </cell>
          <cell r="D1866" t="str">
            <v>PE</v>
          </cell>
          <cell r="E1866" t="str">
            <v>515.51515</v>
          </cell>
          <cell r="F1866">
            <v>3414.96</v>
          </cell>
          <cell r="G1866">
            <v>0</v>
          </cell>
          <cell r="H1866">
            <v>2</v>
          </cell>
          <cell r="I1866">
            <v>0</v>
          </cell>
          <cell r="J1866">
            <v>0</v>
          </cell>
          <cell r="K1866">
            <v>0</v>
          </cell>
          <cell r="L1866">
            <v>4</v>
          </cell>
        </row>
        <row r="1867">
          <cell r="A1867" t="str">
            <v>10003.01815</v>
          </cell>
          <cell r="B1867" t="str">
            <v>TOLE LISSE NOIRE E 24</v>
          </cell>
          <cell r="C1867" t="str">
            <v xml:space="preserve">TOLE LISSE NOIRE - NUANCE : AFNOR E 24 LONGUEUR = 3 METRES - LARGEUR = 1,5 METRE E EPAISSEUR = 8 MM </v>
          </cell>
          <cell r="D1867" t="str">
            <v>PE</v>
          </cell>
          <cell r="E1867" t="str">
            <v>522.52213</v>
          </cell>
          <cell r="F1867">
            <v>1958.4</v>
          </cell>
          <cell r="G1867">
            <v>0</v>
          </cell>
          <cell r="H1867">
            <v>1</v>
          </cell>
          <cell r="I1867">
            <v>0</v>
          </cell>
          <cell r="J1867">
            <v>0</v>
          </cell>
          <cell r="K1867">
            <v>0</v>
          </cell>
          <cell r="L1867">
            <v>0</v>
          </cell>
        </row>
        <row r="1868">
          <cell r="A1868" t="str">
            <v>10016.00067</v>
          </cell>
          <cell r="B1868" t="str">
            <v>ELEMENT ELASTOMER</v>
          </cell>
          <cell r="C1868" t="str">
            <v>ELEMENT ELASTOMER REP : 1 AVEC VISSERIE POUR ACCOUPLEMENT REX VIVA TYPE VS125 REF: 7392706</v>
          </cell>
          <cell r="D1868" t="str">
            <v>PE</v>
          </cell>
          <cell r="E1868" t="str">
            <v>515.51515</v>
          </cell>
          <cell r="F1868">
            <v>1425.7469000000001</v>
          </cell>
          <cell r="G1868">
            <v>0</v>
          </cell>
          <cell r="H1868">
            <v>11</v>
          </cell>
          <cell r="I1868">
            <v>8</v>
          </cell>
          <cell r="J1868">
            <v>8</v>
          </cell>
          <cell r="K1868">
            <v>5</v>
          </cell>
          <cell r="L1868">
            <v>0</v>
          </cell>
        </row>
        <row r="1869">
          <cell r="A1869" t="str">
            <v>10016.00069</v>
          </cell>
          <cell r="B1869" t="str">
            <v>ELEMENT ELASTOMER</v>
          </cell>
          <cell r="C1869" t="str">
            <v>ELEMENT ELASTOMER REP : 1 AVEC VISSERIE POUR ACCOUPLEMENT REX VIVA TYPE VS130 REF: 7392710</v>
          </cell>
          <cell r="D1869" t="str">
            <v>PE</v>
          </cell>
          <cell r="E1869" t="str">
            <v>515.51515</v>
          </cell>
          <cell r="F1869">
            <v>2085.8667</v>
          </cell>
          <cell r="G1869">
            <v>0</v>
          </cell>
          <cell r="H1869">
            <v>1</v>
          </cell>
          <cell r="I1869">
            <v>14</v>
          </cell>
          <cell r="J1869">
            <v>15</v>
          </cell>
          <cell r="K1869">
            <v>0</v>
          </cell>
          <cell r="L1869">
            <v>0</v>
          </cell>
        </row>
        <row r="1870">
          <cell r="A1870" t="str">
            <v>10016.00070</v>
          </cell>
          <cell r="B1870" t="str">
            <v>ELEMENT ELASTOMER</v>
          </cell>
          <cell r="C1870" t="str">
            <v>ELEMENT ELASTOMER REP : 1 AVEC VISSERIE POUR ACCOUPLEMENT REX VIVA TYPE VS150 REF: 7392712</v>
          </cell>
          <cell r="D1870" t="str">
            <v>PE</v>
          </cell>
          <cell r="E1870" t="str">
            <v>515.51515</v>
          </cell>
          <cell r="F1870">
            <v>2304</v>
          </cell>
          <cell r="G1870">
            <v>0</v>
          </cell>
          <cell r="H1870">
            <v>0</v>
          </cell>
          <cell r="I1870">
            <v>0</v>
          </cell>
          <cell r="J1870">
            <v>0</v>
          </cell>
          <cell r="K1870">
            <v>0</v>
          </cell>
          <cell r="L1870">
            <v>3</v>
          </cell>
        </row>
        <row r="1871">
          <cell r="A1871" t="str">
            <v>10003.01817</v>
          </cell>
          <cell r="B1871" t="str">
            <v>TOLE LISSE NOIRE E 24</v>
          </cell>
          <cell r="C1871" t="str">
            <v xml:space="preserve">TOLE LISSE NOIRE - NUANCE : AFNOR E 24 LONGUEUR = 3 METRES - LARGEUR = 1,5 METRE EPAISSEUR = 10 MM </v>
          </cell>
          <cell r="D1871" t="str">
            <v>PE</v>
          </cell>
          <cell r="E1871" t="str">
            <v>522.52213</v>
          </cell>
          <cell r="F1871">
            <v>3360</v>
          </cell>
          <cell r="G1871">
            <v>0</v>
          </cell>
          <cell r="H1871">
            <v>4</v>
          </cell>
          <cell r="I1871">
            <v>0</v>
          </cell>
          <cell r="J1871">
            <v>0</v>
          </cell>
          <cell r="K1871">
            <v>0</v>
          </cell>
          <cell r="L1871">
            <v>0</v>
          </cell>
        </row>
        <row r="1872">
          <cell r="A1872" t="str">
            <v>10016.00071</v>
          </cell>
          <cell r="B1872" t="str">
            <v>ELEMENT ELASTOMER</v>
          </cell>
          <cell r="C1872" t="str">
            <v>ELEMENT ELASTOMER REP : 1 AVEC VISSERIE POUR ACCOUPLEMENT REX VIVA TYPE VS245 REF: 7392726</v>
          </cell>
          <cell r="D1872" t="str">
            <v>PE</v>
          </cell>
          <cell r="E1872" t="str">
            <v>515.51515</v>
          </cell>
          <cell r="F1872">
            <v>4065.7379999999998</v>
          </cell>
          <cell r="G1872">
            <v>0</v>
          </cell>
          <cell r="H1872">
            <v>1</v>
          </cell>
          <cell r="I1872">
            <v>2</v>
          </cell>
          <cell r="J1872">
            <v>0</v>
          </cell>
          <cell r="K1872">
            <v>3</v>
          </cell>
          <cell r="L1872">
            <v>4</v>
          </cell>
        </row>
        <row r="1873">
          <cell r="A1873" t="str">
            <v>10016.00073</v>
          </cell>
          <cell r="B1873" t="str">
            <v>ELEMENT ELASTOMER</v>
          </cell>
          <cell r="C1873" t="str">
            <v>ELEMENT ELASTOMER REP : 1 AVEC VISSERIE POUR ACCOUPLEMENT REX VIVA TYPE VS290 REF: 7392730</v>
          </cell>
          <cell r="D1873" t="str">
            <v>PE</v>
          </cell>
          <cell r="E1873" t="str">
            <v>515.51515</v>
          </cell>
          <cell r="F1873">
            <v>4946.6660000000002</v>
          </cell>
          <cell r="G1873">
            <v>0</v>
          </cell>
          <cell r="H1873">
            <v>3</v>
          </cell>
          <cell r="I1873">
            <v>2</v>
          </cell>
          <cell r="J1873">
            <v>1</v>
          </cell>
          <cell r="K1873">
            <v>0</v>
          </cell>
          <cell r="L1873">
            <v>0</v>
          </cell>
        </row>
        <row r="1874">
          <cell r="A1874" t="str">
            <v>10003.01850</v>
          </cell>
          <cell r="B1874" t="str">
            <v>TOLE LISSE NOIRE E 24</v>
          </cell>
          <cell r="C1874" t="str">
            <v xml:space="preserve">TOLE LISSE NOIRE - NUANCE : AFNOR E 24 LONGUEUR = 3 METRES - LARGEUR = 1,5 METRE EPAISSEUR = 12 MM </v>
          </cell>
          <cell r="D1874" t="str">
            <v>KG</v>
          </cell>
          <cell r="E1874" t="str">
            <v>522.52213</v>
          </cell>
          <cell r="F1874">
            <v>3920</v>
          </cell>
          <cell r="G1874">
            <v>0</v>
          </cell>
          <cell r="H1874">
            <v>1</v>
          </cell>
          <cell r="I1874">
            <v>0</v>
          </cell>
          <cell r="J1874">
            <v>6</v>
          </cell>
          <cell r="K1874">
            <v>0</v>
          </cell>
          <cell r="L1874">
            <v>4</v>
          </cell>
        </row>
        <row r="1875">
          <cell r="A1875" t="str">
            <v>10019.07680</v>
          </cell>
          <cell r="B1875" t="str">
            <v>TRESSE CARREE EN PTFE</v>
          </cell>
          <cell r="C1875" t="str">
            <v xml:space="preserve">TRESSE CARREE EN PTFE SANS AMIANTE POUR ACIDE PHOSPHORIQUEDENSITE 1,8 - PH 7 - VITESSE 1600Tr/mn - PRESSION 20Bars - TEMPERATURE 90°CDIMENSIONS : 12,5 x 11,5 MM </v>
          </cell>
          <cell r="D1875" t="str">
            <v>KG</v>
          </cell>
          <cell r="E1875" t="str">
            <v>522.52207</v>
          </cell>
          <cell r="F1875">
            <v>576</v>
          </cell>
          <cell r="G1875">
            <v>0</v>
          </cell>
          <cell r="H1875">
            <v>0</v>
          </cell>
          <cell r="I1875">
            <v>0</v>
          </cell>
          <cell r="J1875">
            <v>0</v>
          </cell>
          <cell r="K1875">
            <v>4</v>
          </cell>
          <cell r="L1875">
            <v>0</v>
          </cell>
        </row>
        <row r="1876">
          <cell r="A1876" t="str">
            <v>10019.07681</v>
          </cell>
          <cell r="B1876" t="str">
            <v>TRESSE CARREE 16MM</v>
          </cell>
          <cell r="C1876" t="str">
            <v xml:space="preserve">TRESSE CARREE EN PTFE PUR SOUPLE POUR EAU DE MERDENSITE 1,2 - PH 0-14 - VITESSE 20m/s - PRESSION 20Bars - TEMPERATURE -50 à100°CDIMENSIONS : 16 x 16 MM </v>
          </cell>
          <cell r="D1876" t="str">
            <v>KG</v>
          </cell>
          <cell r="E1876" t="str">
            <v>522.52207</v>
          </cell>
          <cell r="F1876">
            <v>275.40260000000001</v>
          </cell>
          <cell r="G1876">
            <v>0</v>
          </cell>
          <cell r="H1876">
            <v>0</v>
          </cell>
          <cell r="I1876">
            <v>0</v>
          </cell>
          <cell r="J1876">
            <v>0</v>
          </cell>
          <cell r="K1876">
            <v>0</v>
          </cell>
          <cell r="L1876">
            <v>0</v>
          </cell>
        </row>
        <row r="1877">
          <cell r="A1877" t="str">
            <v>10019.07682</v>
          </cell>
          <cell r="B1877" t="str">
            <v>TRESSE CARREE</v>
          </cell>
          <cell r="C1877" t="str">
            <v xml:space="preserve">TRESSE CARREE EN PTFE SOUPLE POUR EAU ALIMENTAIREDENSITE 1 - PH 0-14 - VITESSE 20m/s - PRESSION 100Bars - TEMPERATURE 130°CDIMENSIONS : 16 x 16 MM </v>
          </cell>
          <cell r="D1877" t="str">
            <v>KG</v>
          </cell>
          <cell r="E1877" t="str">
            <v>522.52207</v>
          </cell>
          <cell r="F1877">
            <v>336</v>
          </cell>
          <cell r="G1877">
            <v>0</v>
          </cell>
          <cell r="H1877">
            <v>0</v>
          </cell>
          <cell r="I1877">
            <v>0</v>
          </cell>
          <cell r="J1877">
            <v>0</v>
          </cell>
          <cell r="K1877">
            <v>0</v>
          </cell>
          <cell r="L1877">
            <v>0</v>
          </cell>
        </row>
        <row r="1878">
          <cell r="A1878" t="str">
            <v>10000.03311</v>
          </cell>
          <cell r="B1878" t="str">
            <v>SOUDE CAUSTIQUE LIQUIDE</v>
          </cell>
          <cell r="C1878" t="str">
            <v xml:space="preserve">MATIERES AUXILIAIRES POUR TRAITEMENT DES EAUX SOUDE CAUSTIQUE LIQUIDE (CONCENTRATION 42-50% NaOh)  QUALITE ELECTROLYTIQUE DITE AU MERCURE 99%NAOH ANALYSE TYPIQUE (BASE100%NAOH) NaOH &lt; à 100% - NaCl &lt; à 200ppm - Fe &lt; à 10ppmNa2Co3 &lt;à 600ppm -  S102 &lt; à 20ppm - Ni &lt; à 1ppmNaClo3 &lt; à 2ppm - Al2o3 &lt; à 10ppm - Cu &lt; à 0,4ppm Na2So4 &lt; à 20ppm - Ca ET Mg &lt; à 6ppm - Mn &lt; à 1ppm (EXPRIME EN CaCo3) Hg &lt; à 1ppm CONDITIONNEMENT : CITERNE AVEC SYSTEME DE DEPOTAGE </v>
          </cell>
          <cell r="D1878" t="str">
            <v>T</v>
          </cell>
          <cell r="E1878" t="str">
            <v>111.11101</v>
          </cell>
          <cell r="F1878">
            <v>4331</v>
          </cell>
          <cell r="G1878">
            <v>0</v>
          </cell>
          <cell r="H1878">
            <v>30.33</v>
          </cell>
          <cell r="I1878">
            <v>0</v>
          </cell>
          <cell r="J1878">
            <v>0</v>
          </cell>
          <cell r="K1878">
            <v>0</v>
          </cell>
          <cell r="L1878">
            <v>0</v>
          </cell>
        </row>
        <row r="1879">
          <cell r="A1879" t="str">
            <v>10000.03311</v>
          </cell>
          <cell r="B1879" t="str">
            <v>SOUDE CAUSTIQUE LIQUIDE</v>
          </cell>
          <cell r="C1879" t="str">
            <v xml:space="preserve">MATIERES AUXILIAIRES POUR TRAITEMENT DES EAUX SOUDE CAUSTIQUE LIQUIDE (CONCENTRATION 42-50% NaOh)  QUALITE ELECTROLYTIQUE DITE AU MERCURE 99%NAOH ANALYSE TYPIQUE (BASE100%NAOH) NaOH &lt; à 100% - NaCl &lt; à 200ppm - Fe &lt; à 10ppmNa2Co3 &lt;à 600ppm -  S102 &lt; à 20ppm - Ni &lt; à 1ppmNaClo3 &lt; à 2ppm - Al2o3 &lt; à 10ppm - Cu &lt; à 0,4ppm Na2So4 &lt; à 20ppm - Ca ET Mg &lt; à 6ppm - Mn &lt; à 1ppm (EXPRIME EN CaCo3) Hg &lt; à 1ppm CONDITIONNEMENT : CITERNE AVEC SYSTEME DE DEPOTAGE </v>
          </cell>
          <cell r="D1879" t="str">
            <v>T</v>
          </cell>
          <cell r="E1879" t="str">
            <v>111.11101</v>
          </cell>
          <cell r="F1879">
            <v>4331</v>
          </cell>
          <cell r="G1879">
            <v>0</v>
          </cell>
          <cell r="H1879">
            <v>1172.26</v>
          </cell>
          <cell r="I1879">
            <v>58.43</v>
          </cell>
          <cell r="J1879">
            <v>38.520000000000003</v>
          </cell>
          <cell r="K1879">
            <v>284.18</v>
          </cell>
          <cell r="L1879">
            <v>0</v>
          </cell>
        </row>
        <row r="1880">
          <cell r="A1880" t="str">
            <v>10000.03333</v>
          </cell>
          <cell r="B1880" t="str">
            <v>ANTI-MOUSSE</v>
          </cell>
          <cell r="C1880" t="str">
            <v>MATIERES AUXILIAIRES ANTI-MOUSSE POUR TRAITEMENT DE L'ACIDE PHOSPHORIQUE GENRE:             : NALCO (9763-1)                     (CONSOMMATION SPECIFIQUE 150G/T P2O5)                : SPAK ORGOCHEM (SPAK61) (CONSOMMATION SPECIFIQUE 300G/T P2O5)                     : STOCKAUSEN (ANTISPUMIN)                                       : HENKEL (DEHYDRAN 490)                                       : SOCIETE FRANCAISE D'ORGANO-SYNTHESE  (CEMULPHOS)                   OU PRODUIT SIMILAIRE                                  CONDITIONNEMENT : FUTS DE 1000 KG EQUIPES DE VANNE DE VIDANGE  REPONDANT  AUX NORMES DES EMBALLAGES MARITIMES UTILISES POUR L'EXPORTATION.N.B: GARANTIE EXIGEE A L'UTILISATIONFICHE DE DONNEE DE SECURITE EST EXIGEE LORS DE LA LIVRAISON DU PRODUIT.</v>
          </cell>
          <cell r="D1880" t="str">
            <v>KG</v>
          </cell>
          <cell r="E1880" t="str">
            <v>111.11101</v>
          </cell>
          <cell r="F1880">
            <v>17.619599999999998</v>
          </cell>
          <cell r="G1880">
            <v>0</v>
          </cell>
          <cell r="H1880">
            <v>0</v>
          </cell>
          <cell r="I1880">
            <v>0</v>
          </cell>
          <cell r="J1880">
            <v>0</v>
          </cell>
          <cell r="K1880">
            <v>0</v>
          </cell>
          <cell r="L1880">
            <v>0</v>
          </cell>
        </row>
        <row r="1881">
          <cell r="A1881" t="str">
            <v>10000.03333</v>
          </cell>
          <cell r="B1881" t="str">
            <v>ANTI-MOUSSE</v>
          </cell>
          <cell r="C1881" t="str">
            <v>MATIERES AUXILIAIRES ANTI-MOUSSE POUR TRAITEMENT DE L'ACIDE PHOSPHORIQUE GENRE:             : NALCO (9763-1)                     (CONSOMMATION SPECIFIQUE 150G/T P2O5)                : SPAK ORGOCHEM (SPAK61) (CONSOMMATION SPECIFIQUE 300G/T P2O5)                     : STOCKAUSEN (ANTISPUMIN)                                       : HENKEL (DEHYDRAN 490)                                       : SOCIETE FRANCAISE D'ORGANO-SYNTHESE  (CEMULPHOS)                   OU PRODUIT SIMILAIRE                                  CONDITIONNEMENT : FUTS DE 1000 KG EQUIPES DE VANNE DE VIDANGE  REPONDANT  AUX NORMES DES EMBALLAGES MARITIMES UTILISES POUR L'EXPORTATION.N.B: GARANTIE EXIGEE A L'UTILISATIONFICHE DE DONNEE DE SECURITE EST EXIGEE LORS DE LA LIVRAISON DU PRODUIT.</v>
          </cell>
          <cell r="D1881" t="str">
            <v>KG</v>
          </cell>
          <cell r="E1881" t="str">
            <v>111.11101</v>
          </cell>
          <cell r="F1881">
            <v>17.619599999999998</v>
          </cell>
          <cell r="G1881">
            <v>0</v>
          </cell>
          <cell r="H1881">
            <v>0</v>
          </cell>
          <cell r="I1881">
            <v>0</v>
          </cell>
          <cell r="J1881">
            <v>0</v>
          </cell>
          <cell r="K1881">
            <v>54200</v>
          </cell>
          <cell r="L1881">
            <v>0</v>
          </cell>
        </row>
        <row r="1882">
          <cell r="A1882" t="str">
            <v>10000.03331</v>
          </cell>
          <cell r="B1882" t="str">
            <v>EAU DE JAVEL INDUSTRIELLE</v>
          </cell>
          <cell r="C1882" t="str">
            <v>MATIERES AUXILIAIRES DESIGNATION EAU DE JAVEL INDUSTRIELLE 44 CHLORAMETRIQUE CONDITIONNEMENT : EN JERRICANS DE 60 LITRES OU EN CITERNE AVEC SYSTEME DE DEPOTAGE N.B: GARANTIE EXIGEE A L'UTILISATION</v>
          </cell>
          <cell r="D1882" t="str">
            <v>KG</v>
          </cell>
          <cell r="E1882" t="str">
            <v>111.11101</v>
          </cell>
          <cell r="F1882">
            <v>6.2</v>
          </cell>
          <cell r="G1882">
            <v>0</v>
          </cell>
          <cell r="H1882">
            <v>0</v>
          </cell>
          <cell r="I1882">
            <v>0</v>
          </cell>
          <cell r="J1882">
            <v>0</v>
          </cell>
          <cell r="K1882">
            <v>0</v>
          </cell>
          <cell r="L1882">
            <v>0</v>
          </cell>
        </row>
        <row r="1883">
          <cell r="A1883" t="str">
            <v>10000.03331</v>
          </cell>
          <cell r="B1883" t="str">
            <v>EAU DE JAVEL INDUSTRIELLE</v>
          </cell>
          <cell r="C1883" t="str">
            <v>MATIERES AUXILIAIRES DESIGNATION EAU DE JAVEL INDUSTRIELLE 44 CHLORAMETRIQUE CONDITIONNEMENT : EN JERRICANS DE 60 LITRES OU EN CITERNE AVEC SYSTEME DE DEPOTAGE N.B: GARANTIE EXIGEE A L'UTILISATION</v>
          </cell>
          <cell r="D1883" t="str">
            <v>KG</v>
          </cell>
          <cell r="E1883" t="str">
            <v>111.11101</v>
          </cell>
          <cell r="F1883">
            <v>6.2</v>
          </cell>
          <cell r="G1883">
            <v>0</v>
          </cell>
          <cell r="H1883">
            <v>0</v>
          </cell>
          <cell r="I1883">
            <v>105</v>
          </cell>
          <cell r="J1883">
            <v>775</v>
          </cell>
          <cell r="K1883">
            <v>420</v>
          </cell>
          <cell r="L1883">
            <v>0</v>
          </cell>
        </row>
        <row r="1884">
          <cell r="A1884" t="str">
            <v>10000.03332</v>
          </cell>
          <cell r="B1884" t="str">
            <v>FLOCULANT PR.ACIDE PHOSPH</v>
          </cell>
          <cell r="C1884" t="str">
            <v>MATIERES AUXILIAIRES FLOCULANT POUR ACIDE PHOSPHORIQUE GENRE : BASF (SEDIPURE NF 102) OU HOECHST (BOZEFLOC N 26) CYNAMID (SUPERFLOC A100) OUSNF FLOERGER  (PHOS34, PHOS 56S ET AN945 MPM) OU PRODUIT SIMILAIRE SUIVANT ESSAI CONDITIONNEMENT : EN SACS RENFORCES EN POLYETHYLENE DE 20 KGS NET SUR PALETTES HOUSSES RETRACTABLES ET CARTONS TELESCOPIQUESN.B: GARANTIE EXIGEE A L'UTILISATIONFICHE DE DONNEE DE SECURITE EST EXIGEE LORS DE LA LIVRAISON DU PRODUIT.</v>
          </cell>
          <cell r="D1884" t="str">
            <v>KG</v>
          </cell>
          <cell r="E1884" t="str">
            <v>111.11101</v>
          </cell>
          <cell r="F1884">
            <v>26.418299999999999</v>
          </cell>
          <cell r="G1884">
            <v>0</v>
          </cell>
          <cell r="H1884">
            <v>0</v>
          </cell>
          <cell r="I1884">
            <v>0</v>
          </cell>
          <cell r="J1884">
            <v>0</v>
          </cell>
          <cell r="K1884">
            <v>250</v>
          </cell>
          <cell r="L1884">
            <v>0</v>
          </cell>
        </row>
        <row r="1885">
          <cell r="A1885" t="str">
            <v>10000.03332</v>
          </cell>
          <cell r="B1885" t="str">
            <v>FLOCULANT PR.ACIDE PHOSPH</v>
          </cell>
          <cell r="C1885" t="str">
            <v>MATIERES AUXILIAIRES FLOCULANT POUR ACIDE PHOSPHORIQUE GENRE : BASF (SEDIPURE NF 102) OU HOECHST (BOZEFLOC N 26) CYNAMID (SUPERFLOC A100) OUSNF FLOERGER  (PHOS34, PHOS 56S ET AN945 MPM) OU PRODUIT SIMILAIRE SUIVANT ESSAI CONDITIONNEMENT : EN SACS RENFORCES EN POLYETHYLENE DE 20 KGS NET SUR PALETTES HOUSSES RETRACTABLES ET CARTONS TELESCOPIQUESN.B: GARANTIE EXIGEE A L'UTILISATIONFICHE DE DONNEE DE SECURITE EST EXIGEE LORS DE LA LIVRAISON DU PRODUIT.</v>
          </cell>
          <cell r="D1885" t="str">
            <v>KG</v>
          </cell>
          <cell r="E1885" t="str">
            <v>111.11101</v>
          </cell>
          <cell r="F1885">
            <v>26.418299999999999</v>
          </cell>
          <cell r="G1885">
            <v>0</v>
          </cell>
          <cell r="H1885">
            <v>0</v>
          </cell>
          <cell r="I1885">
            <v>0</v>
          </cell>
          <cell r="J1885">
            <v>0</v>
          </cell>
          <cell r="K1885">
            <v>0</v>
          </cell>
          <cell r="L1885">
            <v>0</v>
          </cell>
        </row>
        <row r="1886">
          <cell r="A1886" t="str">
            <v>10016.00033</v>
          </cell>
          <cell r="B1886" t="str">
            <v>ACCOUPLEMENT  METASTREAM TAILLE: 0500</v>
          </cell>
          <cell r="C1886" t="str">
            <v>ACCOUPLEMENT  METASTREAM TYPE: TLKS , SERIE:  T TAILLE : 0500 LONGUEUR DE L'ENTRETOISE (DEBA) : 280 mm</v>
          </cell>
          <cell r="D1886" t="str">
            <v>PE</v>
          </cell>
          <cell r="E1886" t="str">
            <v>515.51515</v>
          </cell>
          <cell r="F1886">
            <v>34500</v>
          </cell>
          <cell r="G1886">
            <v>0</v>
          </cell>
          <cell r="H1886">
            <v>0</v>
          </cell>
          <cell r="I1886">
            <v>0</v>
          </cell>
          <cell r="J1886">
            <v>1</v>
          </cell>
          <cell r="K1886">
            <v>0</v>
          </cell>
          <cell r="L1886">
            <v>2</v>
          </cell>
        </row>
        <row r="1887">
          <cell r="A1887" t="str">
            <v>10019.02670</v>
          </cell>
          <cell r="B1887" t="str">
            <v>BAGUE ETANCHE 320X360X20*</v>
          </cell>
          <cell r="C1887" t="str">
            <v xml:space="preserve">BAGUE D'ETANCHEITE A LEVRE DE MANCHETTE A RESSORT DE SERRAGETYPE INTERNE A ARMATURE TOLE SOUS CAOUTCHOUC SYNTHETIQUE NITRILE,RESISTANT A L'ACTION DES LUBRIFIANTS MINERAUX TYPE : PAULSTRA-IE, NATIONAL-35, STEFA-CB , CEFILAC-C, CFW-BA DIMENSIONS : 320 X 360 X 20 MM </v>
          </cell>
          <cell r="D1887" t="str">
            <v>PE</v>
          </cell>
          <cell r="E1887" t="str">
            <v>522.52207</v>
          </cell>
          <cell r="F1887">
            <v>498.19200000000001</v>
          </cell>
          <cell r="G1887">
            <v>0</v>
          </cell>
          <cell r="H1887">
            <v>1</v>
          </cell>
          <cell r="I1887">
            <v>1</v>
          </cell>
          <cell r="J1887">
            <v>0</v>
          </cell>
          <cell r="K1887">
            <v>0</v>
          </cell>
          <cell r="L1887">
            <v>10</v>
          </cell>
        </row>
        <row r="1888">
          <cell r="A1888" t="str">
            <v>10019.02675</v>
          </cell>
          <cell r="B1888" t="str">
            <v>BAGUE ETANCHE 340X380X20*</v>
          </cell>
          <cell r="C1888" t="str">
            <v xml:space="preserve">BAGUE D'ETANCHEITE A LEVRE DE MANCHETTE A RESSORT DE SERRAGETYPE INTERNE A ARMATURE TOLE SOUS CAOUTCHOUC SYNTHETIQUE NITRILE,RESISTANT A L'ACTION DES LUBRIFIANTS MINERAUX TYPE : PAULSTRA-IE, NATIONAL-35, STEFA-CB , CEFILAC-C, CFW-BA DIMENSIONS : 340 X 380 X 20 MM </v>
          </cell>
          <cell r="D1888" t="str">
            <v>PE</v>
          </cell>
          <cell r="E1888" t="str">
            <v>522.52207</v>
          </cell>
          <cell r="F1888">
            <v>635.23199999999997</v>
          </cell>
          <cell r="G1888">
            <v>0</v>
          </cell>
          <cell r="H1888">
            <v>2</v>
          </cell>
          <cell r="I1888">
            <v>2</v>
          </cell>
          <cell r="J1888">
            <v>0</v>
          </cell>
          <cell r="K1888">
            <v>0</v>
          </cell>
          <cell r="L1888">
            <v>8</v>
          </cell>
        </row>
        <row r="1889">
          <cell r="A1889" t="str">
            <v>10019.06735</v>
          </cell>
          <cell r="B1889" t="str">
            <v>LANIERE CAOUT.DIAM 3MM</v>
          </cell>
          <cell r="C1889" t="str">
            <v xml:space="preserve">LANIERE EN CAOUTCHOUC POLYMERE DE BASE: PERBUNAN POUR CONFECTION DE JOINTS TORIQUES DURETE SHORE: 90 TEMPERATURE: -40 A +130°C DIAMETRE: 3 MM </v>
          </cell>
          <cell r="D1889" t="str">
            <v>KG</v>
          </cell>
          <cell r="E1889" t="str">
            <v>522.52207</v>
          </cell>
          <cell r="F1889">
            <v>900</v>
          </cell>
          <cell r="G1889">
            <v>0</v>
          </cell>
          <cell r="H1889">
            <v>0</v>
          </cell>
          <cell r="I1889">
            <v>0</v>
          </cell>
          <cell r="J1889">
            <v>0</v>
          </cell>
          <cell r="K1889">
            <v>1.5</v>
          </cell>
          <cell r="L1889">
            <v>0</v>
          </cell>
        </row>
        <row r="1890">
          <cell r="A1890" t="str">
            <v>10019.06737</v>
          </cell>
          <cell r="B1890" t="str">
            <v>LANIERE CAOUT.DIAM 4MM</v>
          </cell>
          <cell r="C1890" t="str">
            <v xml:space="preserve">LANIERE EN CAOUTCHOUC POLYMERE DE BASE: PERBUNAN POUR CONFECTION DE JOINTS TORIQUES DURETE SHORE: 90 TEMPERATURE: -40 A +130°C DIAMETRE: 4 MM </v>
          </cell>
          <cell r="D1890" t="str">
            <v>KG</v>
          </cell>
          <cell r="E1890" t="str">
            <v>522.52207</v>
          </cell>
          <cell r="F1890">
            <v>756</v>
          </cell>
          <cell r="G1890">
            <v>0</v>
          </cell>
          <cell r="H1890">
            <v>0</v>
          </cell>
          <cell r="I1890">
            <v>0</v>
          </cell>
          <cell r="J1890">
            <v>0</v>
          </cell>
          <cell r="K1890">
            <v>1.5</v>
          </cell>
          <cell r="L1890">
            <v>0</v>
          </cell>
        </row>
        <row r="1891">
          <cell r="A1891" t="str">
            <v>10001.00062</v>
          </cell>
          <cell r="B1891" t="str">
            <v>HUILE TURBINE ET TURBO T32</v>
          </cell>
          <cell r="C1891" t="str">
            <v>HUILE TURBINE ET TURBO T32SUIVANT FICHE TECHNIQUE OCP</v>
          </cell>
          <cell r="D1891" t="str">
            <v>KG</v>
          </cell>
          <cell r="E1891" t="str">
            <v>522.52212</v>
          </cell>
          <cell r="F1891">
            <v>16.525500000000001</v>
          </cell>
          <cell r="G1891">
            <v>0</v>
          </cell>
          <cell r="H1891">
            <v>0</v>
          </cell>
          <cell r="I1891">
            <v>371</v>
          </cell>
          <cell r="J1891">
            <v>185</v>
          </cell>
          <cell r="K1891">
            <v>400</v>
          </cell>
          <cell r="L1891">
            <v>4314</v>
          </cell>
        </row>
        <row r="1892">
          <cell r="A1892" t="str">
            <v>10019.09410</v>
          </cell>
          <cell r="B1892" t="str">
            <v>JOINT SPIRALE GRAPHITE</v>
          </cell>
          <cell r="C1892" t="str">
            <v xml:space="preserve">JOINT SPIRALE GRAPHITE CLASSE 150 LBS NORME ASME 16-20 MATIERE 304SS EPAISSEUR 4,4MMDN 15 MM </v>
          </cell>
          <cell r="D1892" t="str">
            <v>PE</v>
          </cell>
          <cell r="E1892" t="str">
            <v>522.52207</v>
          </cell>
          <cell r="F1892">
            <v>10.23</v>
          </cell>
          <cell r="G1892">
            <v>0</v>
          </cell>
          <cell r="H1892">
            <v>8</v>
          </cell>
          <cell r="I1892">
            <v>12</v>
          </cell>
          <cell r="J1892">
            <v>5</v>
          </cell>
          <cell r="K1892">
            <v>0</v>
          </cell>
          <cell r="L1892">
            <v>65</v>
          </cell>
        </row>
        <row r="1893">
          <cell r="A1893" t="str">
            <v>10019.09412</v>
          </cell>
          <cell r="B1893" t="str">
            <v>JOINT SPIRALE GRAPHITE</v>
          </cell>
          <cell r="C1893" t="str">
            <v xml:space="preserve">JOINT SPIRALE GRAPHITE CLASSE 150 LBS NORME ASME 16-20 MATIERE 304SS EPAISSEUR 4,4MMDN 20 MM </v>
          </cell>
          <cell r="D1893" t="str">
            <v>PE</v>
          </cell>
          <cell r="E1893" t="str">
            <v>522.52207</v>
          </cell>
          <cell r="F1893">
            <v>15.205500000000001</v>
          </cell>
          <cell r="G1893">
            <v>17</v>
          </cell>
          <cell r="H1893">
            <v>0</v>
          </cell>
          <cell r="I1893">
            <v>4</v>
          </cell>
          <cell r="J1893">
            <v>10</v>
          </cell>
          <cell r="K1893">
            <v>0</v>
          </cell>
          <cell r="L1893">
            <v>1</v>
          </cell>
        </row>
        <row r="1894">
          <cell r="A1894" t="str">
            <v>10019.09414</v>
          </cell>
          <cell r="B1894" t="str">
            <v>JOINT SPIRALE GRAPHITE</v>
          </cell>
          <cell r="C1894" t="str">
            <v xml:space="preserve">JOINT SPIRALE GRAPHITE CLASSE 150 LBS NORME ASME 16-20 MATIERE 304SS EPAISSEUR 4,4MMDN 25 MM </v>
          </cell>
          <cell r="D1894" t="str">
            <v>PE</v>
          </cell>
          <cell r="E1894" t="str">
            <v>522.52207</v>
          </cell>
          <cell r="F1894">
            <v>16.131399999999999</v>
          </cell>
          <cell r="G1894">
            <v>10</v>
          </cell>
          <cell r="H1894">
            <v>10</v>
          </cell>
          <cell r="I1894">
            <v>2</v>
          </cell>
          <cell r="J1894">
            <v>6</v>
          </cell>
          <cell r="K1894">
            <v>0</v>
          </cell>
          <cell r="L1894">
            <v>10</v>
          </cell>
        </row>
        <row r="1895">
          <cell r="A1895" t="str">
            <v>10019.09467</v>
          </cell>
          <cell r="B1895" t="str">
            <v>JOINT SPIRALE</v>
          </cell>
          <cell r="C1895" t="str">
            <v>JOINT SPIRALE EPAISSEUR 4,5MM - ANNEAU INOX 304 SS GRAPHITEEPAISSEUR COMPRESSE 3MM CLASSE 300 DN350</v>
          </cell>
          <cell r="D1895" t="str">
            <v>PE</v>
          </cell>
          <cell r="E1895" t="str">
            <v>522.52207</v>
          </cell>
          <cell r="F1895">
            <v>272.10000000000002</v>
          </cell>
          <cell r="G1895">
            <v>0</v>
          </cell>
          <cell r="H1895">
            <v>1</v>
          </cell>
          <cell r="I1895">
            <v>0</v>
          </cell>
          <cell r="J1895">
            <v>0</v>
          </cell>
          <cell r="K1895">
            <v>0</v>
          </cell>
          <cell r="L1895">
            <v>5</v>
          </cell>
        </row>
        <row r="1896">
          <cell r="A1896" t="str">
            <v>10019.09416</v>
          </cell>
          <cell r="B1896" t="str">
            <v>JOINT SPIRALE GRAPHITE</v>
          </cell>
          <cell r="C1896" t="str">
            <v xml:space="preserve">JOINT SPIRALE GRAPHITE CLASSE 150 LBS NORME ASME 16-20 MATIERE 304SS EPAISSEUR 4,4MMDN 40 MM </v>
          </cell>
          <cell r="D1896" t="str">
            <v>PE</v>
          </cell>
          <cell r="E1896" t="str">
            <v>522.52207</v>
          </cell>
          <cell r="F1896">
            <v>22.566700000000001</v>
          </cell>
          <cell r="G1896">
            <v>11</v>
          </cell>
          <cell r="H1896">
            <v>0</v>
          </cell>
          <cell r="I1896">
            <v>0</v>
          </cell>
          <cell r="J1896">
            <v>1</v>
          </cell>
          <cell r="K1896">
            <v>0</v>
          </cell>
          <cell r="L1896">
            <v>33</v>
          </cell>
        </row>
        <row r="1897">
          <cell r="A1897" t="str">
            <v>10019.09976</v>
          </cell>
          <cell r="B1897" t="str">
            <v>JOINT</v>
          </cell>
          <cell r="C1897" t="str">
            <v>JOINT EPAISSEUR 3MM TYPE GARLOOCK 3450 OU SIMILAIRE CLASSE 150 DN450</v>
          </cell>
          <cell r="D1897" t="str">
            <v>PE</v>
          </cell>
          <cell r="E1897" t="str">
            <v>522.52207</v>
          </cell>
          <cell r="F1897">
            <v>1460</v>
          </cell>
          <cell r="G1897">
            <v>0</v>
          </cell>
          <cell r="H1897">
            <v>0</v>
          </cell>
          <cell r="I1897">
            <v>0</v>
          </cell>
          <cell r="J1897">
            <v>0</v>
          </cell>
          <cell r="K1897">
            <v>10</v>
          </cell>
          <cell r="L1897">
            <v>0</v>
          </cell>
        </row>
        <row r="1898">
          <cell r="A1898" t="str">
            <v>10019.09418</v>
          </cell>
          <cell r="B1898" t="str">
            <v>JOINT SPIRALE GRAPHITE</v>
          </cell>
          <cell r="C1898" t="str">
            <v xml:space="preserve">JOINT SPIRALE GRAPHITE CLASSE 150 LBS NORME ASME 16-20 MATIERE 304SS EPAISSEUR 4,4MMDN 50 MM </v>
          </cell>
          <cell r="D1898" t="str">
            <v>PE</v>
          </cell>
          <cell r="E1898" t="str">
            <v>522.52207</v>
          </cell>
          <cell r="F1898">
            <v>33.586399999999998</v>
          </cell>
          <cell r="G1898">
            <v>5</v>
          </cell>
          <cell r="H1898">
            <v>9</v>
          </cell>
          <cell r="I1898">
            <v>0</v>
          </cell>
          <cell r="J1898">
            <v>1</v>
          </cell>
          <cell r="K1898">
            <v>0</v>
          </cell>
          <cell r="L1898">
            <v>0</v>
          </cell>
        </row>
        <row r="1899">
          <cell r="A1899" t="str">
            <v>10000.03252</v>
          </cell>
          <cell r="B1899" t="str">
            <v>FLOCULANT</v>
          </cell>
          <cell r="C1899" t="str">
            <v xml:space="preserve">MATIERES AUXILIAIRES POUR TRAITEMENT DES EAUX FLOPAM AH 912 SH AB 10CONDITIONNEMENT SACS RENFORCES EN POLYTHYLENE DE 20 KG NET SUR PALETTE </v>
          </cell>
          <cell r="D1899" t="str">
            <v>KG</v>
          </cell>
          <cell r="E1899" t="str">
            <v>111.11101</v>
          </cell>
          <cell r="F1899">
            <v>26.206</v>
          </cell>
          <cell r="G1899">
            <v>0</v>
          </cell>
          <cell r="H1899">
            <v>0</v>
          </cell>
          <cell r="I1899">
            <v>0</v>
          </cell>
          <cell r="J1899">
            <v>0</v>
          </cell>
          <cell r="K1899">
            <v>0</v>
          </cell>
          <cell r="L1899">
            <v>0</v>
          </cell>
        </row>
        <row r="1900">
          <cell r="A1900" t="str">
            <v>10019.09977</v>
          </cell>
          <cell r="B1900" t="str">
            <v>JOINT</v>
          </cell>
          <cell r="C1900" t="str">
            <v>JOINT EPAISSEUR 3MM TYPE GARLOOCK 3450 OU SIMILAIRE CLASSE 150 DN500</v>
          </cell>
          <cell r="D1900" t="str">
            <v>PE</v>
          </cell>
          <cell r="E1900" t="str">
            <v>522.52207</v>
          </cell>
          <cell r="F1900">
            <v>1693.3333</v>
          </cell>
          <cell r="G1900">
            <v>0</v>
          </cell>
          <cell r="H1900">
            <v>0</v>
          </cell>
          <cell r="I1900">
            <v>0</v>
          </cell>
          <cell r="J1900">
            <v>0</v>
          </cell>
          <cell r="K1900">
            <v>15</v>
          </cell>
          <cell r="L1900">
            <v>0</v>
          </cell>
        </row>
        <row r="1901">
          <cell r="A1901" t="str">
            <v>10019.09420</v>
          </cell>
          <cell r="B1901" t="str">
            <v>JOINT SPIRALE GRAPHITE</v>
          </cell>
          <cell r="C1901" t="str">
            <v xml:space="preserve">JOINT SPIRALE GRAPHITE CLASSE 150 LBS NORME ASME 16-20 MATIERE 304SS EPAISSEUR 4,4MMDN 65 MM </v>
          </cell>
          <cell r="D1901" t="str">
            <v>PE</v>
          </cell>
          <cell r="E1901" t="str">
            <v>522.52207</v>
          </cell>
          <cell r="F1901">
            <v>19</v>
          </cell>
          <cell r="G1901">
            <v>0</v>
          </cell>
          <cell r="H1901">
            <v>0</v>
          </cell>
          <cell r="I1901">
            <v>0</v>
          </cell>
          <cell r="J1901">
            <v>0</v>
          </cell>
          <cell r="K1901">
            <v>0</v>
          </cell>
          <cell r="L1901">
            <v>12</v>
          </cell>
        </row>
        <row r="1902">
          <cell r="A1902" t="str">
            <v>10003.04613</v>
          </cell>
          <cell r="B1902" t="str">
            <v>TOLE ACIER INOX</v>
          </cell>
          <cell r="C1902" t="str">
            <v>TOLE EN ACIER INOXYDABLE  NUANCE AFNOR : Z1 NCDU 25-20 AISI 904L  GENRE : "CREUSOT-LOIRE URANUS B6 "OU" UGINE NS B6  COMPOSITION -CHIMIQUE MOYENNE (%) : C &lt; 0,02 - Cr : 20 - Ni : 25 -  Mo : 4,3 - CU:1,5  LONGUEUR = 6 METRES  LARGEUR   = 2 METRES  EPAISSEUR = 10 MM</v>
          </cell>
          <cell r="D1902" t="str">
            <v>PE</v>
          </cell>
          <cell r="E1902" t="str">
            <v>522.52213</v>
          </cell>
          <cell r="F1902">
            <v>169344</v>
          </cell>
          <cell r="G1902">
            <v>2</v>
          </cell>
          <cell r="H1902">
            <v>1</v>
          </cell>
          <cell r="I1902">
            <v>0</v>
          </cell>
          <cell r="J1902">
            <v>0</v>
          </cell>
          <cell r="K1902">
            <v>0</v>
          </cell>
          <cell r="L1902">
            <v>1</v>
          </cell>
        </row>
        <row r="1903">
          <cell r="A1903" t="str">
            <v>10019.09978</v>
          </cell>
          <cell r="B1903" t="str">
            <v>JOINT</v>
          </cell>
          <cell r="C1903" t="str">
            <v>JOINT EPAISSEUR 3MM TYPE GARLOOCK 3450 OU SIMILAIRE CLASSE 150 DN600</v>
          </cell>
          <cell r="D1903" t="str">
            <v>PE</v>
          </cell>
          <cell r="E1903" t="str">
            <v>522.52207</v>
          </cell>
          <cell r="F1903">
            <v>1993.1429000000001</v>
          </cell>
          <cell r="G1903">
            <v>0</v>
          </cell>
          <cell r="H1903">
            <v>0</v>
          </cell>
          <cell r="I1903">
            <v>0</v>
          </cell>
          <cell r="J1903">
            <v>0</v>
          </cell>
          <cell r="K1903">
            <v>14</v>
          </cell>
          <cell r="L1903">
            <v>0</v>
          </cell>
        </row>
        <row r="1904">
          <cell r="A1904" t="str">
            <v>10019.06741</v>
          </cell>
          <cell r="B1904" t="str">
            <v>LANIERE CAOUT.DIAM 6MM</v>
          </cell>
          <cell r="C1904" t="str">
            <v xml:space="preserve">LANIERE EN CAOUTCHOUC POLYMERE DE BASE: PERBUNAN POUR CONFECTION DE JOINTS TORIQUES DURETE SHORE: 90 TEMPERATURE: -40 A +130°C DIAMETRE: 6 MM </v>
          </cell>
          <cell r="D1904" t="str">
            <v>KG</v>
          </cell>
          <cell r="E1904" t="str">
            <v>522.52207</v>
          </cell>
          <cell r="F1904">
            <v>582</v>
          </cell>
          <cell r="G1904">
            <v>0</v>
          </cell>
          <cell r="H1904">
            <v>0</v>
          </cell>
          <cell r="I1904">
            <v>0</v>
          </cell>
          <cell r="J1904">
            <v>0</v>
          </cell>
          <cell r="K1904">
            <v>1</v>
          </cell>
          <cell r="L1904">
            <v>0</v>
          </cell>
        </row>
        <row r="1905">
          <cell r="A1905" t="str">
            <v>10019.06743</v>
          </cell>
          <cell r="B1905" t="str">
            <v>LANIERE CAOUT.DIAM 7MM</v>
          </cell>
          <cell r="C1905" t="str">
            <v xml:space="preserve">LANIERE EN CAOUTCHOUC POLYMERE DE BASE: PERBUNAN POUR CONFECTION DE JOINTS TORIQUES DURETE SHORE: 90 TEMPERATURE: -40 A +130°C DIAMETRE: 7 MM </v>
          </cell>
          <cell r="D1905" t="str">
            <v>KG</v>
          </cell>
          <cell r="E1905" t="str">
            <v>522.52207</v>
          </cell>
          <cell r="F1905">
            <v>540</v>
          </cell>
          <cell r="G1905">
            <v>0</v>
          </cell>
          <cell r="H1905">
            <v>0</v>
          </cell>
          <cell r="I1905">
            <v>0</v>
          </cell>
          <cell r="J1905">
            <v>0</v>
          </cell>
          <cell r="K1905">
            <v>1</v>
          </cell>
          <cell r="L1905">
            <v>0</v>
          </cell>
        </row>
        <row r="1906">
          <cell r="A1906" t="str">
            <v>10019.06739</v>
          </cell>
          <cell r="B1906" t="str">
            <v>LANIERE CAOUT.DIAM 5MM</v>
          </cell>
          <cell r="C1906" t="str">
            <v xml:space="preserve">LANIERE EN CAOUTCHOUC POLYMERE DE BASE: PERBUNAN POUR CONFECTION DE JOINTS TORIQUES DURETE SHORE: 90 TEMPERATURE: -40 A +130°C DIAMETRE: 5 MM </v>
          </cell>
          <cell r="D1906" t="str">
            <v>KG</v>
          </cell>
          <cell r="E1906" t="str">
            <v>522.52207</v>
          </cell>
          <cell r="F1906">
            <v>672</v>
          </cell>
          <cell r="G1906">
            <v>0</v>
          </cell>
          <cell r="H1906">
            <v>0</v>
          </cell>
          <cell r="I1906">
            <v>0</v>
          </cell>
          <cell r="J1906">
            <v>0</v>
          </cell>
          <cell r="K1906">
            <v>1</v>
          </cell>
          <cell r="L1906">
            <v>0</v>
          </cell>
        </row>
        <row r="1907">
          <cell r="A1907" t="str">
            <v>10019.06744</v>
          </cell>
          <cell r="B1907" t="str">
            <v>LANIERE CAOUT.DIAM 8MM</v>
          </cell>
          <cell r="C1907" t="str">
            <v xml:space="preserve">LANIERE EN CAOUTCHOUC POLYMERE DE BASE: PERBUNAN POUR CONFECTION DE JOINTS TORIQUES DURETE SHORE: 90 TEMPERATURE: -40 A +130°C DIAMETRE: 8 MM </v>
          </cell>
          <cell r="D1907" t="str">
            <v>KG</v>
          </cell>
          <cell r="E1907" t="str">
            <v>522.52207</v>
          </cell>
          <cell r="F1907">
            <v>516</v>
          </cell>
          <cell r="G1907">
            <v>0</v>
          </cell>
          <cell r="H1907">
            <v>0</v>
          </cell>
          <cell r="I1907">
            <v>0</v>
          </cell>
          <cell r="J1907">
            <v>0</v>
          </cell>
          <cell r="K1907">
            <v>1</v>
          </cell>
          <cell r="L1907">
            <v>0</v>
          </cell>
        </row>
        <row r="1908">
          <cell r="A1908" t="str">
            <v>10019.06746</v>
          </cell>
          <cell r="B1908" t="str">
            <v>LANIERE CAOUT.DIAM 10MM</v>
          </cell>
          <cell r="C1908" t="str">
            <v xml:space="preserve">LANIERE EN CAOUTCHOUC POLYMERE DE BASE: PERBUNAN POUR CONFECTION DE JOINTS TORIQUES DURETE SHORE: 90 TEMPERATURE: -40 A +130°C DIAMETRE: 10 MM </v>
          </cell>
          <cell r="D1908" t="str">
            <v>KG</v>
          </cell>
          <cell r="E1908" t="str">
            <v>522.52207</v>
          </cell>
          <cell r="F1908">
            <v>492</v>
          </cell>
          <cell r="G1908">
            <v>0</v>
          </cell>
          <cell r="H1908">
            <v>0</v>
          </cell>
          <cell r="I1908">
            <v>0</v>
          </cell>
          <cell r="J1908">
            <v>0</v>
          </cell>
          <cell r="K1908">
            <v>1</v>
          </cell>
          <cell r="L1908">
            <v>0</v>
          </cell>
        </row>
        <row r="1909">
          <cell r="A1909" t="str">
            <v>10019.09422</v>
          </cell>
          <cell r="B1909" t="str">
            <v>JOINT SPIRALE GRAPHITE</v>
          </cell>
          <cell r="C1909" t="str">
            <v xml:space="preserve">JOINT SPIRALE GRAPHITE CLASSE 150 LBS NORME ASME 16-20 MATIERE 304SS EPAISSEUR 4,4MMDN 80 MM </v>
          </cell>
          <cell r="D1909" t="str">
            <v>PE</v>
          </cell>
          <cell r="E1909" t="str">
            <v>522.52207</v>
          </cell>
          <cell r="F1909">
            <v>51.536799999999999</v>
          </cell>
          <cell r="G1909">
            <v>7</v>
          </cell>
          <cell r="H1909">
            <v>1</v>
          </cell>
          <cell r="I1909">
            <v>4</v>
          </cell>
          <cell r="J1909">
            <v>7</v>
          </cell>
          <cell r="K1909">
            <v>0</v>
          </cell>
          <cell r="L1909">
            <v>62</v>
          </cell>
        </row>
        <row r="1910">
          <cell r="A1910" t="str">
            <v>10019.09424</v>
          </cell>
          <cell r="B1910" t="str">
            <v>JOINT SPIRALE GRAPHITE</v>
          </cell>
          <cell r="C1910" t="str">
            <v xml:space="preserve">JOINT SPIRALE GRAPHITE CLASSE 150 LBS NORME ASME 16-20 MATIERE 304SS EPAISSEUR 4,4MMDN 100 MM </v>
          </cell>
          <cell r="D1910" t="str">
            <v>PE</v>
          </cell>
          <cell r="E1910" t="str">
            <v>522.52207</v>
          </cell>
          <cell r="F1910">
            <v>80.208699999999993</v>
          </cell>
          <cell r="G1910">
            <v>0</v>
          </cell>
          <cell r="H1910">
            <v>2</v>
          </cell>
          <cell r="I1910">
            <v>2</v>
          </cell>
          <cell r="J1910">
            <v>1</v>
          </cell>
          <cell r="K1910">
            <v>0</v>
          </cell>
          <cell r="L1910">
            <v>54</v>
          </cell>
        </row>
        <row r="1911">
          <cell r="A1911" t="str">
            <v>10019.09426</v>
          </cell>
          <cell r="B1911" t="str">
            <v>JOINT SPIRALE GRAPHITE</v>
          </cell>
          <cell r="C1911" t="str">
            <v xml:space="preserve">JOINT SPIRALE GRAPHITE CLASSE 150 LBS NORME ASME 16-20 MATIERE 304SS EPAISSEUR 4,4MMDN 150 MM </v>
          </cell>
          <cell r="D1911" t="str">
            <v>PE</v>
          </cell>
          <cell r="E1911" t="str">
            <v>522.52207</v>
          </cell>
          <cell r="F1911">
            <v>62.026499999999999</v>
          </cell>
          <cell r="G1911">
            <v>0</v>
          </cell>
          <cell r="H1911">
            <v>0</v>
          </cell>
          <cell r="I1911">
            <v>0</v>
          </cell>
          <cell r="J1911">
            <v>4</v>
          </cell>
          <cell r="K1911">
            <v>0</v>
          </cell>
          <cell r="L1911">
            <v>0</v>
          </cell>
        </row>
        <row r="1912">
          <cell r="A1912" t="str">
            <v>10019.09428</v>
          </cell>
          <cell r="B1912" t="str">
            <v>JOINT SPIRALE GRAPHITE</v>
          </cell>
          <cell r="C1912" t="str">
            <v xml:space="preserve">JOINT SPIRALE GRAPHITE CLASSE 150 LBS NORME ASME 16-20 MATIERE 304SS EPAISSEUR 4,4MMDN 200 MM </v>
          </cell>
          <cell r="D1912" t="str">
            <v>PE</v>
          </cell>
          <cell r="E1912" t="str">
            <v>522.52207</v>
          </cell>
          <cell r="F1912">
            <v>155.94980000000001</v>
          </cell>
          <cell r="G1912">
            <v>3</v>
          </cell>
          <cell r="H1912">
            <v>0</v>
          </cell>
          <cell r="I1912">
            <v>2</v>
          </cell>
          <cell r="J1912">
            <v>1</v>
          </cell>
          <cell r="K1912">
            <v>0</v>
          </cell>
          <cell r="L1912">
            <v>57</v>
          </cell>
        </row>
        <row r="1913">
          <cell r="A1913" t="str">
            <v>10019.09430</v>
          </cell>
          <cell r="B1913" t="str">
            <v>JOINT SPIRALE GRAPHITE</v>
          </cell>
          <cell r="C1913" t="str">
            <v xml:space="preserve">JOINT SPIRALE GRAPHITE CLASSE 150 LBS NORME ASME 16-20 MATIERE 304SS EPAISSEUR 4,4MMDN 250 MM </v>
          </cell>
          <cell r="D1913" t="str">
            <v>PE</v>
          </cell>
          <cell r="E1913" t="str">
            <v>522.52207</v>
          </cell>
          <cell r="F1913">
            <v>186.6857</v>
          </cell>
          <cell r="G1913">
            <v>8</v>
          </cell>
          <cell r="H1913">
            <v>0</v>
          </cell>
          <cell r="I1913">
            <v>0</v>
          </cell>
          <cell r="J1913">
            <v>3</v>
          </cell>
          <cell r="K1913">
            <v>0</v>
          </cell>
          <cell r="L1913">
            <v>0</v>
          </cell>
        </row>
        <row r="1914">
          <cell r="A1914" t="str">
            <v>10019.09432</v>
          </cell>
          <cell r="B1914" t="str">
            <v>JOINT SPIRALE GRAPHITE</v>
          </cell>
          <cell r="C1914" t="str">
            <v xml:space="preserve">JOINT SPIRALE GRAPHITE CLASSE 150 LBS NORME ASME 16-20 MATIERE 304SS EPAISSEUR 4,4MMDN 300 MM </v>
          </cell>
          <cell r="D1914" t="str">
            <v>PE</v>
          </cell>
          <cell r="E1914" t="str">
            <v>522.52207</v>
          </cell>
          <cell r="F1914">
            <v>270</v>
          </cell>
          <cell r="G1914">
            <v>0</v>
          </cell>
          <cell r="H1914">
            <v>0</v>
          </cell>
          <cell r="I1914">
            <v>0</v>
          </cell>
          <cell r="J1914">
            <v>0</v>
          </cell>
          <cell r="K1914">
            <v>78</v>
          </cell>
          <cell r="L1914">
            <v>0</v>
          </cell>
        </row>
        <row r="1915">
          <cell r="A1915" t="str">
            <v>10019.09434</v>
          </cell>
          <cell r="B1915" t="str">
            <v>JOINT SPIRALE GRAPHITE</v>
          </cell>
          <cell r="C1915" t="str">
            <v xml:space="preserve">JOINT SPIRALE GRAPHITE CLASSE 150 LBS NORME ASME 16-20 MATIERE 304SS EPAISSEUR 4,4MMDN 350 MM </v>
          </cell>
          <cell r="D1915" t="str">
            <v>PE</v>
          </cell>
          <cell r="E1915" t="str">
            <v>522.52207</v>
          </cell>
          <cell r="F1915">
            <v>307.16860000000003</v>
          </cell>
          <cell r="G1915">
            <v>2</v>
          </cell>
          <cell r="H1915">
            <v>0</v>
          </cell>
          <cell r="I1915">
            <v>0</v>
          </cell>
          <cell r="J1915">
            <v>1</v>
          </cell>
          <cell r="K1915">
            <v>0</v>
          </cell>
          <cell r="L1915">
            <v>2</v>
          </cell>
        </row>
        <row r="1916">
          <cell r="A1916" t="str">
            <v>10019.09436</v>
          </cell>
          <cell r="B1916" t="str">
            <v>JOINT SPIRALE GRAPHITE</v>
          </cell>
          <cell r="C1916" t="str">
            <v xml:space="preserve">JOINT SPIRALE GRAPHITE CLASSE 150 LBS NORME ASME 16-20 MATIERE 304SS EPAISSEUR 4,4MMDN 450 MM </v>
          </cell>
          <cell r="D1916" t="str">
            <v>PE</v>
          </cell>
          <cell r="E1916" t="str">
            <v>522.52207</v>
          </cell>
          <cell r="F1916">
            <v>314</v>
          </cell>
          <cell r="G1916">
            <v>6</v>
          </cell>
          <cell r="H1916">
            <v>0</v>
          </cell>
          <cell r="I1916">
            <v>0</v>
          </cell>
          <cell r="J1916">
            <v>0</v>
          </cell>
          <cell r="K1916">
            <v>0</v>
          </cell>
          <cell r="L1916">
            <v>4</v>
          </cell>
        </row>
        <row r="1917">
          <cell r="A1917" t="str">
            <v>10000.03314</v>
          </cell>
          <cell r="B1917" t="str">
            <v>RESINE ANIONIQUE FAIBLE.B</v>
          </cell>
          <cell r="C1917" t="str">
            <v xml:space="preserve">MATIERES AUXILIAIRES RESINE ANIONIQUE FAIBLEMENT BASIQUE POUR TRAITEMENT DES EAUX. GENRE LEWATIT MP 64 WS OU PRODUIT SIMILAIRE CONDITIONNEMENT EN FUT DE 200LITRES REPONDANT AUX NORMES D'EMBALLAGES MARITIME UTILISES POUR L'EXPORTATIONN.B : GARANTIE EXIGEE A L'UTILISATION </v>
          </cell>
          <cell r="D1917" t="str">
            <v>L</v>
          </cell>
          <cell r="E1917" t="str">
            <v>111.11101</v>
          </cell>
          <cell r="F1917">
            <v>51.673299999999998</v>
          </cell>
          <cell r="G1917">
            <v>0</v>
          </cell>
          <cell r="H1917">
            <v>11000</v>
          </cell>
          <cell r="I1917">
            <v>0</v>
          </cell>
          <cell r="J1917">
            <v>0</v>
          </cell>
          <cell r="K1917">
            <v>0</v>
          </cell>
          <cell r="L1917">
            <v>0</v>
          </cell>
        </row>
        <row r="1918">
          <cell r="A1918" t="str">
            <v>10019.00145</v>
          </cell>
          <cell r="B1918" t="str">
            <v>TRESSE CARREE 6 MM</v>
          </cell>
          <cell r="C1918" t="str">
            <v>TRESSE CARREE GRAPHITEE ARMEEARMATURE: FIL EN ACIER INOXYDABLERESISTANT AUX HAUTES TEMPERATURESPOUR VANNE A VAPEUR HPPH 0-14; TEMPERATURE 650°C; PRESSION 250 BARS;VITESSE 10M/SCOTE 6 MM</v>
          </cell>
          <cell r="D1918" t="str">
            <v>KG</v>
          </cell>
          <cell r="E1918" t="str">
            <v>522.52207</v>
          </cell>
          <cell r="F1918">
            <v>325</v>
          </cell>
          <cell r="G1918">
            <v>8</v>
          </cell>
          <cell r="H1918">
            <v>0</v>
          </cell>
          <cell r="I1918">
            <v>0</v>
          </cell>
          <cell r="J1918">
            <v>0</v>
          </cell>
          <cell r="K1918">
            <v>0</v>
          </cell>
          <cell r="L1918">
            <v>0</v>
          </cell>
        </row>
        <row r="1919">
          <cell r="A1919" t="str">
            <v>10000.03317</v>
          </cell>
          <cell r="B1919" t="str">
            <v>RESINE CATIONIQUE FORTE.P</v>
          </cell>
          <cell r="C1919" t="str">
            <v>MATIERES AUXILIAIRES RESINE CATIONIQUE FORTE (DEMINERALISATION PRIMAIRE) POUR TRAITEMENT DES EAUX GENRE LEWATIT S 100 WS OU DUOLITE C 20 LF OU PRODUIT SIMILAIRE CONDITIONNEMENT : EN FUT DE 200LITRES REPONDANT AUX NORMES D'EMBALLAGES MARITIME UTILISES POUR L'EXPORTATION N.B : GARANTIE EXIGEE A L'UTILISATION</v>
          </cell>
          <cell r="D1919" t="str">
            <v>L</v>
          </cell>
          <cell r="E1919" t="str">
            <v>111.11101</v>
          </cell>
          <cell r="F1919">
            <v>20.731999999999999</v>
          </cell>
          <cell r="G1919">
            <v>0</v>
          </cell>
          <cell r="H1919">
            <v>19800</v>
          </cell>
          <cell r="I1919">
            <v>0</v>
          </cell>
          <cell r="J1919">
            <v>0</v>
          </cell>
          <cell r="K1919">
            <v>0</v>
          </cell>
          <cell r="L1919">
            <v>0</v>
          </cell>
        </row>
        <row r="1920">
          <cell r="A1920" t="str">
            <v>10019.00146</v>
          </cell>
          <cell r="B1920" t="str">
            <v>TRESSE CARREE 8 MM</v>
          </cell>
          <cell r="C1920" t="str">
            <v>TRESSE CARREE GRAPHITEE ARMEEARMATURE: FIL EN ACIER INOXYDABLERESISTANT AUX HAUTES TEMPERATURESPOUR VANNE A VAPEUR HPPH 0-14; TEMPERATURE 650°C; PRESSION 250 BARS;VITESSE 10M/SCOTE 8 MM</v>
          </cell>
          <cell r="D1920" t="str">
            <v>KG</v>
          </cell>
          <cell r="E1920" t="str">
            <v>522.52207</v>
          </cell>
          <cell r="F1920">
            <v>325</v>
          </cell>
          <cell r="G1920">
            <v>0</v>
          </cell>
          <cell r="H1920">
            <v>0</v>
          </cell>
          <cell r="I1920">
            <v>0</v>
          </cell>
          <cell r="J1920">
            <v>0</v>
          </cell>
          <cell r="K1920">
            <v>0</v>
          </cell>
          <cell r="L1920">
            <v>10</v>
          </cell>
        </row>
        <row r="1921">
          <cell r="A1921" t="str">
            <v>10019.06752</v>
          </cell>
          <cell r="B1921" t="str">
            <v>LANIERE CAOUT.DIAM.2MM</v>
          </cell>
          <cell r="C1921" t="str">
            <v xml:space="preserve">LANIERE EN CAOUTCHOUC  POUR CONFECTION DE JOINTS TORIQUES DURETE SHORE: 60 A 80 TEMPERATURE: -30 A +200°C RESISTANCE A LA RUPTURE: 100 A 140 KG/CM2 DIAMETRE: 2 MM </v>
          </cell>
          <cell r="D1921" t="str">
            <v>KG</v>
          </cell>
          <cell r="E1921" t="str">
            <v>522.52207</v>
          </cell>
          <cell r="F1921">
            <v>1500</v>
          </cell>
          <cell r="G1921">
            <v>0</v>
          </cell>
          <cell r="H1921">
            <v>0</v>
          </cell>
          <cell r="I1921">
            <v>0</v>
          </cell>
          <cell r="J1921">
            <v>0</v>
          </cell>
          <cell r="K1921">
            <v>1</v>
          </cell>
          <cell r="L1921">
            <v>0</v>
          </cell>
        </row>
        <row r="1922">
          <cell r="A1922" t="str">
            <v>10000.03268</v>
          </cell>
          <cell r="B1922" t="str">
            <v>PHOSPHATE TRISODIQUE</v>
          </cell>
          <cell r="C1922" t="str">
            <v xml:space="preserve">MATIERES AUXILIAIRES CONDITIONNEMENT EAU DE CHAUDIERE PHOSPHATE TRISODIQUE PO4NA3 P2O5 = 18% - NA3PO4 = 42% - NAOH= 1,5% NA2CO3= 1% - H2O= 54,5% - NA2SO4=0,5% - CL&lt;0,015% CONDITIONNEMENT EN SACS RENFORCES DE 25 KG SAC INTERNE : EN POLYETHYLENE RESISTANCE 250 GR/CM2 EPAISSEUR 100 MICRONS COULEUR BLANCHE SAC EXTERNE EN POLYPROPYLENE RESISTANCE 25 KG </v>
          </cell>
          <cell r="D1922" t="str">
            <v>KG</v>
          </cell>
          <cell r="E1922" t="str">
            <v>111.11101</v>
          </cell>
          <cell r="F1922">
            <v>7</v>
          </cell>
          <cell r="G1922">
            <v>0</v>
          </cell>
          <cell r="H1922">
            <v>0</v>
          </cell>
          <cell r="I1922">
            <v>1000</v>
          </cell>
          <cell r="J1922">
            <v>0</v>
          </cell>
          <cell r="K1922">
            <v>0</v>
          </cell>
          <cell r="L1922">
            <v>0</v>
          </cell>
        </row>
        <row r="1923">
          <cell r="A1923" t="str">
            <v>10000.03268</v>
          </cell>
          <cell r="B1923" t="str">
            <v>PHOSPHATE TRISODIQUE</v>
          </cell>
          <cell r="C1923" t="str">
            <v xml:space="preserve">MATIERES AUXILIAIRES CONDITIONNEMENT EAU DE CHAUDIERE PHOSPHATE TRISODIQUE PO4NA3 P2O5 = 18% - NA3PO4 = 42% - NAOH= 1,5% NA2CO3= 1% - H2O= 54,5% - NA2SO4=0,5% - CL&lt;0,015% CONDITIONNEMENT EN SACS RENFORCES DE 25 KG SAC INTERNE : EN POLYETHYLENE RESISTANCE 250 GR/CM2 EPAISSEUR 100 MICRONS COULEUR BLANCHE SAC EXTERNE EN POLYPROPYLENE RESISTANCE 25 KG </v>
          </cell>
          <cell r="D1923" t="str">
            <v>KG</v>
          </cell>
          <cell r="E1923" t="str">
            <v>111.11101</v>
          </cell>
          <cell r="F1923">
            <v>7</v>
          </cell>
          <cell r="G1923">
            <v>0</v>
          </cell>
          <cell r="H1923">
            <v>0</v>
          </cell>
          <cell r="I1923">
            <v>0</v>
          </cell>
          <cell r="J1923">
            <v>0</v>
          </cell>
          <cell r="K1923">
            <v>1800</v>
          </cell>
          <cell r="L1923">
            <v>0</v>
          </cell>
        </row>
        <row r="1924">
          <cell r="A1924" t="str">
            <v>10000.03268</v>
          </cell>
          <cell r="B1924" t="str">
            <v>PHOSPHATE TRISODIQUE</v>
          </cell>
          <cell r="C1924" t="str">
            <v xml:space="preserve">MATIERES AUXILIAIRES CONDITIONNEMENT EAU DE CHAUDIERE PHOSPHATE TRISODIQUE PO4NA3 P2O5 = 18% - NA3PO4 = 42% - NAOH= 1,5% NA2CO3= 1% - H2O= 54,5% - NA2SO4=0,5% - CL&lt;0,015% CONDITIONNEMENT EN SACS RENFORCES DE 25 KG SAC INTERNE : EN POLYETHYLENE RESISTANCE 250 GR/CM2 EPAISSEUR 100 MICRONS COULEUR BLANCHE SAC EXTERNE EN POLYPROPYLENE RESISTANCE 25 KG </v>
          </cell>
          <cell r="D1924" t="str">
            <v>KG</v>
          </cell>
          <cell r="E1924" t="str">
            <v>111.11101</v>
          </cell>
          <cell r="F1924">
            <v>7</v>
          </cell>
          <cell r="G1924">
            <v>0</v>
          </cell>
          <cell r="H1924">
            <v>0</v>
          </cell>
          <cell r="I1924">
            <v>0</v>
          </cell>
          <cell r="J1924">
            <v>0</v>
          </cell>
          <cell r="K1924">
            <v>0</v>
          </cell>
          <cell r="L1924">
            <v>0</v>
          </cell>
        </row>
        <row r="1925">
          <cell r="A1925" t="str">
            <v>10000.03272</v>
          </cell>
          <cell r="B1925" t="str">
            <v>HYDRATE D'HYDRAZINE</v>
          </cell>
          <cell r="C1925" t="str">
            <v xml:space="preserve">MATIERES AUXILIAIRES HYDRATE D'HYDRAZINE N2H4H20 A 24% CORRESPONDANT A 15% N2H4Cl = 1ppm MAX - Na = 1ppm MAX - Fe = 0,5ppm MAX Cr , NI-0,05 PPM MAX CONDITIONNEMENT EN FUTS METALLIQUES DE 25 KGS AVEC POLYETHYLENE A L'INTERIEUR. </v>
          </cell>
          <cell r="D1925" t="str">
            <v>KG</v>
          </cell>
          <cell r="E1925" t="str">
            <v>111.11101</v>
          </cell>
          <cell r="F1925">
            <v>18.599</v>
          </cell>
          <cell r="G1925">
            <v>0</v>
          </cell>
          <cell r="H1925">
            <v>0</v>
          </cell>
          <cell r="I1925">
            <v>0</v>
          </cell>
          <cell r="J1925">
            <v>0</v>
          </cell>
          <cell r="K1925">
            <v>0</v>
          </cell>
          <cell r="L1925">
            <v>0</v>
          </cell>
        </row>
        <row r="1926">
          <cell r="A1926" t="str">
            <v>10000.03272</v>
          </cell>
          <cell r="B1926" t="str">
            <v>HYDRATE D'HYDRAZINE</v>
          </cell>
          <cell r="C1926" t="str">
            <v xml:space="preserve">MATIERES AUXILIAIRES HYDRATE D'HYDRAZINE N2H4H20 A 24% CORRESPONDANT A 15% N2H4Cl = 1ppm MAX - Na = 1ppm MAX - Fe = 0,5ppm MAX Cr , NI-0,05 PPM MAX CONDITIONNEMENT EN FUTS METALLIQUES DE 25 KGS AVEC POLYETHYLENE A L'INTERIEUR. </v>
          </cell>
          <cell r="D1926" t="str">
            <v>KG</v>
          </cell>
          <cell r="E1926" t="str">
            <v>111.11101</v>
          </cell>
          <cell r="F1926">
            <v>18.599</v>
          </cell>
          <cell r="G1926">
            <v>0</v>
          </cell>
          <cell r="H1926">
            <v>0</v>
          </cell>
          <cell r="I1926">
            <v>0</v>
          </cell>
          <cell r="J1926">
            <v>0</v>
          </cell>
          <cell r="K1926">
            <v>0</v>
          </cell>
          <cell r="L1926">
            <v>0</v>
          </cell>
        </row>
        <row r="1927">
          <cell r="A1927" t="str">
            <v>10019.06753</v>
          </cell>
          <cell r="B1927" t="str">
            <v>LANIERE CAOUT.DIAM.2,50MM</v>
          </cell>
          <cell r="C1927" t="str">
            <v xml:space="preserve">LANIERE EN CAOUTCHOUC  POUR CONFECTION DE JOINTS TORIQUES DURETE SHORE: 60 A 80 TEMPERATURE: -30 A +200°C RESISTANCE A LA RUPTURE: 100 A 140 KG/CM2 DIAMETRE: 2.5MM </v>
          </cell>
          <cell r="D1927" t="str">
            <v>KG</v>
          </cell>
          <cell r="E1927" t="str">
            <v>522.52207</v>
          </cell>
          <cell r="F1927">
            <v>1416</v>
          </cell>
          <cell r="G1927">
            <v>0</v>
          </cell>
          <cell r="H1927">
            <v>0</v>
          </cell>
          <cell r="I1927">
            <v>0</v>
          </cell>
          <cell r="J1927">
            <v>0</v>
          </cell>
          <cell r="K1927">
            <v>1</v>
          </cell>
          <cell r="L1927">
            <v>0</v>
          </cell>
        </row>
        <row r="1928">
          <cell r="A1928" t="str">
            <v>10019.09464</v>
          </cell>
          <cell r="B1928" t="str">
            <v>JOINT SPIRALE GRAPHITE</v>
          </cell>
          <cell r="C1928" t="str">
            <v xml:space="preserve">JOINT SPIRALE GRAPHITE CLASSE 300 LBS NORME ASME 16-20 MATIERE 304SS EPAISSEUR 4,4MMDN 50 MM </v>
          </cell>
          <cell r="D1928" t="str">
            <v>PE</v>
          </cell>
          <cell r="E1928" t="str">
            <v>522.52207</v>
          </cell>
          <cell r="F1928">
            <v>27.84</v>
          </cell>
          <cell r="G1928">
            <v>9</v>
          </cell>
          <cell r="H1928">
            <v>0</v>
          </cell>
          <cell r="I1928">
            <v>0</v>
          </cell>
          <cell r="J1928">
            <v>1</v>
          </cell>
          <cell r="K1928">
            <v>0</v>
          </cell>
          <cell r="L1928">
            <v>0</v>
          </cell>
        </row>
        <row r="1929">
          <cell r="A1929" t="str">
            <v>10019.09466</v>
          </cell>
          <cell r="B1929" t="str">
            <v>JOINT SPIRALE GRAPHITE</v>
          </cell>
          <cell r="C1929" t="str">
            <v xml:space="preserve">JOINT SPIRALE GRAPHITE CLASSE 300 LBS NORME ASME 16-20 MATIERE 304SS EPAISSEUR 4,4MMDN 100 MM </v>
          </cell>
          <cell r="D1929" t="str">
            <v>PE</v>
          </cell>
          <cell r="E1929" t="str">
            <v>522.52207</v>
          </cell>
          <cell r="F1929">
            <v>81.84</v>
          </cell>
          <cell r="G1929">
            <v>2</v>
          </cell>
          <cell r="H1929">
            <v>0</v>
          </cell>
          <cell r="I1929">
            <v>2</v>
          </cell>
          <cell r="J1929">
            <v>0</v>
          </cell>
          <cell r="K1929">
            <v>0</v>
          </cell>
          <cell r="L1929">
            <v>9</v>
          </cell>
        </row>
        <row r="1930">
          <cell r="A1930" t="str">
            <v>10019.09456</v>
          </cell>
          <cell r="B1930" t="str">
            <v>JOINT SPIRALE GRAPHITE</v>
          </cell>
          <cell r="C1930" t="str">
            <v xml:space="preserve">JOINT SPIRALE GRAPHITE CLASSE 300 LBS NORME ASME 16-20 MATIERE 304SS EPAISSEUR 4,4MMDN 15 MM </v>
          </cell>
          <cell r="D1930" t="str">
            <v>PE</v>
          </cell>
          <cell r="E1930" t="str">
            <v>522.52207</v>
          </cell>
          <cell r="F1930">
            <v>8</v>
          </cell>
          <cell r="G1930">
            <v>0</v>
          </cell>
          <cell r="H1930">
            <v>0</v>
          </cell>
          <cell r="I1930">
            <v>3</v>
          </cell>
          <cell r="J1930">
            <v>0</v>
          </cell>
          <cell r="K1930">
            <v>12</v>
          </cell>
          <cell r="L1930">
            <v>7</v>
          </cell>
        </row>
        <row r="1931">
          <cell r="A1931" t="str">
            <v>10019.09458</v>
          </cell>
          <cell r="B1931" t="str">
            <v>JOINT SPIRALE GRAPHITE</v>
          </cell>
          <cell r="C1931" t="str">
            <v xml:space="preserve">JOINT SPIRALE GRAPHITE CLASSE 300 LBS NORME ASME 16-20 MATIERE 304SS EPAISSEUR 4,4MMDN 20 MM </v>
          </cell>
          <cell r="D1931" t="str">
            <v>PE</v>
          </cell>
          <cell r="E1931" t="str">
            <v>522.52207</v>
          </cell>
          <cell r="F1931">
            <v>16.149999999999999</v>
          </cell>
          <cell r="G1931">
            <v>0</v>
          </cell>
          <cell r="H1931">
            <v>0</v>
          </cell>
          <cell r="I1931">
            <v>0</v>
          </cell>
          <cell r="J1931">
            <v>0</v>
          </cell>
          <cell r="K1931">
            <v>7</v>
          </cell>
          <cell r="L1931">
            <v>0</v>
          </cell>
        </row>
        <row r="1932">
          <cell r="A1932" t="str">
            <v>10019.09468</v>
          </cell>
          <cell r="B1932" t="str">
            <v>JOINT SPIRALE GRAPHITE</v>
          </cell>
          <cell r="C1932" t="str">
            <v xml:space="preserve">JOINT SPIRALE GRAPHITE CLASSE 300 LBS NORME ASME 16-20 MATIERE 304SS EPAISSEUR 4,4MMDN 150 MM </v>
          </cell>
          <cell r="D1932" t="str">
            <v>PE</v>
          </cell>
          <cell r="E1932" t="str">
            <v>522.52207</v>
          </cell>
          <cell r="F1932">
            <v>116.5714</v>
          </cell>
          <cell r="G1932">
            <v>5</v>
          </cell>
          <cell r="H1932">
            <v>0</v>
          </cell>
          <cell r="I1932">
            <v>0</v>
          </cell>
          <cell r="J1932">
            <v>1</v>
          </cell>
          <cell r="K1932">
            <v>0</v>
          </cell>
          <cell r="L1932">
            <v>0</v>
          </cell>
        </row>
        <row r="1933">
          <cell r="A1933" t="str">
            <v>10019.09470</v>
          </cell>
          <cell r="B1933" t="str">
            <v>JOINT SPIRALE GRAPHITE</v>
          </cell>
          <cell r="C1933" t="str">
            <v xml:space="preserve">JOINT SPIRALE GRAPHITE CLASSE 300 LBS NORME ASME 16-20 MATIERE 304SS EPAISSEUR 4,4MMDN 200 MM </v>
          </cell>
          <cell r="D1933" t="str">
            <v>PE</v>
          </cell>
          <cell r="E1933" t="str">
            <v>522.52207</v>
          </cell>
          <cell r="F1933">
            <v>92.5989</v>
          </cell>
          <cell r="G1933">
            <v>4</v>
          </cell>
          <cell r="H1933">
            <v>0</v>
          </cell>
          <cell r="I1933">
            <v>0</v>
          </cell>
          <cell r="J1933">
            <v>2</v>
          </cell>
          <cell r="K1933">
            <v>0</v>
          </cell>
          <cell r="L1933">
            <v>2</v>
          </cell>
        </row>
        <row r="1934">
          <cell r="A1934" t="str">
            <v>10019.09462</v>
          </cell>
          <cell r="B1934" t="str">
            <v>JOINT SPIRALE GRAPHITE</v>
          </cell>
          <cell r="C1934" t="str">
            <v xml:space="preserve">JOINT SPIRALE GRAPHITE CLASSE 300 LBS NORME ASME 16-20 MATIERE 304SS EPAISSEUR 4,4MMDN 40 MM </v>
          </cell>
          <cell r="D1934" t="str">
            <v>PE</v>
          </cell>
          <cell r="E1934" t="str">
            <v>522.52207</v>
          </cell>
          <cell r="F1934">
            <v>26.34</v>
          </cell>
          <cell r="G1934">
            <v>0</v>
          </cell>
          <cell r="H1934">
            <v>0</v>
          </cell>
          <cell r="I1934">
            <v>0</v>
          </cell>
          <cell r="J1934">
            <v>0</v>
          </cell>
          <cell r="K1934">
            <v>5</v>
          </cell>
          <cell r="L1934">
            <v>0</v>
          </cell>
        </row>
        <row r="1935">
          <cell r="A1935" t="str">
            <v>10016.00016</v>
          </cell>
          <cell r="B1935" t="str">
            <v>ACCOUPLEMENT REX VIVA TAILLE 125</v>
          </cell>
          <cell r="C1935" t="str">
            <v>ACCOUPLEMENT REX VIVA TYPE VS TAILLE: 125NB : DIAMETRE D'ALESAGE A PRECISER LORS DE LA COMMANDE</v>
          </cell>
          <cell r="D1935" t="str">
            <v>PE</v>
          </cell>
          <cell r="E1935" t="str">
            <v>515.51515</v>
          </cell>
          <cell r="F1935">
            <v>2921.5619000000002</v>
          </cell>
          <cell r="G1935">
            <v>0</v>
          </cell>
          <cell r="H1935">
            <v>5</v>
          </cell>
          <cell r="I1935">
            <v>3</v>
          </cell>
          <cell r="J1935">
            <v>1</v>
          </cell>
          <cell r="K1935">
            <v>1</v>
          </cell>
          <cell r="L1935">
            <v>0</v>
          </cell>
        </row>
        <row r="1936">
          <cell r="A1936" t="str">
            <v>10016.00017</v>
          </cell>
          <cell r="B1936" t="str">
            <v>ACCOUPLEMENT REX VIVA TAILLE 245</v>
          </cell>
          <cell r="C1936" t="str">
            <v>ACCOUPLEMENT REX VIVA TYPE VS TAILLE: 245DIMENSIONS: FBH D48H7/D80H7</v>
          </cell>
          <cell r="D1936" t="str">
            <v>PE</v>
          </cell>
          <cell r="E1936" t="str">
            <v>515.51515</v>
          </cell>
          <cell r="F1936">
            <v>9248.8633000000009</v>
          </cell>
          <cell r="G1936">
            <v>0</v>
          </cell>
          <cell r="H1936">
            <v>1</v>
          </cell>
          <cell r="I1936">
            <v>3</v>
          </cell>
          <cell r="J1936">
            <v>2</v>
          </cell>
          <cell r="K1936">
            <v>1</v>
          </cell>
          <cell r="L1936">
            <v>2</v>
          </cell>
        </row>
        <row r="1937">
          <cell r="A1937" t="str">
            <v>10016.00018</v>
          </cell>
          <cell r="B1937" t="str">
            <v>ACCOUPLEMENT REX VIVA TAILLE 290</v>
          </cell>
          <cell r="C1937" t="str">
            <v>ACCOUPLEMENT REX VIVA TYPE VS TAILLE: 290DIMENSIONS: FBH D75H7/D80H7</v>
          </cell>
          <cell r="D1937" t="str">
            <v>PE</v>
          </cell>
          <cell r="E1937" t="str">
            <v>515.51515</v>
          </cell>
          <cell r="F1937">
            <v>10741.291300000001</v>
          </cell>
          <cell r="G1937">
            <v>0</v>
          </cell>
          <cell r="H1937">
            <v>1</v>
          </cell>
          <cell r="I1937">
            <v>1</v>
          </cell>
          <cell r="J1937">
            <v>0</v>
          </cell>
          <cell r="K1937">
            <v>3</v>
          </cell>
          <cell r="L1937">
            <v>1</v>
          </cell>
        </row>
        <row r="1938">
          <cell r="A1938" t="str">
            <v>10016.00019</v>
          </cell>
          <cell r="B1938" t="str">
            <v>ACCOUPLEMENT REX VIVA TAILLE 130</v>
          </cell>
          <cell r="C1938" t="str">
            <v>ACCOUPLEMENT REX VIVA TYPE VS TAILLE: 130DIMENSIONS: FBH D32H7/D48H7</v>
          </cell>
          <cell r="D1938" t="str">
            <v>PE</v>
          </cell>
          <cell r="E1938" t="str">
            <v>515.51515</v>
          </cell>
          <cell r="F1938">
            <v>2892.2</v>
          </cell>
          <cell r="G1938">
            <v>0</v>
          </cell>
          <cell r="H1938">
            <v>0</v>
          </cell>
          <cell r="I1938">
            <v>3</v>
          </cell>
          <cell r="J1938">
            <v>0</v>
          </cell>
          <cell r="K1938">
            <v>2</v>
          </cell>
          <cell r="L1938">
            <v>0</v>
          </cell>
        </row>
        <row r="1939">
          <cell r="A1939" t="str">
            <v>10016.00020</v>
          </cell>
          <cell r="B1939" t="str">
            <v>ACCOUPLEMENT REX VIVA TAILLE 130</v>
          </cell>
          <cell r="C1939" t="str">
            <v>ACCOUPLEMENT REX VIVA TYPE VS TAILLE: 130DIMENSIONS: FBH D42H7/D48H7</v>
          </cell>
          <cell r="D1939" t="str">
            <v>PE</v>
          </cell>
          <cell r="E1939" t="str">
            <v>515.51515</v>
          </cell>
          <cell r="F1939">
            <v>3513.09</v>
          </cell>
          <cell r="G1939">
            <v>0</v>
          </cell>
          <cell r="H1939">
            <v>7</v>
          </cell>
          <cell r="I1939">
            <v>4</v>
          </cell>
          <cell r="J1939">
            <v>0</v>
          </cell>
          <cell r="K1939">
            <v>2</v>
          </cell>
          <cell r="L1939">
            <v>0</v>
          </cell>
        </row>
        <row r="1940">
          <cell r="A1940" t="str">
            <v>10016.00021</v>
          </cell>
          <cell r="B1940" t="str">
            <v>ACCOUPLEMENT REX VIVA TAILLE 150</v>
          </cell>
          <cell r="C1940" t="str">
            <v>ACCOUPLEMENT REX VIVA TYPE VS TAILLE: 150DIMENSIONS: FBH D42H7/D55H7</v>
          </cell>
          <cell r="D1940" t="str">
            <v>PE</v>
          </cell>
          <cell r="E1940" t="str">
            <v>515.51515</v>
          </cell>
          <cell r="F1940">
            <v>3784.46</v>
          </cell>
          <cell r="G1940">
            <v>0</v>
          </cell>
          <cell r="H1940">
            <v>0</v>
          </cell>
          <cell r="I1940">
            <v>0</v>
          </cell>
          <cell r="J1940">
            <v>0</v>
          </cell>
          <cell r="K1940">
            <v>0</v>
          </cell>
          <cell r="L1940">
            <v>1</v>
          </cell>
        </row>
        <row r="1941">
          <cell r="A1941" t="str">
            <v>10019.05288</v>
          </cell>
          <cell r="B1941" t="str">
            <v>BAGUE ETANCHE 270X310X16</v>
          </cell>
          <cell r="C1941" t="str">
            <v xml:space="preserve">BAGUE D'ETANCHEITE A CAGE METALLIQUE DE CONSTRUCTION SOLIDE TYPIQUE POUR LES EQUIPEMENTS INDUSTRIELS LOURDS TYPE : NATIONAL 45 - STEFA DB/AB - CEFILAC M2 - CFW B2 DIMENSIONS : 270 X 310 X 16 MM  </v>
          </cell>
          <cell r="D1941" t="str">
            <v>PE</v>
          </cell>
          <cell r="E1941" t="str">
            <v>522.52207</v>
          </cell>
          <cell r="F1941">
            <v>175.56</v>
          </cell>
          <cell r="G1941">
            <v>0</v>
          </cell>
          <cell r="H1941">
            <v>0</v>
          </cell>
          <cell r="I1941">
            <v>1</v>
          </cell>
          <cell r="J1941">
            <v>0</v>
          </cell>
          <cell r="K1941">
            <v>0</v>
          </cell>
          <cell r="L1941">
            <v>2</v>
          </cell>
        </row>
        <row r="1942">
          <cell r="A1942" t="str">
            <v>10019.07258</v>
          </cell>
          <cell r="B1942" t="str">
            <v>TRESSE CARREE  8 MM</v>
          </cell>
          <cell r="C1942" t="str">
            <v xml:space="preserve">TRESSE CARREE EN FILS EXTREMEMENT FINS DE PTFE ET FABRIQUEE SANS LUBRIFIANT POUR GROSSES SOUPAPES -AXE A ROTATION LENTE POMPE A PISTON -AGITATEUR -MELANGEUR -COMPRESSEUR RESISTANCE: -EAU -VAPEUR -ACIDES -BASES -SOLVANTS -HUILES -GRAISSES -HYDROCARBURES PH 0-14 TEMPERATURE 280°C VITESSE 5M/S  PRESSION  200BARS DENSITE 1.60 COTE 8 MM </v>
          </cell>
          <cell r="D1942" t="str">
            <v>KG</v>
          </cell>
          <cell r="E1942" t="str">
            <v>522.52207</v>
          </cell>
          <cell r="F1942">
            <v>336</v>
          </cell>
          <cell r="G1942">
            <v>0</v>
          </cell>
          <cell r="H1942">
            <v>0</v>
          </cell>
          <cell r="I1942">
            <v>0</v>
          </cell>
          <cell r="J1942">
            <v>0</v>
          </cell>
          <cell r="K1942">
            <v>4</v>
          </cell>
          <cell r="L1942">
            <v>0</v>
          </cell>
        </row>
        <row r="1943">
          <cell r="A1943" t="str">
            <v>10019.07260</v>
          </cell>
          <cell r="B1943" t="str">
            <v>TRESSE CARREE 10 MM</v>
          </cell>
          <cell r="C1943" t="str">
            <v xml:space="preserve">TRESSE CARREE EN FILS EXTREMEMENT FINS DE PTFE ET FABRIQUEE SANS LUBRIFIANT POUR GROSSES SOUPAPES -AXE A ROTATION LENTE POMPE A PISTON -AGITATEUR -MELANGEUR -COMPRESSEUR RESISTANCE: -EAU -VAPEUR -ACIDES -BASES -SOLVANTS -HUILES -GRAISSES -HYDROCARBURES PH 0-14 TEMPERATURE 280°C VITESSE 5M/S  PRESSION  200BARS DENSITE 1.60 COTE 10 MM </v>
          </cell>
          <cell r="D1943" t="str">
            <v>KG</v>
          </cell>
          <cell r="E1943" t="str">
            <v>522.52207</v>
          </cell>
          <cell r="F1943">
            <v>336</v>
          </cell>
          <cell r="G1943">
            <v>0</v>
          </cell>
          <cell r="H1943">
            <v>0</v>
          </cell>
          <cell r="I1943">
            <v>0</v>
          </cell>
          <cell r="J1943">
            <v>0</v>
          </cell>
          <cell r="K1943">
            <v>8</v>
          </cell>
          <cell r="L1943">
            <v>0</v>
          </cell>
        </row>
        <row r="1944">
          <cell r="A1944" t="str">
            <v>10019.07262</v>
          </cell>
          <cell r="B1944" t="str">
            <v>TRESSE CARREE 12 MM</v>
          </cell>
          <cell r="C1944" t="str">
            <v xml:space="preserve">TRESSE CARREE EN FILS EXTREMEMENT FINS DE PTFE ET FABRIQUEE SANS LUBRIFIANT POUR GROSSES SOUPAPES -AXE A ROTATION LENTE POMPE A PISTON -AGITATEUR -MELANGEUR -COMPRESSEUR RESISTANCE: -EAU -VAPEUR -ACIDES -BASES -SOLVANTS -HUILES -GRAISSES -HYDROCARBURES PH 0-14 TEMPERATURE 280°C VITESSE 5M/S  PRESSION  200BARS DENSITE 1.60 COTE 12 MM </v>
          </cell>
          <cell r="D1944" t="str">
            <v>KG</v>
          </cell>
          <cell r="E1944" t="str">
            <v>522.52207</v>
          </cell>
          <cell r="F1944">
            <v>336</v>
          </cell>
          <cell r="G1944">
            <v>0</v>
          </cell>
          <cell r="H1944">
            <v>0</v>
          </cell>
          <cell r="I1944">
            <v>0</v>
          </cell>
          <cell r="J1944">
            <v>0</v>
          </cell>
          <cell r="K1944">
            <v>5</v>
          </cell>
          <cell r="L1944">
            <v>0</v>
          </cell>
        </row>
        <row r="1945">
          <cell r="A1945" t="str">
            <v>10019.07264</v>
          </cell>
          <cell r="B1945" t="str">
            <v>TRESSE CARREE 14 MM</v>
          </cell>
          <cell r="C1945" t="str">
            <v xml:space="preserve">TRESSE CARREE EN FILS EXTREMEMENT FINS DE PTFE ET FABRIQUEE SANS LUBRIFIANT POUR GROSSES SOUPAPES -AXE A ROTATION LENTE POMPE A PISTON -AGITATEUR -MELANGEUR -COMPRESSEUR RESISTANCE: -EAU -VAPEUR -ACIDES -BASES -SOLVANTS -HUILES -GRAISSES -HYDROCARBURES PH 0-14 TEMPERATURE 280°C VITESSE 5M/S  PRESSION  200BARS DENSITE 1.60 COTE 14 MM </v>
          </cell>
          <cell r="D1945" t="str">
            <v>KG</v>
          </cell>
          <cell r="E1945" t="str">
            <v>522.52207</v>
          </cell>
          <cell r="F1945">
            <v>270</v>
          </cell>
          <cell r="G1945">
            <v>0</v>
          </cell>
          <cell r="H1945">
            <v>0</v>
          </cell>
          <cell r="I1945">
            <v>0</v>
          </cell>
          <cell r="J1945">
            <v>0</v>
          </cell>
          <cell r="K1945">
            <v>0</v>
          </cell>
          <cell r="L1945">
            <v>0</v>
          </cell>
        </row>
        <row r="1946">
          <cell r="A1946" t="str">
            <v>10019.07268</v>
          </cell>
          <cell r="B1946" t="str">
            <v>TRESSE CARREE COTE 18MM</v>
          </cell>
          <cell r="C1946" t="str">
            <v xml:space="preserve">TRESSE CARREE EN FILS EXTREMEMENT FINS DE PTFE ET FABRIQUEE SANS LUBRIFIANT POUR GROSSES SOUPAPES -AXE A ROTATION LENTE POMPE A PISTON -AGITATEUR -MELANGEUR -COMPRESSEUR RESISTANCE: -EAU -VAPEUR -ACIDES -BASES -SOLVANTS -HUILES -GRAISSES -HYDROCARBURES PH 0-14 TEMPERATURE 280°C VITESSE 5M/S  PRESSION  200BARS DENSITE 1.60 COTE 18 MM </v>
          </cell>
          <cell r="D1946" t="str">
            <v>KG</v>
          </cell>
          <cell r="E1946" t="str">
            <v>522.52207</v>
          </cell>
          <cell r="F1946">
            <v>336</v>
          </cell>
          <cell r="G1946">
            <v>0</v>
          </cell>
          <cell r="H1946">
            <v>0</v>
          </cell>
          <cell r="I1946">
            <v>0</v>
          </cell>
          <cell r="J1946">
            <v>0</v>
          </cell>
          <cell r="K1946">
            <v>0</v>
          </cell>
          <cell r="L1946">
            <v>0</v>
          </cell>
        </row>
        <row r="1947">
          <cell r="A1947" t="str">
            <v>10003.04850</v>
          </cell>
          <cell r="B1947" t="str">
            <v>TOLE PERFOREE INOX 304L 3000X1500X2MM</v>
          </cell>
          <cell r="C1947" t="str">
            <v>TOLE PERFOREE EN ACIER INOXYDABLE NUANCE : AFNOR    Z2 CN 18-10  AISI  304L     DIN  X2 CR NI 18-11  GENRE : CREUSOT-LOIRE ICL 472 BC  COMPOSITION CHIMIQUE MOYENNE (%) : C=0,030 -  Cr=18à20 - Ni=9à11 - Mn=2 -  P=0,045 -  S=0,03 - Si=1 LONGUEUR = 3 METRES  LARGEUR = 1,50 METRE  EPAISSEUR = 2 MM  PERFORATION GANTOIS:RD10  - ENTRAXE=13 MM</v>
          </cell>
          <cell r="D1947" t="str">
            <v>PE</v>
          </cell>
          <cell r="E1947" t="str">
            <v>522.52213</v>
          </cell>
          <cell r="F1947">
            <v>3210.8951000000002</v>
          </cell>
          <cell r="G1947">
            <v>0</v>
          </cell>
          <cell r="H1947">
            <v>2</v>
          </cell>
          <cell r="I1947">
            <v>0</v>
          </cell>
          <cell r="J1947">
            <v>1</v>
          </cell>
          <cell r="K1947">
            <v>1</v>
          </cell>
          <cell r="L1947">
            <v>2</v>
          </cell>
        </row>
        <row r="1948">
          <cell r="A1948" t="str">
            <v>10000.03430</v>
          </cell>
          <cell r="B1948" t="str">
            <v>HYDROXYDE D'AMMONIUM</v>
          </cell>
          <cell r="C1948" t="str">
            <v>SOLUTION HYDROXYDE D'AMMONIUM FORMULE CHIMIQUE NH4OH-NH3                      : 25% MIN-DENSITE              : 0.906 MAX-ASPECT                : LIMPIDE ET INCOLORE-SULFATE              : 0.2 PPM MAX-SODIUM              : 0.1 PPM MAX-CHLORURE         : 0.1 PPM MAX-EMBALLAGE      : JERRICAN LOGEE DE 30 KGNB:PRODUIT DANGEREUX ( FICHE DE DENNEES DE SECURITE EST EXIGEE LORS DE LA LIVRAISON DU PRODUIT).</v>
          </cell>
          <cell r="D1948" t="str">
            <v>KG</v>
          </cell>
          <cell r="E1948" t="str">
            <v>111.11101</v>
          </cell>
          <cell r="F1948">
            <v>9.1</v>
          </cell>
          <cell r="G1948">
            <v>0</v>
          </cell>
          <cell r="H1948">
            <v>0</v>
          </cell>
          <cell r="I1948">
            <v>0</v>
          </cell>
          <cell r="J1948">
            <v>0</v>
          </cell>
          <cell r="K1948">
            <v>2000</v>
          </cell>
          <cell r="L1948">
            <v>0</v>
          </cell>
        </row>
        <row r="1949">
          <cell r="A1949" t="str">
            <v>10006.02465</v>
          </cell>
          <cell r="B1949" t="str">
            <v>EPOXY MULTI FONCTIONNELLE</v>
          </cell>
          <cell r="C1949" t="str">
            <v>EPOXY MULTIFONCTIONNELLE AVEC UN DURCISSEUR MODIFIE UNIQUEMENT POLYAMIDE  GENRE PLASTOCOR INTERNATIONAL P2000  OU SIMILAIRE</v>
          </cell>
          <cell r="D1949" t="str">
            <v>KG</v>
          </cell>
          <cell r="E1949" t="str">
            <v>522.52203</v>
          </cell>
          <cell r="F1949">
            <v>1769.5</v>
          </cell>
          <cell r="G1949">
            <v>0</v>
          </cell>
          <cell r="H1949">
            <v>0</v>
          </cell>
          <cell r="I1949">
            <v>0</v>
          </cell>
          <cell r="J1949">
            <v>0</v>
          </cell>
          <cell r="K1949">
            <v>0</v>
          </cell>
          <cell r="L1949">
            <v>40</v>
          </cell>
        </row>
        <row r="1950">
          <cell r="A1950" t="str">
            <v>10006.02466</v>
          </cell>
          <cell r="B1950" t="str">
            <v>EPOXY MULTI FONCTIONNELLE</v>
          </cell>
          <cell r="C1950" t="str">
            <v>EPOXY MULTIFONCTIONNELLE AVEC UN DURCISSEUR MODIFIE UNIQUEMENT AMINO AMINE  GENRE PLASTOCOR INTERNATIONAL P400 PT  OU SIMILAIRE</v>
          </cell>
          <cell r="D1950" t="str">
            <v>KG</v>
          </cell>
          <cell r="E1950" t="str">
            <v>522.52203</v>
          </cell>
          <cell r="F1950">
            <v>1619.5</v>
          </cell>
          <cell r="G1950">
            <v>0</v>
          </cell>
          <cell r="H1950">
            <v>0</v>
          </cell>
          <cell r="I1950">
            <v>0</v>
          </cell>
          <cell r="J1950">
            <v>0</v>
          </cell>
          <cell r="K1950">
            <v>0</v>
          </cell>
          <cell r="L1950">
            <v>40</v>
          </cell>
        </row>
        <row r="1951">
          <cell r="A1951" t="str">
            <v>10019.02336</v>
          </cell>
          <cell r="B1951" t="str">
            <v>BAGUE ETANCHE 40X52X7   *</v>
          </cell>
          <cell r="C1951" t="str">
            <v xml:space="preserve">BAGUE D'ETANCHEITE A LEVRE DE MANCHETTE A RESSORT DE SERRAGETYPE INTERNE A ARMATURE TOLE SOUS CAOUTCHOUC SYNTHETIQUE NITRILE,RESISTANT A L'ACTION DES LUBRIFIANTS MINERAUX TYPE : PAULSTRA-IE, NATIONAL-35, STEFA-CB , CEFILAC-C, CFW-BA DIMENSIONS : 40 X 52 X 7 MM </v>
          </cell>
          <cell r="D1951" t="str">
            <v>PE</v>
          </cell>
          <cell r="E1951" t="str">
            <v>522.52207</v>
          </cell>
          <cell r="F1951">
            <v>4.9800000000000004</v>
          </cell>
          <cell r="G1951">
            <v>0</v>
          </cell>
          <cell r="H1951">
            <v>0</v>
          </cell>
          <cell r="I1951">
            <v>0</v>
          </cell>
          <cell r="J1951">
            <v>0</v>
          </cell>
          <cell r="K1951">
            <v>10</v>
          </cell>
          <cell r="L1951">
            <v>0</v>
          </cell>
        </row>
        <row r="1952">
          <cell r="A1952" t="str">
            <v>10019.09991</v>
          </cell>
          <cell r="B1952" t="str">
            <v>FEUILLE EN BUTYL</v>
          </cell>
          <cell r="C1952" t="str">
            <v>FEUILLE DE JOINT EN BUTYL DIMENSIONS : 3000 X 1200 X 3MM</v>
          </cell>
          <cell r="D1952" t="str">
            <v>PE</v>
          </cell>
          <cell r="E1952" t="str">
            <v>522.52207</v>
          </cell>
          <cell r="F1952">
            <v>270</v>
          </cell>
          <cell r="G1952">
            <v>0</v>
          </cell>
          <cell r="H1952">
            <v>0</v>
          </cell>
          <cell r="I1952">
            <v>0</v>
          </cell>
          <cell r="J1952">
            <v>0</v>
          </cell>
          <cell r="K1952">
            <v>0</v>
          </cell>
          <cell r="L1952">
            <v>10</v>
          </cell>
        </row>
        <row r="1953">
          <cell r="A1953" t="str">
            <v>10019.06729</v>
          </cell>
          <cell r="B1953" t="str">
            <v>FEUILLE EN HYPALON</v>
          </cell>
          <cell r="C1953" t="str">
            <v>FEUILLE DE JOINT EN HYPALON DIMENSIONS : 3000 X 1400 X 3MM</v>
          </cell>
          <cell r="D1953" t="str">
            <v>PE</v>
          </cell>
          <cell r="E1953" t="str">
            <v>522.52207</v>
          </cell>
          <cell r="F1953">
            <v>1709.7143000000001</v>
          </cell>
          <cell r="G1953">
            <v>0</v>
          </cell>
          <cell r="H1953">
            <v>0</v>
          </cell>
          <cell r="I1953">
            <v>0</v>
          </cell>
          <cell r="J1953">
            <v>0</v>
          </cell>
          <cell r="K1953">
            <v>0</v>
          </cell>
          <cell r="L1953">
            <v>0</v>
          </cell>
        </row>
        <row r="1954">
          <cell r="A1954" t="str">
            <v>10019.06821</v>
          </cell>
          <cell r="B1954" t="str">
            <v>FEUILLE DE JOINT EN PTFE</v>
          </cell>
          <cell r="C1954" t="str">
            <v>FEUILLE DE JOINT EN PTFE PUR MODIFIE (COULEUR BLANCHE) AVEC DES CHARGES THERMORESISTANCE DIMENSIONS : 1500 X 1500 X 3MM</v>
          </cell>
          <cell r="D1954" t="str">
            <v>PE</v>
          </cell>
          <cell r="E1954" t="str">
            <v>522.52207</v>
          </cell>
          <cell r="F1954">
            <v>6309.4718999999996</v>
          </cell>
          <cell r="G1954">
            <v>0</v>
          </cell>
          <cell r="H1954">
            <v>4</v>
          </cell>
          <cell r="I1954">
            <v>1</v>
          </cell>
          <cell r="J1954">
            <v>0</v>
          </cell>
          <cell r="K1954">
            <v>2</v>
          </cell>
          <cell r="L1954">
            <v>14</v>
          </cell>
        </row>
        <row r="1955">
          <cell r="A1955" t="str">
            <v>10001.00624</v>
          </cell>
          <cell r="B1955" t="str">
            <v>GRAISSE POUR TIGE FILETEE P/FILTRE AU PHOSPHORIQUE</v>
          </cell>
          <cell r="C1955" t="str">
            <v>GRAISSE POUR TIGE FILETEE P/FILTRE AU PHOSPHORIQUEGENRE MP1 EP  SHELL</v>
          </cell>
          <cell r="D1955" t="str">
            <v>KG</v>
          </cell>
          <cell r="E1955" t="str">
            <v>522.52212</v>
          </cell>
          <cell r="F1955">
            <v>1416</v>
          </cell>
          <cell r="G1955">
            <v>0</v>
          </cell>
          <cell r="H1955">
            <v>30</v>
          </cell>
          <cell r="I1955">
            <v>0</v>
          </cell>
          <cell r="J1955">
            <v>0</v>
          </cell>
          <cell r="K1955">
            <v>0</v>
          </cell>
          <cell r="L1955">
            <v>0</v>
          </cell>
        </row>
        <row r="1956">
          <cell r="A1956" t="str">
            <v>10003.05448</v>
          </cell>
          <cell r="B1956" t="str">
            <v>TOLE INOX REFRACTAIRE</v>
          </cell>
          <cell r="C1956" t="str">
            <v xml:space="preserve">TOLE EN ACIER INOXYDABLE REFRACTAIRE NUANCE : AFNOR -  Z12 CN 25-20                 AISI - 310 S                DIN - X12 Cr Ni 25-21 GENRE : CREUZOT-LOIRE SIRIUS 3COMPOSITION -CHIMIQUE MOYENNE (%) : C &lt; 0,08 - Cr : 25 - Ni : 20 -  Si : 0,6 LONGUEUR = 3 METRES LARGEUR = 1,5 METRE EPAISSEUR = 25 MM </v>
          </cell>
          <cell r="D1956" t="str">
            <v>PE</v>
          </cell>
          <cell r="E1956" t="str">
            <v>522.52213</v>
          </cell>
          <cell r="F1956">
            <v>68500</v>
          </cell>
          <cell r="G1956">
            <v>0</v>
          </cell>
          <cell r="H1956">
            <v>1</v>
          </cell>
          <cell r="I1956">
            <v>0</v>
          </cell>
          <cell r="J1956">
            <v>0</v>
          </cell>
          <cell r="K1956">
            <v>1</v>
          </cell>
          <cell r="L1956">
            <v>0</v>
          </cell>
        </row>
        <row r="1957">
          <cell r="A1957" t="str">
            <v>10004.09907</v>
          </cell>
          <cell r="B1957" t="str">
            <v>PLAQUE IMMATRICULATION EN ACIER</v>
          </cell>
          <cell r="C1957" t="str">
            <v>PLAQUE D IMMATRICULATION POUR MATERIEL IMMOBILISE EPAISSEUR = 1 MM - FORME OVALE SUIVANT PLAN OCP EC.NI.01 - REPERE 1 MATIERE ACIER INOXYDABLE NS M 22 S</v>
          </cell>
          <cell r="D1957" t="str">
            <v>PE</v>
          </cell>
          <cell r="E1957" t="str">
            <v>522.52217</v>
          </cell>
          <cell r="F1957">
            <v>36</v>
          </cell>
          <cell r="G1957">
            <v>0</v>
          </cell>
          <cell r="H1957">
            <v>0</v>
          </cell>
          <cell r="I1957">
            <v>0</v>
          </cell>
          <cell r="J1957">
            <v>0</v>
          </cell>
          <cell r="K1957">
            <v>0</v>
          </cell>
          <cell r="L1957">
            <v>0</v>
          </cell>
        </row>
        <row r="1958">
          <cell r="A1958" t="str">
            <v>10019.02536</v>
          </cell>
          <cell r="B1958" t="str">
            <v>BAGUE ETANCHE 100X130X13</v>
          </cell>
          <cell r="C1958" t="str">
            <v xml:space="preserve">BAGUE D'ETANCHEITE A LEVRE DE MANCHETTE A RESSORT DE SERRAGETYPE INTERNE A ARMATURE TOLE SOUS CAOUTCHOUC SYNTHETIQUE NITRILE,RESISTANT A L'ACTION DES LUBRIFIANTS MINERAUX TYPE : PAULSTRA-IE, NATIONAL-35, STEFA-CB , CEFILAC-C, CFW-BA DIMENSIONS : 100 X 130 X 13 MM </v>
          </cell>
          <cell r="D1958" t="str">
            <v>PE</v>
          </cell>
          <cell r="E1958" t="str">
            <v>522.52207</v>
          </cell>
          <cell r="F1958">
            <v>17.952000000000002</v>
          </cell>
          <cell r="G1958">
            <v>0</v>
          </cell>
          <cell r="H1958">
            <v>0</v>
          </cell>
          <cell r="I1958">
            <v>0</v>
          </cell>
          <cell r="J1958">
            <v>0</v>
          </cell>
          <cell r="K1958">
            <v>5</v>
          </cell>
          <cell r="L1958">
            <v>0</v>
          </cell>
        </row>
        <row r="1959">
          <cell r="A1959" t="str">
            <v>10019.02538</v>
          </cell>
          <cell r="B1959" t="str">
            <v>BAGUE ETANCHE 105X130X13*</v>
          </cell>
          <cell r="C1959" t="str">
            <v xml:space="preserve">BAGUE D'ETANCHEITE A LEVRE DE MANCHETTE A RESSORT DE SERRAGETYPE INTERNE A ARMATURE TOLE SOUS CAOUTCHOUC SYNTHETIQUE NITRILE,RESISTANT A L'ACTION DES LUBRIFIANTS MINERAUX TYPE : PAULSTRA-IE, NATIONAL-35, STEFA-CB , CEFILAC-C, CFW-BA DIMENSIONS : 105 X 130 X 13 MM </v>
          </cell>
          <cell r="D1959" t="str">
            <v>PE</v>
          </cell>
          <cell r="E1959" t="str">
            <v>522.52207</v>
          </cell>
          <cell r="F1959">
            <v>17.952000000000002</v>
          </cell>
          <cell r="G1959">
            <v>0</v>
          </cell>
          <cell r="H1959">
            <v>0</v>
          </cell>
          <cell r="I1959">
            <v>0</v>
          </cell>
          <cell r="J1959">
            <v>0</v>
          </cell>
          <cell r="K1959">
            <v>9</v>
          </cell>
          <cell r="L1959">
            <v>0</v>
          </cell>
        </row>
        <row r="1960">
          <cell r="A1960" t="str">
            <v>10019.02540</v>
          </cell>
          <cell r="B1960" t="str">
            <v>BAGUE ETANCHE 110X130X12*</v>
          </cell>
          <cell r="C1960" t="str">
            <v xml:space="preserve">BAGUE D'ETANCHEITE A LEVRE DE MANCHETTE A RESSORT DE SERRAGETYPE INTERNE A ARMATURE TOLE SOUS CAOUTCHOUC SYNTHETIQUE NITRILE,RESISTANT A L'ACTION DES LUBRIFIANTS MINERAUX TYPE : PAULSTRA-IE, NATIONAL-35, STEFA-CB , CEFILAC-C, CFW-BA DIMENSIONS : 110 X 130 X 12 MM </v>
          </cell>
          <cell r="D1960" t="str">
            <v>PE</v>
          </cell>
          <cell r="E1960" t="str">
            <v>522.52207</v>
          </cell>
          <cell r="F1960">
            <v>17.952000000000002</v>
          </cell>
          <cell r="G1960">
            <v>0</v>
          </cell>
          <cell r="H1960">
            <v>0</v>
          </cell>
          <cell r="I1960">
            <v>0</v>
          </cell>
          <cell r="J1960">
            <v>0</v>
          </cell>
          <cell r="K1960">
            <v>6</v>
          </cell>
          <cell r="L1960">
            <v>0</v>
          </cell>
        </row>
        <row r="1961">
          <cell r="A1961" t="str">
            <v>10019.05705</v>
          </cell>
          <cell r="B1961" t="str">
            <v>BAGUE ETANCH.50X80X12</v>
          </cell>
          <cell r="C1961" t="str">
            <v xml:space="preserve">BAGUE D'ETANCHEITE TYPE INTERNE A DOUBLE LEVRES ARMATURE VITON SERTIE DANS UN BOITIER METALLIQUE TYPE : NATIONAL 32 - STEFA CC - CFW BASL - CEFILAC CP. DIMENSIONS : 50 X 80 X 12 MM </v>
          </cell>
          <cell r="D1961" t="str">
            <v>PE</v>
          </cell>
          <cell r="E1961" t="str">
            <v>522.52207</v>
          </cell>
          <cell r="F1961">
            <v>58.318899999999999</v>
          </cell>
          <cell r="G1961">
            <v>0</v>
          </cell>
          <cell r="H1961">
            <v>0</v>
          </cell>
          <cell r="I1961">
            <v>0</v>
          </cell>
          <cell r="J1961">
            <v>0</v>
          </cell>
          <cell r="K1961">
            <v>0</v>
          </cell>
          <cell r="L1961">
            <v>20</v>
          </cell>
        </row>
        <row r="1962">
          <cell r="A1962" t="str">
            <v>10019.02186</v>
          </cell>
          <cell r="B1962" t="str">
            <v>BAGUE ETANCHE 20X38X8   *</v>
          </cell>
          <cell r="C1962" t="str">
            <v xml:space="preserve">BAGUE D'ETANCHEITE A LEVRE DE MANCHETTE A RESSORT DE SERRAGETYPE INTERNE A ARMATURE TOLE SOUS CAOUTCHOUC SYNTHETIQUE NITRILE,RESISTANT A L'ACTION DES LUBRIFIANTS MINERAUX TYPE : PAULSTRA-IE, NATIONAL-35, STEFA-CB , CEFILAC-C, CFW-BA DIMENSIONS : 20 X 38 X 8 MM </v>
          </cell>
          <cell r="D1962" t="str">
            <v>PE</v>
          </cell>
          <cell r="E1962" t="str">
            <v>522.52207</v>
          </cell>
          <cell r="F1962">
            <v>3.456</v>
          </cell>
          <cell r="G1962">
            <v>0</v>
          </cell>
          <cell r="H1962">
            <v>0</v>
          </cell>
          <cell r="I1962">
            <v>0</v>
          </cell>
          <cell r="J1962">
            <v>0</v>
          </cell>
          <cell r="K1962">
            <v>8</v>
          </cell>
          <cell r="L1962">
            <v>0</v>
          </cell>
        </row>
        <row r="1963">
          <cell r="A1963" t="str">
            <v>10019.02175</v>
          </cell>
          <cell r="B1963" t="str">
            <v>BAGUE ETANCHE 20X32X7   *</v>
          </cell>
          <cell r="C1963" t="str">
            <v xml:space="preserve">BAGUE D'ETANCHEITE A LEVRE DE MANCHETTE A RESSORT DE SERRAGETYPE INTERNE A ARMATURE TOLE SOUS CAOUTCHOUC SYNTHETIQUE NITRILE,RESISTANT A L'ACTION DES LUBRIFIANTS MINERAUX TYPE : PAULSTRA-IE, NATIONAL-35, STEFA-CB , CEFILAC-C, CFW-BA DIMENSIONS : 20 X 32 X 7 MM </v>
          </cell>
          <cell r="D1963" t="str">
            <v>PE</v>
          </cell>
          <cell r="E1963" t="str">
            <v>522.52207</v>
          </cell>
          <cell r="F1963">
            <v>3.048</v>
          </cell>
          <cell r="G1963">
            <v>0</v>
          </cell>
          <cell r="H1963">
            <v>0</v>
          </cell>
          <cell r="I1963">
            <v>0</v>
          </cell>
          <cell r="J1963">
            <v>0</v>
          </cell>
          <cell r="K1963">
            <v>2</v>
          </cell>
          <cell r="L1963">
            <v>0</v>
          </cell>
        </row>
        <row r="1964">
          <cell r="A1964" t="str">
            <v>10019.04474</v>
          </cell>
          <cell r="B1964" t="str">
            <v>BAG.ETANCH.45X62X7</v>
          </cell>
          <cell r="C1964" t="str">
            <v>BAGUE D'ETANCHEITE LEVRE DE MANCHETTE A RESSORT DE SERRAGE PLUS LEVRES SUPPLEMENTAIRES TYPE INTERNE A ARMATURE TOLE SOUS CAOUTCHOUC SYNTHETIQUE NITRILE, RESISTANTA L'ACTION DES LUBRIFIANTS MINERAUX TYPE : NATIONAL 32 - STEFA CC - CEFILAC CP - CFW BASL DIMENSIONS : 45 X 62 X 7 MM</v>
          </cell>
          <cell r="D1964" t="str">
            <v>PE</v>
          </cell>
          <cell r="E1964" t="str">
            <v>522.52207</v>
          </cell>
          <cell r="F1964">
            <v>7.6452</v>
          </cell>
          <cell r="G1964">
            <v>0</v>
          </cell>
          <cell r="H1964">
            <v>0</v>
          </cell>
          <cell r="I1964">
            <v>0</v>
          </cell>
          <cell r="J1964">
            <v>0</v>
          </cell>
          <cell r="K1964">
            <v>0</v>
          </cell>
          <cell r="L1964">
            <v>0</v>
          </cell>
        </row>
        <row r="1965">
          <cell r="A1965" t="str">
            <v>10019.02509</v>
          </cell>
          <cell r="B1965" t="str">
            <v>BAGUE ETANCHE 85X110X12 *</v>
          </cell>
          <cell r="C1965" t="str">
            <v xml:space="preserve">BAGUE D'ETANCHEITE A LEVRE DE MANCHETTE A RESSORT DE SERRAGETYPE INTERNE A ARMATURE TOLE SOUS CAOUTCHOUC SYNTHETIQUE NITRILE,RESISTANT A L'ACTION DES LUBRIFIANTS MINERAUX TYPE : PAULSTRA-IE, NATIONAL-35, STEFA-CB , CEFILAC-C, CFW-BA DIMENSIONS : 85 X 110 X 12 MM </v>
          </cell>
          <cell r="D1965" t="str">
            <v>PE</v>
          </cell>
          <cell r="E1965" t="str">
            <v>522.52207</v>
          </cell>
          <cell r="F1965">
            <v>13.188000000000001</v>
          </cell>
          <cell r="G1965">
            <v>0</v>
          </cell>
          <cell r="H1965">
            <v>0</v>
          </cell>
          <cell r="I1965">
            <v>0</v>
          </cell>
          <cell r="J1965">
            <v>0</v>
          </cell>
          <cell r="K1965">
            <v>12</v>
          </cell>
          <cell r="L1965">
            <v>0</v>
          </cell>
        </row>
        <row r="1966">
          <cell r="A1966" t="str">
            <v>20708.00524</v>
          </cell>
          <cell r="B1966" t="str">
            <v>CARTE SORTIE ANALOGIQUE 32 VOIES</v>
          </cell>
          <cell r="C1966" t="str">
            <v>VE4002S1T2B6</v>
          </cell>
          <cell r="D1966" t="str">
            <v>PE</v>
          </cell>
          <cell r="E1966" t="str">
            <v>512.51201</v>
          </cell>
          <cell r="F1966">
            <v>11422</v>
          </cell>
          <cell r="G1966">
            <v>0</v>
          </cell>
          <cell r="H1966">
            <v>0</v>
          </cell>
          <cell r="I1966">
            <v>0</v>
          </cell>
          <cell r="J1966">
            <v>0</v>
          </cell>
          <cell r="K1966">
            <v>0</v>
          </cell>
          <cell r="L1966">
            <v>0</v>
          </cell>
        </row>
        <row r="1967">
          <cell r="A1967" t="str">
            <v>10006.01405</v>
          </cell>
          <cell r="B1967" t="str">
            <v>GALET EN QUARTZ OU CERAMIQUE FORME:SPHERIQUE</v>
          </cell>
          <cell r="C1967" t="str">
            <v xml:space="preserve">GALET EN QUARTZ OU CERAMIQUE FORME:SPHERIQUE   GRANULOMETRIE:COMPRISE ENTRE 25 ET 30MM. TEMPERATURE DE SERVICE:620°C.POUR GARNISSAGE DES MASSES DES CONVERTISSEURS DES UNITES SULFURIQUES.   </v>
          </cell>
          <cell r="D1967" t="str">
            <v>M3</v>
          </cell>
          <cell r="E1967" t="str">
            <v>314.31403</v>
          </cell>
          <cell r="F1967">
            <v>6695</v>
          </cell>
          <cell r="G1967">
            <v>0</v>
          </cell>
          <cell r="H1967">
            <v>0</v>
          </cell>
          <cell r="I1967">
            <v>25</v>
          </cell>
          <cell r="J1967">
            <v>0</v>
          </cell>
          <cell r="K1967">
            <v>0</v>
          </cell>
          <cell r="L1967">
            <v>0</v>
          </cell>
        </row>
        <row r="1968">
          <cell r="A1968" t="str">
            <v>20708.00643</v>
          </cell>
          <cell r="B1968" t="str">
            <v>CAPTEUR DEBIT ELECTROMAGNITIQUE DN 80</v>
          </cell>
          <cell r="C1968" t="str">
            <v>8705APE030P1W0NAQ4Q8</v>
          </cell>
          <cell r="D1968" t="str">
            <v>PE</v>
          </cell>
          <cell r="E1968" t="str">
            <v>512.51201</v>
          </cell>
          <cell r="F1968">
            <v>40945.300000000003</v>
          </cell>
          <cell r="G1968">
            <v>0</v>
          </cell>
          <cell r="H1968">
            <v>0</v>
          </cell>
          <cell r="I1968">
            <v>0</v>
          </cell>
          <cell r="J1968">
            <v>1</v>
          </cell>
          <cell r="K1968">
            <v>0</v>
          </cell>
          <cell r="L1968">
            <v>0</v>
          </cell>
        </row>
        <row r="1969">
          <cell r="A1969" t="str">
            <v>20708.00644</v>
          </cell>
          <cell r="B1969" t="str">
            <v>CAPTEUR DEBIT ELECTROMAGNITIQUE DN 100</v>
          </cell>
          <cell r="C1969" t="str">
            <v>8705APE040P1W0NAQ4Q8</v>
          </cell>
          <cell r="D1969" t="str">
            <v>PE</v>
          </cell>
          <cell r="E1969" t="str">
            <v>512.51201</v>
          </cell>
          <cell r="F1969">
            <v>29966.720000000001</v>
          </cell>
          <cell r="G1969">
            <v>0</v>
          </cell>
          <cell r="H1969">
            <v>0</v>
          </cell>
          <cell r="I1969">
            <v>1</v>
          </cell>
          <cell r="J1969">
            <v>0</v>
          </cell>
          <cell r="K1969">
            <v>0</v>
          </cell>
          <cell r="L1969">
            <v>0</v>
          </cell>
        </row>
        <row r="1970">
          <cell r="A1970" t="str">
            <v>20708.00645</v>
          </cell>
          <cell r="B1970" t="str">
            <v>CAPTEUR DEBIT ELECTROMAGNITIQUE DN 150</v>
          </cell>
          <cell r="C1970" t="str">
            <v>8705APE060P1W0NAQ4Q8</v>
          </cell>
          <cell r="D1970" t="str">
            <v>PE</v>
          </cell>
          <cell r="E1970" t="str">
            <v>512.51201</v>
          </cell>
          <cell r="F1970">
            <v>37354.94</v>
          </cell>
          <cell r="G1970">
            <v>0</v>
          </cell>
          <cell r="H1970">
            <v>1</v>
          </cell>
          <cell r="I1970">
            <v>0</v>
          </cell>
          <cell r="J1970">
            <v>0</v>
          </cell>
          <cell r="K1970">
            <v>0</v>
          </cell>
          <cell r="L1970">
            <v>0</v>
          </cell>
        </row>
        <row r="1971">
          <cell r="A1971" t="str">
            <v>10004.08152</v>
          </cell>
          <cell r="B1971" t="str">
            <v>ROND INOX URAN50 DIA120MM</v>
          </cell>
          <cell r="C1971"/>
          <cell r="D1971" t="str">
            <v>KG</v>
          </cell>
          <cell r="E1971" t="str">
            <v>522.52213</v>
          </cell>
          <cell r="F1971">
            <v>48.081000000000003</v>
          </cell>
          <cell r="G1971">
            <v>0</v>
          </cell>
          <cell r="H1971">
            <v>0</v>
          </cell>
          <cell r="I1971">
            <v>0</v>
          </cell>
          <cell r="J1971">
            <v>0</v>
          </cell>
          <cell r="K1971">
            <v>0</v>
          </cell>
          <cell r="L1971">
            <v>0</v>
          </cell>
        </row>
        <row r="1972">
          <cell r="A1972" t="str">
            <v>20708.00480</v>
          </cell>
          <cell r="B1972" t="str">
            <v>TRANSMETTEUR DE PRESSION</v>
          </cell>
          <cell r="C1972" t="str">
            <v xml:space="preserve">2088G2S22A2M5BP1S5Q408 </v>
          </cell>
          <cell r="D1972" t="str">
            <v>PE</v>
          </cell>
          <cell r="E1972" t="str">
            <v>512.51201</v>
          </cell>
          <cell r="F1972">
            <v>6500.6234999999997</v>
          </cell>
          <cell r="G1972">
            <v>0</v>
          </cell>
          <cell r="H1972">
            <v>0</v>
          </cell>
          <cell r="I1972">
            <v>0</v>
          </cell>
          <cell r="J1972">
            <v>0</v>
          </cell>
          <cell r="K1972">
            <v>0</v>
          </cell>
          <cell r="L1972">
            <v>4</v>
          </cell>
        </row>
        <row r="1973">
          <cell r="A1973" t="str">
            <v>20708.00481</v>
          </cell>
          <cell r="B1973" t="str">
            <v>TRANSMETTEUR DE PRESSION</v>
          </cell>
          <cell r="C1973" t="str">
            <v xml:space="preserve">2088G3S22A2M5BP1S5 </v>
          </cell>
          <cell r="D1973" t="str">
            <v>PE</v>
          </cell>
          <cell r="E1973" t="str">
            <v>512.51201</v>
          </cell>
          <cell r="F1973">
            <v>6500.6234999999997</v>
          </cell>
          <cell r="G1973">
            <v>0</v>
          </cell>
          <cell r="H1973">
            <v>0</v>
          </cell>
          <cell r="I1973">
            <v>0</v>
          </cell>
          <cell r="J1973">
            <v>0</v>
          </cell>
          <cell r="K1973">
            <v>0</v>
          </cell>
          <cell r="L1973">
            <v>2</v>
          </cell>
        </row>
        <row r="1974">
          <cell r="A1974" t="str">
            <v>20708.00482</v>
          </cell>
          <cell r="B1974" t="str">
            <v>TRANSMETTEUR DE PRESSION</v>
          </cell>
          <cell r="C1974" t="str">
            <v xml:space="preserve">2088G4S22A2M5BP1S5 </v>
          </cell>
          <cell r="D1974" t="str">
            <v>PE</v>
          </cell>
          <cell r="E1974" t="str">
            <v>512.51201</v>
          </cell>
          <cell r="F1974">
            <v>12141.01</v>
          </cell>
          <cell r="G1974">
            <v>0</v>
          </cell>
          <cell r="H1974">
            <v>0</v>
          </cell>
          <cell r="I1974">
            <v>0</v>
          </cell>
          <cell r="J1974">
            <v>0</v>
          </cell>
          <cell r="K1974">
            <v>0</v>
          </cell>
          <cell r="L1974">
            <v>2</v>
          </cell>
        </row>
        <row r="1975">
          <cell r="A1975" t="str">
            <v>20708.00483</v>
          </cell>
          <cell r="B1975" t="str">
            <v>TRANSMETTEUR DE PRESSION</v>
          </cell>
          <cell r="C1975" t="str">
            <v xml:space="preserve">2088G1S22A2M5BP1S5 </v>
          </cell>
          <cell r="D1975" t="str">
            <v>PE</v>
          </cell>
          <cell r="E1975" t="str">
            <v>512.51201</v>
          </cell>
          <cell r="F1975">
            <v>9320.8168000000005</v>
          </cell>
          <cell r="G1975">
            <v>1</v>
          </cell>
          <cell r="H1975">
            <v>0</v>
          </cell>
          <cell r="I1975">
            <v>0</v>
          </cell>
          <cell r="J1975">
            <v>0</v>
          </cell>
          <cell r="K1975">
            <v>0</v>
          </cell>
          <cell r="L1975">
            <v>1</v>
          </cell>
        </row>
        <row r="1976">
          <cell r="A1976" t="str">
            <v>20708.00348</v>
          </cell>
          <cell r="B1976" t="str">
            <v>CAPTEUR DE DEBIT</v>
          </cell>
          <cell r="C1976" t="str">
            <v>8705APA030S1WONOG2DTQ4</v>
          </cell>
          <cell r="D1976" t="str">
            <v>PE</v>
          </cell>
          <cell r="E1976" t="str">
            <v>512.51201</v>
          </cell>
          <cell r="F1976">
            <v>27690.54</v>
          </cell>
          <cell r="G1976">
            <v>0</v>
          </cell>
          <cell r="H1976">
            <v>1</v>
          </cell>
          <cell r="I1976">
            <v>0</v>
          </cell>
          <cell r="J1976">
            <v>0</v>
          </cell>
          <cell r="K1976">
            <v>0</v>
          </cell>
          <cell r="L1976">
            <v>0</v>
          </cell>
        </row>
        <row r="1977">
          <cell r="A1977" t="str">
            <v>20709.00428</v>
          </cell>
          <cell r="B1977" t="str">
            <v>SPRAY AU CILICONE</v>
          </cell>
          <cell r="C1977">
            <v>51504155</v>
          </cell>
          <cell r="D1977" t="str">
            <v>PE</v>
          </cell>
          <cell r="E1977" t="str">
            <v>512.51201</v>
          </cell>
          <cell r="F1977">
            <v>590</v>
          </cell>
          <cell r="G1977">
            <v>0</v>
          </cell>
          <cell r="H1977">
            <v>0</v>
          </cell>
          <cell r="I1977">
            <v>0</v>
          </cell>
          <cell r="J1977">
            <v>0</v>
          </cell>
          <cell r="K1977">
            <v>0</v>
          </cell>
          <cell r="L1977">
            <v>4</v>
          </cell>
        </row>
        <row r="1978">
          <cell r="A1978" t="str">
            <v>20709.00429</v>
          </cell>
          <cell r="B1978" t="str">
            <v>SOLUTION STANDARD</v>
          </cell>
          <cell r="C1978" t="str">
            <v>CAY642-V10C01AAE</v>
          </cell>
          <cell r="D1978" t="str">
            <v>PE</v>
          </cell>
          <cell r="E1978" t="str">
            <v>512.51201</v>
          </cell>
          <cell r="F1978">
            <v>947.37599999999998</v>
          </cell>
          <cell r="G1978">
            <v>0</v>
          </cell>
          <cell r="H1978">
            <v>0</v>
          </cell>
          <cell r="I1978">
            <v>0</v>
          </cell>
          <cell r="J1978">
            <v>0</v>
          </cell>
          <cell r="K1978">
            <v>0</v>
          </cell>
          <cell r="L1978">
            <v>0</v>
          </cell>
        </row>
        <row r="1979">
          <cell r="A1979" t="str">
            <v>20709.00436</v>
          </cell>
          <cell r="B1979" t="str">
            <v>TETE DE SOUDAGE AVEC SUPPORT</v>
          </cell>
          <cell r="C1979">
            <v>51512085</v>
          </cell>
          <cell r="D1979" t="str">
            <v>PE</v>
          </cell>
          <cell r="E1979" t="str">
            <v>512.51201</v>
          </cell>
          <cell r="F1979">
            <v>7383.96</v>
          </cell>
          <cell r="G1979">
            <v>0</v>
          </cell>
          <cell r="H1979">
            <v>1</v>
          </cell>
          <cell r="I1979">
            <v>0</v>
          </cell>
          <cell r="J1979">
            <v>0</v>
          </cell>
          <cell r="K1979">
            <v>0</v>
          </cell>
          <cell r="L1979">
            <v>0</v>
          </cell>
        </row>
        <row r="1980">
          <cell r="A1980" t="str">
            <v>20709.00437</v>
          </cell>
          <cell r="B1980" t="str">
            <v>RACCORD DE TUYAU</v>
          </cell>
          <cell r="C1980">
            <v>51506495</v>
          </cell>
          <cell r="D1980" t="str">
            <v>PE</v>
          </cell>
          <cell r="E1980" t="str">
            <v>512.51201</v>
          </cell>
          <cell r="F1980">
            <v>313.476</v>
          </cell>
          <cell r="G1980">
            <v>0</v>
          </cell>
          <cell r="H1980">
            <v>0</v>
          </cell>
          <cell r="I1980">
            <v>0</v>
          </cell>
          <cell r="J1980">
            <v>0</v>
          </cell>
          <cell r="K1980">
            <v>1</v>
          </cell>
          <cell r="L1980">
            <v>0</v>
          </cell>
        </row>
        <row r="1981">
          <cell r="A1981" t="str">
            <v>20709.00438</v>
          </cell>
          <cell r="B1981" t="str">
            <v>RACCORD DE TUYAU</v>
          </cell>
          <cell r="C1981">
            <v>51506490</v>
          </cell>
          <cell r="D1981" t="str">
            <v>PE</v>
          </cell>
          <cell r="E1981" t="str">
            <v>512.51201</v>
          </cell>
          <cell r="F1981">
            <v>640.87199999999996</v>
          </cell>
          <cell r="G1981">
            <v>0</v>
          </cell>
          <cell r="H1981">
            <v>0</v>
          </cell>
          <cell r="I1981">
            <v>0</v>
          </cell>
          <cell r="J1981">
            <v>0</v>
          </cell>
          <cell r="K1981">
            <v>2</v>
          </cell>
          <cell r="L1981">
            <v>0</v>
          </cell>
        </row>
        <row r="1982">
          <cell r="A1982" t="str">
            <v>20709.00439</v>
          </cell>
          <cell r="B1982" t="str">
            <v>RACCORD DE TUYAU</v>
          </cell>
          <cell r="C1982">
            <v>51512096</v>
          </cell>
          <cell r="D1982" t="str">
            <v>PE</v>
          </cell>
          <cell r="E1982" t="str">
            <v>512.51201</v>
          </cell>
          <cell r="F1982">
            <v>2479.8960000000002</v>
          </cell>
          <cell r="G1982">
            <v>0</v>
          </cell>
          <cell r="H1982">
            <v>0</v>
          </cell>
          <cell r="I1982">
            <v>0</v>
          </cell>
          <cell r="J1982">
            <v>0</v>
          </cell>
          <cell r="K1982">
            <v>1</v>
          </cell>
          <cell r="L1982">
            <v>0</v>
          </cell>
        </row>
        <row r="1983">
          <cell r="A1983" t="str">
            <v>20703.00134</v>
          </cell>
          <cell r="B1983" t="str">
            <v>INTERRUPTEUR DE FIN DE COURSE</v>
          </cell>
          <cell r="C1983" t="str">
            <v>HONEYWELL   914 CE 18-3</v>
          </cell>
          <cell r="D1983" t="str">
            <v>PE</v>
          </cell>
          <cell r="E1983" t="str">
            <v>512.51201</v>
          </cell>
          <cell r="F1983">
            <v>2792.5237999999999</v>
          </cell>
          <cell r="G1983">
            <v>0</v>
          </cell>
          <cell r="H1983">
            <v>0</v>
          </cell>
          <cell r="I1983">
            <v>0</v>
          </cell>
          <cell r="J1983">
            <v>0</v>
          </cell>
          <cell r="K1983">
            <v>0</v>
          </cell>
          <cell r="L1983">
            <v>2</v>
          </cell>
        </row>
        <row r="1984">
          <cell r="A1984" t="str">
            <v>20706.00001</v>
          </cell>
          <cell r="B1984" t="str">
            <v>ARBRE DE TOURELLE + BOULONNERIE</v>
          </cell>
          <cell r="C1984" t="str">
            <v>PL Y63363</v>
          </cell>
          <cell r="D1984" t="str">
            <v>PE</v>
          </cell>
          <cell r="E1984" t="str">
            <v>515.51511</v>
          </cell>
          <cell r="F1984">
            <v>19321.590400000001</v>
          </cell>
          <cell r="G1984">
            <v>0</v>
          </cell>
          <cell r="H1984">
            <v>0</v>
          </cell>
          <cell r="I1984">
            <v>0</v>
          </cell>
          <cell r="J1984">
            <v>0</v>
          </cell>
          <cell r="K1984">
            <v>0</v>
          </cell>
          <cell r="L1984">
            <v>0</v>
          </cell>
        </row>
        <row r="1985">
          <cell r="A1985" t="str">
            <v>20701.00255</v>
          </cell>
          <cell r="B1985" t="str">
            <v>CONTROLEUR DE DEBIT DN25</v>
          </cell>
          <cell r="C1985" t="str">
            <v>DW 182-P-C021-RR-A-K2-N</v>
          </cell>
          <cell r="D1985" t="str">
            <v>PE</v>
          </cell>
          <cell r="E1985" t="str">
            <v>512.51201</v>
          </cell>
          <cell r="F1985">
            <v>14344.198</v>
          </cell>
          <cell r="G1985">
            <v>0</v>
          </cell>
          <cell r="H1985">
            <v>2</v>
          </cell>
          <cell r="I1985">
            <v>0</v>
          </cell>
          <cell r="J1985">
            <v>0</v>
          </cell>
          <cell r="K1985">
            <v>1</v>
          </cell>
          <cell r="L1985">
            <v>0</v>
          </cell>
        </row>
        <row r="1986">
          <cell r="A1986" t="str">
            <v>20706.00040</v>
          </cell>
          <cell r="B1986" t="str">
            <v>ARBRE DE TOURELLE</v>
          </cell>
          <cell r="C1986" t="str">
            <v>PL Y63383</v>
          </cell>
          <cell r="D1986" t="str">
            <v>PE</v>
          </cell>
          <cell r="E1986" t="str">
            <v>515.51511</v>
          </cell>
          <cell r="F1986">
            <v>86510.862699999998</v>
          </cell>
          <cell r="G1986">
            <v>0</v>
          </cell>
          <cell r="H1986">
            <v>0</v>
          </cell>
          <cell r="I1986">
            <v>0</v>
          </cell>
          <cell r="J1986">
            <v>0</v>
          </cell>
          <cell r="K1986">
            <v>0</v>
          </cell>
          <cell r="L1986">
            <v>0</v>
          </cell>
        </row>
        <row r="1987">
          <cell r="A1987" t="str">
            <v>20706.00080</v>
          </cell>
          <cell r="B1987" t="str">
            <v>HELICE 4 PALE + BOULONNE FIXATION ARBRE AGITATEUR</v>
          </cell>
          <cell r="C1987" t="str">
            <v>PL Y63421</v>
          </cell>
          <cell r="D1987" t="str">
            <v>PE</v>
          </cell>
          <cell r="E1987" t="str">
            <v>515.51511</v>
          </cell>
          <cell r="F1987">
            <v>83145.166299999997</v>
          </cell>
          <cell r="G1987">
            <v>0</v>
          </cell>
          <cell r="H1987">
            <v>0</v>
          </cell>
          <cell r="I1987">
            <v>0</v>
          </cell>
          <cell r="J1987">
            <v>0</v>
          </cell>
          <cell r="K1987">
            <v>0</v>
          </cell>
          <cell r="L1987">
            <v>0</v>
          </cell>
        </row>
        <row r="1988">
          <cell r="A1988" t="str">
            <v>20706.00120</v>
          </cell>
          <cell r="B1988" t="str">
            <v>JEU DE ROULEMENT + JOINTS POUR TOURELLE</v>
          </cell>
          <cell r="C1988" t="str">
            <v>PL Y63467</v>
          </cell>
          <cell r="D1988" t="str">
            <v>PE</v>
          </cell>
          <cell r="E1988" t="str">
            <v>515.51511</v>
          </cell>
          <cell r="F1988">
            <v>7603.9807000000001</v>
          </cell>
          <cell r="G1988">
            <v>0</v>
          </cell>
          <cell r="H1988">
            <v>0</v>
          </cell>
          <cell r="I1988">
            <v>0</v>
          </cell>
          <cell r="J1988">
            <v>0</v>
          </cell>
          <cell r="K1988">
            <v>0</v>
          </cell>
          <cell r="L1988">
            <v>0</v>
          </cell>
        </row>
        <row r="1989">
          <cell r="A1989" t="str">
            <v>20701.00257</v>
          </cell>
          <cell r="B1989" t="str">
            <v>CONTROLEUR DE DEBIT DN 15</v>
          </cell>
          <cell r="C1989" t="str">
            <v>DW 182/C/013/RR/A/K2/EX/15</v>
          </cell>
          <cell r="D1989" t="str">
            <v>PE</v>
          </cell>
          <cell r="E1989" t="str">
            <v>512.51201</v>
          </cell>
          <cell r="F1989">
            <v>12781.406000000001</v>
          </cell>
          <cell r="G1989">
            <v>0</v>
          </cell>
          <cell r="H1989">
            <v>2</v>
          </cell>
          <cell r="I1989">
            <v>0</v>
          </cell>
          <cell r="J1989">
            <v>0</v>
          </cell>
          <cell r="K1989">
            <v>0</v>
          </cell>
          <cell r="L1989">
            <v>0</v>
          </cell>
        </row>
        <row r="1990">
          <cell r="A1990" t="str">
            <v>20706.00329</v>
          </cell>
          <cell r="B1990" t="str">
            <v>RALLONGE</v>
          </cell>
          <cell r="C1990" t="str">
            <v>PL Y63490B REP28</v>
          </cell>
          <cell r="D1990" t="str">
            <v>PE</v>
          </cell>
          <cell r="E1990" t="str">
            <v>515.51511</v>
          </cell>
          <cell r="F1990">
            <v>530.51170000000002</v>
          </cell>
          <cell r="G1990">
            <v>0</v>
          </cell>
          <cell r="H1990">
            <v>0</v>
          </cell>
          <cell r="I1990">
            <v>0</v>
          </cell>
          <cell r="J1990">
            <v>0</v>
          </cell>
          <cell r="K1990">
            <v>0</v>
          </cell>
          <cell r="L1990">
            <v>1</v>
          </cell>
        </row>
        <row r="1991">
          <cell r="A1991" t="str">
            <v>20706.00330</v>
          </cell>
          <cell r="B1991" t="str">
            <v>HUBAN</v>
          </cell>
          <cell r="C1991" t="str">
            <v>PL Z62672C REP18</v>
          </cell>
          <cell r="D1991" t="str">
            <v>PE</v>
          </cell>
          <cell r="E1991" t="str">
            <v>515.51511</v>
          </cell>
          <cell r="F1991">
            <v>20335.718400000002</v>
          </cell>
          <cell r="G1991">
            <v>0</v>
          </cell>
          <cell r="H1991">
            <v>0</v>
          </cell>
          <cell r="I1991">
            <v>0</v>
          </cell>
          <cell r="J1991">
            <v>0</v>
          </cell>
          <cell r="K1991">
            <v>0</v>
          </cell>
          <cell r="L1991">
            <v>4</v>
          </cell>
        </row>
        <row r="1992">
          <cell r="A1992" t="str">
            <v>20706.00331</v>
          </cell>
          <cell r="B1992" t="str">
            <v>CONTRE PLAQUE</v>
          </cell>
          <cell r="C1992" t="str">
            <v>PL Z62672C REP10</v>
          </cell>
          <cell r="D1992" t="str">
            <v>PE</v>
          </cell>
          <cell r="E1992" t="str">
            <v>515.51511</v>
          </cell>
          <cell r="F1992">
            <v>3107.2646</v>
          </cell>
          <cell r="G1992">
            <v>0</v>
          </cell>
          <cell r="H1992">
            <v>0</v>
          </cell>
          <cell r="I1992">
            <v>0</v>
          </cell>
          <cell r="J1992">
            <v>0</v>
          </cell>
          <cell r="K1992">
            <v>0</v>
          </cell>
          <cell r="L1992">
            <v>2</v>
          </cell>
        </row>
        <row r="1993">
          <cell r="A1993" t="str">
            <v>20706.00320</v>
          </cell>
          <cell r="B1993" t="str">
            <v>HELICE</v>
          </cell>
          <cell r="C1993" t="str">
            <v>PL Y63469 REP6</v>
          </cell>
          <cell r="D1993" t="str">
            <v>PE</v>
          </cell>
          <cell r="E1993" t="str">
            <v>515.51511</v>
          </cell>
          <cell r="F1993">
            <v>433998.45569999999</v>
          </cell>
          <cell r="G1993">
            <v>0</v>
          </cell>
          <cell r="H1993">
            <v>0</v>
          </cell>
          <cell r="I1993">
            <v>0</v>
          </cell>
          <cell r="J1993">
            <v>0</v>
          </cell>
          <cell r="K1993">
            <v>0</v>
          </cell>
          <cell r="L1993">
            <v>1</v>
          </cell>
        </row>
        <row r="1994">
          <cell r="A1994" t="str">
            <v>20706.00321</v>
          </cell>
          <cell r="B1994" t="str">
            <v>HELICE</v>
          </cell>
          <cell r="C1994" t="str">
            <v>PL Y63470 REP6</v>
          </cell>
          <cell r="D1994" t="str">
            <v>PE</v>
          </cell>
          <cell r="E1994" t="str">
            <v>515.51511</v>
          </cell>
          <cell r="F1994">
            <v>537153.91110000003</v>
          </cell>
          <cell r="G1994">
            <v>0</v>
          </cell>
          <cell r="H1994">
            <v>0</v>
          </cell>
          <cell r="I1994">
            <v>0</v>
          </cell>
          <cell r="J1994">
            <v>0</v>
          </cell>
          <cell r="K1994">
            <v>0</v>
          </cell>
          <cell r="L1994">
            <v>1</v>
          </cell>
        </row>
        <row r="1995">
          <cell r="A1995" t="str">
            <v>20706.00337</v>
          </cell>
          <cell r="B1995" t="str">
            <v>HUBAN</v>
          </cell>
          <cell r="C1995" t="str">
            <v>PL Z62674B REP28</v>
          </cell>
          <cell r="D1995" t="str">
            <v>PE</v>
          </cell>
          <cell r="E1995" t="str">
            <v>515.51511</v>
          </cell>
          <cell r="F1995">
            <v>24746.698700000001</v>
          </cell>
          <cell r="G1995">
            <v>0</v>
          </cell>
          <cell r="H1995">
            <v>0</v>
          </cell>
          <cell r="I1995">
            <v>2</v>
          </cell>
          <cell r="J1995">
            <v>0</v>
          </cell>
          <cell r="K1995">
            <v>0</v>
          </cell>
          <cell r="L1995">
            <v>2</v>
          </cell>
        </row>
        <row r="1996">
          <cell r="A1996" t="str">
            <v>20706.00338</v>
          </cell>
          <cell r="B1996" t="str">
            <v>CONTRE PLAQUE</v>
          </cell>
          <cell r="C1996" t="str">
            <v>PL Z62674B REP13</v>
          </cell>
          <cell r="D1996" t="str">
            <v>PE</v>
          </cell>
          <cell r="E1996" t="str">
            <v>515.51511</v>
          </cell>
          <cell r="F1996">
            <v>3047.6205</v>
          </cell>
          <cell r="G1996">
            <v>0</v>
          </cell>
          <cell r="H1996">
            <v>0</v>
          </cell>
          <cell r="I1996">
            <v>0</v>
          </cell>
          <cell r="J1996">
            <v>0</v>
          </cell>
          <cell r="K1996">
            <v>0</v>
          </cell>
          <cell r="L1996">
            <v>2</v>
          </cell>
        </row>
        <row r="1997">
          <cell r="A1997" t="str">
            <v>20706.00332</v>
          </cell>
          <cell r="B1997" t="str">
            <v>PLAQUE DE GUIDAGE</v>
          </cell>
          <cell r="C1997" t="str">
            <v>PL Z62672C REP9</v>
          </cell>
          <cell r="D1997" t="str">
            <v>PE</v>
          </cell>
          <cell r="E1997" t="str">
            <v>515.51511</v>
          </cell>
          <cell r="F1997">
            <v>6659.6152000000002</v>
          </cell>
          <cell r="G1997">
            <v>0</v>
          </cell>
          <cell r="H1997">
            <v>0</v>
          </cell>
          <cell r="I1997">
            <v>0</v>
          </cell>
          <cell r="J1997">
            <v>0</v>
          </cell>
          <cell r="K1997">
            <v>0</v>
          </cell>
          <cell r="L1997">
            <v>2</v>
          </cell>
        </row>
        <row r="1998">
          <cell r="A1998" t="str">
            <v>20706.00333</v>
          </cell>
          <cell r="B1998" t="str">
            <v>HUBAN</v>
          </cell>
          <cell r="C1998" t="str">
            <v>PL Z62673C REP18</v>
          </cell>
          <cell r="D1998" t="str">
            <v>PE</v>
          </cell>
          <cell r="E1998" t="str">
            <v>515.51511</v>
          </cell>
          <cell r="F1998">
            <v>29580.221399999999</v>
          </cell>
          <cell r="G1998">
            <v>0</v>
          </cell>
          <cell r="H1998">
            <v>0</v>
          </cell>
          <cell r="I1998">
            <v>0</v>
          </cell>
          <cell r="J1998">
            <v>0</v>
          </cell>
          <cell r="K1998">
            <v>0</v>
          </cell>
          <cell r="L1998">
            <v>4</v>
          </cell>
        </row>
        <row r="1999">
          <cell r="A1999" t="str">
            <v>20706.00334</v>
          </cell>
          <cell r="B1999" t="str">
            <v>CONTRE PLAQUE</v>
          </cell>
          <cell r="C1999" t="str">
            <v>PL Z62673C REP10</v>
          </cell>
          <cell r="D1999" t="str">
            <v>PE</v>
          </cell>
          <cell r="E1999" t="str">
            <v>515.51511</v>
          </cell>
          <cell r="F1999">
            <v>3047.6205</v>
          </cell>
          <cell r="G1999">
            <v>0</v>
          </cell>
          <cell r="H1999">
            <v>0</v>
          </cell>
          <cell r="I1999">
            <v>0</v>
          </cell>
          <cell r="J1999">
            <v>0</v>
          </cell>
          <cell r="K1999">
            <v>0</v>
          </cell>
          <cell r="L1999">
            <v>2</v>
          </cell>
        </row>
        <row r="2000">
          <cell r="A2000" t="str">
            <v>20706.00335</v>
          </cell>
          <cell r="B2000" t="str">
            <v>PLAQUE DE GUIDAGE</v>
          </cell>
          <cell r="C2000" t="str">
            <v>PL Z62673C REP9</v>
          </cell>
          <cell r="D2000" t="str">
            <v>PE</v>
          </cell>
          <cell r="E2000" t="str">
            <v>515.51511</v>
          </cell>
          <cell r="F2000">
            <v>6659.6152000000002</v>
          </cell>
          <cell r="G2000">
            <v>0</v>
          </cell>
          <cell r="H2000">
            <v>0</v>
          </cell>
          <cell r="I2000">
            <v>0</v>
          </cell>
          <cell r="J2000">
            <v>0</v>
          </cell>
          <cell r="K2000">
            <v>0</v>
          </cell>
          <cell r="L2000">
            <v>2</v>
          </cell>
        </row>
        <row r="2001">
          <cell r="A2001" t="str">
            <v>20706.00336</v>
          </cell>
          <cell r="B2001" t="str">
            <v>HUBAN</v>
          </cell>
          <cell r="C2001" t="str">
            <v>PL Z62674B REP29</v>
          </cell>
          <cell r="D2001" t="str">
            <v>PE</v>
          </cell>
          <cell r="E2001" t="str">
            <v>515.51511</v>
          </cell>
          <cell r="F2001">
            <v>38001.852800000001</v>
          </cell>
          <cell r="G2001">
            <v>0</v>
          </cell>
          <cell r="H2001">
            <v>0</v>
          </cell>
          <cell r="I2001">
            <v>0</v>
          </cell>
          <cell r="J2001">
            <v>0</v>
          </cell>
          <cell r="K2001">
            <v>0</v>
          </cell>
          <cell r="L2001">
            <v>4</v>
          </cell>
        </row>
        <row r="2002">
          <cell r="A2002" t="str">
            <v>20701.00046</v>
          </cell>
          <cell r="B2002" t="str">
            <v>CAPTEUR MESURE P/DEBIMETR</v>
          </cell>
          <cell r="C2002" t="str">
            <v>IFS 4000 F DN150 PN16</v>
          </cell>
          <cell r="D2002" t="str">
            <v>PE</v>
          </cell>
          <cell r="E2002" t="str">
            <v>512.51201</v>
          </cell>
          <cell r="F2002">
            <v>31350</v>
          </cell>
          <cell r="G2002">
            <v>0</v>
          </cell>
          <cell r="H2002">
            <v>0</v>
          </cell>
          <cell r="I2002">
            <v>0</v>
          </cell>
          <cell r="J2002">
            <v>1</v>
          </cell>
          <cell r="K2002">
            <v>0</v>
          </cell>
          <cell r="L2002">
            <v>0</v>
          </cell>
        </row>
        <row r="2003">
          <cell r="A2003" t="str">
            <v>20708.00632</v>
          </cell>
          <cell r="B2003" t="str">
            <v>TRANSMETTEUR D'OXYGENE OXYMITTER 4000</v>
          </cell>
          <cell r="C2003" t="str">
            <v>OXT4A-3-2-1-1-14-3-1-00-01-11</v>
          </cell>
          <cell r="D2003" t="str">
            <v>PE</v>
          </cell>
          <cell r="E2003" t="str">
            <v>512.51201</v>
          </cell>
          <cell r="F2003">
            <v>87930</v>
          </cell>
          <cell r="G2003">
            <v>0</v>
          </cell>
          <cell r="H2003">
            <v>0</v>
          </cell>
          <cell r="I2003">
            <v>0</v>
          </cell>
          <cell r="J2003">
            <v>0</v>
          </cell>
          <cell r="K2003">
            <v>0</v>
          </cell>
          <cell r="L2003">
            <v>0</v>
          </cell>
        </row>
        <row r="2004">
          <cell r="A2004" t="str">
            <v>20710.00157</v>
          </cell>
          <cell r="B2004" t="str">
            <v>BATTERIE</v>
          </cell>
          <cell r="C2004" t="str">
            <v>S9129FA</v>
          </cell>
          <cell r="D2004" t="str">
            <v>PE</v>
          </cell>
          <cell r="E2004" t="str">
            <v>512.51201</v>
          </cell>
          <cell r="F2004">
            <v>868.59900000000005</v>
          </cell>
          <cell r="G2004">
            <v>0</v>
          </cell>
          <cell r="H2004">
            <v>0</v>
          </cell>
          <cell r="I2004">
            <v>18</v>
          </cell>
          <cell r="J2004">
            <v>0</v>
          </cell>
          <cell r="K2004">
            <v>0</v>
          </cell>
          <cell r="L2004">
            <v>0</v>
          </cell>
        </row>
        <row r="2005">
          <cell r="A2005" t="str">
            <v>20708.00429</v>
          </cell>
          <cell r="B2005" t="str">
            <v>TUBE DE MESURE POUR DEBIMETRE 6''</v>
          </cell>
          <cell r="C2005" t="str">
            <v>8707APA060S1W0N0L2Q4DT</v>
          </cell>
          <cell r="D2005" t="str">
            <v>PE</v>
          </cell>
          <cell r="E2005" t="str">
            <v>512.51201</v>
          </cell>
          <cell r="F2005">
            <v>35800</v>
          </cell>
          <cell r="G2005">
            <v>1</v>
          </cell>
          <cell r="H2005">
            <v>0</v>
          </cell>
          <cell r="I2005">
            <v>0</v>
          </cell>
          <cell r="J2005">
            <v>0</v>
          </cell>
          <cell r="K2005">
            <v>1</v>
          </cell>
          <cell r="L2005">
            <v>1</v>
          </cell>
        </row>
        <row r="2006">
          <cell r="A2006" t="str">
            <v>20708.00430</v>
          </cell>
          <cell r="B2006" t="str">
            <v>TUBE DE MESURE POUR DEBIMETRE 8''</v>
          </cell>
          <cell r="C2006" t="str">
            <v>8707APA080S1W0N0L2Q4DT</v>
          </cell>
          <cell r="D2006" t="str">
            <v>PE</v>
          </cell>
          <cell r="E2006" t="str">
            <v>512.51201</v>
          </cell>
          <cell r="F2006">
            <v>42300</v>
          </cell>
          <cell r="G2006">
            <v>0</v>
          </cell>
          <cell r="H2006">
            <v>0</v>
          </cell>
          <cell r="I2006">
            <v>1</v>
          </cell>
          <cell r="J2006">
            <v>0</v>
          </cell>
          <cell r="K2006">
            <v>0</v>
          </cell>
          <cell r="L2006">
            <v>3</v>
          </cell>
        </row>
        <row r="2007">
          <cell r="A2007" t="str">
            <v>20708.00431</v>
          </cell>
          <cell r="B2007" t="str">
            <v>SONDE</v>
          </cell>
          <cell r="C2007" t="str">
            <v>23645-10</v>
          </cell>
          <cell r="D2007" t="str">
            <v>PE</v>
          </cell>
          <cell r="E2007" t="str">
            <v>512.51201</v>
          </cell>
          <cell r="F2007">
            <v>2446.3444</v>
          </cell>
          <cell r="G2007">
            <v>0</v>
          </cell>
          <cell r="H2007">
            <v>3</v>
          </cell>
          <cell r="I2007">
            <v>0</v>
          </cell>
          <cell r="J2007">
            <v>0</v>
          </cell>
          <cell r="K2007">
            <v>0</v>
          </cell>
          <cell r="L2007">
            <v>0</v>
          </cell>
        </row>
        <row r="2008">
          <cell r="A2008" t="str">
            <v>20708.00432</v>
          </cell>
          <cell r="B2008" t="str">
            <v>SONDE DE CONDUCTIVITE</v>
          </cell>
          <cell r="C2008" t="str">
            <v>400VP-11</v>
          </cell>
          <cell r="D2008" t="str">
            <v>PE</v>
          </cell>
          <cell r="E2008" t="str">
            <v>512.51201</v>
          </cell>
          <cell r="F2008">
            <v>4058.2246</v>
          </cell>
          <cell r="G2008">
            <v>0</v>
          </cell>
          <cell r="H2008">
            <v>3</v>
          </cell>
          <cell r="I2008">
            <v>0</v>
          </cell>
          <cell r="J2008">
            <v>0</v>
          </cell>
          <cell r="K2008">
            <v>0</v>
          </cell>
          <cell r="L2008">
            <v>0</v>
          </cell>
        </row>
        <row r="2009">
          <cell r="A2009" t="str">
            <v>20708.00433</v>
          </cell>
          <cell r="B2009" t="str">
            <v>TRANSMETTEUR 2 FILS DE CONDUCTIVITE</v>
          </cell>
          <cell r="C2009" t="str">
            <v>5081-C-HT-21-60</v>
          </cell>
          <cell r="D2009" t="str">
            <v>PE</v>
          </cell>
          <cell r="E2009" t="str">
            <v>512.51201</v>
          </cell>
          <cell r="F2009">
            <v>21074</v>
          </cell>
          <cell r="G2009">
            <v>0</v>
          </cell>
          <cell r="H2009">
            <v>0</v>
          </cell>
          <cell r="I2009">
            <v>0</v>
          </cell>
          <cell r="J2009">
            <v>0</v>
          </cell>
          <cell r="K2009">
            <v>1</v>
          </cell>
          <cell r="L2009">
            <v>1</v>
          </cell>
        </row>
        <row r="2010">
          <cell r="A2010" t="str">
            <v>20708.00434</v>
          </cell>
          <cell r="B2010" t="str">
            <v>SONDE DE CONDUCTIVITE</v>
          </cell>
          <cell r="C2010" t="str">
            <v>140-55</v>
          </cell>
          <cell r="D2010" t="str">
            <v>PE</v>
          </cell>
          <cell r="E2010" t="str">
            <v>512.51201</v>
          </cell>
          <cell r="F2010">
            <v>29220.18</v>
          </cell>
          <cell r="G2010">
            <v>0</v>
          </cell>
          <cell r="H2010">
            <v>0</v>
          </cell>
          <cell r="I2010">
            <v>2</v>
          </cell>
          <cell r="J2010">
            <v>0</v>
          </cell>
          <cell r="K2010">
            <v>1</v>
          </cell>
          <cell r="L2010">
            <v>0</v>
          </cell>
        </row>
        <row r="2011">
          <cell r="A2011" t="str">
            <v>20708.00435</v>
          </cell>
          <cell r="B2011" t="str">
            <v>CAPTEUR</v>
          </cell>
          <cell r="C2011" t="str">
            <v>396P-01-10-55-41</v>
          </cell>
          <cell r="D2011" t="str">
            <v>PE</v>
          </cell>
          <cell r="E2011" t="str">
            <v>512.51201</v>
          </cell>
          <cell r="F2011">
            <v>5204</v>
          </cell>
          <cell r="G2011">
            <v>0</v>
          </cell>
          <cell r="H2011">
            <v>0</v>
          </cell>
          <cell r="I2011">
            <v>0</v>
          </cell>
          <cell r="J2011">
            <v>0</v>
          </cell>
          <cell r="K2011">
            <v>0</v>
          </cell>
          <cell r="L2011">
            <v>1</v>
          </cell>
        </row>
        <row r="2012">
          <cell r="A2012" t="str">
            <v>10096.00549</v>
          </cell>
          <cell r="B2012" t="str">
            <v>CHAUSSURE DE PROTECTION P.46</v>
          </cell>
          <cell r="C2012"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46N.B : LE FOURNISSEUR DOIT GARANTIR UN NIVEAU DE PROTECTION ADAPTE AUX RISQUES COURANTS, UNE DURABILITE CORRECTE DES ELEMENTS DE PROTECTION ET DES QUALITES HYGIENIQUES COMPATIBLE AVEC LES CONDITIONS DE PORTER. LES OFFRES DOIVENT ETRE ACCOMPAGNEES D'UN MODELE PROPOSE </v>
          </cell>
          <cell r="D2012" t="str">
            <v>PE</v>
          </cell>
          <cell r="E2012" t="str">
            <v>522.52216</v>
          </cell>
          <cell r="F2012">
            <v>176.8304</v>
          </cell>
          <cell r="G2012">
            <v>0</v>
          </cell>
          <cell r="H2012">
            <v>0</v>
          </cell>
          <cell r="I2012">
            <v>0</v>
          </cell>
          <cell r="J2012">
            <v>0</v>
          </cell>
          <cell r="K2012">
            <v>0</v>
          </cell>
          <cell r="L2012">
            <v>2</v>
          </cell>
        </row>
        <row r="2013">
          <cell r="A2013" t="str">
            <v>10096.00579</v>
          </cell>
          <cell r="B2013" t="str">
            <v>CHAUSSURE DE PROTECTION P.46</v>
          </cell>
          <cell r="C2013" t="str">
            <v xml:space="preserve">CHAUSSURES DE PROTECTION POUR MAINTENANCE ET INTALLATION FIXE TYPE CHIMIE (POUR HOMME) (NORME EN 344-345-346 ET 347) EQUIPEES D'EMBOUT DE PROTECTION ET SEMELLE D'USURE NITRILE ET SANS SEMELLE ANTI-PERFORATION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2,5MMPREMIERE DE PROPRETES PERMEABLE / MONTAGE VULCANISE OU INJECTE SANS VISEMBOUT DE PROTECTION EN INOX OU AUTRE MATIERE RESISTANTE A L'ECRASEMENTLEGER, MINCE, BIEN PLACE, ADAPTE AU BOUT DE LA TIGE ET RESISTANT AUX CHOCS ET AUX ECRASEMENT AVEC IMPOSSIBILITE DE DECOLLEMENT POIDS &lt; OU = 1200GRMARQUAGE : "CE" SUIVI DES 2 CHIFFRES DE L'ANNEE DANS LAQUELLE LE MARQUAGE A ETE APPOSE, POINTURE, MARQUE, IDENTIFICATION DU FABRICANTDATE ET PAYS DE FABRICATION, REFERENCE NORME COULEUR : UNIFORME (NOIR OU MARRON) FERMETURE : PAR OEILLETS EN INOX ET LACETS EN FIL KIVLAR 0,9MM GARANTIE A PRECISER LORS DE LA LIVRAISON PAR UNE ATTESTATION CONTENANT LES CLAUSES DE LA GARANTIE EMBALLAGE : ARTICLE A LIVRER DANS UN EMBALLAGE INDIVIDUEL ADEUAT AVEC NOTICE D'UTILISATION ET D'ENTRETIENPOINTURE : 46N.B : LE FOURNISSEUR DOIT GARANTIR UN NIVEAU DE PROTECTION ADAPTE AUX RISQUES COURANTS, UNE DURABILITE CORRECTE DES ELEMENTS DE PROTECTION ET DES QUALITES HYGIENIQUES COMPATIBLE AVEC LES CONDITIONS DE PORTER. LES OFFRES DOIVENT ETRE ACCOMPAGNEES D'UN MODELE PROPOSE </v>
          </cell>
          <cell r="D2013" t="str">
            <v>PE</v>
          </cell>
          <cell r="E2013" t="str">
            <v>522.52216</v>
          </cell>
          <cell r="F2013">
            <v>352</v>
          </cell>
          <cell r="G2013">
            <v>0</v>
          </cell>
          <cell r="H2013">
            <v>0</v>
          </cell>
          <cell r="I2013">
            <v>0</v>
          </cell>
          <cell r="J2013">
            <v>0</v>
          </cell>
          <cell r="K2013">
            <v>0</v>
          </cell>
          <cell r="L2013">
            <v>0</v>
          </cell>
        </row>
        <row r="2014">
          <cell r="A2014" t="str">
            <v>10096.01458</v>
          </cell>
          <cell r="B2014" t="str">
            <v>LIQUIDE EMULSEUR</v>
          </cell>
          <cell r="C2014" t="str">
            <v>ARTICLES POUR LA LUTTE CONTRE L'INCENDIE LIQUIDE EMULSEUR "LIGHT WATER 3M" POLYVALENTE AFFF/ATC.FC 600 CONCENTRATION D'UTILISATION  3%</v>
          </cell>
          <cell r="D2014" t="str">
            <v>L</v>
          </cell>
          <cell r="E2014" t="str">
            <v>516.51601</v>
          </cell>
          <cell r="F2014">
            <v>24</v>
          </cell>
          <cell r="G2014">
            <v>0</v>
          </cell>
          <cell r="H2014">
            <v>480</v>
          </cell>
          <cell r="I2014">
            <v>0</v>
          </cell>
          <cell r="J2014">
            <v>0</v>
          </cell>
          <cell r="K2014">
            <v>0</v>
          </cell>
          <cell r="L2014">
            <v>0</v>
          </cell>
        </row>
        <row r="2015">
          <cell r="A2015" t="str">
            <v>10096.00514</v>
          </cell>
          <cell r="B2015" t="str">
            <v>CHAUSSURE DE SECURITE P44</v>
          </cell>
          <cell r="C2015"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44N.B : LE FOURNISSEUR DOIT GARANTIR UN NIVEAU DE PROTECTION          ADAPTE AUX RISQUES COURANTS,UNE DURABILITE CORRECTE          DES ELEMENTS DE PROTECTION ET DES QUALITES HYGIENIQUES          COMPATIBLE AVEC LES CONDITIONS DE PORTER.          LES OFFRES DOIVENT ETRE ACCOMPAGNEES D'UN MODELE PROPOSE </v>
          </cell>
          <cell r="D2015" t="str">
            <v>PE</v>
          </cell>
          <cell r="E2015" t="str">
            <v>522.52216</v>
          </cell>
          <cell r="F2015">
            <v>222.256</v>
          </cell>
          <cell r="G2015">
            <v>0</v>
          </cell>
          <cell r="H2015">
            <v>0</v>
          </cell>
          <cell r="I2015">
            <v>0</v>
          </cell>
          <cell r="J2015">
            <v>0</v>
          </cell>
          <cell r="K2015">
            <v>0</v>
          </cell>
          <cell r="L2015">
            <v>0</v>
          </cell>
        </row>
        <row r="2016">
          <cell r="A2016" t="str">
            <v>10096.00512</v>
          </cell>
          <cell r="B2016" t="str">
            <v>CHAUSSURE DE SECURITE P43</v>
          </cell>
          <cell r="C2016"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43N.B : LE FOURNISSEUR DOIT GARANTIR UN NIVEAU DE PROTECTION          ADAPTE AUX RISQUES COURANTS,UNE DURABILITE CORRECTE          DES ELEMENTS DE PROTECTION ET DES QUALITES HYGIENIQUES          COMPATIBLE AVEC LES CONDITIONS DE PORTER.          LES OFFRES DOIVENT ETRE ACCOMPAGNEES D'UN MODELE PROPOSE </v>
          </cell>
          <cell r="D2016" t="str">
            <v>PE</v>
          </cell>
          <cell r="E2016" t="str">
            <v>522.52216</v>
          </cell>
          <cell r="F2016">
            <v>198</v>
          </cell>
          <cell r="G2016">
            <v>0</v>
          </cell>
          <cell r="H2016">
            <v>0</v>
          </cell>
          <cell r="I2016">
            <v>0</v>
          </cell>
          <cell r="J2016">
            <v>0</v>
          </cell>
          <cell r="K2016">
            <v>0</v>
          </cell>
          <cell r="L2016">
            <v>0</v>
          </cell>
        </row>
        <row r="2017">
          <cell r="A2017" t="str">
            <v>10096.00516</v>
          </cell>
          <cell r="B2017" t="str">
            <v>CHAUSSURE DE SECURITE P45</v>
          </cell>
          <cell r="C2017"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45N.B : LE FOURNISSEUR DOIT GARANTIR UN NIVEAU DE PROTECTION          ADAPTE AUX RISQUES COURANTS,UNE DURABILITE CORRECTE          DES ELEMENTS DE PROTECTION ET DES QUALITES HYGIENIQUES          COMPATIBLE AVEC LES CONDITIONS DE PORTER.          LES OFFRES DOIVENT ETRE ACCOMPAGNEES D'UN MODELE PROPOSE </v>
          </cell>
          <cell r="D2017" t="str">
            <v>PE</v>
          </cell>
          <cell r="E2017" t="str">
            <v>522.52216</v>
          </cell>
          <cell r="F2017">
            <v>217.5839</v>
          </cell>
          <cell r="G2017">
            <v>0</v>
          </cell>
          <cell r="H2017">
            <v>0</v>
          </cell>
          <cell r="I2017">
            <v>0</v>
          </cell>
          <cell r="J2017">
            <v>0</v>
          </cell>
          <cell r="K2017">
            <v>0</v>
          </cell>
          <cell r="L2017">
            <v>0</v>
          </cell>
        </row>
        <row r="2018">
          <cell r="A2018" t="str">
            <v>10003.01296</v>
          </cell>
          <cell r="B2018" t="str">
            <v>PLAT E 24</v>
          </cell>
          <cell r="C2018" t="str">
            <v>PLAT EN ACIER - NUANCE       : AFNOR E 24  - LARGEUR     : 30 MM  - EPAISSEUR  :  10 MM EN LONGUEUR DE 6 METRES</v>
          </cell>
          <cell r="D2018" t="str">
            <v>KG</v>
          </cell>
          <cell r="E2018" t="str">
            <v>522.52213</v>
          </cell>
          <cell r="F2018">
            <v>7.5</v>
          </cell>
          <cell r="G2018">
            <v>0</v>
          </cell>
          <cell r="H2018">
            <v>0</v>
          </cell>
          <cell r="I2018">
            <v>0</v>
          </cell>
          <cell r="J2018">
            <v>0</v>
          </cell>
          <cell r="K2018">
            <v>29.14</v>
          </cell>
          <cell r="L2018">
            <v>160</v>
          </cell>
        </row>
        <row r="2019">
          <cell r="A2019" t="str">
            <v>10003.04611</v>
          </cell>
          <cell r="B2019" t="str">
            <v>TOLE ACIER INOX</v>
          </cell>
          <cell r="C2019" t="str">
            <v xml:space="preserve">TOLE EN ACIER INOXYDABLE  NUANCE AFNOR : Z2 CND 17-12 AISI 316L DIN; X2 Cr Ni Mo 18-10 GENRE : "CREUSOT-LOIRE ICL 164 BC "OU" UGINE NSM 21S  COMPOSITION -CHIMIQUE MOYENNE (%) : C &lt; 0,03 - Cr : 16-18 - Ni : 10,5-13 -  Mo : 2-2,5 - Mn : 2 - Si : 1  LONGUEUR = 3 METRES LARGEUR   = 1,5 METRE  EPAISSEUR = 20 MM  </v>
          </cell>
          <cell r="D2019" t="str">
            <v>PE</v>
          </cell>
          <cell r="E2019" t="str">
            <v>522.52213</v>
          </cell>
          <cell r="F2019">
            <v>35753.928</v>
          </cell>
          <cell r="G2019">
            <v>0</v>
          </cell>
          <cell r="H2019">
            <v>4</v>
          </cell>
          <cell r="I2019">
            <v>0</v>
          </cell>
          <cell r="J2019">
            <v>0</v>
          </cell>
          <cell r="K2019">
            <v>0</v>
          </cell>
          <cell r="L2019">
            <v>0</v>
          </cell>
        </row>
        <row r="2020">
          <cell r="A2020" t="str">
            <v>10001.00366</v>
          </cell>
          <cell r="B2020" t="str">
            <v>HUILE HYDRAULIQUE C2 SAE10W</v>
          </cell>
          <cell r="C2020" t="str">
            <v>HUILE HYDRAULIQUE SAE 10 W  SUIVANT FICHE TECHNIQUE OCP  LIVREE EN FUT  N.B : PRODUIT DANGEREUX (FICHE DE DONNEES DE SECURITE EST EXIGEE LORS DE LA LIVRAISON DU  PRODUIT)</v>
          </cell>
          <cell r="D2020" t="str">
            <v>KG</v>
          </cell>
          <cell r="E2020" t="str">
            <v>522.52212</v>
          </cell>
          <cell r="F2020">
            <v>15.048</v>
          </cell>
          <cell r="G2020">
            <v>0</v>
          </cell>
          <cell r="H2020">
            <v>0</v>
          </cell>
          <cell r="I2020">
            <v>0</v>
          </cell>
          <cell r="J2020">
            <v>0</v>
          </cell>
          <cell r="K2020">
            <v>0</v>
          </cell>
          <cell r="L2020">
            <v>185</v>
          </cell>
        </row>
        <row r="2021">
          <cell r="A2021" t="str">
            <v>10001.00361</v>
          </cell>
          <cell r="B2021" t="str">
            <v>HUILE HYDRAULIQUE ISO 32</v>
          </cell>
          <cell r="C2021" t="str">
            <v>HUILE HYDRAULIQUE ISO 32 LIVREE EN FUTSUIVANT FICHE TECHNIQUE OCPNB : PRODUIT DANGEREUX (FICHE DE DONNEE DE SECURITE EST EXIGE LORS DE LA LIVRAISON DU PRODUIT).</v>
          </cell>
          <cell r="D2021" t="str">
            <v>KG</v>
          </cell>
          <cell r="E2021" t="str">
            <v>522.52212</v>
          </cell>
          <cell r="F2021">
            <v>20.148</v>
          </cell>
          <cell r="G2021">
            <v>0</v>
          </cell>
          <cell r="H2021">
            <v>0</v>
          </cell>
          <cell r="I2021">
            <v>0</v>
          </cell>
          <cell r="J2021">
            <v>0</v>
          </cell>
          <cell r="K2021">
            <v>960</v>
          </cell>
          <cell r="L2021">
            <v>0</v>
          </cell>
        </row>
        <row r="2022">
          <cell r="A2022" t="str">
            <v>10003.01327</v>
          </cell>
          <cell r="B2022" t="str">
            <v>PLAT E 24</v>
          </cell>
          <cell r="C2022" t="str">
            <v>PLAT EN ACIER - NUANCE       : AFNOR E 24  - LARGEUR     : 40 MM  - EPAISSEUR  :  8 MM EN LONGUEUR DE 6 METRES</v>
          </cell>
          <cell r="D2022" t="str">
            <v>KG</v>
          </cell>
          <cell r="E2022" t="str">
            <v>522.52213</v>
          </cell>
          <cell r="F2022">
            <v>5.7</v>
          </cell>
          <cell r="G2022">
            <v>0</v>
          </cell>
          <cell r="H2022">
            <v>0</v>
          </cell>
          <cell r="I2022">
            <v>0</v>
          </cell>
          <cell r="J2022">
            <v>0</v>
          </cell>
          <cell r="K2022">
            <v>0</v>
          </cell>
          <cell r="L2022">
            <v>185</v>
          </cell>
        </row>
        <row r="2023">
          <cell r="A2023" t="str">
            <v>10096.00535</v>
          </cell>
          <cell r="B2023" t="str">
            <v>CHAUSURE DE SECURITE P.39</v>
          </cell>
          <cell r="C2023"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39N.B : LE FOURNISSEUR DOIT GARANTIR UN NIVEAU DE PROTECTION ADAPTE AUX RISQUES COURANTS, UNE DURABILITE CORRECTE DES ELEMENTS DE PROTECTION ET DES QUALITES HYGIENIQUES COMPATIBLE AVEC LES CONDITIONS DE PORTER. LES OFFRES DOIVENT ETRE ACCOMPAGNEES D'UN MODELE PROPOSE </v>
          </cell>
          <cell r="D2023" t="str">
            <v>PE</v>
          </cell>
          <cell r="E2023" t="str">
            <v>522.52216</v>
          </cell>
          <cell r="F2023">
            <v>307.64530000000002</v>
          </cell>
          <cell r="G2023">
            <v>0</v>
          </cell>
          <cell r="H2023">
            <v>0</v>
          </cell>
          <cell r="I2023">
            <v>0</v>
          </cell>
          <cell r="J2023">
            <v>0</v>
          </cell>
          <cell r="K2023">
            <v>0</v>
          </cell>
          <cell r="L2023">
            <v>0</v>
          </cell>
        </row>
        <row r="2024">
          <cell r="A2024" t="str">
            <v>10001.00372</v>
          </cell>
          <cell r="B2024" t="str">
            <v>HUILE  CARTER EP MI EPAISSE ISO 150</v>
          </cell>
          <cell r="C2024" t="str">
            <v xml:space="preserve">HUILE DE CARTER EXTREME PRESSION MI-EPAISSE ISO 150 SUIVANT FICHE TECHNIQUE OCP </v>
          </cell>
          <cell r="D2024" t="str">
            <v>KG</v>
          </cell>
          <cell r="E2024" t="str">
            <v>522.52212</v>
          </cell>
          <cell r="F2024">
            <v>19.82</v>
          </cell>
          <cell r="G2024">
            <v>0</v>
          </cell>
          <cell r="H2024">
            <v>0</v>
          </cell>
          <cell r="I2024">
            <v>0</v>
          </cell>
          <cell r="J2024">
            <v>0</v>
          </cell>
          <cell r="K2024">
            <v>0</v>
          </cell>
          <cell r="L2024">
            <v>185</v>
          </cell>
        </row>
        <row r="2025">
          <cell r="A2025" t="str">
            <v>10001.00373</v>
          </cell>
          <cell r="B2025" t="str">
            <v>HUILE EPAISSE ISO 320</v>
          </cell>
          <cell r="C2025" t="str">
            <v>HUILE DE CARTER EXTREME PRESSION EPAISSE ISO 320SUIVANT FICHE TECHNIQUE OCP N.B : PRODUIT DANGEREUX (FICHE DE DONNEES DE SECURITE EST EXIGEE LORS DE LA LIVRAISON DU  PRODUIT)</v>
          </cell>
          <cell r="D2025" t="str">
            <v>KG</v>
          </cell>
          <cell r="E2025" t="str">
            <v>522.52212</v>
          </cell>
          <cell r="F2025">
            <v>31.945599999999999</v>
          </cell>
          <cell r="G2025">
            <v>0</v>
          </cell>
          <cell r="H2025">
            <v>570</v>
          </cell>
          <cell r="I2025">
            <v>1110</v>
          </cell>
          <cell r="J2025">
            <v>600</v>
          </cell>
          <cell r="K2025">
            <v>767</v>
          </cell>
          <cell r="L2025">
            <v>0</v>
          </cell>
        </row>
        <row r="2026">
          <cell r="A2026" t="str">
            <v>10001.00375</v>
          </cell>
          <cell r="B2026" t="str">
            <v>HUILE CARTER EP MI-EPAISS ISO 220</v>
          </cell>
          <cell r="C2026" t="str">
            <v>HUILE DE CARTER EXTREME PRESSION MI-EPAISSE ISO 220LIVREE EN FUTSUIVANT FICHE TECHNIQUE OCPN.B : PRODUIT DANGEREUX (FICHE DE DONNEES DE SECURITE EST EXIGEE LORS DE LA LIVRAISON DU  PRODUIT)</v>
          </cell>
          <cell r="D2026" t="str">
            <v>KG</v>
          </cell>
          <cell r="E2026" t="str">
            <v>522.52212</v>
          </cell>
          <cell r="F2026">
            <v>17.0733</v>
          </cell>
          <cell r="G2026">
            <v>0</v>
          </cell>
          <cell r="H2026">
            <v>0</v>
          </cell>
          <cell r="I2026">
            <v>560</v>
          </cell>
          <cell r="J2026">
            <v>190</v>
          </cell>
          <cell r="K2026">
            <v>190</v>
          </cell>
          <cell r="L2026">
            <v>0</v>
          </cell>
        </row>
        <row r="2027">
          <cell r="A2027" t="str">
            <v>10096.00010</v>
          </cell>
          <cell r="B2027" t="str">
            <v>MASQUE DE SOUDEUR</v>
          </cell>
          <cell r="C2027" t="str">
            <v>MASQUE POUR SOUDEUR A ECRAN RELEVABLE  POUR TRAVAUX DE SOUDEUR A L'ARC ELECTRIQUE NORME : EN 175 MATERIAU : COMPOSITE THERMODURCISSABLE (POLYESTER ARME DE FIBRE DE VERRE OU POLYAMIDE) COULEUR GRISE OU BLEUE MONTAGE DE L'OCULAIRE PAR VIS ADAPTATION SUR CASQUE DE PROTECTION SERRE TETE INTEGRE A CREMAILLERE AJUSTABLE MOUSSE DE PROTECTION FRONTALE+OCULAIRE SUR FACE FIXE : MINERAL FEUILLETE INCOLORE DIMENSIONS :105X50MM PAISSEUR 2 MMSUR FACE RELEVABLE : MINERAL STANDARD DIMENSIONS: 105X50MM EPAISSEUR 2MM TRAITE ANTI-RAYURES TEINTE : ECHELON 13 POIDS : INFERIEUR OU EGAL A 380 G NB: LES OFFRES DOIVENT-ETRE ACCOMPAGNEES D'UN MODELE PROPOSE.</v>
          </cell>
          <cell r="D2027" t="str">
            <v>PE</v>
          </cell>
          <cell r="E2027" t="str">
            <v>522.52216</v>
          </cell>
          <cell r="F2027">
            <v>60.364100000000001</v>
          </cell>
          <cell r="G2027">
            <v>0</v>
          </cell>
          <cell r="H2027">
            <v>0</v>
          </cell>
          <cell r="I2027">
            <v>0</v>
          </cell>
          <cell r="J2027">
            <v>0</v>
          </cell>
          <cell r="K2027">
            <v>8</v>
          </cell>
          <cell r="L2027">
            <v>0</v>
          </cell>
        </row>
        <row r="2028">
          <cell r="A2028" t="str">
            <v>10096.00020</v>
          </cell>
          <cell r="B2028" t="str">
            <v>ECRAN FILTRANT DE RECHANG TEINTE ECHELON 10</v>
          </cell>
          <cell r="C2028" t="str">
            <v>RECHANGES POUR MASQUE DE SOUDEUR ECRAN FILTRANT POUR FACE RELEVABLE NORME : EN 169 MINERAL STANDARD TRAITE ANTI-RAYURES DIMENSIONS : 105X50MM, EPAISSEUR 2MM TEINTE : ECHELON 10 NB: LES OFFRES DOIVENT ETRE ACCOMPAGNNEES D'UN MODELE PROPOSE</v>
          </cell>
          <cell r="D2028" t="str">
            <v>PE</v>
          </cell>
          <cell r="E2028" t="str">
            <v>522.52216</v>
          </cell>
          <cell r="F2028">
            <v>5.4246999999999996</v>
          </cell>
          <cell r="G2028">
            <v>0</v>
          </cell>
          <cell r="H2028">
            <v>0</v>
          </cell>
          <cell r="I2028">
            <v>0</v>
          </cell>
          <cell r="J2028">
            <v>0</v>
          </cell>
          <cell r="K2028">
            <v>10</v>
          </cell>
          <cell r="L2028">
            <v>0</v>
          </cell>
        </row>
        <row r="2029">
          <cell r="A2029" t="str">
            <v>10096.00060</v>
          </cell>
          <cell r="B2029" t="str">
            <v>LUNETTE A ECRAN ANTI-POUSSIERE ET LIQUIDE TOXIQUE</v>
          </cell>
          <cell r="C2029" t="str">
            <v>LUNETTES A ECRAN ANTI-POUSSIERE ET LIQUIDE TOXIQUE (DESAMIANTAGE) NORME : EN 166 MASQUE A TRESSE REGLABLE ET BORD EN MOUSSE AVEC CHICANE D'AERATION ANTI-POUSSIERE PROTECTION LATERALE SUPERIEURE ET INFERIEURE FACE 1F INCOLORE EN ACETATE ANTI-BUEE ET ANTI-RAYURES SERRE TETE ELASTIQUE REGLABLE DE LARGEUR 11 MM POIDS 74GR COMPATIBLE AVEC LE PORT DE LUNETTES CORRECTIVES. NB: LES OFFRES DOIVENT ETRE ACCOMPAGNNEES D'UN MODELE PROPOSE</v>
          </cell>
          <cell r="D2029" t="str">
            <v>PE</v>
          </cell>
          <cell r="E2029" t="str">
            <v>522.52216</v>
          </cell>
          <cell r="F2029">
            <v>12.7691</v>
          </cell>
          <cell r="G2029">
            <v>0</v>
          </cell>
          <cell r="H2029">
            <v>0</v>
          </cell>
          <cell r="I2029">
            <v>0</v>
          </cell>
          <cell r="J2029">
            <v>0</v>
          </cell>
          <cell r="K2029">
            <v>0</v>
          </cell>
          <cell r="L2029">
            <v>0</v>
          </cell>
        </row>
        <row r="2030">
          <cell r="A2030" t="str">
            <v>10096.00070</v>
          </cell>
          <cell r="B2030" t="str">
            <v>LUNETTE DE PROTECTIONS</v>
          </cell>
          <cell r="C2030" t="str">
            <v>LUNETTES A BRANCHE REGLABLES ET INCLINABLES ET CROCHETS+ETUI CORRESPONDANT NORME EN 166 OCULAIRE:FACE 1F INCOLORE EN POLYCARBONATE OU EN ACETATE TRAITE ANTI-BUEE ET ANTI-RAYURES MONTURE : INCASSABLE F JAUNE ET NOIRE EN NYLON AVEC CHICANE D'AERATION INDIRECTEPOIDS 28GRNB: LES OFFRES DOIVENT ETRE ACCOMPAGNNEES D'UN MODELE PROPOSE</v>
          </cell>
          <cell r="D2030" t="str">
            <v>PE</v>
          </cell>
          <cell r="E2030" t="str">
            <v>522.52216</v>
          </cell>
          <cell r="F2030">
            <v>54.2654</v>
          </cell>
          <cell r="G2030">
            <v>0</v>
          </cell>
          <cell r="H2030">
            <v>0</v>
          </cell>
          <cell r="I2030">
            <v>0</v>
          </cell>
          <cell r="J2030">
            <v>0</v>
          </cell>
          <cell r="K2030">
            <v>0</v>
          </cell>
          <cell r="L2030">
            <v>0</v>
          </cell>
        </row>
        <row r="2031">
          <cell r="A2031" t="str">
            <v>10096.01200</v>
          </cell>
          <cell r="B2031" t="str">
            <v>CONE DE SIGNALISATION</v>
          </cell>
          <cell r="C2031" t="str">
            <v>CONE DE SIGNALISATION EN PLASTIQUE POLYETHYLENECOULEUR ROUGE FLUORESCENT AVEC 2 RAYURES BLANCHESHAUTEUR 50CM</v>
          </cell>
          <cell r="D2031" t="str">
            <v>PE</v>
          </cell>
          <cell r="E2031" t="str">
            <v>522.52216</v>
          </cell>
          <cell r="F2031">
            <v>60</v>
          </cell>
          <cell r="G2031">
            <v>0</v>
          </cell>
          <cell r="H2031">
            <v>0</v>
          </cell>
          <cell r="I2031">
            <v>0</v>
          </cell>
          <cell r="J2031">
            <v>0</v>
          </cell>
          <cell r="K2031">
            <v>0</v>
          </cell>
          <cell r="L2031">
            <v>0</v>
          </cell>
        </row>
        <row r="2032">
          <cell r="A2032" t="str">
            <v>10096.01201</v>
          </cell>
          <cell r="B2032" t="str">
            <v>RUBAN DE SIGNALISATION</v>
          </cell>
          <cell r="C2032" t="str">
            <v>RUBAN DE SIGNALISATION EN PLASTIQUE POLYETHELENE NON ADHESIVECOULEUR ROUGE ET BLANC ALTERNES EN DIAGONALELONGUEUR 100METRES LARGEUR 50MM</v>
          </cell>
          <cell r="D2032" t="str">
            <v>PE</v>
          </cell>
          <cell r="E2032" t="str">
            <v>522.52216</v>
          </cell>
          <cell r="F2032">
            <v>30</v>
          </cell>
          <cell r="G2032">
            <v>0</v>
          </cell>
          <cell r="H2032">
            <v>0</v>
          </cell>
          <cell r="I2032">
            <v>30</v>
          </cell>
          <cell r="J2032">
            <v>0</v>
          </cell>
          <cell r="K2032">
            <v>0</v>
          </cell>
          <cell r="L2032">
            <v>0</v>
          </cell>
        </row>
        <row r="2033">
          <cell r="A2033" t="str">
            <v>10096.01202</v>
          </cell>
          <cell r="B2033" t="str">
            <v>GILET DOUBLE CEINTURE</v>
          </cell>
          <cell r="C2033" t="str">
            <v>GILET DOUBLE CEINTURE 3MMATIERE EXTERIEURE MAILLE POLYESTER 120g/m² FILUORESCENTAVEC 2 BANDES TORSO RECTRO REFLECHISSANTES SCOTCHLITE 3M CLASSE 2FERMETURE BANDE AGRIPPANTE AJUSTABLECOULEURS ET ECRITURE : A PRECISER AU MOMENT DE LA DEMANDE</v>
          </cell>
          <cell r="D2033" t="str">
            <v>PE</v>
          </cell>
          <cell r="E2033" t="str">
            <v>522.52216</v>
          </cell>
          <cell r="F2033">
            <v>99</v>
          </cell>
          <cell r="G2033">
            <v>0</v>
          </cell>
          <cell r="H2033">
            <v>0</v>
          </cell>
          <cell r="I2033">
            <v>0</v>
          </cell>
          <cell r="J2033">
            <v>0</v>
          </cell>
          <cell r="K2033">
            <v>0</v>
          </cell>
          <cell r="L2033">
            <v>0</v>
          </cell>
        </row>
        <row r="2034">
          <cell r="A2034" t="str">
            <v>10096.00110</v>
          </cell>
          <cell r="B2034" t="str">
            <v>COIFE POLYETHYLENE</v>
          </cell>
          <cell r="C2034" t="str">
            <v>COIFFE REGLABLE EN POLYETHYLENE POUR CASQUE DE CHANTIER</v>
          </cell>
          <cell r="D2034" t="str">
            <v>PE</v>
          </cell>
          <cell r="E2034" t="str">
            <v>522.52216</v>
          </cell>
          <cell r="F2034">
            <v>13.2</v>
          </cell>
          <cell r="G2034">
            <v>0</v>
          </cell>
          <cell r="H2034">
            <v>386</v>
          </cell>
          <cell r="I2034">
            <v>0</v>
          </cell>
          <cell r="J2034">
            <v>0</v>
          </cell>
          <cell r="K2034">
            <v>0</v>
          </cell>
          <cell r="L2034">
            <v>0</v>
          </cell>
        </row>
        <row r="2035">
          <cell r="A2035" t="str">
            <v>10096.01210</v>
          </cell>
          <cell r="B2035" t="str">
            <v>MANCHE A VENT</v>
          </cell>
          <cell r="C2035" t="str">
            <v xml:space="preserve">MANCHE A VENT EN TISSU RAYE ROUGE/BLANC RESISTANT AUX INTEMPERES  ( MILIEU ACIDE )GRAND DIAMETRE = 400MM PETIT DIAMETRE = 200MM LONGUEUR = 2500MM 1 MAT DE TUBE GALVANISE DIAMETRE 49MM EPAISSEUR 2,9MM HAUTEUR = 4METRES BOULONNERIE. GIROUETTE PIVOTANTE NB: AGREE PAR OACI </v>
          </cell>
          <cell r="D2035" t="str">
            <v>PE</v>
          </cell>
          <cell r="E2035" t="str">
            <v>522.52216</v>
          </cell>
          <cell r="F2035">
            <v>6594.5</v>
          </cell>
          <cell r="G2035">
            <v>0</v>
          </cell>
          <cell r="H2035">
            <v>0</v>
          </cell>
          <cell r="I2035">
            <v>0</v>
          </cell>
          <cell r="J2035">
            <v>0</v>
          </cell>
          <cell r="K2035">
            <v>1</v>
          </cell>
          <cell r="L2035">
            <v>0</v>
          </cell>
        </row>
        <row r="2036">
          <cell r="A2036" t="str">
            <v>10096.00150</v>
          </cell>
          <cell r="B2036" t="str">
            <v>MASQUE COMPLET PANORAMIQU</v>
          </cell>
          <cell r="C2036" t="str">
            <v>MASQUE COMPLET PANORAMIQUE MONO-CARTOUCHE AVEC RACCORD A FILETAGE STANDARD POUR MONO-FILTRE ANTI-POUSSIERE-GAZ-VAPEURSNORME EN 136 CLASSE 2COMPRENANT: UNE PIECE FACIALE ET DEMI-MASQUE INTERIEUR                          EN SILICONE SOUPLE ANTI-ALLERGIQUE POUR UNE                          PARFAITE ETANCHEITE                          UN LARGE OCCULAIRE EN POLYCARBONATE TRAITE                          ANTI-RAYURES ET ANTI-BUEE A OPTIQUE NEUTRE                          UN SAC ASPIRATOIRE A SOUPAPE RECEVANT DES FILTRES                          AVEC PAS DE VIS NORMALISE EN148-1                          UNE SOUPAPE EXPIRATION QUI EXPULSE DIRECTEMENT LE GAZ CARBONIQUE                         UNE MEMBRANE PHONIQUE                          UN HARNAIS A 5 BRIDES AVEC SANGLES REGLABLESPOIDS 655GR  A LIVRER  AVEC CARTOUCHE ET AVEC CERTIFICAT DE CONFORMITENB: LES OFFRES DOIVENT ETRE ACCOMPAGNEES D'UN MODELE PROPOSE.</v>
          </cell>
          <cell r="D2036" t="str">
            <v>PE</v>
          </cell>
          <cell r="E2036" t="str">
            <v>522.52216</v>
          </cell>
          <cell r="F2036">
            <v>784.53309999999999</v>
          </cell>
          <cell r="G2036">
            <v>1</v>
          </cell>
          <cell r="H2036">
            <v>14</v>
          </cell>
          <cell r="I2036">
            <v>30</v>
          </cell>
          <cell r="J2036">
            <v>137</v>
          </cell>
          <cell r="K2036">
            <v>26</v>
          </cell>
          <cell r="L2036">
            <v>18</v>
          </cell>
        </row>
        <row r="2037">
          <cell r="A2037" t="str">
            <v>10096.00080</v>
          </cell>
          <cell r="B2037" t="str">
            <v>ECRAN FACIAL TRANSPARANT ANTI-PROJECTION</v>
          </cell>
          <cell r="C2037" t="str">
            <v>ECRAN FACIAL ANTI-PROJECTION NORME : EN 166 ECRAN EN POLYCARBONATE ANTI-CHOCS RESISTANT AUX AGENTS CHIMIQUES TRAITE ANTI-BUEE ADAPTABLE SUR CASQUE DE PROTECTION HAUTEUR 150 A 225MM FORME STANDARD ARRONDIE, VISION MAXIMALNB: LES OFFRES DOIVENT ETRE ACCOMPAGNNEES D'UN MODELE PROPOSE</v>
          </cell>
          <cell r="D2037" t="str">
            <v>PE</v>
          </cell>
          <cell r="E2037" t="str">
            <v>522.52216</v>
          </cell>
          <cell r="F2037">
            <v>27.5</v>
          </cell>
          <cell r="G2037">
            <v>0</v>
          </cell>
          <cell r="H2037">
            <v>0</v>
          </cell>
          <cell r="I2037">
            <v>10</v>
          </cell>
          <cell r="J2037">
            <v>30</v>
          </cell>
          <cell r="K2037">
            <v>0</v>
          </cell>
          <cell r="L2037">
            <v>0</v>
          </cell>
        </row>
        <row r="2038">
          <cell r="A2038" t="str">
            <v>10096.00082</v>
          </cell>
          <cell r="B2038" t="str">
            <v>PORTE ECRAN</v>
          </cell>
          <cell r="C2038" t="str">
            <v xml:space="preserve">PORTE ECRAN FACIAL ANTI PROJECTION ADAPTABLE SUR CASQUE DE SECURITE NORM EN166 RELEVABLE ET SERVANT DE SUPPORT A L'ECRAN FACIALNB: LES OFFRES DOIVENT ETRE ACCOMPAGNNEES D'UN MODELE PROPOSE </v>
          </cell>
          <cell r="D2038" t="str">
            <v>PE</v>
          </cell>
          <cell r="E2038" t="str">
            <v>522.52216</v>
          </cell>
          <cell r="F2038">
            <v>25.3</v>
          </cell>
          <cell r="G2038">
            <v>0</v>
          </cell>
          <cell r="H2038">
            <v>0</v>
          </cell>
          <cell r="I2038">
            <v>13</v>
          </cell>
          <cell r="J2038">
            <v>27</v>
          </cell>
          <cell r="K2038">
            <v>0</v>
          </cell>
          <cell r="L2038">
            <v>0</v>
          </cell>
        </row>
        <row r="2039">
          <cell r="A2039" t="str">
            <v>10096.00100</v>
          </cell>
          <cell r="B2039" t="str">
            <v>CASQUE DE PROTECTION</v>
          </cell>
          <cell r="C2039" t="str">
            <v>CASQUE DE PROTECTION ET DE SECURITE FORME CASQUETTE S/NORME EN 397CALOTTE : RESISTANTE AU FINI LISSE AVEC NERVURES DE RENFORT ET 4 ORIFICES LATERAUX D'AERATION MUNIS D'UN DISPOSITIF ROTATIF DE FERMETURE DES DEUX COTES DU CASQUEACCESSOIRES : JUGULAIRE REGLABLE EN CUIR DE 15 A 16MM DE LARGEURHARNAIS AVEC 6 POINTS D'ENCRAGE, PAS DE REGLAGE DU TOUR DE TETE DE 2MM SYSTEME A CREMAILLERE / TOUR DE TETE DE 52 A 62CM DE CONTOUR AVEC GARNITURE EN CUIR SOUPLE DE MOUTONCOIFFE EN PLASTIQUE / GARNITURE DE LA COIFFE : LES PARTIES EN CONTACT AVEC LA TETE DOIVENT ETRE EN CUIR SOUPLE / SANGLE D'AMORTISSEMENT : LES POINTS D'ENCRAGE DOIVENT ETRE BIEN FINIS ET SOLIDAIRES (BIEN FIXES) / COULEUR A PRECISER A LA DEMANDE / MASSE &lt; OU = 380GRLE CASQUE DOIT-ETRE CONFORME AU CAHIER DES CHARGES ET FICHE TECHNIQUE OCPNB: LES OFFRES DOIVENT ETRE ACCOMPAGNEES D'UN MODELE PROPOSE</v>
          </cell>
          <cell r="D2039" t="str">
            <v>PE</v>
          </cell>
          <cell r="E2039" t="str">
            <v>522.52216</v>
          </cell>
          <cell r="F2039">
            <v>64.059200000000004</v>
          </cell>
          <cell r="G2039">
            <v>0</v>
          </cell>
          <cell r="H2039">
            <v>53</v>
          </cell>
          <cell r="I2039">
            <v>26</v>
          </cell>
          <cell r="J2039">
            <v>22</v>
          </cell>
          <cell r="K2039">
            <v>30</v>
          </cell>
          <cell r="L2039">
            <v>0</v>
          </cell>
        </row>
        <row r="2040">
          <cell r="A2040" t="str">
            <v>10096.00172</v>
          </cell>
          <cell r="B2040" t="str">
            <v>CARTOUCHE FILTRANTE A2B2P3</v>
          </cell>
          <cell r="C2040" t="str">
            <v>CARTOUCHE FILTRANTE POUR MASQUE COMPLET PANORAMIQUE NORME : EN 141-143 ET 148-1 TYPE ET CLASSE : A2B2P3UTILISATION (MILIEU) : GAZ, VAPEURS ACIDES ET POUSSIERES NB: LES OFFRES DOIVENT ETRE ACCOMPAGNEES D'UN MODELE PROPOSE.</v>
          </cell>
          <cell r="D2040" t="str">
            <v>PE</v>
          </cell>
          <cell r="E2040" t="str">
            <v>522.52216</v>
          </cell>
          <cell r="F2040">
            <v>119.4623</v>
          </cell>
          <cell r="G2040">
            <v>0</v>
          </cell>
          <cell r="H2040">
            <v>0</v>
          </cell>
          <cell r="I2040">
            <v>0</v>
          </cell>
          <cell r="J2040">
            <v>0</v>
          </cell>
          <cell r="K2040">
            <v>0</v>
          </cell>
          <cell r="L2040">
            <v>0</v>
          </cell>
        </row>
        <row r="2041">
          <cell r="A2041" t="str">
            <v>10096.00174</v>
          </cell>
          <cell r="B2041" t="str">
            <v>CARTOUCHE FILTRANTE P3</v>
          </cell>
          <cell r="C2041" t="str">
            <v>CARTOUCHE FILTRANTE POUR MASQUE COMPLET PANORAMIQUE NORME : EN 141-143 ET 148-1 TYPE ET CLASSE : P3 UTILISATION (MILIEU) : POUSSIERES ET AMIANTENB: LES OFFRES DOIVENT ETRES ACCOMPAGNEES D'UN MODELE PROPOSE.</v>
          </cell>
          <cell r="D2041" t="str">
            <v>PE</v>
          </cell>
          <cell r="E2041" t="str">
            <v>522.52216</v>
          </cell>
          <cell r="F2041">
            <v>83.578000000000003</v>
          </cell>
          <cell r="G2041">
            <v>0</v>
          </cell>
          <cell r="H2041">
            <v>0</v>
          </cell>
          <cell r="I2041">
            <v>0</v>
          </cell>
          <cell r="J2041">
            <v>0</v>
          </cell>
          <cell r="K2041">
            <v>0</v>
          </cell>
          <cell r="L2041">
            <v>0</v>
          </cell>
        </row>
        <row r="2042">
          <cell r="A2042" t="str">
            <v>10096.00176</v>
          </cell>
          <cell r="B2042" t="str">
            <v>CARTOUCHE FILTRANTE A2B2E2K2</v>
          </cell>
          <cell r="C2042" t="str">
            <v>CARTOUCHE FILTRANTE POUR MASQUE COMPLET PANORAMIQUE NORME : EN 141-143 ET 148-1 TYPE/CLASSE : A2B2E2K2UTILISATION (MILIEU): VAPEURS ORGANIQUES, GAZ ACIDES ET DIOXYDE DE SOUFRE. NB: LES OFFRES DOIVENT ETRE ACCOMPAGNEE D'UN MODELE PROPOSE.</v>
          </cell>
          <cell r="D2042" t="str">
            <v>PE</v>
          </cell>
          <cell r="E2042" t="str">
            <v>522.52216</v>
          </cell>
          <cell r="F2042">
            <v>128.64619999999999</v>
          </cell>
          <cell r="G2042">
            <v>0</v>
          </cell>
          <cell r="H2042">
            <v>0</v>
          </cell>
          <cell r="I2042">
            <v>0</v>
          </cell>
          <cell r="J2042">
            <v>0</v>
          </cell>
          <cell r="K2042">
            <v>0</v>
          </cell>
          <cell r="L2042">
            <v>0</v>
          </cell>
        </row>
        <row r="2043">
          <cell r="A2043" t="str">
            <v>10096.00180</v>
          </cell>
          <cell r="B2043" t="str">
            <v>CARTOUCHE FILTRANTE A2B2E2K2P3</v>
          </cell>
          <cell r="C2043" t="str">
            <v>CARTOUCHE FILTRANTE POUR MASQUE COMPLET PANORAMIQUE NORME : EN 141-143 ET 148-1 TYPE ET CLASSE : A2B2E2K2P3UTILISATION (MILIEU) : POLYVALENT (AMMONIAC, POUSSIERES, AEOROSOL...)NB: LES OFFRES DOIVENT ETRES ACCOMPAGNEES D'UN MODELE PROPOSE.</v>
          </cell>
          <cell r="D2043" t="str">
            <v>PE</v>
          </cell>
          <cell r="E2043" t="str">
            <v>522.52216</v>
          </cell>
          <cell r="F2043">
            <v>180.0384</v>
          </cell>
          <cell r="G2043">
            <v>0</v>
          </cell>
          <cell r="H2043">
            <v>0</v>
          </cell>
          <cell r="I2043">
            <v>0</v>
          </cell>
          <cell r="J2043">
            <v>0</v>
          </cell>
          <cell r="K2043">
            <v>5</v>
          </cell>
          <cell r="L2043">
            <v>0</v>
          </cell>
        </row>
        <row r="2044">
          <cell r="A2044" t="str">
            <v>10096.00154</v>
          </cell>
          <cell r="B2044" t="str">
            <v>DEMI-MASQUE RESPIRATOIRE</v>
          </cell>
          <cell r="C2044" t="str">
            <v>DEMI-MASQUE RESPIRATOIRE EQUIPE DE FILTRE ANTI-POUSSIERE APPAREIL DE PROTECTION RESPIRATOIRE, PIECE FACIAL, DEMI MASQUE A JUPE EN EPDM (ETHYLENE PROPYLENE DIENE ET MANOMETRE) EQUIPE DE : 2 SOUPAPE D'EXPIRATION ET UNE GALETTE FILTRANTE1 RACCORD DE FILTRE (PORTE GALETTE) EN PLASTIQUE FILETE POUR LE MONTAGE DU FILTRE CE LUI-CI COMPREND UNE SOUPAPE INSPIRATION ET UN JOINT D'ETANCHEITE 2 BRIDES EQUIPEES DE 2 BANDES ELASTIQUES DE MAINTIEN DE LONGUEUR 530MM ET DE LA RGEUR 20MM POIDS INFERIEUR OU EGAL A 100GR QUALITES REQUISES : BONNE ETANCHEITE-FAIBLE VOLUME MORT REDUISANT LE TAUX CO2 A UNE VALEUR MINIMALE CONFORT AU PORTEUR - INNOCUITE - RESISTANCE A LA CHALEUR AMBIANTE ASSURANCE QUALITE (VOIR LA CONFORMITE AUX NORMES CE DE TYPE NORMES EN132 A EN135 ET 140-141-143 AVEC PRESENTATION OBLIGATOIRE D'UN CERTIFICAT DE CONFORMITE DELIVRE PAR UN LABORATOIRE AGREECONDITIONNEMENT : EMBALLAGE INDIVIDUEL AVEC NOTICE D'UTILISATION ET D'ENTRETIENMARQUAGE : "CE" SUIVI DES 2 CHIFFRES DE L'ANNEE DANS LAQUELLE                       LE MARQUAGE A ETE APPOSE.  NB: LES OFFRES DOIVENT ETRE ACCOMPAGNEES D'UN MODELE PROPOSE.</v>
          </cell>
          <cell r="D2044" t="str">
            <v>PE</v>
          </cell>
          <cell r="E2044" t="str">
            <v>522.52216</v>
          </cell>
          <cell r="F2044">
            <v>71.760499999999993</v>
          </cell>
          <cell r="G2044">
            <v>0</v>
          </cell>
          <cell r="H2044">
            <v>0</v>
          </cell>
          <cell r="I2044">
            <v>0</v>
          </cell>
          <cell r="J2044">
            <v>0</v>
          </cell>
          <cell r="K2044">
            <v>70</v>
          </cell>
          <cell r="L2044">
            <v>0</v>
          </cell>
        </row>
        <row r="2045">
          <cell r="A2045" t="str">
            <v>10096.00240</v>
          </cell>
          <cell r="B2045" t="str">
            <v>CASQUE ANTI-BRUITS</v>
          </cell>
          <cell r="C2045" t="str">
            <v>CASQUE ANTI-BRUIT POLYVALENT AVEC SERRE TETE 2 COQUILLES REUNIES PAR UN ARCEAU REGLABLE ASSURANT LE CONFORT AU PORTEUR COQUILLES EPAISSES AVEC DOUBLE BARRIERE REMBOUREES DE MOUSSE ALVEOLEE AVEC INDICATION DU SENS DU MONTAGE ASSURANT LE CONFORT DU PORTEUR ET PIVOTANTES A 360° ARCEAU EN PLASTIQUE ARME OU METALLIQUE REVETU DE CUIR ET ADAPTABLE A CHAQUE PROFIL DE TETE UTILISABLE EN TOUTES POSITIONS AVEC UN CASQUE DE SECURITEPOIDS &lt; OU = 200GRFONCTION PRINCIPALE : PROTECTION EFFICACE CONTRE LES BRUITS NUISIBLES A L'ACUITE AUDITIVE QUALITES REQUISES : DEMONTABLE ET NETTOYABLE - CONFORT AU PORTEURAJUSTABLE - RESISTANCE A LA DETERIORATION EN CAS DE CHUTESETANCHEITE DES OREILLETTES - ATTENUATIONCOMPRISE ENTRE 20 ET 30DB- ININFLAMMABILITE - MATERIAUX DIELECTRIQUESASSURANCE QUALITE : CONFORMITE AUX NORMES EN352-2 ET EN458 AVEC PRESENTATION OBLIGATOIRE D'UN CERTIFICAT DE CONFORMITE DELIVRE PAR UN LABORATOIRE AGREEMARQUAGE : LES SERRES TETES DOIVENT ETRE APPOSES D'UN                       MARQUAGE "CE"CONDITIONNEMENT : EMBALLAGE INDIVIDUEL AVEC NOTICE D'UTILISATION                                    ET D'ENTRETIENNB: LES OFFRES DOIVENT ETRE ACCOMPAGNEE D'UN MODELE PROPOSE</v>
          </cell>
          <cell r="D2045" t="str">
            <v>PE</v>
          </cell>
          <cell r="E2045" t="str">
            <v>522.52216</v>
          </cell>
          <cell r="F2045">
            <v>236.5</v>
          </cell>
          <cell r="G2045">
            <v>0</v>
          </cell>
          <cell r="H2045">
            <v>0</v>
          </cell>
          <cell r="I2045">
            <v>0</v>
          </cell>
          <cell r="J2045">
            <v>30</v>
          </cell>
          <cell r="K2045">
            <v>0</v>
          </cell>
          <cell r="L2045">
            <v>0</v>
          </cell>
        </row>
        <row r="2046">
          <cell r="A2046" t="str">
            <v>10096.00260</v>
          </cell>
          <cell r="B2046" t="str">
            <v>GANT POUR SOUDEUR ET CHAUDRONNIER T.10</v>
          </cell>
          <cell r="C2046" t="str">
            <v xml:space="preserve">PAIRE DE GANTS A CINQ DOIGTS EN CUIR ANTI-CHALEUR POUR SOUDEUR ET CHAUDRONNIERS (BOVIN PREMIER CHOIX) LONGUEUR 20CM.PROTEGE ARTERES DOUBLURE MOLLETON LAINE IGNIFUGEE MANCHETTE (CRISPIN) CROUTE DOUBLEE DE BOVIN PREMIER MOLLETON LAINE IGNIFUGEE. MANCHETTE (CRISPIN) CROUTE DOUBLEE DE BOVIN PREMIER LONGUEUR TOTALE : 40 CMCOUTURE AVEC FIL ANTI-ACIDE (TYPE KEVLAR) FONCTION PRINCIPALE : PROTECTION EFFICACE CONTRE LES RISQUES DE BRULURES PAR PROJECTION D'ETINCELLES OU MANIPULATION DE PIECES CHAUDES LORS DES TRAVAUX DE SOUDURE ET CHAUDRONNERIE. QUALITES REQUISES : - NIVEAU DE PERFORMANCE MECANIQUE COURANT LES RIQUES   RELATIFS A LEUR UTILISATION - BONNE DEXTERITE - COUTURE SOIGNEE ET BIEN FINIE - INNOCUITE - ABSENCE DE BOURRELETS AU NIVEAU DES JONCTIONS DES DOIGTS.ASSURANCE QUALITE : ISO 9002 OU A DEFAUT CONFORME AUX NORMES NF EN 420 (9/94) - NF EN 388 (7/94) AVEC PRESENTATION D'1 ATTESTATION D'EXAMEN. MARQUAGE : LES GANTS DOIVENT-ETRE APPOSES DE MARQUAGE DE CONFORMITE A LA DIRECTIVE EUROPEENNE 89/686/CEE LES PAIRES DE GANTS DOIVENT-ETRE LIVREES DANS UN EMBALLAGE INDIVIDUEL. GARANTIE : A PRECISER LORS DE LA LIVRAISON PAR UNE ATTESTATION CONTENANT LES CLAUSES DE LA GARANTIE TAILLE : 10 NB: LES OFFRES DOIVENT-ETRE ACCOMPAGNEES D'UN MODELE PROPOSE. </v>
          </cell>
          <cell r="D2046" t="str">
            <v>PE</v>
          </cell>
          <cell r="E2046" t="str">
            <v>522.52216</v>
          </cell>
          <cell r="F2046">
            <v>27.5</v>
          </cell>
          <cell r="G2046">
            <v>0</v>
          </cell>
          <cell r="H2046">
            <v>0</v>
          </cell>
          <cell r="I2046">
            <v>23</v>
          </cell>
          <cell r="J2046">
            <v>34</v>
          </cell>
          <cell r="K2046">
            <v>30</v>
          </cell>
          <cell r="L2046">
            <v>0</v>
          </cell>
        </row>
        <row r="2047">
          <cell r="A2047" t="str">
            <v>10096.00200</v>
          </cell>
          <cell r="B2047" t="str">
            <v>MASQUE RESPIRATOIRE JETAB</v>
          </cell>
          <cell r="C2047" t="str">
            <v>MASQUE RESPIRATOIRE JETABLE S/NORME EN 140-149 ANTI-POUSSIERES, HYGIENIQUE,LEGER EN CHLOROFIBRES NON TISSEES MEDIA FILTRANT A BASE DE CHARBON ACTIF CLASSE FFP3 DOUBLE ELASTIQUE DE SERRAGE ET DE MAINTIEN INDECHIRABLE, ININFLAMMABLE NB: LE MASQUE DOIT-ETRE ESTOMPE ET PORTE LA  NORME, LA CLASSE, LE MARQUAGE CE, LE NUMERO D'IDENTIFICATION DE L'ORGANISME RESPONSABLE DU CONTROLE DE LA PRODUCTION, LA MARQUE ET LE MODELE.</v>
          </cell>
          <cell r="D2047" t="str">
            <v>PE</v>
          </cell>
          <cell r="E2047" t="str">
            <v>522.52216</v>
          </cell>
          <cell r="F2047">
            <v>10.2027</v>
          </cell>
          <cell r="G2047">
            <v>0</v>
          </cell>
          <cell r="H2047">
            <v>0</v>
          </cell>
          <cell r="I2047">
            <v>200</v>
          </cell>
          <cell r="J2047">
            <v>279</v>
          </cell>
          <cell r="K2047">
            <v>186</v>
          </cell>
          <cell r="L2047">
            <v>0</v>
          </cell>
        </row>
        <row r="2048">
          <cell r="A2048" t="str">
            <v>10096.00220</v>
          </cell>
          <cell r="B2048" t="str">
            <v>BOUCHONS D'OREILLES</v>
          </cell>
          <cell r="C2048" t="str">
            <v>BOUCHONS D'OREILLES EN DEUX PIECES PLUS FINS EN SILICONE SOUPLE POLYURETHANEANATOMIQUES FORME CONIQUE MOULABLE EQUIPES DE CORDELETTE EN POLYPROPYLENE DE LONGUEUR 65 CMPOIDS ENVIRON 3GR LES DEUX TAILLE STANDARDUTILISATION : INTERVENTION DE COURTES DUREES DANS DES ATMOSPHERES SOUMISES A DES NIVEAUX SONORES ELEVESQUALITES REQUISES: EFFICACE - CONFORT AU PORTEUR                                    LAVABLES/ININFLAMMABLES PERFORMANCES : ENVIRON 30DB D'ATTENUATION ACOUSTIQUEASSURANCE QUALITE : CONFORMITE AUX NORMES EN352-2 ET EN458 AVEC PRESENTATION OBLIGATOIRE D'UN CERTIFICAT DE CONFORMITE DELIVRE PAR UN LABORATOIRE AGREE.MARQUAGE : LES BOUCHONS D'OREILLES DOIVENT ETRE MARQUES "CE" SUR LEUR EMBALLAGE OU SUR LEUR BOITIEREMBALLAGE INDIVIDUEL EN PLASTIQUENB: LES OFFRES DOIVENT ETRE ACCOMPAGNEES D'UN MODELE PROPOSE.</v>
          </cell>
          <cell r="D2048" t="str">
            <v>PE</v>
          </cell>
          <cell r="E2048" t="str">
            <v>522.52216</v>
          </cell>
          <cell r="F2048">
            <v>5.5358999999999998</v>
          </cell>
          <cell r="G2048">
            <v>0</v>
          </cell>
          <cell r="H2048">
            <v>0</v>
          </cell>
          <cell r="I2048">
            <v>96</v>
          </cell>
          <cell r="J2048">
            <v>87</v>
          </cell>
          <cell r="K2048">
            <v>122</v>
          </cell>
          <cell r="L2048">
            <v>0</v>
          </cell>
        </row>
        <row r="2049">
          <cell r="A2049" t="str">
            <v>10096.00280</v>
          </cell>
          <cell r="B2049" t="str">
            <v>GANT POUR MANUTENTION TAILLE 10</v>
          </cell>
          <cell r="C2049" t="str">
            <v xml:space="preserve">PAIRE DE GANTS A CINQ DOIGTS POUR TRAVAUX DE MANUTENTION SUIVANT NORME EN 374 - 388 - 420 FORME DOKER PAUME, POUCE ET INDEX EN CUIR CROUTE 1.2 A 1.4 MMDOS EN TOILE AVEC RENFORT EN CUIR RENFORT CUIR AU BOUT DES DOIGTS ELASTIQUE DE SERRAGE INTERIEUR AU NIVEAU DU POIGNET MANCHE AVEC PROTEGE ARTERE COUTURE TRES SOIGNEE AVEC FIL ANTI-ACIDE (TYPE KEVLAR)BONNE FINITION  TAILLE : 10 NB: LES OFFRES DOIVENT ETRE ACCOMPAGNEE D'UN MODELE PROPOSE. </v>
          </cell>
          <cell r="D2049" t="str">
            <v>PE</v>
          </cell>
          <cell r="E2049" t="str">
            <v>522.52216</v>
          </cell>
          <cell r="F2049">
            <v>17.405999999999999</v>
          </cell>
          <cell r="G2049">
            <v>0</v>
          </cell>
          <cell r="H2049">
            <v>0</v>
          </cell>
          <cell r="I2049">
            <v>0</v>
          </cell>
          <cell r="J2049">
            <v>0</v>
          </cell>
          <cell r="K2049">
            <v>0</v>
          </cell>
          <cell r="L2049">
            <v>0</v>
          </cell>
        </row>
        <row r="2050">
          <cell r="A2050" t="str">
            <v>10096.00290</v>
          </cell>
          <cell r="B2050" t="str">
            <v>GANT EN PVC TAILLE 10</v>
          </cell>
          <cell r="C2050" t="str">
            <v>PAIRE DE GANTS A CINQ DOIGTS EN PVC SOUPLE SUIVANT NORME EN374-420 INTERIEUR FLOCKE COTON MONTE EN SEULE PIECE SANS SOUDURE ET SANS COUTURE EPAISSEUR : 1,2MM TRAITE ANTI-ALLERGIQUE - FINITION ADHERISEE PARFAITE DEXTERITE BONNE RESISTANCE AUX AGRESSIONS CHIMIQUES, PARTICULIEREMENT A L'ACIDE SULFURIQUE 98%, A L'ABRASION ET A LA DECHERURE BONNE FINITIONLONGUEUR TOTALE : 40TAILLE : 10 NB: LES OFFRES DOIVENT ETRE ACCOMPAGNEE D'UN MODELE PROPOSE.</v>
          </cell>
          <cell r="D2050" t="str">
            <v>PE</v>
          </cell>
          <cell r="E2050" t="str">
            <v>522.52216</v>
          </cell>
          <cell r="F2050">
            <v>34.682499999999997</v>
          </cell>
          <cell r="G2050">
            <v>0</v>
          </cell>
          <cell r="H2050">
            <v>0</v>
          </cell>
          <cell r="I2050">
            <v>0</v>
          </cell>
          <cell r="J2050">
            <v>10</v>
          </cell>
          <cell r="K2050">
            <v>83</v>
          </cell>
          <cell r="L2050">
            <v>0</v>
          </cell>
        </row>
        <row r="2051">
          <cell r="A2051" t="str">
            <v>10096.00290</v>
          </cell>
          <cell r="B2051" t="str">
            <v>GANT EN PVC TAILLE 10</v>
          </cell>
          <cell r="C2051" t="str">
            <v>PAIRE DE GANTS A CINQ DOIGTS EN PVC SOUPLE SUIVANT NORME EN374-420 INTERIEUR FLOCKE COTON MONTE EN SEULE PIECE SANS SOUDURE ET SANS COUTURE EPAISSEUR : 1,2MM TRAITE ANTI-ALLERGIQUE - FINITION ADHERISEE PARFAITE DEXTERITE BONNE RESISTANCE AUX AGRESSIONS CHIMIQUES, PARTICULIEREMENT A L'ACIDE SULFURIQUE 98%, A L'ABRASION ET A LA DECHERURE BONNE FINITIONLONGUEUR TOTALE : 40TAILLE : 10 NB: LES OFFRES DOIVENT ETRE ACCOMPAGNEE D'UN MODELE PROPOSE.</v>
          </cell>
          <cell r="D2051" t="str">
            <v>PE</v>
          </cell>
          <cell r="E2051" t="str">
            <v>522.52216</v>
          </cell>
          <cell r="F2051">
            <v>34.682499999999997</v>
          </cell>
          <cell r="G2051">
            <v>0</v>
          </cell>
          <cell r="H2051">
            <v>0</v>
          </cell>
          <cell r="I2051">
            <v>0</v>
          </cell>
          <cell r="J2051">
            <v>0</v>
          </cell>
          <cell r="K2051">
            <v>0</v>
          </cell>
          <cell r="L2051">
            <v>0</v>
          </cell>
        </row>
        <row r="2052">
          <cell r="A2052" t="str">
            <v>10096.00295</v>
          </cell>
          <cell r="B2052" t="str">
            <v>GANT ANTI-ACID REF0317E02</v>
          </cell>
          <cell r="C2052" t="str">
            <v>PAIRE DE GANTS A CINQ DOIGTS MULTIPLUS GANT ANTI-ACIDESUPPORT COTON TRAITE TEXTILE CONTACTREVETEMENT DE BASE INTEGRAL EN PLASTOPRENE SURACOUCHE ASSURANT UN SURFACAGE GRANITE ANTIGILISSE OFFRE UNE EXCELLENTE RESISTANCE A L'ABRASION ET ET A LA DECHIRURE HAUTE TENUE AUX AGRESSIONS CHIMIQUES REFERENCE : 0317E02 NORME  EN 374</v>
          </cell>
          <cell r="D2052" t="str">
            <v>PE</v>
          </cell>
          <cell r="E2052" t="str">
            <v>522.52216</v>
          </cell>
          <cell r="F2052">
            <v>21.6</v>
          </cell>
          <cell r="G2052">
            <v>0</v>
          </cell>
          <cell r="H2052">
            <v>0</v>
          </cell>
          <cell r="I2052">
            <v>0</v>
          </cell>
          <cell r="J2052">
            <v>0</v>
          </cell>
          <cell r="K2052">
            <v>0</v>
          </cell>
          <cell r="L2052">
            <v>0</v>
          </cell>
        </row>
        <row r="2053">
          <cell r="A2053" t="str">
            <v>10096.00270</v>
          </cell>
          <cell r="B2053" t="str">
            <v>GANT POUR ENTRETIEN TAILLE 9</v>
          </cell>
          <cell r="C2053" t="str">
            <v>PAIRE DE GANTS A CINQ DOIGTS POUR ENTRETIEN SUIVANT NORME : EN 420-388 FORME AMERICAINE MATIERE : CUIR PLEINE FLEUR EPAISSEUR 1,1MMCOUTURE DOUBLE AVEC RETOUR SUR INDEX ELASTIQUE DE SERRAGE - SOUPLE - ANTIGLISSE - BONNE FINITION BONNE RESISTANT A L'ABRASION ET HYDROCARBURE TAILLE : 9 NB: LES OFFRES DOIVENT ETRE ACCOMPAGNEE D'UN MODELE PROPOSE.</v>
          </cell>
          <cell r="D2053" t="str">
            <v>PE</v>
          </cell>
          <cell r="E2053" t="str">
            <v>522.52216</v>
          </cell>
          <cell r="F2053">
            <v>27.5</v>
          </cell>
          <cell r="G2053">
            <v>0</v>
          </cell>
          <cell r="H2053">
            <v>0</v>
          </cell>
          <cell r="I2053">
            <v>32</v>
          </cell>
          <cell r="J2053">
            <v>48</v>
          </cell>
          <cell r="K2053">
            <v>0</v>
          </cell>
          <cell r="L2053">
            <v>0</v>
          </cell>
        </row>
        <row r="2054">
          <cell r="A2054" t="str">
            <v>10096.00272</v>
          </cell>
          <cell r="B2054" t="str">
            <v>GANT POUR ENTRETIEN TAILLE 10</v>
          </cell>
          <cell r="C2054" t="str">
            <v>PAIRE DE GANTS A CINQ DOIGTS POUR ENTRETIEN SUIVANT NORME : EN 420-388 FORME AMERICAINE MATIERE : CUIR PLEINE FLEUR EPAISSEUR 1,1MMCOUTURE DOUBLE AVEC RETOUR SUR INDEX ELASTIQUE DE SERRAGE - SOUPLE - ANTIGLISSE - BONNE FINITION BONNE RESISTANT A L'ABRASION ET HYDROCARBURE TAILLE : 10 NB: LES OFFRES DOIVENT ETRE ACCOMPAGNEE D'UN MODELE PROPOSE.</v>
          </cell>
          <cell r="D2054" t="str">
            <v>PE</v>
          </cell>
          <cell r="E2054" t="str">
            <v>522.52216</v>
          </cell>
          <cell r="F2054">
            <v>32.892000000000003</v>
          </cell>
          <cell r="G2054">
            <v>0</v>
          </cell>
          <cell r="H2054">
            <v>0</v>
          </cell>
          <cell r="I2054">
            <v>0</v>
          </cell>
          <cell r="J2054">
            <v>0</v>
          </cell>
          <cell r="K2054">
            <v>0</v>
          </cell>
          <cell r="L2054">
            <v>0</v>
          </cell>
        </row>
        <row r="2055">
          <cell r="A2055" t="str">
            <v>10096.00274</v>
          </cell>
          <cell r="B2055" t="str">
            <v>GANT POUR ENTRETIEN TAILLE 11</v>
          </cell>
          <cell r="C2055" t="str">
            <v>PAIRE DE GANTS A CINQ DOIGTS POUR ENTRETIEN SUIVANT NORME : EN 420-388 FORME AMERICAINE MATIERE : CUIR PLEINE FLEUR EPAISSEUR 1,1MMCOUTURE DOUBLE AVEC RETOUR SUR INDEX ELASTIQUE DE SERRAGE - SOUPLE - ANTIGLISSE - BONNE FINITION BONNE RESISTANT A L'ABRASION ET HYDROCARBURE TAILLE : 11 NB: LES OFFRES DOIVENT ETRE ACCOMPAGNEE D'UN MODELE PROPOSE.</v>
          </cell>
          <cell r="D2055" t="str">
            <v>PE</v>
          </cell>
          <cell r="E2055" t="str">
            <v>522.52216</v>
          </cell>
          <cell r="F2055">
            <v>23.193300000000001</v>
          </cell>
          <cell r="G2055">
            <v>0</v>
          </cell>
          <cell r="H2055">
            <v>0</v>
          </cell>
          <cell r="I2055">
            <v>0</v>
          </cell>
          <cell r="J2055">
            <v>0</v>
          </cell>
          <cell r="K2055">
            <v>0</v>
          </cell>
          <cell r="L2055">
            <v>0</v>
          </cell>
        </row>
        <row r="2056">
          <cell r="A2056" t="str">
            <v>10096.00614</v>
          </cell>
          <cell r="B2056" t="str">
            <v>BOTTES DE SECURITE P.45</v>
          </cell>
          <cell r="C2056"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45  NB: LES OFFRES DOIVENT ETRE ACCOMPAGNEES D'UN MODELE PROPOSE.</v>
          </cell>
          <cell r="D2056" t="str">
            <v>PE</v>
          </cell>
          <cell r="E2056" t="str">
            <v>522.52216</v>
          </cell>
          <cell r="F2056">
            <v>111.9786</v>
          </cell>
          <cell r="G2056">
            <v>0</v>
          </cell>
          <cell r="H2056">
            <v>0</v>
          </cell>
          <cell r="I2056">
            <v>3</v>
          </cell>
          <cell r="J2056">
            <v>0</v>
          </cell>
          <cell r="K2056">
            <v>0</v>
          </cell>
          <cell r="L2056">
            <v>6</v>
          </cell>
        </row>
        <row r="2057">
          <cell r="A2057" t="str">
            <v>10096.00610</v>
          </cell>
          <cell r="B2057" t="str">
            <v>BOTTES DE SECURITE P.43</v>
          </cell>
          <cell r="C2057"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43 NB: LES OFFRES DOIVENT ETRE ACCOMPAGNEES D'UN MODELE PROPOSE.</v>
          </cell>
          <cell r="D2057" t="str">
            <v>PE</v>
          </cell>
          <cell r="E2057" t="str">
            <v>522.52216</v>
          </cell>
          <cell r="F2057">
            <v>111.17010000000001</v>
          </cell>
          <cell r="G2057">
            <v>0</v>
          </cell>
          <cell r="H2057">
            <v>0</v>
          </cell>
          <cell r="I2057">
            <v>0</v>
          </cell>
          <cell r="J2057">
            <v>0</v>
          </cell>
          <cell r="K2057">
            <v>7</v>
          </cell>
          <cell r="L2057">
            <v>0</v>
          </cell>
        </row>
        <row r="2058">
          <cell r="A2058" t="str">
            <v>10096.00612</v>
          </cell>
          <cell r="B2058" t="str">
            <v>BOTTES DE SECURITE P.44</v>
          </cell>
          <cell r="C2058"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44  NB: LES OFFRES DOIVENT ETRE ACCOMPAGNEES D'UN MODELE PROPOSE.</v>
          </cell>
          <cell r="D2058" t="str">
            <v>PE</v>
          </cell>
          <cell r="E2058" t="str">
            <v>522.52216</v>
          </cell>
          <cell r="F2058">
            <v>112.70310000000001</v>
          </cell>
          <cell r="G2058">
            <v>1</v>
          </cell>
          <cell r="H2058">
            <v>0</v>
          </cell>
          <cell r="I2058">
            <v>5</v>
          </cell>
          <cell r="J2058">
            <v>9</v>
          </cell>
          <cell r="K2058">
            <v>5</v>
          </cell>
          <cell r="L2058">
            <v>12</v>
          </cell>
        </row>
        <row r="2059">
          <cell r="A2059" t="str">
            <v>10096.00702</v>
          </cell>
          <cell r="B2059" t="str">
            <v>VESTE-SALPETTE ANTI-AC T 42</v>
          </cell>
          <cell r="C2059"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42 LES OFFRES DOIVENT-ETRE ACCOMPAGNEES D'UN MODELE PROPOSE.</v>
          </cell>
          <cell r="D2059" t="str">
            <v>PE</v>
          </cell>
          <cell r="E2059" t="str">
            <v>522.52216</v>
          </cell>
          <cell r="F2059">
            <v>111.1101</v>
          </cell>
          <cell r="G2059">
            <v>0</v>
          </cell>
          <cell r="H2059">
            <v>0</v>
          </cell>
          <cell r="I2059">
            <v>0</v>
          </cell>
          <cell r="J2059">
            <v>0</v>
          </cell>
          <cell r="K2059">
            <v>0</v>
          </cell>
          <cell r="L2059">
            <v>0</v>
          </cell>
        </row>
        <row r="2060">
          <cell r="A2060" t="str">
            <v>10096.00706</v>
          </cell>
          <cell r="B2060" t="str">
            <v>VESTE+PANTALON A.ACIDE TAILLE 48</v>
          </cell>
          <cell r="C2060"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48NB: LES OFFRES DOIVENT-ETRE ACCOMPAGNEES D'UN MODELE PROPOSE.</v>
          </cell>
          <cell r="D2060" t="str">
            <v>PE</v>
          </cell>
          <cell r="E2060" t="str">
            <v>522.52216</v>
          </cell>
          <cell r="F2060">
            <v>118.392</v>
          </cell>
          <cell r="G2060">
            <v>0</v>
          </cell>
          <cell r="H2060">
            <v>0</v>
          </cell>
          <cell r="I2060">
            <v>0</v>
          </cell>
          <cell r="J2060">
            <v>0</v>
          </cell>
          <cell r="K2060">
            <v>0</v>
          </cell>
          <cell r="L2060">
            <v>0</v>
          </cell>
        </row>
        <row r="2061">
          <cell r="A2061" t="str">
            <v>10096.00708</v>
          </cell>
          <cell r="B2061" t="str">
            <v>VESTE-SALOPETTE ANTI-AC T44</v>
          </cell>
          <cell r="C2061"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44LES OFFRES DOIVENT-ETRE ACCOMPAGNEES D'UN MODELE PROPOSE.</v>
          </cell>
          <cell r="D2061" t="str">
            <v>PE</v>
          </cell>
          <cell r="E2061" t="str">
            <v>522.52216</v>
          </cell>
          <cell r="F2061">
            <v>120.1026</v>
          </cell>
          <cell r="G2061">
            <v>0</v>
          </cell>
          <cell r="H2061">
            <v>0</v>
          </cell>
          <cell r="I2061">
            <v>0</v>
          </cell>
          <cell r="J2061">
            <v>0</v>
          </cell>
          <cell r="K2061">
            <v>0</v>
          </cell>
          <cell r="L2061">
            <v>0</v>
          </cell>
        </row>
        <row r="2062">
          <cell r="A2062" t="str">
            <v>10096.00704</v>
          </cell>
          <cell r="B2062" t="str">
            <v>VESTE+PANTALON A.ACIDE TAILLE 44</v>
          </cell>
          <cell r="C2062"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44NB: LES OFFRES DOIVENT-ETRE ACCOMPAGNEES D'UN MODELE PROPOSE.</v>
          </cell>
          <cell r="D2062" t="str">
            <v>PE</v>
          </cell>
          <cell r="E2062" t="str">
            <v>522.52216</v>
          </cell>
          <cell r="F2062">
            <v>102.52849999999999</v>
          </cell>
          <cell r="G2062">
            <v>0</v>
          </cell>
          <cell r="H2062">
            <v>0</v>
          </cell>
          <cell r="I2062">
            <v>0</v>
          </cell>
          <cell r="J2062">
            <v>0</v>
          </cell>
          <cell r="K2062">
            <v>0</v>
          </cell>
          <cell r="L2062">
            <v>0</v>
          </cell>
        </row>
        <row r="2063">
          <cell r="A2063" t="str">
            <v>10096.00705</v>
          </cell>
          <cell r="B2063" t="str">
            <v>VESTE+PANTALON A.ACIDE TAILLE 46</v>
          </cell>
          <cell r="C2063"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46NB: LES OFFRES DOIVENT-ETRE ACCOMPAGNEES D'UN MODELE PROPOSE.</v>
          </cell>
          <cell r="D2063" t="str">
            <v>PE</v>
          </cell>
          <cell r="E2063" t="str">
            <v>522.52216</v>
          </cell>
          <cell r="F2063">
            <v>1500</v>
          </cell>
          <cell r="G2063">
            <v>0</v>
          </cell>
          <cell r="H2063">
            <v>0</v>
          </cell>
          <cell r="I2063">
            <v>0</v>
          </cell>
          <cell r="J2063">
            <v>0</v>
          </cell>
          <cell r="K2063">
            <v>0</v>
          </cell>
          <cell r="L2063">
            <v>0</v>
          </cell>
        </row>
        <row r="2064">
          <cell r="A2064" t="str">
            <v>10096.00712</v>
          </cell>
          <cell r="B2064" t="str">
            <v>VESTE-SALOPETTE ANTI-AC T46</v>
          </cell>
          <cell r="C2064"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46LES OFFRES DOIVENT-ETRE ACCOMPAGNEES D'UN MODELE PROPOSE.</v>
          </cell>
          <cell r="D2064" t="str">
            <v>PE</v>
          </cell>
          <cell r="E2064" t="str">
            <v>522.52216</v>
          </cell>
          <cell r="F2064">
            <v>117.8045</v>
          </cell>
          <cell r="G2064">
            <v>0</v>
          </cell>
          <cell r="H2064">
            <v>0</v>
          </cell>
          <cell r="I2064">
            <v>0</v>
          </cell>
          <cell r="J2064">
            <v>0</v>
          </cell>
          <cell r="K2064">
            <v>0</v>
          </cell>
          <cell r="L2064">
            <v>0</v>
          </cell>
        </row>
        <row r="2065">
          <cell r="A2065" t="str">
            <v>10096.00716</v>
          </cell>
          <cell r="B2065" t="str">
            <v>VESTE-SALPETTE ANTI-AC T48</v>
          </cell>
          <cell r="C2065"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48 LES OFFRES DOIVENT-ETRE ACCOMPAGNEES D'UN MODELE PROPOSE.</v>
          </cell>
          <cell r="D2065" t="str">
            <v>PE</v>
          </cell>
          <cell r="E2065" t="str">
            <v>522.52216</v>
          </cell>
          <cell r="F2065">
            <v>119.9375</v>
          </cell>
          <cell r="G2065">
            <v>0</v>
          </cell>
          <cell r="H2065">
            <v>0</v>
          </cell>
          <cell r="I2065">
            <v>0</v>
          </cell>
          <cell r="J2065">
            <v>0</v>
          </cell>
          <cell r="K2065">
            <v>0</v>
          </cell>
          <cell r="L2065">
            <v>0</v>
          </cell>
        </row>
        <row r="2066">
          <cell r="A2066" t="str">
            <v>10096.00616</v>
          </cell>
          <cell r="B2066" t="str">
            <v>BOTTES DE SECURITE P.46</v>
          </cell>
          <cell r="C2066"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46 NB: LES OFFRES DOIVENT ETRE ACCOMPAGNEES D'UN MODELE PROPOSE.</v>
          </cell>
          <cell r="D2066" t="str">
            <v>PE</v>
          </cell>
          <cell r="E2066" t="str">
            <v>522.52216</v>
          </cell>
          <cell r="F2066">
            <v>132.01939999999999</v>
          </cell>
          <cell r="G2066">
            <v>0</v>
          </cell>
          <cell r="H2066">
            <v>0</v>
          </cell>
          <cell r="I2066">
            <v>3</v>
          </cell>
          <cell r="J2066">
            <v>0</v>
          </cell>
          <cell r="K2066">
            <v>0</v>
          </cell>
          <cell r="L2066">
            <v>28</v>
          </cell>
        </row>
        <row r="2067">
          <cell r="A2067" t="str">
            <v>10003.01808</v>
          </cell>
          <cell r="B2067" t="str">
            <v>TOLE LISSE NOIRE E 24 EP4mm</v>
          </cell>
          <cell r="C2067" t="str">
            <v xml:space="preserve">TOLE LISSE NOIRE - NUANCE : AFNOR E 24 LONGUEUR = 3 METRES - LARGEUR = 1,5 METRE EPAISSEUR = 4 MM </v>
          </cell>
          <cell r="D2067" t="str">
            <v>PE</v>
          </cell>
          <cell r="E2067" t="str">
            <v>522.52213</v>
          </cell>
          <cell r="F2067">
            <v>1180</v>
          </cell>
          <cell r="G2067">
            <v>0</v>
          </cell>
          <cell r="H2067">
            <v>0</v>
          </cell>
          <cell r="I2067">
            <v>0</v>
          </cell>
          <cell r="J2067">
            <v>2</v>
          </cell>
          <cell r="K2067">
            <v>0</v>
          </cell>
          <cell r="L2067">
            <v>1</v>
          </cell>
        </row>
        <row r="2068">
          <cell r="A2068" t="str">
            <v>10096.00600</v>
          </cell>
          <cell r="B2068" t="str">
            <v>BOTTE DE SECURITE</v>
          </cell>
          <cell r="C2068"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A PRECISER AU MOMENT DE LA DEMANDE   NB: LES OFFRES DOIVENT ETRE ACCOMPAGNEES D'UN MODELE PROPOSE.</v>
          </cell>
          <cell r="D2068" t="str">
            <v>PE</v>
          </cell>
          <cell r="E2068" t="str">
            <v>522.52216</v>
          </cell>
          <cell r="F2068">
            <v>115.2</v>
          </cell>
          <cell r="G2068">
            <v>0</v>
          </cell>
          <cell r="H2068">
            <v>0</v>
          </cell>
          <cell r="I2068">
            <v>0</v>
          </cell>
          <cell r="J2068">
            <v>0</v>
          </cell>
          <cell r="K2068">
            <v>0</v>
          </cell>
          <cell r="L2068">
            <v>0</v>
          </cell>
        </row>
        <row r="2069">
          <cell r="A2069" t="str">
            <v>10096.00602</v>
          </cell>
          <cell r="B2069" t="str">
            <v>BOTTES DE SECURITE P.39</v>
          </cell>
          <cell r="C2069"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39  NB: LES OFFRES DOIVENT ETRE ACCOMPAGNEES D'UN MODELE PROPOSE.</v>
          </cell>
          <cell r="D2069" t="str">
            <v>PE</v>
          </cell>
          <cell r="E2069" t="str">
            <v>522.52216</v>
          </cell>
          <cell r="F2069">
            <v>111.5959</v>
          </cell>
          <cell r="G2069">
            <v>0</v>
          </cell>
          <cell r="H2069">
            <v>1</v>
          </cell>
          <cell r="I2069">
            <v>0</v>
          </cell>
          <cell r="J2069">
            <v>1</v>
          </cell>
          <cell r="K2069">
            <v>2</v>
          </cell>
          <cell r="L2069">
            <v>2</v>
          </cell>
        </row>
        <row r="2070">
          <cell r="A2070" t="str">
            <v>10096.00608</v>
          </cell>
          <cell r="B2070" t="str">
            <v>BOTTES DE SECURITE P.42</v>
          </cell>
          <cell r="C2070"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42 NB: LES OFFRES DOIVENT ETRE ACCOMPAGNEES D'UN MODELE PROPOSE.</v>
          </cell>
          <cell r="D2070" t="str">
            <v>PE</v>
          </cell>
          <cell r="E2070" t="str">
            <v>522.52216</v>
          </cell>
          <cell r="F2070">
            <v>107.5</v>
          </cell>
          <cell r="G2070">
            <v>0</v>
          </cell>
          <cell r="H2070">
            <v>0</v>
          </cell>
          <cell r="I2070">
            <v>0</v>
          </cell>
          <cell r="J2070">
            <v>0</v>
          </cell>
          <cell r="K2070">
            <v>10</v>
          </cell>
          <cell r="L2070">
            <v>0</v>
          </cell>
        </row>
        <row r="2071">
          <cell r="A2071" t="str">
            <v>10096.00604</v>
          </cell>
          <cell r="B2071" t="str">
            <v>BOTTES DE SECURITE P.40</v>
          </cell>
          <cell r="C2071"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40 NB: LES OFFRES DOIVENT ETRE ACCOMPAGNEES D'UN MODELE PROPOSE.</v>
          </cell>
          <cell r="D2071" t="str">
            <v>PE</v>
          </cell>
          <cell r="E2071" t="str">
            <v>522.52216</v>
          </cell>
          <cell r="F2071">
            <v>109.1374</v>
          </cell>
          <cell r="G2071">
            <v>0</v>
          </cell>
          <cell r="H2071">
            <v>4</v>
          </cell>
          <cell r="I2071">
            <v>9</v>
          </cell>
          <cell r="J2071">
            <v>5</v>
          </cell>
          <cell r="K2071">
            <v>3</v>
          </cell>
          <cell r="L2071">
            <v>18</v>
          </cell>
        </row>
        <row r="2072">
          <cell r="A2072" t="str">
            <v>10096.00606</v>
          </cell>
          <cell r="B2072" t="str">
            <v>BOTTES DE SECURITE P.41</v>
          </cell>
          <cell r="C2072" t="str">
            <v>BOTTES DE SECURITE AVEC EMBOUT S/NORME NFS 73010 EN CAOUTCHOUC ENTIEREMENT MOULEE POUR UN MAINTIEN PARFAIT DU PIED ET DE LA CHEVILLE. RESISTANANCE OPTIMALE A L'ABRASION ET AUX AGRESSIONS DIVERSES (DETERGENTS, SOLVANTS ET HYDROCARBURES). RESISTANCE ELEVEE A LA CHALEUR ET AU FROID. DOUBLURE INTERIEURE EN TOILE SOLIDE, ABSORBANTE IMPUTRESCIBLE ET LAVABLE AL'EAU AVEC SECHAGE RAPIDE. BOUT DU PIED EQUIPE D'UNE COQUILLE EN ACIER TRAITE, (RESISTANCE A L'ECRASEMENT &gt; ou = 1500daN) ET AUX CHOCS &gt; ou = 200 JOULES. MODELE TESTE, AGREE ET CONFORME. SEMELLE ATS (ADHERENCE TOUS SOLS), DE HAUTES PERFORMANCE, SOUPLES, ANTIDERAPANTES ET RESISTANTES AUX HYDROCARBURES, AUX AGRESSIONS CHIMIQUES ET AUX FLEXIONS REPETEES. AVEC CRAMPON DE HAUTE ADHERENCE (COEFFICIENT D'ADHERENCE SUPERIEUR A 0,20 SUR SOLS LISSES ET GLISSANTES) ET TALON EN U SPECIAL ANTI-FATIGUE QUI ABSORBE LES CHOCS (SUPERIEURS A 20 JOULES). COULEUR TIGE VERTE, SEMELLE NOIRE (COLORIS NON SALISSANT ET NON POISSEUX). POIDS &lt; ou = 2500GR. QUALITES REQUISES : CONFORT, SOUPLESSE, LEGERETE, PROTECTION ADAPTEE AUX RISQUES COURANTS, DURABILTE CORRECTE DES ELEMENTS DE PROTECTION ET QUALITE HYGIENIQUE. MARQUAGE: "CE" SUIVI DES 2 CHIFFRES DE L'ANNEE DANS LAQUELLE LE MARQUAGE A ETE APPOSE. LES BOTTES DOIVENT ETRE LIVREES DANS UN EMBALLAGE INDIVIDUEL.POINTURE : 41NB: LES OFFRES DOIVENT ETRE ACCOMPAGNEES D'UN MODELE PROPOSE.</v>
          </cell>
          <cell r="D2072" t="str">
            <v>PE</v>
          </cell>
          <cell r="E2072" t="str">
            <v>522.52216</v>
          </cell>
          <cell r="F2072">
            <v>110.61539999999999</v>
          </cell>
          <cell r="G2072">
            <v>0</v>
          </cell>
          <cell r="H2072">
            <v>0</v>
          </cell>
          <cell r="I2072">
            <v>0</v>
          </cell>
          <cell r="J2072">
            <v>16</v>
          </cell>
          <cell r="K2072">
            <v>16</v>
          </cell>
          <cell r="L2072">
            <v>0</v>
          </cell>
        </row>
        <row r="2073">
          <cell r="A2073" t="str">
            <v>10096.01515</v>
          </cell>
          <cell r="B2073" t="str">
            <v>MANCHE A VENT EN TISSU DE TOILE EPAIS</v>
          </cell>
          <cell r="C2073" t="str">
            <v>MANCHE A VENT EN TISSU DE TOILE EPAIS  LARGEUR 30MM  8 PERCAGES POUR FIXATION DIA 10MM LONGUEUR TOTALE : 2500MM  COULEUR : BANDE ROUGE / BANDEBLANCHE  LONGUEUR DE CHAQUE BANDE 500MM ( SUIVANT CROQUIS )</v>
          </cell>
          <cell r="D2073" t="str">
            <v>PE</v>
          </cell>
          <cell r="E2073" t="str">
            <v>222.22206</v>
          </cell>
          <cell r="F2073">
            <v>912</v>
          </cell>
          <cell r="G2073">
            <v>0</v>
          </cell>
          <cell r="H2073">
            <v>0</v>
          </cell>
          <cell r="I2073">
            <v>0</v>
          </cell>
          <cell r="J2073">
            <v>0</v>
          </cell>
          <cell r="K2073">
            <v>0</v>
          </cell>
          <cell r="L2073">
            <v>0</v>
          </cell>
        </row>
        <row r="2074">
          <cell r="A2074" t="str">
            <v>10003.01811</v>
          </cell>
          <cell r="B2074" t="str">
            <v>TOLE LISSE NOIRE E 24 EP 6mm</v>
          </cell>
          <cell r="C2074" t="str">
            <v xml:space="preserve">TOLE LISSE NOIRE - NUANCE : AFNOR E 24 LONGUEUR = 3 METRES - LARGEUR = 1,5 METRE EPAISSEUR = 6 MM </v>
          </cell>
          <cell r="D2074" t="str">
            <v>PE</v>
          </cell>
          <cell r="E2074" t="str">
            <v>522.52213</v>
          </cell>
          <cell r="F2074">
            <v>1815</v>
          </cell>
          <cell r="G2074">
            <v>0</v>
          </cell>
          <cell r="H2074">
            <v>0</v>
          </cell>
          <cell r="I2074">
            <v>0</v>
          </cell>
          <cell r="J2074">
            <v>8</v>
          </cell>
          <cell r="K2074">
            <v>0</v>
          </cell>
          <cell r="L2074">
            <v>0</v>
          </cell>
        </row>
        <row r="2075">
          <cell r="A2075" t="str">
            <v>10096.00006</v>
          </cell>
          <cell r="B2075" t="str">
            <v>GANT ANTI-COUPURE</v>
          </cell>
          <cell r="C2075" t="str">
            <v>GANT ANTI-COUPURE 101M80 (REVETEMENT SYNTHETIQUE SUR SUPPORT TEXTILE EN FIL POLYETHLENE HAUTE TENACITE GUIPE ELASTHANNE REVETEMENT PAUME ET BOUT DES DOIGTS EN ELASTOMERE SYNTHETIQUE SANS COUTURE COLORIS BLANC ET GRIS</v>
          </cell>
          <cell r="D2075" t="str">
            <v>PE</v>
          </cell>
          <cell r="E2075" t="str">
            <v>522.52216</v>
          </cell>
          <cell r="F2075">
            <v>45</v>
          </cell>
          <cell r="G2075">
            <v>0</v>
          </cell>
          <cell r="H2075">
            <v>0</v>
          </cell>
          <cell r="I2075">
            <v>0</v>
          </cell>
          <cell r="J2075">
            <v>23</v>
          </cell>
          <cell r="K2075">
            <v>46</v>
          </cell>
          <cell r="L2075">
            <v>0</v>
          </cell>
        </row>
        <row r="2076">
          <cell r="A2076" t="str">
            <v>10003.02030</v>
          </cell>
          <cell r="B2076" t="str">
            <v>TOLE EN ACIER INOX</v>
          </cell>
          <cell r="C2076" t="str">
            <v>TOLE EN ACIER INOXYDABLENUANCE : AFNOR Z2CN 18-10, AISI 304L, DIN X2 CR NI 18-11 GENRE : CREUSOT-LOIRE ICL 472 BC COMPOSITION CHIMIQUE MOYENNE (%) : C=0,030 - CR=18A20 - NI=9A11 - MN=2 - P=0,45 - S=0,03 - SI=1DIMENSIONS : LONGUEUR = 3METRES - LARGEUR = 1,50METRE - EPAISSEUR = 6MM</v>
          </cell>
          <cell r="D2076" t="str">
            <v>PE</v>
          </cell>
          <cell r="E2076" t="str">
            <v>522.52213</v>
          </cell>
          <cell r="F2076">
            <v>5156</v>
          </cell>
          <cell r="G2076">
            <v>0</v>
          </cell>
          <cell r="H2076">
            <v>1</v>
          </cell>
          <cell r="I2076">
            <v>0</v>
          </cell>
          <cell r="J2076">
            <v>1</v>
          </cell>
          <cell r="K2076">
            <v>0</v>
          </cell>
          <cell r="L2076">
            <v>0</v>
          </cell>
        </row>
        <row r="2077">
          <cell r="A2077" t="str">
            <v>10096.00592</v>
          </cell>
          <cell r="B2077" t="str">
            <v>CHAUSSURE HAUTE DE SECURITE POUR HOMME TAILLE : 39</v>
          </cell>
          <cell r="C2077" t="str">
            <v>CHAUSSURES HAUTE DE SECURITE POUR HOMMECARACTERISTIQUE DE LA TIGE :CUIRE A DESSUS : CUIR FLEUR NOIR HYDROFUGE 1,8/2,2MMLANGUETTE : CUIR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39</v>
          </cell>
          <cell r="D2077" t="str">
            <v>PE</v>
          </cell>
          <cell r="E2077" t="str">
            <v>522.52216</v>
          </cell>
          <cell r="F2077">
            <v>550.33330000000001</v>
          </cell>
          <cell r="G2077">
            <v>0</v>
          </cell>
          <cell r="H2077">
            <v>0</v>
          </cell>
          <cell r="I2077">
            <v>0</v>
          </cell>
          <cell r="J2077">
            <v>1</v>
          </cell>
          <cell r="K2077">
            <v>4</v>
          </cell>
          <cell r="L2077">
            <v>13</v>
          </cell>
        </row>
        <row r="2078">
          <cell r="A2078" t="str">
            <v>10096.00591</v>
          </cell>
          <cell r="B2078" t="str">
            <v>CHAUSSURES HAUTE DE SECURITE POUR HOMME TAILLE : 38</v>
          </cell>
          <cell r="C2078" t="str">
            <v>CHAUSSURES HAUTE DE SECURITE POUR HOMMECARACTERISTIQUE DE LA TIGE :CUIRE A DESSUS : CUIR FLEUR NOIR HYDROFUGE 1,8/2,2MMLANGUETTE : CUIRE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38</v>
          </cell>
          <cell r="D2078" t="str">
            <v>PE</v>
          </cell>
          <cell r="E2078" t="str">
            <v>522.52216</v>
          </cell>
          <cell r="F2078">
            <v>536.11760000000004</v>
          </cell>
          <cell r="G2078">
            <v>0</v>
          </cell>
          <cell r="H2078">
            <v>0</v>
          </cell>
          <cell r="I2078">
            <v>0</v>
          </cell>
          <cell r="J2078">
            <v>0</v>
          </cell>
          <cell r="K2078">
            <v>1</v>
          </cell>
          <cell r="L2078">
            <v>5</v>
          </cell>
        </row>
        <row r="2079">
          <cell r="A2079" t="str">
            <v>10096.00030</v>
          </cell>
          <cell r="B2079" t="str">
            <v>IMPERMEABLE EN POLYAMIDE ENDUIT POLYURETHANE</v>
          </cell>
          <cell r="C2079" t="str">
            <v>IMPERMEABLE EN POLYAMIDE ENDUIT POLYURETHANE- 100% POLYAMIDE (170G/M2)  ENDUIT PU RESPIRANT, IMPERMEABLE AVEC COUTURES SOUDEES ETANCHEES, EMPIECEMENT EPAULES NOIR- OILLETS D'AERATION- FERMETURE A GLISSIERE DOUBLE SENS AVEC RABAT A BANDE AGRIPPANT- CONFORME A LA NORME EN 471 CLASSE 3- TAILLE : A PRECISER PAR LE CLIENT- COULEUR : A PRECISER A LA DEMANDE- FICHE  TECHNIQUE DE L'ARTICLE- 10 ECHANTILLONS POUR ESSAIS- CERTIFICAT D'ANALYSE LIVRE PAR UN LABORATOIRE AGREE POUR LA COMPOSITION DU TISSU VESTE :- CAPUCHE : SERRAGE ELASTIQUE AVEC FRONTAL ET CORDON DE REGLAGE- FERMETURE AVEC GLISSIERE SOUS RABAT A BOUTONS PRESSION- POCHES : EXT PAS 2 PLAQUEES RABAT HORIZONTAL A SCRATCH- SERRAGE BAS : CORDONPANTALON :- FERMETURE A PRESSION, ELASTIQUE DE SERRAGE A LA TAILLE- REGLAGE DU BAS DU PANTALON PAR PRESSION ET FERMETURE A GLISSIERES</v>
          </cell>
          <cell r="D2079" t="str">
            <v>PE</v>
          </cell>
          <cell r="E2079" t="str">
            <v>522.52216</v>
          </cell>
          <cell r="F2079">
            <v>226.49889999999999</v>
          </cell>
          <cell r="G2079">
            <v>0</v>
          </cell>
          <cell r="H2079">
            <v>0</v>
          </cell>
          <cell r="I2079">
            <v>73</v>
          </cell>
          <cell r="J2079">
            <v>27</v>
          </cell>
          <cell r="K2079">
            <v>0</v>
          </cell>
          <cell r="L2079">
            <v>0</v>
          </cell>
        </row>
        <row r="2080">
          <cell r="A2080" t="str">
            <v>10003.02031</v>
          </cell>
          <cell r="B2080" t="str">
            <v>TOLE EN ACIER INOX</v>
          </cell>
          <cell r="C2080" t="str">
            <v>TOLE EN ACIER INOXYDABLENUANCE : AFNOR Z2CN 18-10, AISI 304L, DIN X2 CR NI 18-11 GENRE : CREUSOT-LOIRE ICL 472 BC COMPOSITION CHIMIQUE MOYENNE (%) : C=0,030 - CR=18A20 - NI=9A11 - MN=2 - P=0,45 - S=0,03 - SI=1DIMENSIONS : LONGUEUR = 3METRES - LARGEUR = 1,50METRE - EPAISSEUR = 8MM</v>
          </cell>
          <cell r="D2080" t="str">
            <v>PE</v>
          </cell>
          <cell r="E2080" t="str">
            <v>522.52213</v>
          </cell>
          <cell r="F2080">
            <v>15108.72</v>
          </cell>
          <cell r="G2080">
            <v>0</v>
          </cell>
          <cell r="H2080">
            <v>0</v>
          </cell>
          <cell r="I2080">
            <v>0</v>
          </cell>
          <cell r="J2080">
            <v>0</v>
          </cell>
          <cell r="K2080">
            <v>1</v>
          </cell>
          <cell r="L2080">
            <v>0</v>
          </cell>
        </row>
        <row r="2081">
          <cell r="A2081" t="str">
            <v>10003.02032</v>
          </cell>
          <cell r="B2081" t="str">
            <v>TOLE EN ACIER INOX</v>
          </cell>
          <cell r="C2081" t="str">
            <v>TOLE EN ACIER INOXYDABLENUANCE : AFNOR Z2CN 18-10, AISI 304L, DIN X2 CR NI 18-11 GENRE : CREUSOT-LOIRE ICL 472 BC COMPOSITION CHIMIQUE MOYENNE (%) : C=0,030 - CR=18A20 - NI=9A11 - MN=2 - P=0,45 - S=0,03 - SI=1DIMENSIONS : LONGUEUR = 3METRES - LARGEUR = 1,50METRE - EPAISSEUR = 14MM</v>
          </cell>
          <cell r="D2081" t="str">
            <v>PE</v>
          </cell>
          <cell r="E2081" t="str">
            <v>522.52213</v>
          </cell>
          <cell r="F2081">
            <v>26575.517</v>
          </cell>
          <cell r="G2081">
            <v>0</v>
          </cell>
          <cell r="H2081">
            <v>0</v>
          </cell>
          <cell r="I2081">
            <v>0</v>
          </cell>
          <cell r="J2081">
            <v>0</v>
          </cell>
          <cell r="K2081">
            <v>2</v>
          </cell>
          <cell r="L2081">
            <v>0</v>
          </cell>
        </row>
        <row r="2082">
          <cell r="A2082" t="str">
            <v>10096.00594</v>
          </cell>
          <cell r="B2082" t="str">
            <v>CHAUSSURES HAUTE DE SECURITE POUR HOMME TAILLE : 41</v>
          </cell>
          <cell r="C2082" t="str">
            <v>CHAUSSURES HAUTE DE SECURITE POUR HOMMECARACTERISTIQUE DE LA TIGE :CUIRE A DESSUS : CUIR FLEUR NOIR HYDROFUGE 1,8/2,2MMLANGUETTE : CUIR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41</v>
          </cell>
          <cell r="D2082" t="str">
            <v>PE</v>
          </cell>
          <cell r="E2082" t="str">
            <v>522.52216</v>
          </cell>
          <cell r="F2082">
            <v>534.58429999999998</v>
          </cell>
          <cell r="G2082">
            <v>0</v>
          </cell>
          <cell r="H2082">
            <v>0</v>
          </cell>
          <cell r="I2082">
            <v>10</v>
          </cell>
          <cell r="J2082">
            <v>17</v>
          </cell>
          <cell r="K2082">
            <v>27</v>
          </cell>
          <cell r="L2082">
            <v>5</v>
          </cell>
        </row>
        <row r="2083">
          <cell r="A2083" t="str">
            <v>10096.00593</v>
          </cell>
          <cell r="B2083" t="str">
            <v>CHAUSSURE HAUTE DE SECURITE POUR HOMME TAILLE : 40</v>
          </cell>
          <cell r="C2083" t="str">
            <v>CHAUSSURES HAUTE DE SECURITE POUR HOMMECARACTERISTIQUE DE LA TIGE :CUIRE A DESSUS : CUIR FLEUR NOIR HYDROFUGE 1,8/2,2MMLANGUETTE : CUIR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40</v>
          </cell>
          <cell r="D2083" t="str">
            <v>PE</v>
          </cell>
          <cell r="E2083" t="str">
            <v>522.52216</v>
          </cell>
          <cell r="F2083">
            <v>550.33330000000001</v>
          </cell>
          <cell r="G2083">
            <v>0</v>
          </cell>
          <cell r="H2083">
            <v>5</v>
          </cell>
          <cell r="I2083">
            <v>8</v>
          </cell>
          <cell r="J2083">
            <v>3</v>
          </cell>
          <cell r="K2083">
            <v>8</v>
          </cell>
          <cell r="L2083">
            <v>28</v>
          </cell>
        </row>
        <row r="2084">
          <cell r="A2084" t="str">
            <v>10096.00033</v>
          </cell>
          <cell r="B2084" t="str">
            <v>GANT TREMPE NITRILE SUPPORT COTON</v>
          </cell>
          <cell r="C2084" t="str">
            <v>GANT TREMPE NITRILE SUPPORT COTON TRICOTTAILLES : A PRECISERCOULOUR : JAUNEGANTS DE PROTECTION EN COTON ENDUIT NITRILE, DOS AERE, POIGNETS TRICOT ELASTIQUE BORD-COTE, LONGUEUR 27 CM, MATERIAUX : GANT TREMPE NITRILE DE QUALITE SUPERIEURE.SUPPORT : COTON TRICOTEPAISSEUR : 1,1 MMUTILISATION :- MECANIQUE- CONDITINNEMENT - MMANUTATION ET MANIPULATION DE PIECES GRASSES ET HUILEUSESPERFORMANCES :CONFORME AUX EXIGENCES DE LA DIRECTIVE EUROPEENNE 89/686, NOTAMMENT EN TERMES D'ERGONOMIE, D'INNOCUITE, DE CONFORT, D'AERATION ET DE SOUPLESSE ET AUX EUROPEENNES EN420 : 2003 (D'EXTERITE 5) ET EN388 : 2003 (4,2,1,1).PRODUIT ET DOCUMENTS A FOURNIR :- LIVRE AVEC CERTIFICAT DE CONFORMITE SIGNE PAR UN LABORATOIRE AGREE.- PRESENTATION DE 02 ECHANTILLONS AVANT LA LIVRAISON TOTALE EST OBLIGATOIRE. - LIVRE AVEC FICHE TECHNIQUE DU PRODUIT.</v>
          </cell>
          <cell r="D2084" t="str">
            <v>PE</v>
          </cell>
          <cell r="E2084" t="str">
            <v>522.52216</v>
          </cell>
          <cell r="F2084">
            <v>16.8202</v>
          </cell>
          <cell r="G2084">
            <v>0</v>
          </cell>
          <cell r="H2084">
            <v>0</v>
          </cell>
          <cell r="I2084">
            <v>0</v>
          </cell>
          <cell r="J2084">
            <v>22</v>
          </cell>
          <cell r="K2084">
            <v>28</v>
          </cell>
          <cell r="L2084">
            <v>0</v>
          </cell>
        </row>
        <row r="2085">
          <cell r="A2085" t="str">
            <v>10096.00876</v>
          </cell>
          <cell r="B2085" t="str">
            <v>HARNAIS DE SECURITE</v>
          </cell>
          <cell r="C2085" t="str">
            <v>HARNAIS DE SUSPENSION  ET D'ANTI-CHUTE A BRETELLES EQUIPE DE : UN ACCROCHAGE DORSAL, 2 ANNEAUX DE POSITIONNEMENT LATERAUX, UN PONTE DE SUSPENSION AVANT, UN MOUSQUETON MONTAGE A VIS ACIER. LIVRE AVEC AMORTISSEUR DE CHUTE EN SANGLE OU CORDAGE POLYAMIDE DE 2METRES DE LONG EQUIPE DE 2MOUSQUETONS DE SOUDAGE A VIS EN ACIER AINSI QU'UNE LONGUE EN NYLON POLYAMIDE DIAMETRE 25MM ET DE 2M DE LONGUEUR AVEC UN MOUSQUETON AVEC EPISSURE SUR COSSE METALLIQUE AUX EXTREMITE DE CHAQUE CORDAGE UTILISATION : TRAVAUX EN HAUTEUR SUR LES INSTALLATIONS INDUSTRIELLESQUALITES REQUISES : CONFORT AU  PORTEUR, FORTE RESISTANCE A LA RUPTURE 2000KG, LAVABLE A L'EAU SAVONNEUSE ASSURANCE QUALITE : ISO 9002 OU DEFAUT CONFORMITE AUX NORMES NFS71020 ET EN 361 AVEC PRESENTATION OBLIGATOIRE D'UN CERTIFICAT DE CONFORMITE DELIVREE PAR UN LABORTOIRE AGREE MARQUAGE : LE MARQUAGE DES REFERENCES DE LA NORME EST OBLIGATOIRE SUR LES SANGLES OU SUR L'EMBALLAGE. MATERIEL DOIT ETRE ACCOMPAGNE D'UN CERTIFICAT DE CONFORMITE DELIVRE PAR UN BORATOIRE AGREE LES OFFRES DOIVENT ETRE ACCOMPAGNEE D'UN MODELE PROPOSE.</v>
          </cell>
          <cell r="D2085" t="str">
            <v>PE</v>
          </cell>
          <cell r="E2085" t="str">
            <v>522.52216</v>
          </cell>
          <cell r="F2085">
            <v>1180</v>
          </cell>
          <cell r="G2085">
            <v>0</v>
          </cell>
          <cell r="H2085">
            <v>0</v>
          </cell>
          <cell r="I2085">
            <v>1</v>
          </cell>
          <cell r="J2085">
            <v>0</v>
          </cell>
          <cell r="K2085">
            <v>0</v>
          </cell>
          <cell r="L2085">
            <v>6</v>
          </cell>
        </row>
        <row r="2086">
          <cell r="A2086" t="str">
            <v>10096.00860</v>
          </cell>
          <cell r="B2086" t="str">
            <v>TABLIER POUR SOUDEUR</v>
          </cell>
          <cell r="C2086" t="str">
            <v>TABLIER POUR SOUDEUR S/NORME EN 470 MATIERE : CUIR CHROME ( CROÜTE) - EPAISSEUR &gt; 1 MM A BAVETTE AVEC ATTACHE PAR OEILLETS ET LANIERES PLASTIQUEBONNE RESISTANCE : A LA CHALEUR, DECHIRURE, PERFORATION, ABRASION ET AUX AGENTS CHIMIQUES COURANTS. COULEUR : GRISE TAILLE : STANDARD (HAUTEUR 106CM, LARGEUR 85 CM) LES OFFRES DOIVENT ETRE ACCOMPAGNEES D'UN MODELE PROPOSE.</v>
          </cell>
          <cell r="D2086" t="str">
            <v>PE</v>
          </cell>
          <cell r="E2086" t="str">
            <v>522.52216</v>
          </cell>
          <cell r="F2086">
            <v>80.142399999999995</v>
          </cell>
          <cell r="G2086">
            <v>0</v>
          </cell>
          <cell r="H2086">
            <v>0</v>
          </cell>
          <cell r="I2086">
            <v>1</v>
          </cell>
          <cell r="J2086">
            <v>1</v>
          </cell>
          <cell r="K2086">
            <v>15</v>
          </cell>
          <cell r="L2086">
            <v>3</v>
          </cell>
        </row>
        <row r="2087">
          <cell r="A2087" t="str">
            <v>10096.00870</v>
          </cell>
          <cell r="B2087" t="str">
            <v>CEINTURE DE SECURITE</v>
          </cell>
          <cell r="C2087" t="str">
            <v>CEINTURE DE SECURITE POUR TRAVAUX EN HAUTEUR S/NORME : NFC 18-435 DORSSELET EN CUIR CHROME AVEC BOUCLE EN BOUT D'EPAISSEUR 5 MM ET 2DES POUR SAC A OUTILS LONGE EN CUIR CHROME, EPAISSEUR 10 MM COUSU ET RENFORCEE PAR RIVETS EN ALUMINIUM ET 2ANNEAUX POUR ATTELAGE DE LA LONGUE ET D'UNE CORDE D'ASSUJETISSEMENTCEINTURE EN CUIR CHROME DOUBLE D'EPAISSEUR 10 MM, COUSUE AVEC LE DORSSELET ET RENFORCEE PAR DES RIVETS EN ALUMINIUM EQUIPE DE 2DES D'ACCROCHAGE EN ACIER CHROME. CEINTURE DOIT ETRE ACCOMPAGNE D'UN CERTIFICAT DE CONFORMITE DELIVREE PAR UN LABORATOIRE AGREE</v>
          </cell>
          <cell r="D2087" t="str">
            <v>PE</v>
          </cell>
          <cell r="E2087" t="str">
            <v>522.52216</v>
          </cell>
          <cell r="F2087">
            <v>648</v>
          </cell>
          <cell r="G2087">
            <v>0</v>
          </cell>
          <cell r="H2087">
            <v>0</v>
          </cell>
          <cell r="I2087">
            <v>0</v>
          </cell>
          <cell r="J2087">
            <v>0</v>
          </cell>
          <cell r="K2087">
            <v>12</v>
          </cell>
          <cell r="L2087">
            <v>0</v>
          </cell>
        </row>
        <row r="2088">
          <cell r="A2088" t="str">
            <v>10096.00894</v>
          </cell>
          <cell r="B2088" t="str">
            <v>CEINTURE LOMBO ABDOMIN.T2</v>
          </cell>
          <cell r="C2088" t="str">
            <v xml:space="preserve">CEINTURE LOMBO ABDOMINALE ANTI VIBRATOIRE ET ANTI-LUMBAGO POUR CONDUCTEURS D'ENGINS TISSU ELASTIQUE EN FIL 100% NYLON LEGER ET FRAIS TRAVERSE PAR ACIER A RESSORT DANS LE SENS TRAME ENTOURE DE VINYLE PIECES D'APPUI ELASTIQUE ET PLATES TIREES VERSL'AVANT ET FIXEES FERMEMENT PAR DES FERMETURE VELCRO MECANISME DE FERMETURE EN DEUX ETAPES AVEC BANDE VELCRO EQUIPEE DE BRETELLES ELASTIQUES REGLABLES. LES OFFRES DOIVENT ETRE ACCOMPAGNEES D'UN MODELE PROPOSE.TAILLE : 2 ( TOUR DE TAILLE 88 A 104 CM) </v>
          </cell>
          <cell r="D2088" t="str">
            <v>PE</v>
          </cell>
          <cell r="E2088" t="str">
            <v>522.52216</v>
          </cell>
          <cell r="F2088">
            <v>43.054600000000001</v>
          </cell>
          <cell r="G2088">
            <v>0</v>
          </cell>
          <cell r="H2088">
            <v>0</v>
          </cell>
          <cell r="I2088">
            <v>0</v>
          </cell>
          <cell r="J2088">
            <v>0</v>
          </cell>
          <cell r="K2088">
            <v>0</v>
          </cell>
          <cell r="L2088">
            <v>0</v>
          </cell>
        </row>
        <row r="2089">
          <cell r="A2089" t="str">
            <v>10096.00896</v>
          </cell>
          <cell r="B2089" t="str">
            <v>CEINTURE LOMBO ABDOMIN.T3</v>
          </cell>
          <cell r="C2089" t="str">
            <v xml:space="preserve">CEINTURE LOMBO ABDOMINALE ANTI VIBRATOIRE ET ANTI-LUMBAGO POUR CONDUCTEURS D'ENGINS TISSU ELASTIQUE EN FIL 100% NYLON LEGER ET FRAIS TRAVERSE PAR ACIER A RESSORT DANS LE SENS TRAME ENTOURE DE VINYLE PIECES D'APPUI ELASTIQUE ET PLATES TIREES VERSL'AVANT ET FIXEES FERMEMENT PAR DES FERMETURE VELCRO MECANISME DE FERMETURE EN DEUX ETAPES AVEC BANDE VELCRO EQUIPEE DE BRETELLES ELASTIQUES REGLABLES. LES OFFRES DOIVENT ETRE ACCOMPAGNEES D'UN MODELE PROPOSE.TAILLE : 3 ( TOUR DE TAILLE 100 A 116 CM) </v>
          </cell>
          <cell r="D2089" t="str">
            <v>PE</v>
          </cell>
          <cell r="E2089" t="str">
            <v>522.52216</v>
          </cell>
          <cell r="F2089">
            <v>43</v>
          </cell>
          <cell r="G2089">
            <v>0</v>
          </cell>
          <cell r="H2089">
            <v>0</v>
          </cell>
          <cell r="I2089">
            <v>0</v>
          </cell>
          <cell r="J2089">
            <v>0</v>
          </cell>
          <cell r="K2089">
            <v>0</v>
          </cell>
          <cell r="L2089">
            <v>0</v>
          </cell>
        </row>
        <row r="2090">
          <cell r="A2090" t="str">
            <v>10096.00884</v>
          </cell>
          <cell r="B2090" t="str">
            <v>CEINTURE LOMBO ABDOMIN.T2</v>
          </cell>
          <cell r="C2090" t="str">
            <v xml:space="preserve">CEINTURE LOMBO ABDOMINALE ANTI VIBRATOIRE ET ANTI-LUMBAGO POUR CONDUCTEURS D'ENGINS FACE INTERNE EN CUIR FLEUR - FACE EXTERNE EN CUIR CROUTETRAVERSE PAR ACIER A RESSORT SENS TRAME - ENTOURE DE VINYLEFERMETURE PAR 2 BOUCLES REGLABLES EN 5 PIECES (1 DORSALE, 2 LATERALES, 2 VENTRALES)ANTI-SUEURS LES OFFRES DOIVENT ETRE ACCOMPAGNEES D'UN MODELE PROPOSE.TAILLE : 2 ( TOUR DE TAILLE 88 A 104 CM ) </v>
          </cell>
          <cell r="D2090" t="str">
            <v>PE</v>
          </cell>
          <cell r="E2090" t="str">
            <v>522.52216</v>
          </cell>
          <cell r="F2090">
            <v>43</v>
          </cell>
          <cell r="G2090">
            <v>0</v>
          </cell>
          <cell r="H2090">
            <v>0</v>
          </cell>
          <cell r="I2090">
            <v>0</v>
          </cell>
          <cell r="J2090">
            <v>0</v>
          </cell>
          <cell r="K2090">
            <v>0</v>
          </cell>
          <cell r="L2090">
            <v>0</v>
          </cell>
        </row>
        <row r="2091">
          <cell r="A2091" t="str">
            <v>10096.00890</v>
          </cell>
          <cell r="B2091" t="str">
            <v>CEINTURE LOMBO ABDOMIN.T1</v>
          </cell>
          <cell r="C2091" t="str">
            <v>CEINTURE LOMBO ABDOMINALE ANTI VIBRATOIRE ET ANTI-LUMBAGO POUR CONDUCTEURS D'ENGINS TISSU ELASTIQUE EN FIL 100% NYLON LEGER ET FRAIS TRAVERSE PAR ACIER A RESSORT DANS LE SENS TRAME ENTOURE DE VINYLE PIECES D'APPUI ELASTIQUE ET PLATES TIREES VERSL'AVANT ET FIXEES FERMEMENT PAR DES FERMETURE VELCRO MECANISME DE FERMETURE EN DEUX ETAPES AVEC BANDE VELCRO EQUIPEE DE BRETELLES ELASTIQUES REGLABLES. TAILLE : 1 ( TOUR DE TAILLE 76 A 92 CM) LES OFFRES DOIVENT ETRE ACCOMPAGNEES D'UN MODELE PROPOSE.</v>
          </cell>
          <cell r="D2091" t="str">
            <v>PE</v>
          </cell>
          <cell r="E2091" t="str">
            <v>522.52216</v>
          </cell>
          <cell r="F2091">
            <v>43</v>
          </cell>
          <cell r="G2091">
            <v>0</v>
          </cell>
          <cell r="H2091">
            <v>0</v>
          </cell>
          <cell r="I2091">
            <v>0</v>
          </cell>
          <cell r="J2091">
            <v>0</v>
          </cell>
          <cell r="K2091">
            <v>0</v>
          </cell>
          <cell r="L2091">
            <v>0</v>
          </cell>
        </row>
        <row r="2092">
          <cell r="A2092" t="str">
            <v>10096.00903</v>
          </cell>
          <cell r="B2092" t="str">
            <v>BLOUSE A.ACID.P/HOMME T.4</v>
          </cell>
          <cell r="C2092" t="str">
            <v xml:space="preserve">BLOUSE ANTI-ACIDE POUR HOMME (ARCO PROBAN IGNFUGE)TISSU COTON 100% COUTURE : EN FIL ANTI-ACIDE DOUBLE PIQURECOULEUR : A PRECISER LORS DU CHOIX TECHNIQUE - POIDS : 310 G/MNOMBRE DE TRAME : 21 - DUITE : 22/CM - NOMBRE DE FILS : 44.5/CMCOL CHEVALIER - 3 POCHES PLAQUEES: 1 POITRINE - 2 COTES CEINTURE - FERMETURE PAR BOUTON - MANCHES EN TAILLE DROITESCONFECTION TRES SOIGNEEEMBLEME : BRODURE EN SOIE ROUGE DE 10CM SIGLE ET SON EMPLACEMENT A PRECISER LES OFFRES DOIVENT-ETRE ACCOMPAGNEES D'UN MODELE PROPOSE. TAILLE UNIVERSELLE : 4 (52-54) </v>
          </cell>
          <cell r="D2092" t="str">
            <v>PE</v>
          </cell>
          <cell r="E2092" t="str">
            <v>522.52216</v>
          </cell>
          <cell r="F2092">
            <v>100.572</v>
          </cell>
          <cell r="G2092">
            <v>0</v>
          </cell>
          <cell r="H2092">
            <v>0</v>
          </cell>
          <cell r="I2092">
            <v>0</v>
          </cell>
          <cell r="J2092">
            <v>0</v>
          </cell>
          <cell r="K2092">
            <v>0</v>
          </cell>
          <cell r="L2092">
            <v>0</v>
          </cell>
        </row>
        <row r="2093">
          <cell r="A2093" t="str">
            <v>10096.00904</v>
          </cell>
          <cell r="B2093" t="str">
            <v>BLOUSE A.ACID.P/HOMME T.5</v>
          </cell>
          <cell r="C2093" t="str">
            <v xml:space="preserve">BLOUSE ANTI-ACIDE POUR HOMME (ARCO PROBAN IGNFUGE)TISSU COTON 100% COUTURE : EN FIL ANTI-ACIDE DOUBLE PIQURECOULEUR : A PRECISER LORS DU CHOIX TECHNIQUE - POIDS : 310 G/MNOMBRE DE TRAME : 21 - DUITE : 22/CM - NOMBRE DE FILS : 44.5/CMCOL CHEVALIER - 3 POCHES PLAQUEES: 1 POITRINE - 2 COTES CEINTURE - FERMETURE PAR BOUTON - MANCHES EN TAILLE DROITESCONFECTION TRES SOIGNEEEMBLEME : BRODURE EN SOIE ROUGE DE 10CM SIGLE ET SON EMPLACEMENT A PRECISER LES OFFRES DOIVENT-ETRE ACCOMPAGNEES D'UN MODELE PROPOSE. TAILLE UNIVERSELLE : 5 (56-58) </v>
          </cell>
          <cell r="D2093" t="str">
            <v>PE</v>
          </cell>
          <cell r="E2093" t="str">
            <v>522.52216</v>
          </cell>
          <cell r="F2093">
            <v>91.819900000000004</v>
          </cell>
          <cell r="G2093">
            <v>0</v>
          </cell>
          <cell r="H2093">
            <v>0</v>
          </cell>
          <cell r="I2093">
            <v>0</v>
          </cell>
          <cell r="J2093">
            <v>0</v>
          </cell>
          <cell r="K2093">
            <v>0</v>
          </cell>
          <cell r="L2093">
            <v>0</v>
          </cell>
        </row>
        <row r="2094">
          <cell r="A2094" t="str">
            <v>10003.04845</v>
          </cell>
          <cell r="B2094" t="str">
            <v>TOLE PERFOREE INOX</v>
          </cell>
          <cell r="C2094" t="str">
            <v xml:space="preserve">TOLE PERFOREE EN ACIER INOXYDABLE NUANCE AFNOR : Z2 CND 17-12              AISI      : 316 L               DIN       : X2 Cr Ni Mo 18-10GENRE : "CREUSOT-LOIRE ICL 164 BC "OU" UGINE NSM 22S COMPOSITION -CHIMIQUE MOYENNE (%) : C &lt;ou= 0,03 - Cr : 16-18 - Ni : 10,5-13 -  Mo : 2-2,5 - Mn MAX : 2 - Si : 1 LONGUEUR = 3 METRES LARGEUR   = 1,5 METRES EPAISSEUR = 5 MM PERFORATION GANTOIS = RD10 - ENTRAXE : 13 MM </v>
          </cell>
          <cell r="D2094" t="str">
            <v>PE</v>
          </cell>
          <cell r="E2094" t="str">
            <v>522.52213</v>
          </cell>
          <cell r="F2094">
            <v>11292.977699999999</v>
          </cell>
          <cell r="G2094">
            <v>0</v>
          </cell>
          <cell r="H2094">
            <v>1</v>
          </cell>
          <cell r="I2094">
            <v>0</v>
          </cell>
          <cell r="J2094">
            <v>0</v>
          </cell>
          <cell r="K2094">
            <v>0</v>
          </cell>
          <cell r="L2094">
            <v>0</v>
          </cell>
        </row>
        <row r="2095">
          <cell r="A2095" t="str">
            <v>10096.00902</v>
          </cell>
          <cell r="B2095" t="str">
            <v>BLOUSE A.ACID.P/HOMME T.3</v>
          </cell>
          <cell r="C2095" t="str">
            <v xml:space="preserve">BLOUSE ANTI-ACIDE POUR HOMME (ARCO PROBAN IGNFUGE)TISSU COTON 100% COUTURE : EN FIL ANTI-ACIDE DOUBLE PIQURECOULEUR : A PRECISER LORS DU CHOIX TECHNIQUE - POIDS : 310 G/MNOMBRE DE TRAME : 21 - DUITE : 22/CM - NOMBRE DE FILS : 44.5/CMCOL CHEVALIER - 3 POCHES PLAQUEES: 1 POITRINE - 2 COTES CEINTURE - FERMETURE PAR BOUTON - MANCHES EN TAILLE DROITESCONFECTION TRES SOIGNEEEMBLEME : BRODURE EN SOIE ROUGE DE 10CM SIGLE ET SON EMPLACEMENT A PRECISER LES OFFRES DOIVENT-ETRE ACCOMPAGNEES D'UN MODELE PROPOSE. TAILLE UNIVERSELLE : 3 (48-50) </v>
          </cell>
          <cell r="D2095" t="str">
            <v>PE</v>
          </cell>
          <cell r="E2095" t="str">
            <v>522.52216</v>
          </cell>
          <cell r="F2095">
            <v>95.223600000000005</v>
          </cell>
          <cell r="G2095">
            <v>0</v>
          </cell>
          <cell r="H2095">
            <v>0</v>
          </cell>
          <cell r="I2095">
            <v>0</v>
          </cell>
          <cell r="J2095">
            <v>0</v>
          </cell>
          <cell r="K2095">
            <v>0</v>
          </cell>
          <cell r="L2095">
            <v>0</v>
          </cell>
        </row>
        <row r="2096">
          <cell r="A2096" t="str">
            <v>10004.06712</v>
          </cell>
          <cell r="B2096" t="str">
            <v>ROND ACIER INOX</v>
          </cell>
          <cell r="C2096" t="str">
            <v xml:space="preserve">ROND EN ACIER INOXYDABLENUANCE : AFNOR Z1 NCDU 25-20 OU AISI 904L GENRE UGINE NS B6 OU CREUSOT-LOIRE URANUS B6COMPOSITION CHIMIQUE MOYENNE :  C &lt;ou=0,02 &amp; Cr=20 &amp; Ni=25 &amp; Mo=4,3 &amp; Cu=1,5LONGUEUR = 6 METRES DIAMETRE = 24 MM </v>
          </cell>
          <cell r="D2096" t="str">
            <v>KG</v>
          </cell>
          <cell r="E2096" t="str">
            <v>522.52213</v>
          </cell>
          <cell r="F2096">
            <v>130.0984</v>
          </cell>
          <cell r="G2096">
            <v>0</v>
          </cell>
          <cell r="H2096">
            <v>0</v>
          </cell>
          <cell r="I2096">
            <v>0</v>
          </cell>
          <cell r="J2096">
            <v>0</v>
          </cell>
          <cell r="K2096">
            <v>22</v>
          </cell>
          <cell r="L2096">
            <v>0</v>
          </cell>
        </row>
        <row r="2097">
          <cell r="A2097" t="str">
            <v>10096.00734</v>
          </cell>
          <cell r="B2097" t="str">
            <v>VESTE-PANTALON POUR PLUIE TAILLE : M</v>
          </cell>
          <cell r="C2097" t="str">
            <v>ENSEMBLE DE PLUIE (VESTE + PANTALON) S/NORME EN 340-343 EN POLYESTER 100% ENDUIT PVC SUR LES 2 FACES EPAISSEUR 0,35 MMCOUTURE RENFORCEE PAR SOUDAGE VESTE : DOUBLE FERMETURE PAR GLISSIERE PLASTIQUE SOUS RABAT ET BOUTON PRESSION CAPUCHE SOLIDAIRE EQUIPE D'UN CORDON DE REGLAGE TOUR DE TETE LOGE DANS LE COL AERATION SOUS LES BRAS ET DANS LE DOS PAR SOUFFLET MANCHES AVEC POIGNETS COUPE-VENT POCHE POITRINE AVEC RABAT ET FERMETURE VELCRO. PANTALON : A BRAGUETTES SANS POCHES AVEC OUVERTURES SUR LES COTESCORDON DE CEINTURE - ELASTIQUE DE SERRAGE A LA TAILLE COULEUR : A PRECISER A LA DEMANDE  TAILLE : MLOGO OCP EN PEINTURE INDELEBILE SUR LE COTE GAUCHE DE LA POITRINE.LES OFFRES DOIVENT ETRE ACCOMPAGNEE D'UN MODELE PROPOSE</v>
          </cell>
          <cell r="D2097" t="str">
            <v>PE</v>
          </cell>
          <cell r="E2097" t="str">
            <v>522.52216</v>
          </cell>
          <cell r="F2097">
            <v>75</v>
          </cell>
          <cell r="G2097">
            <v>0</v>
          </cell>
          <cell r="H2097">
            <v>0</v>
          </cell>
          <cell r="I2097">
            <v>0</v>
          </cell>
          <cell r="J2097">
            <v>0</v>
          </cell>
          <cell r="K2097">
            <v>0</v>
          </cell>
          <cell r="L2097">
            <v>0</v>
          </cell>
        </row>
        <row r="2098">
          <cell r="A2098" t="str">
            <v>10096.00735</v>
          </cell>
          <cell r="B2098" t="str">
            <v>IMPERMEABLE PETITE TAILLE</v>
          </cell>
          <cell r="C2098" t="str">
            <v xml:space="preserve">TENUE DE TRAVAIL IMPERMEABLE VESTE + PANTALON TISSU ENDUIT, SOUPLE, IMPERMEABLE COULEUR : BLEU MARINE VESTE FORME DROITE, AVEC MARIAGE FORMANT LES EPAULETTES ET LE LONG DES MANCHES PANTALON DROIT, ELASTIQUE AU NIVEAU DE LA CEINTURE TAILLE : PETITE </v>
          </cell>
          <cell r="D2098" t="str">
            <v>PE</v>
          </cell>
          <cell r="E2098" t="str">
            <v>522.52216</v>
          </cell>
          <cell r="F2098">
            <v>76.486500000000007</v>
          </cell>
          <cell r="G2098">
            <v>0</v>
          </cell>
          <cell r="H2098">
            <v>0</v>
          </cell>
          <cell r="I2098">
            <v>0</v>
          </cell>
          <cell r="J2098">
            <v>9</v>
          </cell>
          <cell r="K2098">
            <v>37</v>
          </cell>
          <cell r="L2098">
            <v>0</v>
          </cell>
        </row>
        <row r="2099">
          <cell r="A2099" t="str">
            <v>10096.00730</v>
          </cell>
          <cell r="B2099" t="str">
            <v>VESTE-PANTALON POUR PLUIE TAILLE : S</v>
          </cell>
          <cell r="C2099" t="str">
            <v>ENSEMBLE DE PLUIE (VESTE + PANTALON) S/NORME EN 340-343 EN POLYESTER 100% ENDUIT PVC SUR LES 2 FACES EPAISSEUR 0,35 MMCOUTURE RENFORCEE PAR SOUDAGE VESTE : DOUBLE FERMETURE PAR GLISSIERE PLASTIQUE SOUS RABAT ET BOUTON PRESSION CAPUCHE SOLIDAIRE EQUIPE D'UN CORDON DE REGLAGE TOUR DE TETE LOGE DANS LE COL AERATION SOUS LES BRAS ET DANS LE DOS PAR SOUFFLET MANCHES AVEC POIGNETS COUPE-VENT POCHE POITRINE AVEC RABAT ET FERMETURE VELCRO. PANTALON : A BRAGUETTES SANS POCHES AVEC OUVERTURES SUR LES COTESCORDON DE CEINTURE - ELASTIQUE DE SERRAGE A LA TAILLE COULEUR : A PRECISER A LA DEMANDE  TAILLE : SLOGO OCP EN PEINTURE INDELEBILE SUR LE COTE GAUCHE DE LA POITRINE.LES OFFRES DOIVENT ETRE ACCOMPAGNEE D'UN MODELE PROPOSE</v>
          </cell>
          <cell r="D2099" t="str">
            <v>PE</v>
          </cell>
          <cell r="E2099" t="str">
            <v>522.52216</v>
          </cell>
          <cell r="F2099">
            <v>71.453900000000004</v>
          </cell>
          <cell r="G2099">
            <v>0</v>
          </cell>
          <cell r="H2099">
            <v>0</v>
          </cell>
          <cell r="I2099">
            <v>0</v>
          </cell>
          <cell r="J2099">
            <v>0</v>
          </cell>
          <cell r="K2099">
            <v>13</v>
          </cell>
          <cell r="L2099">
            <v>0</v>
          </cell>
        </row>
        <row r="2100">
          <cell r="A2100" t="str">
            <v>10096.00758</v>
          </cell>
          <cell r="B2100" t="str">
            <v>COMBINAISON A-ACIDE P/HOMME T.5(56-58)</v>
          </cell>
          <cell r="C2100" t="str">
            <v xml:space="preserve">COMBINAISON ANTI-ACIDE (HIVER-ETE) POUR HOMME (ARCO PROBAN IGNFUGE) - TISSU COTON 100% COUTURE : EN FIL ANTI-ACIDE DOUBLE PIQURE COULEUR : A PRECISER LORS DU CHOIX TECHNIQUE POIDS : 310 G/M - NOMBRE DE TRAME : 21 - DUITE : 22/CM NOMBRE DE FIL : 44.5/CM POCHES : 2POITRINE AVEC RABAT BOUTONNABLE 2DEVANT OUVERTURE EN BIAIS AVEC RENFORT 1ARRIERE DROIT AVEC RENFORT ATTACHE DU POIGNET AVEC LANGUETTE ET BOUTON CEINTURE DU MEME TISSU COUSUE AU DOS SERRAGE PAR BOUCLE A PASSANT - DOS A SOUFFLET - BORDS PIQUES 2OUVERTURES SUR LES COTES AVEC FERMETURE PAR BOUTON CONFECTION TRES SOIGNEEEMBLEME : BRODURE EN SOIE ROUGE DE 10CM SIGLE ET SON EMPLACEMENT A PRECISER  TAILLE UNIVERSELLE : 5 (56-58) LES OFFRES DOIVENT-ETRE ACCOMPAGNNES D'UN MODELE PROPOSE. </v>
          </cell>
          <cell r="D2100" t="str">
            <v>PE</v>
          </cell>
          <cell r="E2100" t="str">
            <v>522.52216</v>
          </cell>
          <cell r="F2100">
            <v>102.6506</v>
          </cell>
          <cell r="G2100">
            <v>0</v>
          </cell>
          <cell r="H2100">
            <v>0</v>
          </cell>
          <cell r="I2100">
            <v>0</v>
          </cell>
          <cell r="J2100">
            <v>0</v>
          </cell>
          <cell r="K2100">
            <v>0</v>
          </cell>
          <cell r="L2100">
            <v>0</v>
          </cell>
        </row>
        <row r="2101">
          <cell r="A2101" t="str">
            <v>10096.00768</v>
          </cell>
          <cell r="B2101" t="str">
            <v>BLOUSE ANTI-ACIDE P/FEMME T3 (48-50)</v>
          </cell>
          <cell r="C2101" t="str">
            <v xml:space="preserve">BLOUSE ANTI-ACIDE POUR FEMME (ARCO PROBAN IGNFUGE) TISSU COTON 100% COUTURE : EN FIL ANTI-ACIDE DOUBLE PIQURECOULEUR : BLANCHE - POIDS : 310 G/MNOMBRE DE TRAME : 21 - DUITE : 22/CM - NOMBRE DE FILS : 44.5/CM COL CHEVALIER - 3 POCHES PLAQUEES : 1 POTRINE. 2 COTES CEINTURE / FERMETURE PAR BOUTON - MANCHES EN TAILLE DROITESCONFECTION TRES SOIGNEE EMBLEME : BRODURE EN SOIE ROUGE DE 10CM SIGLE ET SON EMPLACEMENT A PRECISER TAILLE UNIVERSELLE : 3 (48-50) NB: LES OFFRES DOIVENT-ETRE ACCOMPAGNEES D'UN MODELE PROPOSE. </v>
          </cell>
          <cell r="D2101" t="str">
            <v>PE</v>
          </cell>
          <cell r="E2101" t="str">
            <v>522.52216</v>
          </cell>
          <cell r="F2101">
            <v>100.572</v>
          </cell>
          <cell r="G2101">
            <v>0</v>
          </cell>
          <cell r="H2101">
            <v>0</v>
          </cell>
          <cell r="I2101">
            <v>0</v>
          </cell>
          <cell r="J2101">
            <v>0</v>
          </cell>
          <cell r="K2101">
            <v>0</v>
          </cell>
          <cell r="L2101">
            <v>0</v>
          </cell>
        </row>
        <row r="2102">
          <cell r="A2102" t="str">
            <v>10096.00772</v>
          </cell>
          <cell r="B2102" t="str">
            <v>BLOUSE ANTI-ACIDE P/FEMME T4 (52-54)</v>
          </cell>
          <cell r="C2102" t="str">
            <v xml:space="preserve">BLOUSE ANTI-ACIDE POUR FEMME (ARCO PROBAN IGNFUGE) TISSU COTON 100% COUTURE : EN FIL ANTI-ACIDE DOUBLE PIQURECOULEUR : BLANCHE - POIDS : 310 G/MNOMBRE DE TRAME : 21 - DUITE : 22/CM - NOMBRE DE FILS : 44.5/CM COL CHEVALIER - 3 POCHES PLAQUEES : 1 POTRINE. 2 COTES CEINTURE / FERMETURE PAR BOUTON - MANCHES EN TAILLE DROITESCONFECTION TRES SOIGNEE EMBLEME : BRODURE EN SOIE ROUGE DE 10CM SIGLE ET SON EMPLACEMENT A PRECISER TAILLE UNIVERSELLE : 4 (52-54) NB: LES OFFRES DOIVENT-ETRE ACCOMPAGNEES D'UN MODELE PROPOSE. </v>
          </cell>
          <cell r="D2102" t="str">
            <v>PE</v>
          </cell>
          <cell r="E2102" t="str">
            <v>522.52216</v>
          </cell>
          <cell r="F2102">
            <v>100.572</v>
          </cell>
          <cell r="G2102">
            <v>0</v>
          </cell>
          <cell r="H2102">
            <v>0</v>
          </cell>
          <cell r="I2102">
            <v>0</v>
          </cell>
          <cell r="J2102">
            <v>0</v>
          </cell>
          <cell r="K2102">
            <v>2</v>
          </cell>
          <cell r="L2102">
            <v>0</v>
          </cell>
        </row>
        <row r="2103">
          <cell r="A2103" t="str">
            <v>10096.00818</v>
          </cell>
          <cell r="B2103" t="str">
            <v>BLOUSE ANTI-ACI HOMME T58</v>
          </cell>
          <cell r="C2103" t="str">
            <v xml:space="preserve">EQUIPEMENT PROTECTION INDIVIDUELLE PROTECTION DU CORPS BLOUSE  ANTI-ACIDE POUR HOMME TISSU : TERGAL, RHOVYL COL : CHEVALIERE , -3 POCHES PLAQUEES:1POITRINE, 2 CÂTES COUTURE : EN FIL ANTI-ACIDE DOUBLE PIQ¦RE , - CEINTURE , - FERMETURE : PAR BOUTONS EMBLEME : BRODE EN SOIE ROUGE (CÂTE GAUCHE NIVEAU POITRINE) SIGLE : A PRECISER , - CONFECTION TRES SOIGNEE MANCHES ET TAILLE : DROITES TAILLE : 58 </v>
          </cell>
          <cell r="D2103" t="str">
            <v>PE</v>
          </cell>
          <cell r="E2103" t="str">
            <v>522.52216</v>
          </cell>
          <cell r="F2103">
            <v>66.8977</v>
          </cell>
          <cell r="G2103">
            <v>0</v>
          </cell>
          <cell r="H2103">
            <v>0</v>
          </cell>
          <cell r="I2103">
            <v>0</v>
          </cell>
          <cell r="J2103">
            <v>0</v>
          </cell>
          <cell r="K2103">
            <v>0</v>
          </cell>
          <cell r="L2103">
            <v>0</v>
          </cell>
        </row>
        <row r="2104">
          <cell r="A2104" t="str">
            <v>10096.00788</v>
          </cell>
          <cell r="B2104" t="str">
            <v>BLOUSE ANTI-ACI HOMME T48</v>
          </cell>
          <cell r="C2104" t="str">
            <v xml:space="preserve">BLOUSE ANTI-ACIDE POUR HOMME TISSU : TERGAL, RHOVYL COULEUR A PRECISER LORS DU LANCEMENT DE LA D.P COL : CHEVALIERE - 3 POCHES PLAQUEES : 1 POITRINE, 2 COTES COUTURE : EN FIL ANTI-ACIDE DOUBLE PIQURE - CEINTURE - FERMETURE : PAR BOUTONS EMBLEME : BRODE EN SOIE ROUGE (COTE GAUCHE NIVEAU POITRINE) SIGLE : A PRECISER - CONFECTION TRES SOIGNEE MANCHES ET TAILLE : DROITES TAILLE : 48 </v>
          </cell>
          <cell r="D2104" t="str">
            <v>PE</v>
          </cell>
          <cell r="E2104" t="str">
            <v>522.52216</v>
          </cell>
          <cell r="F2104">
            <v>65.623699999999999</v>
          </cell>
          <cell r="G2104">
            <v>0</v>
          </cell>
          <cell r="H2104">
            <v>0</v>
          </cell>
          <cell r="I2104">
            <v>0</v>
          </cell>
          <cell r="J2104">
            <v>0</v>
          </cell>
          <cell r="K2104">
            <v>0</v>
          </cell>
          <cell r="L2104">
            <v>0</v>
          </cell>
        </row>
        <row r="2105">
          <cell r="A2105" t="str">
            <v>10096.00597</v>
          </cell>
          <cell r="B2105" t="str">
            <v>CHAUSSURES HAUTE DE SECURITE POUR HOMME TAILLE : 44</v>
          </cell>
          <cell r="C2105" t="str">
            <v>CHAUSSURES HAUTE DE SECURITE POUR HOMMECARACTERISTIQUE DE LA TIGE :CUIRE A DESSUS : CUIR FLEUR NOIR HYDROFUGE 1,8/2,2MMLANGUETTE : CUIR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44</v>
          </cell>
          <cell r="D2105" t="str">
            <v>PE</v>
          </cell>
          <cell r="E2105" t="str">
            <v>522.52216</v>
          </cell>
          <cell r="F2105">
            <v>541.322</v>
          </cell>
          <cell r="G2105">
            <v>1</v>
          </cell>
          <cell r="H2105">
            <v>0</v>
          </cell>
          <cell r="I2105">
            <v>3</v>
          </cell>
          <cell r="J2105">
            <v>7</v>
          </cell>
          <cell r="K2105">
            <v>11</v>
          </cell>
          <cell r="L2105">
            <v>54</v>
          </cell>
        </row>
        <row r="2106">
          <cell r="A2106" t="str">
            <v>10096.00596</v>
          </cell>
          <cell r="B2106" t="str">
            <v>CHAUSSURES HAUTE DE SECURITE POUR HOMME TAILLE : 43</v>
          </cell>
          <cell r="C2106" t="str">
            <v>CHAUSSURES HAUTE DE SECURITE POUR HOMMECARACTERISTIQUE DE LA TIGE :CUIRE A DESSUS : CUIR FLEUR NOIR HYDROFUGE 1,8/2,2MMLANGUETTE : CUIR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43</v>
          </cell>
          <cell r="D2106" t="str">
            <v>PE</v>
          </cell>
          <cell r="E2106" t="str">
            <v>522.52216</v>
          </cell>
          <cell r="F2106">
            <v>533.01599999999996</v>
          </cell>
          <cell r="G2106">
            <v>0</v>
          </cell>
          <cell r="H2106">
            <v>0</v>
          </cell>
          <cell r="I2106">
            <v>0</v>
          </cell>
          <cell r="J2106">
            <v>5</v>
          </cell>
          <cell r="K2106">
            <v>36</v>
          </cell>
          <cell r="L2106">
            <v>0</v>
          </cell>
        </row>
        <row r="2107">
          <cell r="A2107" t="str">
            <v>10096.00595</v>
          </cell>
          <cell r="B2107" t="str">
            <v>CHAUSSURES HAUTE DE SECURITE POUR HOMME TAILLE: 42</v>
          </cell>
          <cell r="C2107" t="str">
            <v>CHAUSSURES HAUTE DE SECURITE POUR HOMMECARACTERISTIQUE DE LA TIGE :CUIRE A DESSUS : CUIR FLEUR NOIR HYDROFUGE 1,8/2,2MMLANGUETTE : CUIR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42</v>
          </cell>
          <cell r="D2107" t="str">
            <v>PE</v>
          </cell>
          <cell r="E2107" t="str">
            <v>522.52216</v>
          </cell>
          <cell r="F2107">
            <v>558.3107</v>
          </cell>
          <cell r="G2107">
            <v>0</v>
          </cell>
          <cell r="H2107">
            <v>0</v>
          </cell>
          <cell r="I2107">
            <v>0</v>
          </cell>
          <cell r="J2107">
            <v>28</v>
          </cell>
          <cell r="K2107">
            <v>53</v>
          </cell>
          <cell r="L2107">
            <v>0</v>
          </cell>
        </row>
        <row r="2108">
          <cell r="A2108" t="str">
            <v>10096.00598</v>
          </cell>
          <cell r="B2108" t="str">
            <v>CHAUSSURES HAUTE DE SECURITE POUR HOMME TAILLE : 45</v>
          </cell>
          <cell r="C2108" t="str">
            <v>CHAUSSURES HAUTE DE SECURITE POUR HOMMECARACTERISTIQUE DE LA TIGE :CUIRE A DESSUS : CUIR FLEUR NOIR HYDROFUGE 1,8/2,2MMLANGUETTE : CUIR FLEURMATELASSAGE CONFORME SUR TOUTES LES PARTIES DURES DOUBLURE : MATERIAUX HYGIENIQUE ET CONFORTABLE LACETS : POLYAMIDE ,RESISTANCE A L'ABRASION ET AUX PRODUITS CHIMIQUESCARACTERISTIQUE : DE L'EMBOUT : EMBOUT DE PROTECTION EN COMPOSITE PERFORE AVEC MEMBRANE RESPIRANTEEMBOUT LARGE : 200JOULES CONFORMES AUX NORMES EN ISO 20345 DERNIERE REVISIONCARACTERISTIQUE DE LA SEMELLE : SEMELLE  DE CONFORT : POLYURETHANEDENSITE CONFORT : 0,50SEMELLE D'USURE : PU2D AVEC CRAMPONSINTERCALAIRE ANTI - PERFORATION : ACIER INOX RESISTANCE AUX PRODUITS  CHIMIQUES LIQUDES LES CHAUSSURES DOIVENT AVOIR UNE BONNE RESISTANCE AUX PRODUITS CHIMIQUES LIQUIDES : ACIDE SULFURIQUE , ACIDE PHOSPHORIQUE , SOUDE CAUSTIQUE , ETC.....L'ETANCHEITE DE TOUT LE PROTECTEUR LA RESISTANCE A LA PERMEABILITE : CAPACITE DES MATERIAUX CONSTITUTIFS A S'OPPOSER AU PASSAGE DU LIQUIDE DE LA FACE EXTERNE A LA FACE INTERNE .LA RESISTANCE A LA DEGRADATION .CONFORT: POIDS : MOIN DE 1400g LA PAIRE DE CHAUSSURE .LA CAPACITE D'ABSORPTION DE SUEUR DE LA SEMELLE  PREMIERE DE PROPRETE ( SEMELLE EN CONTACT DIRECT AVEC LE PIED ) UNE VALEUR ELEVEE GARANTIRA UN BON CONFORT HYGIENIQUE .LA CAPACITE DE DESORPTION SATISFAISANTE .AUTREMENT DIT, ENTRE DEUX PORTERS,LA SEMELLE PREMIERE DE  PROPRETE DEVRA SECHER SUFFISAMMENT RAPIDEMENT POUR EVITER TOUT EFFET CUMULATIF.LA LARGEUR DE L'EMBOUT CONFORME A LA POINTURE DES CHAUSSURES .NORME : CONFORME A LA NORME EN ISO 20345 VERSION 2007 , CODE I ET CLASSE S3MARQUAGE SUR CHAQUE PIED LE MARQUAGE DOIT CONTENIR LES INFORMATIONS SUIVANTES : NOM DU PRODUIT, POINTURE,IDENTIFICATION DU FABRICANT ,DATE DE FABRICATION ( MOIS, ANNEE ) REFERENCE NORME EUROPEENNE IDENTIFICATION DU MODELE , CLASSE DE PROTECTION FOURNIE , MARQUAGE CE ESSAI : LE FOURNISSEUR DOIT FOURNIR UNE PAIRE DE CHAUSSURE SELON LE MODELE PROPOSE , POUR ESSAI AUX ATELIERS DE PRODUCTION . LA  FOURNITURE DE L'ECHANTILLON DOIT SE FAIRE AVEC L'OFFRE .A FOURNIR AVEC :ATTESTATION DE CONFORMITE CE A LA NORME EN ISO 20345 VERSION 2007, ETABLIE PAR UN ORGANISME AGREE POUR LE COMPTE DU FABRICANT.TAILLE : 45</v>
          </cell>
          <cell r="D2108" t="str">
            <v>PE</v>
          </cell>
          <cell r="E2108" t="str">
            <v>522.52216</v>
          </cell>
          <cell r="F2108">
            <v>541.54549999999995</v>
          </cell>
          <cell r="G2108">
            <v>0</v>
          </cell>
          <cell r="H2108">
            <v>0</v>
          </cell>
          <cell r="I2108">
            <v>4</v>
          </cell>
          <cell r="J2108">
            <v>3</v>
          </cell>
          <cell r="K2108">
            <v>8</v>
          </cell>
          <cell r="L2108">
            <v>1</v>
          </cell>
        </row>
        <row r="2109">
          <cell r="A2109" t="str">
            <v>10096.00714</v>
          </cell>
          <cell r="B2109" t="str">
            <v>VEST+SALOPPET.A.ACID.T.50</v>
          </cell>
          <cell r="C2109"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50  LES OFFRES DOIVENT-ETRE ACCOMPAGNEES D'UN MODELE PROPOSE.</v>
          </cell>
          <cell r="D2109" t="str">
            <v>PE</v>
          </cell>
          <cell r="E2109" t="str">
            <v>522.52216</v>
          </cell>
          <cell r="F2109">
            <v>357.5</v>
          </cell>
          <cell r="G2109">
            <v>0</v>
          </cell>
          <cell r="H2109">
            <v>0</v>
          </cell>
          <cell r="I2109">
            <v>0</v>
          </cell>
          <cell r="J2109">
            <v>0</v>
          </cell>
          <cell r="K2109">
            <v>0</v>
          </cell>
          <cell r="L2109">
            <v>0</v>
          </cell>
        </row>
        <row r="2110">
          <cell r="A2110" t="str">
            <v>10096.00715</v>
          </cell>
          <cell r="B2110" t="str">
            <v>VEST+SALOPPET.A.ACID.T.52</v>
          </cell>
          <cell r="C2110"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52LES OFFRES DOIVENT-ETRE ACCOMPAGNEES D'UN MODELE PROPOSE.</v>
          </cell>
          <cell r="D2110" t="str">
            <v>PE</v>
          </cell>
          <cell r="E2110" t="str">
            <v>522.52216</v>
          </cell>
          <cell r="F2110">
            <v>113.2739</v>
          </cell>
          <cell r="G2110">
            <v>0</v>
          </cell>
          <cell r="H2110">
            <v>0</v>
          </cell>
          <cell r="I2110">
            <v>0</v>
          </cell>
          <cell r="J2110">
            <v>0</v>
          </cell>
          <cell r="K2110">
            <v>0</v>
          </cell>
          <cell r="L2110">
            <v>0</v>
          </cell>
        </row>
        <row r="2111">
          <cell r="A2111" t="str">
            <v>10096.00710</v>
          </cell>
          <cell r="B2111" t="str">
            <v>VEST+PANTAL.A.ACIDE TAILLE 54</v>
          </cell>
          <cell r="C2111"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54 NB: LES OFFRES DOIVENT-ETRE ACCOMPAGNEES D'UN MODELE PROPOSE.</v>
          </cell>
          <cell r="D2111" t="str">
            <v>PE</v>
          </cell>
          <cell r="E2111" t="str">
            <v>522.52216</v>
          </cell>
          <cell r="F2111">
            <v>118.392</v>
          </cell>
          <cell r="G2111">
            <v>0</v>
          </cell>
          <cell r="H2111">
            <v>0</v>
          </cell>
          <cell r="I2111">
            <v>0</v>
          </cell>
          <cell r="J2111">
            <v>0</v>
          </cell>
          <cell r="K2111">
            <v>0</v>
          </cell>
          <cell r="L2111">
            <v>0</v>
          </cell>
        </row>
        <row r="2112">
          <cell r="A2112" t="str">
            <v>10096.00711</v>
          </cell>
          <cell r="B2112" t="str">
            <v>VEST+PANTAL.A.ACIDE TAILLE 56</v>
          </cell>
          <cell r="C2112"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56 NB: LES OFFRES DOIVENT-ETRE ACCOMPAGNEES D'UN MODELE PROPOSE.</v>
          </cell>
          <cell r="D2112" t="str">
            <v>PE</v>
          </cell>
          <cell r="E2112" t="str">
            <v>522.52216</v>
          </cell>
          <cell r="F2112">
            <v>118.392</v>
          </cell>
          <cell r="G2112">
            <v>0</v>
          </cell>
          <cell r="H2112">
            <v>0</v>
          </cell>
          <cell r="I2112">
            <v>0</v>
          </cell>
          <cell r="J2112">
            <v>0</v>
          </cell>
          <cell r="K2112">
            <v>0</v>
          </cell>
          <cell r="L2112">
            <v>0</v>
          </cell>
        </row>
        <row r="2113">
          <cell r="A2113" t="str">
            <v>10096.00713</v>
          </cell>
          <cell r="B2113" t="str">
            <v>VEST+PANTAL.A.ACIDE TAILLE 58</v>
          </cell>
          <cell r="C2113"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58 NB: LES OFFRES DOIVENT-ETRE ACCOMPAGNEES D'UN MODELE PROPOSE.</v>
          </cell>
          <cell r="D2113" t="str">
            <v>PE</v>
          </cell>
          <cell r="E2113" t="str">
            <v>522.52216</v>
          </cell>
          <cell r="F2113">
            <v>118.392</v>
          </cell>
          <cell r="G2113">
            <v>0</v>
          </cell>
          <cell r="H2113">
            <v>0</v>
          </cell>
          <cell r="I2113">
            <v>0</v>
          </cell>
          <cell r="J2113">
            <v>0</v>
          </cell>
          <cell r="K2113">
            <v>0</v>
          </cell>
          <cell r="L2113">
            <v>0</v>
          </cell>
        </row>
        <row r="2114">
          <cell r="A2114" t="str">
            <v>10096.00719</v>
          </cell>
          <cell r="B2114" t="str">
            <v>VEST+SALOPPET.A.ACID.T.58</v>
          </cell>
          <cell r="C2114"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58LES OFFRES DOIVENT-ETRE ACCOMPAGNEES D'UN MODELE PROPOSE.</v>
          </cell>
          <cell r="D2114" t="str">
            <v>PE</v>
          </cell>
          <cell r="E2114" t="str">
            <v>522.52216</v>
          </cell>
          <cell r="F2114">
            <v>113.2739</v>
          </cell>
          <cell r="G2114">
            <v>0</v>
          </cell>
          <cell r="H2114">
            <v>0</v>
          </cell>
          <cell r="I2114">
            <v>0</v>
          </cell>
          <cell r="J2114">
            <v>0</v>
          </cell>
          <cell r="K2114">
            <v>0</v>
          </cell>
          <cell r="L2114">
            <v>0</v>
          </cell>
        </row>
        <row r="2115">
          <cell r="A2115" t="str">
            <v>10096.00717</v>
          </cell>
          <cell r="B2115" t="str">
            <v>VEST+SALOPPET.A.ACID.T.54</v>
          </cell>
          <cell r="C2115" t="str">
            <v>TENUE DE TRAVAIL (VESTE ET SALOPETTE ANTI-ACIDE ) TISSU : TERGAL - RHOVYL COUTURE : EN FIL ANTI-ACIDE, DOUBLE PIQURE COULEUR : A PRECISER LORS DU LANCEMENT DE LA D.P VESTE : COL CHEVALIERE FERMETURE A BOUTONS SOUS PATTEMANCHES LONGUES MONTEES POIGNETS AVEC BOUTONSPOCHES : 1 CRAYON, 1 POITRINE, 2 HANCHES, 1 INTERIEURS (TOUTES LES POCHES SONT RENFORCEES) SALOPETTE A BRETELLES POCHES : - BAVETTE PLAQUEE ET FERMETURE A GLISSIERE                - 1 CRAYON,                - 2 COTES CAVALIERES, 1 A METRE ( TOUTES LES POCHES SONT RENFORCEES) BRAGUETTE A BOUTONS 2 OUVERTURES SUR LES COTES AVEC 2 BOUTONS DE REGLAGE HAUSSE DU DOS AVEC EMPIECEMENT ET 3 PASSANTS EMBLEME : BRODE EN SOIE ROUGE AU DOS (LARGEUR 10 CM) SIGLE : A PRECISER TAILLE : 54LES OFFRES DOIVENT-ETRE ACCOMPAGNEES D'UN MODELE PROPOSE.</v>
          </cell>
          <cell r="D2115" t="str">
            <v>PE</v>
          </cell>
          <cell r="E2115" t="str">
            <v>522.52216</v>
          </cell>
          <cell r="F2115">
            <v>113.2739</v>
          </cell>
          <cell r="G2115">
            <v>0</v>
          </cell>
          <cell r="H2115">
            <v>0</v>
          </cell>
          <cell r="I2115">
            <v>0</v>
          </cell>
          <cell r="J2115">
            <v>0</v>
          </cell>
          <cell r="K2115">
            <v>0</v>
          </cell>
          <cell r="L2115">
            <v>0</v>
          </cell>
        </row>
        <row r="2116">
          <cell r="A2116" t="str">
            <v>10096.00773</v>
          </cell>
          <cell r="B2116" t="str">
            <v>BLOUSE ANTI-ACIDE P/FEMME T5 (56-58)</v>
          </cell>
          <cell r="C2116" t="str">
            <v xml:space="preserve">BLOUSE ANTI-ACIDE POUR FEMME (ARCO PROBAN IGNFUGE) TISSU COTON 100% COUTURE : EN FIL ANTI-ACIDE DOUBLE PIQURECOULEUR : BLANCHE - POIDS : 310 G/MNOMBRE DE TRAME : 21 - DUITE : 22/CM - NOMBRE DE FILS : 44.5/CM COL CHEVALIER - 3 POCHES PLAQUEES : 1 POTRINE. 2 COTES CEINTURE / FERMETURE PAR BOUTON - MANCHES EN TAILLE DROITESCONFECTION TRES SOIGNEE EMBLEME : BRODURE EN SOIE ROUGE DE 10CM SIGLE ET SON EMPLACEMENT A PRECISER TAILLE UNIVERSELLE : 5 (56-58) NB: LES OFFRES DOIVENT-ETRE ACCOMPAGNEES D'UN MODELE PROPOSE. </v>
          </cell>
          <cell r="D2116" t="str">
            <v>PE</v>
          </cell>
          <cell r="E2116" t="str">
            <v>522.52216</v>
          </cell>
          <cell r="F2116">
            <v>100.572</v>
          </cell>
          <cell r="G2116">
            <v>0</v>
          </cell>
          <cell r="H2116">
            <v>0</v>
          </cell>
          <cell r="I2116">
            <v>0</v>
          </cell>
          <cell r="J2116">
            <v>0</v>
          </cell>
          <cell r="K2116">
            <v>14</v>
          </cell>
          <cell r="L2116">
            <v>0</v>
          </cell>
        </row>
        <row r="2117">
          <cell r="A2117" t="str">
            <v>10096.00905</v>
          </cell>
          <cell r="B2117" t="str">
            <v>BLOUSE A.ACIDE P/HOM.T.6</v>
          </cell>
          <cell r="C2117" t="str">
            <v xml:space="preserve">BLOUSE ANTI-ACIDE POUR HOMME (ARCO PROBAN IGNFUGE)TISSU COTON 100% COUTURE : EN FIL ANTI-ACIDE DOUBLE PIQURECOULEUR : A PRECISER LORS DU CHOIX TECHNIQUE - POIDS : 310 G/MNOMBRE DE TRAME : 21 - DUITE : 22/CM - NOMBRE DE FILS : 44.5/CMCOL CHEVALIER - 3 POCHES PLAQUEES: 1 POITRINE - 2 COTES CEINTURE - FERMETURE PAR BOUTON - MANCHES EN TAILLE DROITESCONFECTION TRES SOIGNEEEMBLEME : BRODURE EN SOIE ROUGE DE 10CM SIGLE ET SON EMPLACEMENT A PRECISER LES OFFRES DOIVENT-ETRE ACCOMPAGNEES D'UN MODELE PROPOSE. TAILLE UNIVERSELLE : 6 (60) </v>
          </cell>
          <cell r="D2117" t="str">
            <v>PE</v>
          </cell>
          <cell r="E2117" t="str">
            <v>522.52216</v>
          </cell>
          <cell r="F2117">
            <v>100.572</v>
          </cell>
          <cell r="G2117">
            <v>0</v>
          </cell>
          <cell r="H2117">
            <v>0</v>
          </cell>
          <cell r="I2117">
            <v>0</v>
          </cell>
          <cell r="J2117">
            <v>0</v>
          </cell>
          <cell r="K2117">
            <v>0</v>
          </cell>
          <cell r="L2117">
            <v>0</v>
          </cell>
        </row>
        <row r="2118">
          <cell r="A2118" t="str">
            <v>10003.02725</v>
          </cell>
          <cell r="B2118" t="str">
            <v>CORNIERE A AILES EGALES</v>
          </cell>
          <cell r="C2118" t="str">
            <v xml:space="preserve">CORNIERE A AILES EGALES NUANCE : AFNOR E 24 LONGUEUR = 6 METRES LARGEUR = D'AILES : 20 X 20 MM EPAISSEUR = 3 MM </v>
          </cell>
          <cell r="D2118" t="str">
            <v>KG</v>
          </cell>
          <cell r="E2118" t="str">
            <v>522.52213</v>
          </cell>
          <cell r="F2118">
            <v>7</v>
          </cell>
          <cell r="G2118">
            <v>0</v>
          </cell>
          <cell r="H2118">
            <v>0</v>
          </cell>
          <cell r="I2118">
            <v>0</v>
          </cell>
          <cell r="J2118">
            <v>0</v>
          </cell>
          <cell r="K2118">
            <v>0</v>
          </cell>
          <cell r="L2118">
            <v>52.8</v>
          </cell>
        </row>
        <row r="2119">
          <cell r="A2119" t="str">
            <v>10003.02728</v>
          </cell>
          <cell r="B2119" t="str">
            <v>CORNIERE A AILES EGALES</v>
          </cell>
          <cell r="C2119" t="str">
            <v xml:space="preserve">CORNIERE A AILES EGALES NUANCE : AFNOR E 24 LONGUEUR = 6 METRES LARGEUR = D'AILES : 35 X 35 MM EPAISSEUR = 3,5 MM </v>
          </cell>
          <cell r="D2119" t="str">
            <v>KG</v>
          </cell>
          <cell r="E2119" t="str">
            <v>522.52213</v>
          </cell>
          <cell r="F2119">
            <v>7</v>
          </cell>
          <cell r="G2119">
            <v>0</v>
          </cell>
          <cell r="H2119">
            <v>0</v>
          </cell>
          <cell r="I2119">
            <v>0</v>
          </cell>
          <cell r="J2119">
            <v>20</v>
          </cell>
          <cell r="K2119">
            <v>0</v>
          </cell>
          <cell r="L2119">
            <v>101.4</v>
          </cell>
        </row>
        <row r="2120">
          <cell r="A2120" t="str">
            <v>10003.02729</v>
          </cell>
          <cell r="B2120" t="str">
            <v>CORNIERE A AILES EGALES</v>
          </cell>
          <cell r="C2120" t="str">
            <v xml:space="preserve">CORNIERE A AILES EGALES NUANCE : AFNOR E 24 LONGUEUR = 6 METRES LARGEUR = D'AILES : 40 X 40 MM EPAISSEUR = 4 MM </v>
          </cell>
          <cell r="D2120" t="str">
            <v>KG</v>
          </cell>
          <cell r="E2120" t="str">
            <v>522.52213</v>
          </cell>
          <cell r="F2120">
            <v>7.0190000000000001</v>
          </cell>
          <cell r="G2120">
            <v>0</v>
          </cell>
          <cell r="H2120">
            <v>0</v>
          </cell>
          <cell r="I2120">
            <v>0</v>
          </cell>
          <cell r="J2120">
            <v>0</v>
          </cell>
          <cell r="K2120">
            <v>0</v>
          </cell>
          <cell r="L2120">
            <v>290</v>
          </cell>
        </row>
        <row r="2121">
          <cell r="A2121" t="str">
            <v>10003.02730</v>
          </cell>
          <cell r="B2121" t="str">
            <v>CORNIERE A AILES EGALES</v>
          </cell>
          <cell r="C2121" t="str">
            <v xml:space="preserve">CORNIERE A AILES EGALES NUANCE : AFNOR E 24 LONGUEUR = 6 METRES LARGEUR = D'AILES : 45 X 45 MM EPAISSEUR = 5 MM </v>
          </cell>
          <cell r="D2121" t="str">
            <v>KG</v>
          </cell>
          <cell r="E2121" t="str">
            <v>522.52213</v>
          </cell>
          <cell r="F2121">
            <v>7.0237999999999996</v>
          </cell>
          <cell r="G2121">
            <v>0</v>
          </cell>
          <cell r="H2121">
            <v>0</v>
          </cell>
          <cell r="I2121">
            <v>0</v>
          </cell>
          <cell r="J2121">
            <v>100</v>
          </cell>
          <cell r="K2121">
            <v>0</v>
          </cell>
          <cell r="L2121">
            <v>300</v>
          </cell>
        </row>
        <row r="2122">
          <cell r="A2122" t="str">
            <v>10096.00146</v>
          </cell>
          <cell r="B2122" t="str">
            <v>CAGOULE ANTI-CHALEUR</v>
          </cell>
          <cell r="C2122" t="str">
            <v xml:space="preserve">CAGOULE ANTI-CHALEUR EN AMIANTE ALUMINISEE. EQUIPE DE SERRE-TETE REGLABLE AVEC COLLERETTE DE PROTECTION DESCENDANT JUSQU'AU BUSTE  ECRAN PANORAMIQUE EN VERRE TRIPLEX METALISE OR ET AERATEUR CENTRAL NB: LES OFFRES DOIVENT-ETRE ACCOMPAGNEES D'UN MODELE PROPOSE </v>
          </cell>
          <cell r="D2122" t="str">
            <v>PE</v>
          </cell>
          <cell r="E2122" t="str">
            <v>522.52216</v>
          </cell>
          <cell r="F2122">
            <v>2518.8000000000002</v>
          </cell>
          <cell r="G2122">
            <v>0</v>
          </cell>
          <cell r="H2122">
            <v>0</v>
          </cell>
          <cell r="I2122">
            <v>0</v>
          </cell>
          <cell r="J2122">
            <v>0</v>
          </cell>
          <cell r="K2122">
            <v>25</v>
          </cell>
          <cell r="L2122">
            <v>0</v>
          </cell>
        </row>
        <row r="2123">
          <cell r="A2123" t="str">
            <v>10096.00144</v>
          </cell>
          <cell r="B2123" t="str">
            <v>CAGOULE ENDUIT PVC</v>
          </cell>
          <cell r="C2123" t="str">
            <v xml:space="preserve">CAGOULE EN TISSU ENDUIT PVC DES DEUX FACES. EQUIPE DE SERRE-TETE ET 2 ECRAN (ETANCHEITE ET PROTECTION) COUTURE RENFORCEE PAR SOUDAGE ELECTRIQUE NB: LES OFFRES DOIVENT-ETRE ACCOMPAGNEES D'UN MODELE PROPOSE. </v>
          </cell>
          <cell r="D2123" t="str">
            <v>PE</v>
          </cell>
          <cell r="E2123" t="str">
            <v>522.52216</v>
          </cell>
          <cell r="F2123">
            <v>1637.3676</v>
          </cell>
          <cell r="G2123">
            <v>0</v>
          </cell>
          <cell r="H2123">
            <v>0</v>
          </cell>
          <cell r="I2123">
            <v>0</v>
          </cell>
          <cell r="J2123">
            <v>0</v>
          </cell>
          <cell r="K2123">
            <v>0</v>
          </cell>
          <cell r="L2123">
            <v>0</v>
          </cell>
        </row>
        <row r="2124">
          <cell r="A2124" t="str">
            <v>10096.00250</v>
          </cell>
          <cell r="B2124" t="str">
            <v>GANT P/SOUDEUR ET CHAUDRONNIER T.8</v>
          </cell>
          <cell r="C2124" t="str">
            <v xml:space="preserve">PAIRE DE GANTS A CINQ DOIGTS EN CUIR ANTI-CHALEUR POUR SOUDEUR ET CHAUDRONNIERS (BOVIN PREMIER CHOIX) LONGUEUR 20CM.PROTEGE ARTERES DOUBLURE MOLLETON LAINE IGNIFUGEE MANCHETTE (CRISPIN) CROUTE DOUBLEE DE BOVIN PREMIER MOLLETON LAINE IGNIFUGEE. MANCHETTE (CRISPIN) CROUTE DOUBLEE DE BOVIN PREMIER LONGUEUR TOTALE : 40 CMCOUTURE AVEC FIL ANTI-ACIDE (TYPE KEVLAR) FONCTION PRINCIPALE : PROTECTION EFFICACE CONTRE LES RISQUES DE BRULURES PAR PROJECTION D'ETINCELLES OU MANIPULATION DE PIECES CHAUDES LORS DES TRAVAUX DE SOUDURE ET CHAUDRONNERIE. QUALITES REQUISES : - NIVEAU DE PERFORMANCE MECANIQUE COURANT LES RIQUES   RELATIFS A LEUR UTILISATION - BONNE DEXTERITE - COUTURE SOIGNEE ET BIEN FINIE - INNOCUITE - ABSENCE DE BOURRELETS AU NIVEAU DES JONCTIONS DES DOIGTS.ASSURANCE QUALITE : ISO 9002 OU A DEFAUT CONFORME AUX NORMES NF EN 420 (9/94) - NF EN 388 (7/94) AVEC PRESENTATION D'1 ATTESTATION D'EXAMEN. MARQUAGE : LES GANTS DOIVENT-ETRE APPOSES DE MARQUAGE DE CONFORMITE A LA DIRECTIVE EUROPEENNE 89/686/CEE LES PAIRES DE GANTS DOIVENT-ETRE LIVREES DANS UN EMBALLAGE INDIVIDUEL. GARANTIE : A PRECISER LORS DE LA LIVRAISON PAR UNE ATTESTATION CONTENANT LES CLAUSES DE LA GARANTIE TAILLE : 8 NB: LES OFFRES DOIVENT-ETRE ACCOMPAGNEES D'UN MODELE PROPOSE. </v>
          </cell>
          <cell r="D2124" t="str">
            <v>PE</v>
          </cell>
          <cell r="E2124" t="str">
            <v>522.52216</v>
          </cell>
          <cell r="F2124">
            <v>30</v>
          </cell>
          <cell r="G2124">
            <v>0</v>
          </cell>
          <cell r="H2124">
            <v>0</v>
          </cell>
          <cell r="I2124">
            <v>0</v>
          </cell>
          <cell r="J2124">
            <v>0</v>
          </cell>
          <cell r="K2124">
            <v>0</v>
          </cell>
          <cell r="L2124">
            <v>0</v>
          </cell>
        </row>
        <row r="2125">
          <cell r="A2125" t="str">
            <v>10096.00707</v>
          </cell>
          <cell r="B2125" t="str">
            <v>VEST+PANTAL.A.ACIDE TAILLE 50</v>
          </cell>
          <cell r="C2125"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50 NB: LES OFFRES DOIVENT-ETRE ACCOMPAGNEES D'UN MODELE PROPOSE.</v>
          </cell>
          <cell r="D2125" t="str">
            <v>PE</v>
          </cell>
          <cell r="E2125" t="str">
            <v>522.52216</v>
          </cell>
          <cell r="F2125">
            <v>1841.7384999999999</v>
          </cell>
          <cell r="G2125">
            <v>0</v>
          </cell>
          <cell r="H2125">
            <v>0</v>
          </cell>
          <cell r="I2125">
            <v>0</v>
          </cell>
          <cell r="J2125">
            <v>0</v>
          </cell>
          <cell r="K2125">
            <v>0</v>
          </cell>
          <cell r="L2125">
            <v>0</v>
          </cell>
        </row>
        <row r="2126">
          <cell r="A2126" t="str">
            <v>10096.00709</v>
          </cell>
          <cell r="B2126" t="str">
            <v>VEST+PANTAL.A.ACIDE TAILLE 52</v>
          </cell>
          <cell r="C2126" t="str">
            <v>TENUE DE TRAVAIL (VESTE+PANTALON ANTI-ACIDE POUR HOMME) (ARCO PROBAN IGNFUGE) EN TISSU COTON 100% COUTURE : EN FIL ANTI-ACIDE DOUBLE PIQURE COULEUR : A PRECISER LORS DU CHOIX TECHNIQUEPOIDS : 310G/M - NOMBRE DE TRAME : 21 - DUITE : 22/CM NOMBRE DE FILS : 44.5/CM VESTE : COL CHEVALIER - FERMETURE A BOUTONS SOUS PATTEMANCHES LONGUES MONTEES - POIGNETS AVEC BOUTONS POCHE: 1CRAYON. 1POITRINE. 2HANCHES. 1INTERIEUR (TOUTES LES POCHES SONT RENFORCEES) PANTALON : DROIT - POCHE 1CRAYON - 2COTES CAVALIERES(TOUTES LES POCHES SONT RENFORCEES) CONFECTION TRES SOIGNEE EMBLEME : BRODURE EN SOIE ROUGE 10 CMSIGLE ET SON EMPLACEMENT A PRECISER TAILLE : 52NB: LES OFFRES DOIVENT-ETRE ACCOMPAGNEES D'UN MODELE PROPOSE.</v>
          </cell>
          <cell r="D2126" t="str">
            <v>PE</v>
          </cell>
          <cell r="E2126" t="str">
            <v>522.52216</v>
          </cell>
          <cell r="F2126">
            <v>1855.9292</v>
          </cell>
          <cell r="G2126">
            <v>0</v>
          </cell>
          <cell r="H2126">
            <v>0</v>
          </cell>
          <cell r="I2126">
            <v>0</v>
          </cell>
          <cell r="J2126">
            <v>0</v>
          </cell>
          <cell r="K2126">
            <v>0</v>
          </cell>
          <cell r="L2126">
            <v>0</v>
          </cell>
        </row>
        <row r="2127">
          <cell r="A2127" t="str">
            <v>10096.00282</v>
          </cell>
          <cell r="B2127" t="str">
            <v>GANT POUR MANUTENTION TAILLE 11</v>
          </cell>
          <cell r="C2127" t="str">
            <v xml:space="preserve">PAIRE DE GANTS A CINQ DOIGTS POUR TRAVAUX DE MANUTENTION SUIVANT NORME EN 374 - 388 - 420 FORME DOKER PAUME, POUCE ET INDEX EN CUIR CROUTE 1.2 A 1.4 MMDOS EN TOILE AVEC RENFORT EN CUIR RENFORT CUIR AU BOUT DES DOIGTS ELASTIQUE DE SERRAGE INTERIEUR AU NIVEAU DU POIGNET MANCHE AVEC PROTEGE ARTERE COUTURE TRES SOIGNEE AVEC FIL ANTI-ACIDE (TYPE KEVLAR)BONNE FINITION  TAILLE : 11 NB: LES OFFRES DOIVENT ETRE ACCOMPAGNEE D'UN MODELE PROPOSE. </v>
          </cell>
          <cell r="D2127" t="str">
            <v>PE</v>
          </cell>
          <cell r="E2127" t="str">
            <v>522.52216</v>
          </cell>
          <cell r="F2127">
            <v>16.739999999999998</v>
          </cell>
          <cell r="G2127">
            <v>0</v>
          </cell>
          <cell r="H2127">
            <v>0</v>
          </cell>
          <cell r="I2127">
            <v>0</v>
          </cell>
          <cell r="J2127">
            <v>0</v>
          </cell>
          <cell r="K2127">
            <v>0</v>
          </cell>
          <cell r="L2127">
            <v>0</v>
          </cell>
        </row>
        <row r="2128">
          <cell r="A2128" t="str">
            <v>10003.02731</v>
          </cell>
          <cell r="B2128" t="str">
            <v>CORNIERE A AILES EGALES</v>
          </cell>
          <cell r="C2128" t="str">
            <v xml:space="preserve">CORNIERE A AILES EGALES NUANCE : AFNOR E 24 LONGUEUR = 6 METRES LARGEUR = D'AILES : 50 X 50 MM EPAISSEUR = 5 MM </v>
          </cell>
          <cell r="D2128" t="str">
            <v>KG</v>
          </cell>
          <cell r="E2128" t="str">
            <v>522.52213</v>
          </cell>
          <cell r="F2128">
            <v>7</v>
          </cell>
          <cell r="G2128">
            <v>0</v>
          </cell>
          <cell r="H2128">
            <v>0</v>
          </cell>
          <cell r="I2128">
            <v>0</v>
          </cell>
          <cell r="J2128">
            <v>34</v>
          </cell>
          <cell r="K2128">
            <v>0</v>
          </cell>
          <cell r="L2128">
            <v>306</v>
          </cell>
        </row>
        <row r="2129">
          <cell r="A2129" t="str">
            <v>10003.02733</v>
          </cell>
          <cell r="B2129" t="str">
            <v>CORNIERE A AILES EGALES</v>
          </cell>
          <cell r="C2129" t="str">
            <v xml:space="preserve">CORNIERE A AILES EGALES NUANCE : AFNOR E 24 LONGUEUR = 6 METRES LARGEUR = D'AILES : 60 X 60 MM EPAISSEUR = 6 MM </v>
          </cell>
          <cell r="D2129" t="str">
            <v>KG</v>
          </cell>
          <cell r="E2129" t="str">
            <v>522.52213</v>
          </cell>
          <cell r="F2129">
            <v>7</v>
          </cell>
          <cell r="G2129">
            <v>0</v>
          </cell>
          <cell r="H2129">
            <v>0</v>
          </cell>
          <cell r="I2129">
            <v>0</v>
          </cell>
          <cell r="J2129">
            <v>0</v>
          </cell>
          <cell r="K2129">
            <v>0</v>
          </cell>
          <cell r="L2129">
            <v>480</v>
          </cell>
        </row>
        <row r="2130">
          <cell r="A2130" t="str">
            <v>10003.02734</v>
          </cell>
          <cell r="B2130" t="str">
            <v>CORNIERE A AILES EGALES</v>
          </cell>
          <cell r="C2130" t="str">
            <v xml:space="preserve">CORNIERE A AILES EGALES NUANCE : AFNOR E 24 LONGUEUR = 6 METRES LARGEUR = D'AILES : 70 X 70 MM EPAISSEUR = 7 MM </v>
          </cell>
          <cell r="D2130" t="str">
            <v>KG</v>
          </cell>
          <cell r="E2130" t="str">
            <v>522.52213</v>
          </cell>
          <cell r="F2130">
            <v>7</v>
          </cell>
          <cell r="G2130">
            <v>0</v>
          </cell>
          <cell r="H2130">
            <v>0</v>
          </cell>
          <cell r="I2130">
            <v>0</v>
          </cell>
          <cell r="J2130">
            <v>0</v>
          </cell>
          <cell r="K2130">
            <v>352</v>
          </cell>
          <cell r="L2130">
            <v>308</v>
          </cell>
        </row>
        <row r="2131">
          <cell r="A2131" t="str">
            <v>10096.00045</v>
          </cell>
          <cell r="B2131" t="str">
            <v>MANCHE A VENT</v>
          </cell>
          <cell r="C2131" t="str">
            <v>MANCHE A VENT EN TISSU RHOVY ROUGE ET BLANC ALTERNE ET RERESISTANT AUX INTEMPERIESGRAND DIAMETRE : 400 MMPETIT DIAMETRE : 200 MMLONGUEUR : 2500 MM</v>
          </cell>
          <cell r="D2131" t="str">
            <v>PE</v>
          </cell>
          <cell r="E2131" t="str">
            <v>522.52216</v>
          </cell>
          <cell r="F2131">
            <v>658.9</v>
          </cell>
          <cell r="G2131">
            <v>0</v>
          </cell>
          <cell r="H2131">
            <v>0</v>
          </cell>
          <cell r="I2131">
            <v>0</v>
          </cell>
          <cell r="J2131">
            <v>0</v>
          </cell>
          <cell r="K2131">
            <v>3</v>
          </cell>
          <cell r="L2131">
            <v>0</v>
          </cell>
        </row>
        <row r="2132">
          <cell r="A2132" t="str">
            <v>10003.04681</v>
          </cell>
          <cell r="B2132" t="str">
            <v>TOLE ACIER INOX</v>
          </cell>
          <cell r="C2132" t="str">
            <v xml:space="preserve">TOLE EN ACIER INOXYDABLE NUANCE AFNOR : Z2 CND 17-13                DIN     : X2 Cr Ni Mo 18-12GENRE : "CREUSOT-LOIRE ICL 166 BC "OU" UGINE NSM 22S COMPOSITION -CHIMIQUE MOYENNE (%) : C &lt; 0,03 - Cr : 16-18 - Ni : 11,5-13,5 -  Mo : 2,5-3 - Mn : 2 - Si : 1 LONGUEUR = 3 METRES LARGEUR   = 1,5 METRE EPAISSEUR = 10 MM </v>
          </cell>
          <cell r="D2132" t="str">
            <v>PE</v>
          </cell>
          <cell r="E2132" t="str">
            <v>522.52213</v>
          </cell>
          <cell r="F2132">
            <v>15651.534</v>
          </cell>
          <cell r="G2132">
            <v>0</v>
          </cell>
          <cell r="H2132">
            <v>4</v>
          </cell>
          <cell r="I2132">
            <v>0</v>
          </cell>
          <cell r="J2132">
            <v>0</v>
          </cell>
          <cell r="K2132">
            <v>0</v>
          </cell>
          <cell r="L2132">
            <v>0</v>
          </cell>
        </row>
        <row r="2133">
          <cell r="A2133" t="str">
            <v>10003.04710</v>
          </cell>
          <cell r="B2133" t="str">
            <v>TOLE ACIER INOX</v>
          </cell>
          <cell r="C2133" t="str">
            <v xml:space="preserve">TOLE EN ACIER INOXYDABLE NUANCE AFNOR : Z2 CND 17-13                DIN     : X2 Cr Ni Mo 18-12GENRE : "CREUSOT-LOIRE ICL 166 BC "OU" UGINE NSM 22S COMPOSITION -CHIMIQUE MOYENNE (%) : C &lt; 0,03 - Cr : 16-18 - Ni : 11,5-13,5 -  Mo : 2,5-3 - Mn : 2 - Si : 1 LONGUEUR = 3 METRES LARGEUR   = 1,5 METRE EPAISSEUR = 12 MM </v>
          </cell>
          <cell r="D2133" t="str">
            <v>KG</v>
          </cell>
          <cell r="E2133" t="str">
            <v>522.52213</v>
          </cell>
          <cell r="F2133">
            <v>48.085900000000002</v>
          </cell>
          <cell r="G2133">
            <v>0</v>
          </cell>
          <cell r="H2133">
            <v>0</v>
          </cell>
          <cell r="I2133">
            <v>0</v>
          </cell>
          <cell r="J2133">
            <v>0</v>
          </cell>
          <cell r="K2133">
            <v>0</v>
          </cell>
          <cell r="L2133">
            <v>563</v>
          </cell>
        </row>
        <row r="2134">
          <cell r="A2134" t="str">
            <v>10096.00627</v>
          </cell>
          <cell r="B2134" t="str">
            <v>DEMI MASQUE RESPIRATOIRE</v>
          </cell>
          <cell r="C2134" t="str">
            <v>DEMI MASQUE  RESPIRATOIRE  NORME 140-141 CORPS FACIAL EN CAOUTCHOUC THERMOPLASTIQUE  ANTI - ALERGIQUE                                                                                                                                           EQUIPE DE :  1 SOUPAPE D'ASPIRATION                      2 SOUPAPES  D'EXPIRATION                       BRIDE A LANIERE ELASTIQUE DE MAINTIEN AVEC REGLAGE RAPIDE MARQUE  CLIMAX  REFERENCE 760NB: LES OFFRES DOIVENT ETRE ACCOMPAGEES D'UN MODELE PROPOSE</v>
          </cell>
          <cell r="D2134" t="str">
            <v>PE</v>
          </cell>
          <cell r="E2134" t="str">
            <v>522.52216</v>
          </cell>
          <cell r="F2134">
            <v>75</v>
          </cell>
          <cell r="G2134">
            <v>0</v>
          </cell>
          <cell r="H2134">
            <v>0</v>
          </cell>
          <cell r="I2134">
            <v>0</v>
          </cell>
          <cell r="J2134">
            <v>0</v>
          </cell>
          <cell r="K2134">
            <v>8</v>
          </cell>
          <cell r="L2134">
            <v>0</v>
          </cell>
        </row>
        <row r="2135">
          <cell r="A2135" t="str">
            <v>10096.00628</v>
          </cell>
          <cell r="B2135" t="str">
            <v>GANT TRICOTE POLYAMIDE</v>
          </cell>
          <cell r="C2135" t="str">
            <v>GANT TRICOTE POLYAMIDE SUR PAUME POLYURETHANE TAILLE : A PRECISER , COULEUR : GRIS 100% POLYAMIDE SANS COUTURES. ENDUCTION 100% POLYURETHANE SUR PAUME ET BOUTS DES DOIGTS. JAUGE 13GANT POUR MANIPULATION FINES ET DELICATES, MONTAGES, ASSEMBLAGES, ELECTRONIQUE, SEMI CONDUCTEURS, MICRO-PROCESSEURS, DISQUES CD, ETC... CES GANTS SONT ANTI-DERAPANTS, ILS EVITENT LE CONTACT ET LES EMPREINTES DES MAINS. LEUR FORME ANATOMIQUE EST ADAPTEE A LA MAIN, ET LA FINESSE DU GANT ASSURE UNE EXCELLENTE DEXTERITE ET UNE TRES BONNE SENSIBILITE ET PREHENSION.INSTRUCTIONS DE NETTOYAGE /D'ENTRETIEN :LAVAGE A 40°C  AVEC UN DETERGENT NEUTRE. CES GANTS SONT DECONTAMINABLES POUR UN USAGE EN SALLE BLANCHE.PERFORMANCES : CONFORME AUX EXIGENCES DE LA DIRECTIVE EUROPEENNE 89/686, NOTAMMENT EN TERME D'ERGONOMIE, D'INNOCUITE, DE CONFORT, D'AERATION ET DE SOUPLESSE ET AUX NORMES EUROPEENNES EN420 :2003 (DEXTERITE 5) ET EN388 :2003 GANTS CONTRE LES RISQUES MECANIQUES (NIVEAUX OBTENUS SUR LA PAUME)  (4,1,3,1)</v>
          </cell>
          <cell r="D2135" t="str">
            <v>PE</v>
          </cell>
          <cell r="E2135" t="str">
            <v>522.52216</v>
          </cell>
          <cell r="F2135">
            <v>17.015899999999998</v>
          </cell>
          <cell r="G2135">
            <v>0</v>
          </cell>
          <cell r="H2135">
            <v>0</v>
          </cell>
          <cell r="I2135">
            <v>0</v>
          </cell>
          <cell r="J2135">
            <v>0</v>
          </cell>
          <cell r="K2135">
            <v>69</v>
          </cell>
          <cell r="L2135">
            <v>0</v>
          </cell>
        </row>
        <row r="2136">
          <cell r="A2136" t="str">
            <v>10096.01020</v>
          </cell>
          <cell r="B2136" t="str">
            <v>COMBINAISON A.ACID.T.PETITE</v>
          </cell>
          <cell r="C2136" t="str">
            <v xml:space="preserve">COMBINAISON D'INTERVENTION ANTI-ACIDE EN TISSU ENDUIT DE PVC DES 2FACESRESISTANT A L'ACIDE SULFURIQUE 98%FERMETURE PAR DEVANT A GLISSIERE ETANCHE COUTURE SOUDEE - FORME DU COL CHEVALIER BAS DE MANCHES DROIT - SERRAGE ELASTIQUE AUX POIGNETS ELASTIQUE DE SERRAGE A LA TAILLE - PATTES DE REGLAGE AUX JAMBES AUCUNE POCHE - AUCUNE OUVERTURETAILLE : PETITE  LES OFFRES DOIVENT-ETRE ACCOMPAGNEES D'UN MODELE PROPOSE. </v>
          </cell>
          <cell r="D2136" t="str">
            <v>PE</v>
          </cell>
          <cell r="E2136" t="str">
            <v>522.52216</v>
          </cell>
          <cell r="F2136">
            <v>535.5838</v>
          </cell>
          <cell r="G2136">
            <v>0</v>
          </cell>
          <cell r="H2136">
            <v>0</v>
          </cell>
          <cell r="I2136">
            <v>2</v>
          </cell>
          <cell r="J2136">
            <v>0</v>
          </cell>
          <cell r="K2136">
            <v>0</v>
          </cell>
          <cell r="L2136">
            <v>24</v>
          </cell>
        </row>
        <row r="2137">
          <cell r="A2137" t="str">
            <v>10096.01021</v>
          </cell>
          <cell r="B2137" t="str">
            <v>COMBINAISON A.ACID.T.MOYENNE</v>
          </cell>
          <cell r="C2137" t="str">
            <v xml:space="preserve">COMBINAISON D'INTERVENTION ANTI-ACIDE EN TISSU ENDUIT DE PVC DES 2FACESRESISTANT A L'ACIDE SULFURIQUE 98%FERMETURE PAR DEVANT A GLISSIERE ETANCHE COUTURE SOUDEE - FORME DU COL CHEVALIER BAS DE MANCHES DROIT - SERRAGE ELASTIQUE AUX POIGNETS ELASTIQUE DE SERRAGE A LA TAILLE - PATTES DE REGLAGE AUX JAMBES AUCUNE POCHE - AUCUNE OUVERTURETAILLE : MOYENNELES OFFRES DOIVENT-ETRE ACCOMPAGNEES D'UN MODELE PROPOSE. </v>
          </cell>
          <cell r="D2137" t="str">
            <v>PE</v>
          </cell>
          <cell r="E2137" t="str">
            <v>522.52216</v>
          </cell>
          <cell r="F2137">
            <v>521.58619999999996</v>
          </cell>
          <cell r="G2137">
            <v>0</v>
          </cell>
          <cell r="H2137">
            <v>0</v>
          </cell>
          <cell r="I2137">
            <v>2</v>
          </cell>
          <cell r="J2137">
            <v>15</v>
          </cell>
          <cell r="K2137">
            <v>1</v>
          </cell>
          <cell r="L2137">
            <v>10</v>
          </cell>
        </row>
        <row r="2138">
          <cell r="A2138" t="str">
            <v>10096.01022</v>
          </cell>
          <cell r="B2138" t="str">
            <v>COMBINAISON A.ACID.T.GRANDE</v>
          </cell>
          <cell r="C2138" t="str">
            <v xml:space="preserve">COMBINAISON D'INTERVENTION ANTI-ACIDE EN TISSU ENDUIT DE PVC DES 2FACESRESISTANT A L'ACIDE SULFURIQUE 98%FERMETURE PAR DEVANT A GLISSIERE ETANCHE COUTURE SOUDEE - FORME DU COL CHEVALIER BAS DE MANCHES DROIT - SERRAGE ELASTIQUE AUX POIGNETS ELASTIQUE DE SERRAGE A LA TAILLE - PATTES DE REGLAGE AUX JAMBES AUCUNE POCHE - AUCUNE OUVERTURETAILLE : GRANDELES OFFRES DOIVENT-ETRE ACCOMPAGNEES D'UN MODELE PROPOSE. </v>
          </cell>
          <cell r="D2138" t="str">
            <v>PE</v>
          </cell>
          <cell r="E2138" t="str">
            <v>522.52216</v>
          </cell>
          <cell r="F2138">
            <v>680.12090000000001</v>
          </cell>
          <cell r="G2138">
            <v>0</v>
          </cell>
          <cell r="H2138">
            <v>2</v>
          </cell>
          <cell r="I2138">
            <v>0</v>
          </cell>
          <cell r="J2138">
            <v>0</v>
          </cell>
          <cell r="K2138">
            <v>0</v>
          </cell>
          <cell r="L2138">
            <v>22</v>
          </cell>
        </row>
        <row r="2139">
          <cell r="A2139" t="str">
            <v>10003.04713</v>
          </cell>
          <cell r="B2139" t="str">
            <v>TOLE ACIER INOX</v>
          </cell>
          <cell r="C2139" t="str">
            <v xml:space="preserve">TOLE EN ACIER INOXYDABLE NUANCE AFNOR : Z2 CND 17-13                DIN     : X2 Cr Ni Mo 18-12GENRE : "CREUSOT-LOIRE ICL 166 BC "OU" UGINE NSM 22S COMPOSITION -CHIMIQUE MOYENNE (%) : C &lt; 0,03 - Cr : 16-18 - Ni : 11,5-13,5 -  Mo : 2,5-3 - Mn : 2 - Si : 1 LONGUEUR = 3 METRES LARGEUR   = 1,5 METRE EPAISSEUR = 14 MM </v>
          </cell>
          <cell r="D2139" t="str">
            <v>KG</v>
          </cell>
          <cell r="E2139" t="str">
            <v>522.52213</v>
          </cell>
          <cell r="F2139">
            <v>60</v>
          </cell>
          <cell r="G2139">
            <v>0</v>
          </cell>
          <cell r="H2139">
            <v>0</v>
          </cell>
          <cell r="I2139">
            <v>0</v>
          </cell>
          <cell r="J2139">
            <v>0</v>
          </cell>
          <cell r="K2139">
            <v>0</v>
          </cell>
          <cell r="L2139">
            <v>499</v>
          </cell>
        </row>
        <row r="2140">
          <cell r="A2140" t="str">
            <v>10003.04716</v>
          </cell>
          <cell r="B2140" t="str">
            <v>TOLE ACIER INOX</v>
          </cell>
          <cell r="C2140" t="str">
            <v xml:space="preserve">TOLE EN ACIER INOXYDABLE NUANCE AFNOR : Z2 CND 17-13                DIN     : X2 Cr Ni Mo 18-12GENRE : "CREUSOT-LOIRE ICL 166 BC "OU" UGINE NSM 22S COMPOSITION -CHIMIQUE MOYENNE (%) : C &lt; 0,03 - Cr : 16-18 - Ni : 11,5-13,5 -  Mo : 2,5-3 - Mn : 2 - Si : 1 LONGUEUR = 3 METRES LARGEUR   = 1,5 METRE EPAISSEUR = 16 MM </v>
          </cell>
          <cell r="D2140" t="str">
            <v>KG</v>
          </cell>
          <cell r="E2140" t="str">
            <v>522.52213</v>
          </cell>
          <cell r="F2140">
            <v>44</v>
          </cell>
          <cell r="G2140">
            <v>0</v>
          </cell>
          <cell r="H2140">
            <v>0</v>
          </cell>
          <cell r="I2140">
            <v>0</v>
          </cell>
          <cell r="J2140">
            <v>0</v>
          </cell>
          <cell r="K2140">
            <v>0</v>
          </cell>
          <cell r="L2140">
            <v>1710</v>
          </cell>
        </row>
        <row r="2141">
          <cell r="A2141" t="str">
            <v>10003.04720</v>
          </cell>
          <cell r="B2141" t="str">
            <v>TOLE ACIER INOX</v>
          </cell>
          <cell r="C2141" t="str">
            <v xml:space="preserve">TOLE EN ACIER INOXYDABLE NUANCE AFNOR : Z2 CND 17-13                DIN     : X2 Cr Ni Mo 18-12GENRE : "CREUSOT-LOIRE ICL 166 BC "OU" UGINE NSM 22S COMPOSITION -CHIMIQUE MOYENNE (%) : C &lt; 0,03 - Cr : 16-18 - Ni : 11,5-13,5 -  Mo : 2,5-3 - Mn : 2 - Si : 1 LONGUEUR = 3 METRES LARGEUR   = 1,5 METRE EPAISSEUR = 20 MM </v>
          </cell>
          <cell r="D2141" t="str">
            <v>KG</v>
          </cell>
          <cell r="E2141" t="str">
            <v>522.52213</v>
          </cell>
          <cell r="F2141">
            <v>44</v>
          </cell>
          <cell r="G2141">
            <v>0</v>
          </cell>
          <cell r="H2141">
            <v>712</v>
          </cell>
          <cell r="I2141">
            <v>0</v>
          </cell>
          <cell r="J2141">
            <v>0</v>
          </cell>
          <cell r="K2141">
            <v>0</v>
          </cell>
          <cell r="L2141">
            <v>713</v>
          </cell>
        </row>
        <row r="2142">
          <cell r="A2142" t="str">
            <v>10003.04810</v>
          </cell>
          <cell r="B2142" t="str">
            <v>TOLE PERFOREE INOX</v>
          </cell>
          <cell r="C2142" t="str">
            <v xml:space="preserve">TOLE PERFOREE EN ACIER INOXYDABLENUANCE : AFNOR    Z2 CN 18-10                 AISI         304L                DIN          X2 CR NI 18-11 GENRE : CREUSOT-LOIRE ICL 472 BC COMPOSITION CHIMIQUE MOYENNE (%) : C=0,030 -  Cr=18à20 - Ni=9à11 - Mn=2 -  P=0,045 -  S=0,03 - Si=1LONGUEUR = 3 METRES LARGEUR = 1,50 METRE EPAISSEUR = 1 MM DIAMETRE DES TROUS = 5 MM - ENTRAXE=8 MM </v>
          </cell>
          <cell r="D2142" t="str">
            <v>PE</v>
          </cell>
          <cell r="E2142" t="str">
            <v>522.52213</v>
          </cell>
          <cell r="F2142">
            <v>1605.3996</v>
          </cell>
          <cell r="G2142">
            <v>0</v>
          </cell>
          <cell r="H2142">
            <v>1</v>
          </cell>
          <cell r="I2142">
            <v>0</v>
          </cell>
          <cell r="J2142">
            <v>1</v>
          </cell>
          <cell r="K2142">
            <v>2</v>
          </cell>
          <cell r="L2142">
            <v>2</v>
          </cell>
        </row>
        <row r="2143">
          <cell r="A2143" t="str">
            <v>10003.04840</v>
          </cell>
          <cell r="B2143" t="str">
            <v>TOLE PERFOREE EN INOX</v>
          </cell>
          <cell r="C2143" t="str">
            <v xml:space="preserve">TOLE PERFOREE EN ACIER INOXYDABLE NUANCE AFNOR : Z2 CND 17-12              AISI      : 316 L               DIN       : X2 Cr Ni Mo 18-10GENRE : "CREUSOT-LOIRE ICL 164 BC "OU" UGINE NSM 22S COMPOSITION -CHIMIQUE MOYENNE (%) : C &lt;ou= 0,03 - Cr : 16-18 - Ni : 10,5-13 -  Mo : 2-2,5 - Mn MAX : 2 - Si : 1 LONGUEUR = 2 METRES LARGEUR   = 1,5 METRES EPAISSEUR = 4 MM PERFORATION GANTOIS = RD6 - ENTRAXE : 9 MM </v>
          </cell>
          <cell r="D2143" t="str">
            <v>PE</v>
          </cell>
          <cell r="E2143" t="str">
            <v>522.52213</v>
          </cell>
          <cell r="F2143">
            <v>9393</v>
          </cell>
          <cell r="G2143">
            <v>0</v>
          </cell>
          <cell r="H2143">
            <v>2</v>
          </cell>
          <cell r="I2143">
            <v>0</v>
          </cell>
          <cell r="J2143">
            <v>0</v>
          </cell>
          <cell r="K2143">
            <v>0</v>
          </cell>
          <cell r="L2143">
            <v>0</v>
          </cell>
        </row>
        <row r="2144">
          <cell r="A2144" t="str">
            <v>10096.00042</v>
          </cell>
          <cell r="B2144" t="str">
            <v>CARTOUCHE FILTRANTE P/DEMI MASQUE RESPIRATOIRE 171-A</v>
          </cell>
          <cell r="C2144" t="str">
            <v>CARTOUCHE FILTRANTE TYPE 87A1B1E1-P3  POUR DEMI MASQUE RESPIRATOIRE 171-A UTILISATION ( MILIEU) : GAZ ET VAPEURS SULPHUREUX SO2 , GAZ ET VAPEUR INORGANIQUES, CHLORE , GAZ  ACIDES , VAPEURS ORGANIQUES , SOLVANTS , PEINTURES . ETC .   NB: LES OFFRES DOIVENT ETRE ACCOMPAGNEES D'UN MODELE PROPOSE.CATALOGUE FABRICANT OBLIGATOIRE  A JOINDRE A L'OFFRE</v>
          </cell>
          <cell r="D2144" t="str">
            <v>PE</v>
          </cell>
          <cell r="E2144" t="str">
            <v>522.52216</v>
          </cell>
          <cell r="F2144">
            <v>52</v>
          </cell>
          <cell r="G2144">
            <v>0</v>
          </cell>
          <cell r="H2144">
            <v>0</v>
          </cell>
          <cell r="I2144">
            <v>0</v>
          </cell>
          <cell r="J2144">
            <v>0</v>
          </cell>
          <cell r="K2144">
            <v>6</v>
          </cell>
          <cell r="L2144">
            <v>0</v>
          </cell>
        </row>
        <row r="2145">
          <cell r="A2145" t="str">
            <v>10004.05778</v>
          </cell>
          <cell r="B2145" t="str">
            <v>BOULET BROYAGE DIA : 60MM</v>
          </cell>
          <cell r="C2145" t="str">
            <v>BOULET DE BROYAGE EN ACIER COULEHRC=60 COMPOSITION CHIMIQUE (%) : C=2,2 - Cr=16 à 17 DIAMETRE = 60 MM</v>
          </cell>
          <cell r="D2145" t="str">
            <v>T</v>
          </cell>
          <cell r="E2145" t="str">
            <v>522.52213</v>
          </cell>
          <cell r="F2145">
            <v>38016</v>
          </cell>
          <cell r="G2145">
            <v>0</v>
          </cell>
          <cell r="H2145">
            <v>0</v>
          </cell>
          <cell r="I2145">
            <v>0</v>
          </cell>
          <cell r="J2145">
            <v>0</v>
          </cell>
          <cell r="K2145">
            <v>12</v>
          </cell>
          <cell r="L2145">
            <v>0</v>
          </cell>
        </row>
        <row r="2146">
          <cell r="A2146" t="str">
            <v>10096.01614</v>
          </cell>
          <cell r="B2146" t="str">
            <v>CHAUSSURE DE SECURITE GENERALE</v>
          </cell>
          <cell r="C2146" t="str">
            <v>CHAUSSURE DE SECURITE GENERALE SUIVANT NORME : EN 20345 S3  HRO SRC  AN  MPOIDS : 1,4 KG / PAIRE DE CHAUSSUREFORME : BPOINTURE : A PRECISERLE FOURNISSEUR DOIT FOURNIR:- UN ECHANTILLON  SELON LE MODELE PROPOSE ET DOIT SE FAIRE AVEC L’OFFRE .- FICHES TECHNIQUE DE LA REFERENCE PROPOSEE ET CERTIFICAT DE CONFORMITE CE</v>
          </cell>
          <cell r="D2146" t="str">
            <v>PE</v>
          </cell>
          <cell r="E2146" t="str">
            <v>522.52216</v>
          </cell>
          <cell r="F2146">
            <v>643.91520000000003</v>
          </cell>
          <cell r="G2146">
            <v>0</v>
          </cell>
          <cell r="H2146">
            <v>26</v>
          </cell>
          <cell r="I2146">
            <v>4</v>
          </cell>
          <cell r="J2146">
            <v>43</v>
          </cell>
          <cell r="K2146">
            <v>0</v>
          </cell>
          <cell r="L2146">
            <v>64</v>
          </cell>
        </row>
        <row r="2147">
          <cell r="A2147" t="str">
            <v>10003.01272</v>
          </cell>
          <cell r="B2147" t="str">
            <v>PLAT E 24</v>
          </cell>
          <cell r="C2147" t="str">
            <v>PLAT EN ACIER - NUANCE       : AFNOR E 24  - LARGEUR     : 20 MM  - EPAISSEUR  :  6 MM EN LONGUEUR DE 6 METRES</v>
          </cell>
          <cell r="D2147" t="str">
            <v>KG</v>
          </cell>
          <cell r="E2147" t="str">
            <v>522.52213</v>
          </cell>
          <cell r="F2147">
            <v>7.25</v>
          </cell>
          <cell r="G2147">
            <v>0</v>
          </cell>
          <cell r="H2147">
            <v>0</v>
          </cell>
          <cell r="I2147">
            <v>0</v>
          </cell>
          <cell r="J2147">
            <v>0</v>
          </cell>
          <cell r="K2147">
            <v>0</v>
          </cell>
          <cell r="L2147">
            <v>244.4</v>
          </cell>
        </row>
        <row r="2148">
          <cell r="A2148" t="str">
            <v>10003.01274</v>
          </cell>
          <cell r="B2148" t="str">
            <v>PLAT E 24</v>
          </cell>
          <cell r="C2148" t="str">
            <v>PLAT EN ACIER - NUANCE       : AFNOR E 24  - LARGEUR     : 20 MM  - EPAISSEUR  :  8 MM EN LONGUEUR DE 6 METRES</v>
          </cell>
          <cell r="D2148" t="str">
            <v>KG</v>
          </cell>
          <cell r="E2148" t="str">
            <v>522.52213</v>
          </cell>
          <cell r="F2148">
            <v>7.25</v>
          </cell>
          <cell r="G2148">
            <v>0</v>
          </cell>
          <cell r="H2148">
            <v>0</v>
          </cell>
          <cell r="I2148">
            <v>0</v>
          </cell>
          <cell r="J2148">
            <v>0</v>
          </cell>
          <cell r="K2148">
            <v>0</v>
          </cell>
          <cell r="L2148">
            <v>125</v>
          </cell>
        </row>
        <row r="2149">
          <cell r="A2149" t="str">
            <v>10003.04609</v>
          </cell>
          <cell r="B2149" t="str">
            <v>TOLE ACIER INOX</v>
          </cell>
          <cell r="C2149" t="str">
            <v xml:space="preserve">TOLE EN ACIER INOXYDABLE  NUANCE AFNOR : Z1 NCDU 25-20   AISI 904L GENRE : CREUSOT-LOIRE URANUS B6 "OU" UGINE NS B6  COMPOSITION -CHIMIQUE MOYENNE (%) : C &lt; 0,02 - Cr :20 - Ni :25 -  Mo : 4,3 - Cu :1,5  LONGUEUR = 3 METRES LARGEUR   = 1,5 METRE  EPAISSEUR = 40 MM  </v>
          </cell>
          <cell r="D2149" t="str">
            <v>PE</v>
          </cell>
          <cell r="E2149" t="str">
            <v>522.52213</v>
          </cell>
          <cell r="F2149">
            <v>243855.35999999999</v>
          </cell>
          <cell r="G2149">
            <v>0</v>
          </cell>
          <cell r="H2149">
            <v>0</v>
          </cell>
          <cell r="I2149">
            <v>0</v>
          </cell>
          <cell r="J2149">
            <v>1</v>
          </cell>
          <cell r="K2149">
            <v>0</v>
          </cell>
          <cell r="L2149">
            <v>0</v>
          </cell>
        </row>
        <row r="2150">
          <cell r="A2150" t="str">
            <v>10001.00323</v>
          </cell>
          <cell r="B2150" t="str">
            <v>HUILE MOTEUR S A E 30</v>
          </cell>
          <cell r="C2150" t="str">
            <v>HUILE MONOGRADE POUR MOTEUR DIESEL SAE 30 NORMES DE SPECIFICATIONS:- MIL. L. 2104 E  /  API CD- MIL. L. 46152 B ET C  /  CCMC D2- CATERPILLAR TO2 / ALLISON C4LIVREE EN FUT SUIVANT FICHE TECHNIQUE OCPNB : PRODUIT DANGEREUX (FICHE DE DONNEE DE SECURITE EST EXIGE LORS DE LA LIVRAISON DU PRODUIT).</v>
          </cell>
          <cell r="D2150" t="str">
            <v>KG</v>
          </cell>
          <cell r="E2150" t="str">
            <v>522.52212</v>
          </cell>
          <cell r="F2150">
            <v>17.982500000000002</v>
          </cell>
          <cell r="G2150">
            <v>0</v>
          </cell>
          <cell r="H2150">
            <v>0</v>
          </cell>
          <cell r="I2150">
            <v>0</v>
          </cell>
          <cell r="J2150">
            <v>0</v>
          </cell>
          <cell r="K2150">
            <v>0</v>
          </cell>
          <cell r="L2150">
            <v>1760</v>
          </cell>
        </row>
        <row r="2151">
          <cell r="A2151" t="str">
            <v>10096.01224</v>
          </cell>
          <cell r="B2151" t="str">
            <v>GILET DE SAUVETAGE A FLOTTABILITE PERMANENTE 100N</v>
          </cell>
          <cell r="C2151" t="str">
            <v>GILET DE SAUVETAGE A FLOTTABILITE PERMANENTE 100N  : NORME EN 12402-4DOIT ETRE EQUIPE D'UN SYSTEME SUFFISAMMENT RESISTANT POUR PERMETTRE LE REPECHAGE, UN SIFFLET, BANDE RETRO REFLECHISSANTEMARQUAGE :LA DENOMINATION DU GILET DE SAUVETAGE ET L'IDENTIFICATION DU FABRICANT ;LES NORMES AUXQUELLES ELLE EST CONFORME ;LE MARQUAGE DE CONFORMITE ;LE TYPE DE FONCTIONNEMENT ;LA GAMME DE TAILLE DE GILET DE SAUVETAGE ;LA FLOTTABILITE MINIMALE PROCUREEA LIVRER AVEC LES GILETS :LA NOTICE D'INSTRUCTION ETABLIE PAR LE FABRIQUANT ET LE CERTIFICAT CE DE TYPETAILLE : STANDARD</v>
          </cell>
          <cell r="D2151" t="str">
            <v>PE</v>
          </cell>
          <cell r="E2151" t="str">
            <v>522.52216</v>
          </cell>
          <cell r="F2151">
            <v>146.85480000000001</v>
          </cell>
          <cell r="G2151">
            <v>0</v>
          </cell>
          <cell r="H2151">
            <v>20</v>
          </cell>
          <cell r="I2151">
            <v>0</v>
          </cell>
          <cell r="J2151">
            <v>0</v>
          </cell>
          <cell r="K2151">
            <v>0</v>
          </cell>
          <cell r="L2151">
            <v>0</v>
          </cell>
        </row>
        <row r="2152">
          <cell r="A2152" t="str">
            <v>10096.00531</v>
          </cell>
          <cell r="B2152" t="str">
            <v>CHAUSSURE DE PROTECTION P.37</v>
          </cell>
          <cell r="C2152" t="str">
            <v xml:space="preserve">CHAUSSURES DE PROTECTION POUR MAINTENANCE ET INTALLATION FIXE TYPE CHIMIE (POUR HOMME) (NORME EN 344-345-346 ET 347) EQUIPEES D'EMBOUT DE PROTECTION, SEMELLE ANTI-PERFORATION ET SEMELLE D'USURE NITRILE ET DESTINEES A FOURNIR UNE PROTECTION DES PIEDS CONTRE LES CHOCS MODELE : TIGE MONTANTE EN CUIR TRAITE LEIN FLEUR IMPERMEABLE A L'EAU ACIDULEE D'UNE EPAISEUR DE 2,5 A 3 MM ET COUSU EN FIL SYNTHETIQUE 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 (H2SO4, H3PO4...)MATIERE : NITRILE - EPAISSEUR MINI SANS CRAMPON 4 MM HAUTEUR MINI DES RELIEFS 3,5 MM  SEMELLE PREMIERE EN TEXON - EPAISSEUR  2 A 2,5MMSEMELLE ANTI-PERFORATION EN ACIER INOXYDABLE D'EPAISSEUR 0,4 MM INCORPORE DANS LA SEMELLE RESISTANTE AUX FLEXIONS REPETEES PREMIERE DE PROPRETES PERMEABLE / MONTAGE VULCANISE OU INJECTE SANS VIS EMBOUT DE PROTECTION EN ACIER INOXYDABLE OU AUTRE MATIERE RESISTANTE A L'ECRASEMENT, LEGER, MINCE, BIEN PLACE, ADAPTE AU BOUT DE LA TIGE ET RESISTANT AUX CHOCS ET AUX ECRASEMENT AVEC IMPOSSIBILITE DE DECOLLEMENTPOIDS &lt; OU = 1300GRMARQUAGE : "CE" SUIVI DES 2 CHIFFRES DE L'ANNEE DANS LAQUELLE LE MARQUAGE A ETE APPOSE, POINTURE, MARQUE, IDENTIFICATION DU FABRICANT,DATE ET PAYS DE FABRICATION, REFERENCE, NORME  COULEUR : UNIFORME (NOIR OU MARRON) FERMETURE : PAR OEILLETS EN INOX ET LACETS EN FIL KIVLAR 0,9MMGARANTIE : A PRECISER LORS DE LA LIVRAISON PAR UNE ATTESTATION CONTENANT LES CLAUSES DE LA GARANTIE EMBALLAGE : ARTICLE A LIVRER DANS UN EMBALLAGE INDIVIDUEL ADEUAT AVEC NOTICE D'UTILISATION ET D'ENTRETIENPOINTURE : 37N.B : LE FOURNISSEUR DOIT GARANTIR UN NIVEAU DE PROTECTION ADAPTE AUX RISQUES COURANTS, UNE DURABILITE CORRECTE DES ELEMENTS DE PROTECTION ET DES QUALITES HYGIENIQUES COMPATIBLE AVEC LES CONDITIONS DE PORTER. LES OFFRES DOIVENT ETRE ACCOMPAGNEES D'UN MODELE PROPOSE </v>
          </cell>
          <cell r="D2152" t="str">
            <v>PE</v>
          </cell>
          <cell r="E2152" t="str">
            <v>522.52216</v>
          </cell>
          <cell r="F2152">
            <v>350.46</v>
          </cell>
          <cell r="G2152">
            <v>0</v>
          </cell>
          <cell r="H2152">
            <v>0</v>
          </cell>
          <cell r="I2152">
            <v>0</v>
          </cell>
          <cell r="J2152">
            <v>0</v>
          </cell>
          <cell r="K2152">
            <v>0</v>
          </cell>
          <cell r="L2152">
            <v>0</v>
          </cell>
        </row>
        <row r="2153">
          <cell r="A2153" t="str">
            <v>10096.00296</v>
          </cell>
          <cell r="B2153" t="str">
            <v>GANT ANTI-ACID TAILLE 9</v>
          </cell>
          <cell r="C2153" t="str">
            <v>PAIRE DE GANTS A CINQ DOIGTS EN PVC SOUPLE SUIVANT NORME EN374-420 INTERIEUR FLOCKE COTON MONTE EN SEULE PIECE SANS SOUDURE ET SANS COUTURE EPAISSEUR : 1,2MM TRAITE ANTI-ALLERGIQUE - FINITION ADHERISEE PARFAITE DEXTERITE BONNE RESISTANCE AUX AGRESSIONS CHIMIQUES, PARTICULIEREMENT A L'ACIDE SULFURIQUE 98%, A L'ABRASION ET A LA DECHERURE BONNE FINITIONLONGUEUR TOTALE : 40TAILLE : 9 NB: LES OFFRES DOIVENT ETRE ACCOMPAGNEE D'UN MODELE PROPOSE.</v>
          </cell>
          <cell r="D2153" t="str">
            <v>PE</v>
          </cell>
          <cell r="E2153" t="str">
            <v>522.52216</v>
          </cell>
          <cell r="F2153">
            <v>36</v>
          </cell>
          <cell r="G2153">
            <v>0</v>
          </cell>
          <cell r="H2153">
            <v>0</v>
          </cell>
          <cell r="I2153">
            <v>0</v>
          </cell>
          <cell r="J2153">
            <v>0</v>
          </cell>
          <cell r="K2153">
            <v>0</v>
          </cell>
          <cell r="L2153">
            <v>0</v>
          </cell>
        </row>
        <row r="2154">
          <cell r="A2154" t="str">
            <v>10096.00297</v>
          </cell>
          <cell r="B2154" t="str">
            <v>GANT ANTI-ACID REF0317E04</v>
          </cell>
          <cell r="C2154" t="str">
            <v>PAIRE DE GANTS A CINQ DOIGTS MULTIPLUS GANT ANTI-ACIDESUPPORT COTON TRAITE TEXTILE CONTACTREVETEMENT DE BASE INTEGRAL EN PLASTOPRENE SURACOUCHE ASSURANT UN SURFACAGE GRANITE ANTIGILISSE OFFRE UNE EXCELLENTE RESISTANCE A L'ABRASION ET ET A LA DECHIRURE HAUTE TENUE AUX AGRESSIONS CHIMIQUES REFERENCE : 0317E04 NORME  EN 374</v>
          </cell>
          <cell r="D2154" t="str">
            <v>PE</v>
          </cell>
          <cell r="E2154" t="str">
            <v>522.52216</v>
          </cell>
          <cell r="F2154">
            <v>21.6</v>
          </cell>
          <cell r="G2154">
            <v>0</v>
          </cell>
          <cell r="H2154">
            <v>0</v>
          </cell>
          <cell r="I2154">
            <v>0</v>
          </cell>
          <cell r="J2154">
            <v>0</v>
          </cell>
          <cell r="K2154">
            <v>0</v>
          </cell>
          <cell r="L2154">
            <v>0</v>
          </cell>
        </row>
        <row r="2155">
          <cell r="A2155" t="str">
            <v>10096.00306</v>
          </cell>
          <cell r="B2155" t="str">
            <v>GANT EN NEOTOP TAILLE 10</v>
          </cell>
          <cell r="C2155" t="str">
            <v>PAIRE DE GANTS A CINQ DOIGTS NEOTOP S/NORME : EN 374 ET 420 POUR LA MANIPULATION EN MILIEUX CHIMIQUES ET MEME DANS LE FROID (INDUSTRIES CHIMIQUES, PETROLIERES, AGRICULTURE)DOUX, CONFORTABLE ET ABSORBANT / TRAITEMENT POUR L'HYGIENETAILLE : 10NB: LES OFFRES DOIVENT ETRE ACCOMPAGNEE D'UN MODELE PROPOSE  NORME  EN 388</v>
          </cell>
          <cell r="D2155" t="str">
            <v>PE</v>
          </cell>
          <cell r="E2155" t="str">
            <v>522.52216</v>
          </cell>
          <cell r="F2155">
            <v>25.19</v>
          </cell>
          <cell r="G2155">
            <v>0</v>
          </cell>
          <cell r="H2155">
            <v>0</v>
          </cell>
          <cell r="I2155">
            <v>69</v>
          </cell>
          <cell r="J2155">
            <v>31</v>
          </cell>
          <cell r="K2155">
            <v>0</v>
          </cell>
          <cell r="L2155">
            <v>0</v>
          </cell>
        </row>
        <row r="2156">
          <cell r="A2156" t="str">
            <v>10096.00536</v>
          </cell>
          <cell r="B2156" t="str">
            <v>CHAUSSURE DE SECURITE T40</v>
          </cell>
          <cell r="C2156" t="str">
            <v>EQUIPEMENT PROTECTION INDIVIDUELLE PROTECTION DES PIEDS CHAUSSURES DE SECURITE (NORME EN 344-345-346) DE MAINTENANCE ET INSTALLATIONS FIXES NORME : EN 344-345-346 ET 347 MODELE : TIGE MONTANTE SEMELLE D'USURE : ADHERENCE AU SOL, RESISTANCE A L'ABRASION, AUX , FLEXIONS REPETEES, AUX HYDROCARBURES , - MATIERE : NITRILE , - EPAISSEUR MINI SANS CRAMPONS (MM) : 4 , - HAUTEUR MINI DES RELIEFS (MM) : 3,5 SEMELLE PREMIERE : - MATIERE : TEXON , - EPAISSEUR (MM) : 2 Ë 2,5 PREMIERE DE PROPRETES : PERMEABLE TALON : PLEIN ELASTIQUE OU ALVEOLE MONTAGE : VULCANISE OU INJECTE, PAS DE VIS EMBOUT DE PROTECTION EN ACIER TRAITE, INCORPORE DANS LE BOUT, , RESISTANT AUX CHOCS ET ECRASEMENT TIGE : - DESSUS EN CUIR PLEIN FLEUR D'EPAISSEUR 2,5 MM , IMPERMEABLE A L'EAU , - DOUBLURE EN CUIR , -MATELASSAGE : -L'AVANT EN MOUSSE CELLULAIRE , -A L'ARRIERE EN MOUSSE COMPACTE , - CONTREFORT RIGIDE , - SOUFFLET EN CUIR SOUPLE , - FERMETURE : -OEILLETS OU BOUCLES ARTICULEES , - LACETS SYNTHETIQUES , - HAUTEUR : 110 MM POIDS MAXI ( 1 PAIRE) : 1300 GRAMMES MARQUAGE : (POINTURE, FABRICANT,...) COULEUR : UNIFORME (NOIR OU MARRON) POINTURE : 40 N.B : LE FOURNISSEUR DOIT GARANTIR UN NIVEAU DE , PROTECTION ADAPTE AUX RISQUES COURANTS,UNE DURABILITE, CORRECTE DES ELEMENTS DE PROTECTION ET DES QUALITES , HYGIENIQUES COMPATIBLES AVEC LES CONDITIONS DE PORTER</v>
          </cell>
          <cell r="D2156" t="str">
            <v>PE</v>
          </cell>
          <cell r="E2156" t="str">
            <v>522.52216</v>
          </cell>
          <cell r="F2156">
            <v>350.46</v>
          </cell>
          <cell r="G2156">
            <v>0</v>
          </cell>
          <cell r="H2156">
            <v>0</v>
          </cell>
          <cell r="I2156">
            <v>0</v>
          </cell>
          <cell r="J2156">
            <v>0</v>
          </cell>
          <cell r="K2156">
            <v>0</v>
          </cell>
          <cell r="L2156">
            <v>0</v>
          </cell>
        </row>
        <row r="2157">
          <cell r="A2157" t="str">
            <v>10096.00538</v>
          </cell>
          <cell r="B2157" t="str">
            <v>CHAUSSURE DE SECURITE T41</v>
          </cell>
          <cell r="C2157" t="str">
            <v>EQUIPEMENT PROTECTION INDIVIDUELLE PROTECTION DES PIEDS CHAUSSURES DE SECURITE (NORME EN 344-345-346) DE MAINTENANCE ET INSTALLATIONS FIXES NORME : EN 344-345-346 ET 347 MODELE : TIGE MONTANTE SEMELLE D'USURE : ADHERENCE AU SOL, RESISTANCE A L'ABRASION, AUX , FLEXIONS REPETEES, AUX HYDROCARBURES , - MATIERE : NITRILE , - EPAISSEUR MINI SANS CRAMPONS (MM) : 4 , - HAUTEUR MINI DES RELIEFS (MM) : 3,5 SEMELLE PREMIERE : - MATIERE : TEXON , - EPAISSEUR (MM) : 2 Ë 2,5 PREMIERE DE PROPRETES : PERMEABLE TALON : PLEIN ELASTIQUE OU ALVEOLE MONTAGE : VULCANISE OU INJECTE, PAS DE VIS EMBOUT DE PROTECTION EN ACIER TRAITE, INCORPORE DANS LE BOUT, , RESISTANT AUX CHOCS ET ECRASEMENT TIGE : - DESSUS EN CUIR PLEIN FLEUR D'EPAISSEUR 2,5 MM , IMPERMEABLE A L'EAU , - DOUBLURE EN CUIR , -MATELASSAGE : -L'AVANT EN MOUSSE CELLULAIRE , -A L'ARRIERE EN MOUSSE COMPACTE , - CONTREFORT RIGIDE , - SOUFFLET EN CUIR SOUPLE , - FERMETURE : -OEILLETS OU BOUCLES ARTICULEES , - LACETS SYNTHETIQUES , - HAUTEUR : 110 MM POIDS MAXI ( 1 PAIRE) : 1300 GRAMMES MARQUAGE : (POINTURE, FABRICANT,...) COULEUR : UNIFORME (NOIR OU MARRON) POINTURE : 41 N.B : LE FOURNISSEUR DOIT GARANTIR UN NIVEAU DE , PROTECTION ADAPTE AUX RISQUES COURANTS,UNE DURABILITE, CORRECTE DES ELEMENTS DE PROTECTION ET DES QUALITES , HYGIENIQUES COMPATIBLES AVEC LES CONDITIONS DE PORTER</v>
          </cell>
          <cell r="D2157" t="str">
            <v>PE</v>
          </cell>
          <cell r="E2157" t="str">
            <v>522.52216</v>
          </cell>
          <cell r="F2157">
            <v>350.46</v>
          </cell>
          <cell r="G2157">
            <v>0</v>
          </cell>
          <cell r="H2157">
            <v>0</v>
          </cell>
          <cell r="I2157">
            <v>0</v>
          </cell>
          <cell r="J2157">
            <v>0</v>
          </cell>
          <cell r="K2157">
            <v>0</v>
          </cell>
          <cell r="L2157">
            <v>0</v>
          </cell>
        </row>
        <row r="2158">
          <cell r="A2158" t="str">
            <v>10096.00504</v>
          </cell>
          <cell r="B2158" t="str">
            <v>CHAUSSURE DE SECURITE P39</v>
          </cell>
          <cell r="C2158"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39N.B : LE FOURNISSEUR DOIT GARANTIR UN NIVEAU DE PROTECTION          ADAPTE AUX RISQUES COURANTS,UNE DURABILITE CORRECTE          DES ELEMENTS DE PROTECTION ET DES QUALITES HYGIENIQUES          COMPATIBLE AVEC LES CONDITIONS DE PORTER.          LES OFFRES DOIVENT ETRE ACCOMPAGNEES D'UN MODELE PROPOSE </v>
          </cell>
          <cell r="D2158" t="str">
            <v>PE</v>
          </cell>
          <cell r="E2158" t="str">
            <v>522.52216</v>
          </cell>
          <cell r="F2158">
            <v>198</v>
          </cell>
          <cell r="G2158">
            <v>0</v>
          </cell>
          <cell r="H2158">
            <v>0</v>
          </cell>
          <cell r="I2158">
            <v>0</v>
          </cell>
          <cell r="J2158">
            <v>0</v>
          </cell>
          <cell r="K2158">
            <v>0</v>
          </cell>
          <cell r="L2158">
            <v>0</v>
          </cell>
        </row>
        <row r="2159">
          <cell r="A2159" t="str">
            <v>10096.00502</v>
          </cell>
          <cell r="B2159" t="str">
            <v>CHAUSSURE DE SECURITE P38</v>
          </cell>
          <cell r="C2159"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38N.B : LE FOURNISSEUR DOIT GARANTIR UN NIVEAU DE PROTECTION          ADAPTE AUX RISQUES COURANTS,UNE DURABILITE CORRECTE          DES ELEMENTS DE PROTECTION ET DES QUALITES HYGIENIQUES          COMPATIBLE AVEC LES CONDITIONS DE PORTER.          LES OFFRES DOIVENT ETRE ACCOMPAGNEES D'UN MODELE PROPOSE </v>
          </cell>
          <cell r="D2159" t="str">
            <v>PE</v>
          </cell>
          <cell r="E2159" t="str">
            <v>522.52216</v>
          </cell>
          <cell r="F2159">
            <v>198</v>
          </cell>
          <cell r="G2159">
            <v>0</v>
          </cell>
          <cell r="H2159">
            <v>0</v>
          </cell>
          <cell r="I2159">
            <v>0</v>
          </cell>
          <cell r="J2159">
            <v>0</v>
          </cell>
          <cell r="K2159">
            <v>0</v>
          </cell>
          <cell r="L2159">
            <v>0</v>
          </cell>
        </row>
        <row r="2160">
          <cell r="A2160" t="str">
            <v>10096.00544</v>
          </cell>
          <cell r="B2160" t="str">
            <v>CHAUSSURE DE SECURITE T44</v>
          </cell>
          <cell r="C2160" t="str">
            <v>EQUIPEMENT PROTECTION INDIVIDUELLE PROTECTION DES PIEDS CHAUSSURES DE SECURITE (NORME EN 344-345-346) DE MAINTENANCE ET INSTALLATIONS FIXES NORME : EN 344-345-346 ET 347 MODELE : TIGE MONTANTE SEMELLE D'USURE : ADHERENCE AU SOL, RESISTANCE A L'ABRASION, AUX , FLEXIONS REPETEES, AUX HYDROCARBURES , - MATIERE : NITRILE , - EPAISSEUR MINI SANS CRAMPONS (MM) : 4 , - HAUTEUR MINI DES RELIEFS (MM) : 3,5 SEMELLE PREMIERE : - MATIERE : TEXON , - EPAISSEUR (MM) : 2 Ë 2,5 PREMIERE DE PROPRETES : PERMEABLE TALON : PLEIN ELASTIQUE OU ALVEOLE MONTAGE : VULCANISE OU INJECTE, PAS DE VIS EMBOUT DE PROTECTION EN ACIER TRAITE, INCORPORE DANS LE BOUT, , RESISTANT AUX CHOCS ET ECRASEMENT TIGE : - DESSUS EN CUIR PLEIN FLEUR D'EPAISSEUR 2,5 MM , IMPERMEABLE A L'EAU , - DOUBLURE EN CUIR , -MATELASSAGE : -L'AVANT EN MOUSSE CELLULAIRE , -A L'ARRIERE EN MOUSSE COMPACTE , - CONTREFORT RIGIDE , - SOUFFLET EN CUIR SOUPLE , - FERMETURE : -OEILLETS OU BOUCLES ARTICULEES , - LACETS SYNTHETIQUES , - HAUTEUR : 110 MM POIDS MAXI ( 1 PAIRE) : 1300 GRAMMES MARQUAGE : (POINTURE, FABRICANT,...) COULEUR : UNIFORME (NOIR OU MARRON) POINTURE : 44 N.B : LE FOURNISSEUR DOIT GARANTIR UN NIVEAU DE , PROTECTION ADAPTE AUX RISQUES COURANTS,UNE DURABILITE, CORRECTE DES ELEMENTS DE PROTECTION ET DES QUALITES , HYGIENIQUES COMPATIBLES AVEC LES CONDITIONS DE PORTER</v>
          </cell>
          <cell r="D2160" t="str">
            <v>PE</v>
          </cell>
          <cell r="E2160" t="str">
            <v>522.52216</v>
          </cell>
          <cell r="F2160">
            <v>350.46</v>
          </cell>
          <cell r="G2160">
            <v>0</v>
          </cell>
          <cell r="H2160">
            <v>0</v>
          </cell>
          <cell r="I2160">
            <v>0</v>
          </cell>
          <cell r="J2160">
            <v>0</v>
          </cell>
          <cell r="K2160">
            <v>0</v>
          </cell>
          <cell r="L2160">
            <v>0</v>
          </cell>
        </row>
        <row r="2161">
          <cell r="A2161" t="str">
            <v>10096.00540</v>
          </cell>
          <cell r="B2161" t="str">
            <v>CHAUSSURE DE SECURITE T42</v>
          </cell>
          <cell r="C2161" t="str">
            <v>EQUIPEMENT PROTECTION INDIVIDUELLE PROTECTION DES PIEDS CHAUSSURES DE SECURITE (NORME EN 344-345-346) DE MAINTENANCE ET INSTALLATIONS FIXES NORME : EN 344-345-346 ET 347 MODELE : TIGE MONTANTE SEMELLE D'USURE : ADHERENCE AU SOL, RESISTANCE A L'ABRASION, AUX , FLEXIONS REPETEES, AUX HYDROCARBURES , - MATIERE : NITRILE , - EPAISSEUR MINI SANS CRAMPONS (MM) : 4 , - HAUTEUR MINI DES RELIEFS (MM) : 3,5 SEMELLE PREMIERE : - MATIERE : TEXON , - EPAISSEUR (MM) : 2 Ë 2,5 PREMIERE DE PROPRETES : PERMEABLE TALON : PLEIN ELASTIQUE OU ALVEOLE MONTAGE : VULCANISE OU INJECTE, PAS DE VIS EMBOUT DE PROTECTION EN ACIER TRAITE, INCORPORE DANS LE BOUT, , RESISTANT AUX CHOCS ET ECRASEMENT TIGE : - DESSUS EN CUIR PLEIN FLEUR D'EPAISSEUR 2,5 MM , IMPERMEABLE A L'EAU , - DOUBLURE EN CUIR , -MATELASSAGE : -L'AVANT EN MOUSSE CELLULAIRE , -A L'ARRIERE EN MOUSSE COMPACTE , - CONTREFORT RIGIDE , - SOUFFLET EN CUIR SOUPLE , - FERMETURE : -OEILLETS OU BOUCLES ARTICULEES , - LACETS SYNTHETIQUES , - HAUTEUR : 110 MM POIDS MAXI ( 1 PAIRE) : 1300 GRAMMES MARQUAGE : (POINTURE, FABRICANT,...) COULEUR : UNIFORME (NOIR OU MARRON) POINTURE : 42 N.B : LE FOURNISSEUR DOIT GARANTIR UN NIVEAU DE , PROTECTION ADAPTE AUX RISQUES COURANTS,UNE DURABILITE, CORRECTE DES ELEMENTS DE PROTECTION ET DES QUALITES , HYGIENIQUES COMPATIBLES AVEC LES CONDITIONS DE PORTER</v>
          </cell>
          <cell r="D2161" t="str">
            <v>PE</v>
          </cell>
          <cell r="E2161" t="str">
            <v>522.52216</v>
          </cell>
          <cell r="F2161">
            <v>350.46</v>
          </cell>
          <cell r="G2161">
            <v>0</v>
          </cell>
          <cell r="H2161">
            <v>0</v>
          </cell>
          <cell r="I2161">
            <v>0</v>
          </cell>
          <cell r="J2161">
            <v>0</v>
          </cell>
          <cell r="K2161">
            <v>0</v>
          </cell>
          <cell r="L2161">
            <v>0</v>
          </cell>
        </row>
        <row r="2162">
          <cell r="A2162" t="str">
            <v>10096.00510</v>
          </cell>
          <cell r="B2162" t="str">
            <v>CHAUSSURE DE SECURITE P42</v>
          </cell>
          <cell r="C2162"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42N.B : LE FOURNISSEUR DOIT GARANTIR UN NIVEAU DE PROTECTION          ADAPTE AUX RISQUES COURANTS,UNE DURABILITE CORRECTE          DES ELEMENTS DE PROTECTION ET DES QUALITES HYGIENIQUES          COMPATIBLE AVEC LES CONDITIONS DE PORTER.          LES OFFRES DOIVENT ETRE ACCOMPAGNEES D'UN MODELE PROPOSE </v>
          </cell>
          <cell r="D2162" t="str">
            <v>PE</v>
          </cell>
          <cell r="E2162" t="str">
            <v>522.52216</v>
          </cell>
          <cell r="F2162">
            <v>198</v>
          </cell>
          <cell r="G2162">
            <v>0</v>
          </cell>
          <cell r="H2162">
            <v>0</v>
          </cell>
          <cell r="I2162">
            <v>0</v>
          </cell>
          <cell r="J2162">
            <v>0</v>
          </cell>
          <cell r="K2162">
            <v>0</v>
          </cell>
          <cell r="L2162">
            <v>0</v>
          </cell>
        </row>
        <row r="2163">
          <cell r="A2163" t="str">
            <v>10096.00506</v>
          </cell>
          <cell r="B2163" t="str">
            <v>CHAUSSURE DE SECURITE P40</v>
          </cell>
          <cell r="C2163" t="str">
            <v xml:space="preserve">CHAUSSURES DE PROTECTION POUR MAINTENANCE ET INTALLATION FIXE TYPE MINE (POUR HOMME) (NORME EN 344-345-346 ET 347) EQUIPEES D'EMBOUT DE PROTECTION, SEMELLE ANTI-PERFORATION ET SEMELLE D'USURE NITRILE ET DESTINEES A FOURNIR UNE PROTECTION DES PIEDS CONTRE LES CHOCS MODELE : TIGE MONTANTE EN CUIR TRAITE LEIN FLEUR IMPERMEABLE A L'EAU D'UNE EPAISEUR DE 2,5 A 3 MM ET COUSU EN FIL SYNTHETIQUEMATELASSAGE A L'AVANT EN MOUSSE CELLULAIRE ET A L'ARRIERE EN MOUSSE COMPACTE DOUBLURE EN  CUIR BASANE MONTANTE POUR LA PROTECTION DES MALLEOLES D'UNE EPAISSEUR DE 1MM SOUFFLET EN CUIR SOUPLE DE 1MM D'EPAISSEUR ETANCHE ET COUSU EN FIL DE LIN POISSE - CONFORT REGIDE SEMELLE D'USURE : ADHERENCE AU SOL, RESISTANCE A L'ABRASION, AUX FLEXIONS REPETEES, AUX HYDROCARBURES ET AUX AGRESSIONS CHIMIQUESMATIERE : NITRILE EPAISSEUR MINI SANS CRAMPON 4 MM HAUTEUR MINI DES RELIEFS 3,5 MM SEMELLE PREMIERE EN TEXON EPAISSEUR : 2 A 2,5MM SEMELLE ANTI-PERFORATION EN ACIER INOXYDABLE D'EPAISSEUR 0,4 MM INCORPORE DANS LA SEMELLE RESISTANTE AUX FLEXIONS REPETEES PREMIERE DE PROPRETES PERMEABLE MONTAGE VULCANISE OU INJECTE SANS VIS  EMBOUT DE PROTECTION LEGER, MINCE, BIEN PLACE, ADAPTE AU BOUT DE LA TIGE ET RESISTANT AUX CHOCS ET AUX ECRASEMENT AVEC IMPOSSIBILITE DE DECOLLEMENT POIDS &lt; OU = 1300GRMARQUAGE : "CE" SUIVI DES 2 CHIFFRES DE L'ANNEE DANS LAQUELLE LE MARQUAGE A ETE APPOSE, POINTURE, MARQUE, IDENTIFICATION DU FA(POINTURE ,FABRICANT,...) COULEUR : UNIFORME (NOIR OU MARRON) FERMETURE : PAR OEILLETS EN INOX ET LACETS EN FIL POLYAMIDE 0,9MM / A PRECISER LORS DE LA LIVRAISON PAR UNE ATTESTATION CONTENANT LES CLAUSES DE LA GARANTIE / EMBALLAGE : ARTICLE A LIVRER DANS UN EMBALLAGE INDIVIDUEL ADEUAT AVEC NOTICE D'UTILISATION ET D'ENTRETIENPOINTURE : 40N.B : LE FOURNISSEUR DOIT GARANTIR UN NIVEAU DE PROTECTION          ADAPTE AUX RISQUES COURANTS,UNE DURABILITE CORRECTE          DES ELEMENTS DE PROTECTION ET DES QUALITES HYGIENIQUES          COMPATIBLE AVEC LES CONDITIONS DE PORTER.          LES OFFRES DOIVENT ETRE ACCOMPAGNEES D'UN MODELE PROPOSE </v>
          </cell>
          <cell r="D2163" t="str">
            <v>PE</v>
          </cell>
          <cell r="E2163" t="str">
            <v>522.52216</v>
          </cell>
          <cell r="F2163">
            <v>198</v>
          </cell>
          <cell r="G2163">
            <v>0</v>
          </cell>
          <cell r="H2163">
            <v>0</v>
          </cell>
          <cell r="I2163">
            <v>0</v>
          </cell>
          <cell r="J2163">
            <v>0</v>
          </cell>
          <cell r="K2163">
            <v>0</v>
          </cell>
          <cell r="L2163">
            <v>0</v>
          </cell>
        </row>
        <row r="2164">
          <cell r="A2164" t="str">
            <v>10096.01644</v>
          </cell>
          <cell r="B2164" t="str">
            <v>ECRAN FACIAL + PORTE ECRAN P/ELECTRICIEN</v>
          </cell>
          <cell r="C2164" t="str">
            <v>ECRAN FACIAL + PORTE ECRAN P/ELECTRICIEN.NORME: EN 166 EN 170SPECIFICATION COMPLEMENTAIRE:1 AT 389 KN2C-1,2PROJECTION LIQUIDE: 3ARC ELECTRIQUE ET COURT CIRCUIT: 8PROJECTION METAL FONDU ET SOLIDE CHAUDS: 9</v>
          </cell>
          <cell r="D2164" t="str">
            <v>PE</v>
          </cell>
          <cell r="E2164" t="str">
            <v>522.52216</v>
          </cell>
          <cell r="F2164">
            <v>1889</v>
          </cell>
          <cell r="G2164">
            <v>0</v>
          </cell>
          <cell r="H2164">
            <v>0</v>
          </cell>
          <cell r="I2164">
            <v>0</v>
          </cell>
          <cell r="J2164">
            <v>0</v>
          </cell>
          <cell r="K2164">
            <v>0</v>
          </cell>
          <cell r="L2164">
            <v>0</v>
          </cell>
        </row>
        <row r="2165">
          <cell r="A2165" t="str">
            <v>20708.00530</v>
          </cell>
          <cell r="B2165" t="str">
            <v>CAPTEUR DE DENSITE DN40</v>
          </cell>
          <cell r="C2165" t="str">
            <v>F200H 341 CQENFZAZZ</v>
          </cell>
          <cell r="D2165" t="str">
            <v>PE</v>
          </cell>
          <cell r="E2165" t="str">
            <v>512.51201</v>
          </cell>
          <cell r="F2165">
            <v>86906.141000000003</v>
          </cell>
          <cell r="G2165">
            <v>0</v>
          </cell>
          <cell r="H2165">
            <v>0</v>
          </cell>
          <cell r="I2165">
            <v>0</v>
          </cell>
          <cell r="J2165">
            <v>0</v>
          </cell>
          <cell r="K2165">
            <v>0</v>
          </cell>
          <cell r="L2165">
            <v>0</v>
          </cell>
        </row>
        <row r="2166">
          <cell r="A2166" t="str">
            <v>20708.00531</v>
          </cell>
          <cell r="B2166" t="str">
            <v>PLAQUE A ORIFICE POUR DEBITMETRE</v>
          </cell>
          <cell r="C2166" t="str">
            <v>TYPE BLS 100  DN12 PN900FR DEBIT 50000Kg/h</v>
          </cell>
          <cell r="D2166" t="str">
            <v>PE</v>
          </cell>
          <cell r="E2166" t="str">
            <v>512.51201</v>
          </cell>
          <cell r="F2166">
            <v>7846.9224000000004</v>
          </cell>
          <cell r="G2166">
            <v>0</v>
          </cell>
          <cell r="H2166">
            <v>0</v>
          </cell>
          <cell r="I2166">
            <v>0</v>
          </cell>
          <cell r="J2166">
            <v>0</v>
          </cell>
          <cell r="K2166">
            <v>0</v>
          </cell>
          <cell r="L2166">
            <v>0</v>
          </cell>
        </row>
        <row r="2167">
          <cell r="A2167" t="str">
            <v>20708.00536</v>
          </cell>
          <cell r="B2167" t="str">
            <v>RECHANGE DE SOLUTION ELECTROLYTE</v>
          </cell>
          <cell r="C2167">
            <v>9210391</v>
          </cell>
          <cell r="D2167" t="str">
            <v>PE</v>
          </cell>
          <cell r="E2167" t="str">
            <v>512.51201</v>
          </cell>
          <cell r="F2167">
            <v>1546</v>
          </cell>
          <cell r="G2167">
            <v>0</v>
          </cell>
          <cell r="H2167">
            <v>0</v>
          </cell>
          <cell r="I2167">
            <v>0</v>
          </cell>
          <cell r="J2167">
            <v>0</v>
          </cell>
          <cell r="K2167">
            <v>0</v>
          </cell>
          <cell r="L2167">
            <v>0</v>
          </cell>
        </row>
        <row r="2168">
          <cell r="A2168" t="str">
            <v>20708.00533</v>
          </cell>
          <cell r="B2168" t="str">
            <v>TAMPON</v>
          </cell>
          <cell r="C2168">
            <v>9210012</v>
          </cell>
          <cell r="D2168" t="str">
            <v>PE</v>
          </cell>
          <cell r="E2168" t="str">
            <v>512.51201</v>
          </cell>
          <cell r="F2168">
            <v>1050</v>
          </cell>
          <cell r="G2168">
            <v>0</v>
          </cell>
          <cell r="H2168">
            <v>0</v>
          </cell>
          <cell r="I2168">
            <v>0</v>
          </cell>
          <cell r="J2168">
            <v>0</v>
          </cell>
          <cell r="K2168">
            <v>0</v>
          </cell>
          <cell r="L2168">
            <v>0</v>
          </cell>
        </row>
        <row r="2169">
          <cell r="A2169" t="str">
            <v>20708.00534</v>
          </cell>
          <cell r="B2169" t="str">
            <v>TAMPON</v>
          </cell>
          <cell r="C2169">
            <v>9210013</v>
          </cell>
          <cell r="D2169" t="str">
            <v>PE</v>
          </cell>
          <cell r="E2169" t="str">
            <v>512.51201</v>
          </cell>
          <cell r="F2169">
            <v>1050</v>
          </cell>
          <cell r="G2169">
            <v>0</v>
          </cell>
          <cell r="H2169">
            <v>0</v>
          </cell>
          <cell r="I2169">
            <v>0</v>
          </cell>
          <cell r="J2169">
            <v>0</v>
          </cell>
          <cell r="K2169">
            <v>0</v>
          </cell>
          <cell r="L2169">
            <v>0</v>
          </cell>
        </row>
        <row r="2170">
          <cell r="A2170" t="str">
            <v>20708.00535</v>
          </cell>
          <cell r="B2170" t="str">
            <v>TAMPON</v>
          </cell>
          <cell r="C2170">
            <v>9210014</v>
          </cell>
          <cell r="D2170" t="str">
            <v>PE</v>
          </cell>
          <cell r="E2170" t="str">
            <v>512.51201</v>
          </cell>
          <cell r="F2170">
            <v>1050</v>
          </cell>
          <cell r="G2170">
            <v>0</v>
          </cell>
          <cell r="H2170">
            <v>0</v>
          </cell>
          <cell r="I2170">
            <v>0</v>
          </cell>
          <cell r="J2170">
            <v>0</v>
          </cell>
          <cell r="K2170">
            <v>0</v>
          </cell>
          <cell r="L2170">
            <v>0</v>
          </cell>
        </row>
        <row r="2171">
          <cell r="A2171" t="str">
            <v>20709.00423</v>
          </cell>
          <cell r="B2171" t="str">
            <v>TRANSMETTEUR DE DENSITE LIQUIPHANT M</v>
          </cell>
          <cell r="C2171" t="str">
            <v>FTL51C-ABBKDDE4KA</v>
          </cell>
          <cell r="D2171" t="str">
            <v>PE</v>
          </cell>
          <cell r="E2171" t="str">
            <v>512.51201</v>
          </cell>
          <cell r="F2171">
            <v>26491.704000000002</v>
          </cell>
          <cell r="G2171">
            <v>0</v>
          </cell>
          <cell r="H2171">
            <v>0</v>
          </cell>
          <cell r="I2171">
            <v>0</v>
          </cell>
          <cell r="J2171">
            <v>0</v>
          </cell>
          <cell r="K2171">
            <v>0</v>
          </cell>
          <cell r="L2171">
            <v>0</v>
          </cell>
        </row>
        <row r="2172">
          <cell r="A2172" t="str">
            <v>20709.00424</v>
          </cell>
          <cell r="B2172" t="str">
            <v>THERMO-RESISTANCE</v>
          </cell>
          <cell r="C2172" t="str">
            <v>TR66-AAEBB6XCD320</v>
          </cell>
          <cell r="D2172" t="str">
            <v>PE</v>
          </cell>
          <cell r="E2172" t="str">
            <v>512.51201</v>
          </cell>
          <cell r="F2172">
            <v>8790</v>
          </cell>
          <cell r="G2172">
            <v>0</v>
          </cell>
          <cell r="H2172">
            <v>0</v>
          </cell>
          <cell r="I2172">
            <v>0</v>
          </cell>
          <cell r="J2172">
            <v>0</v>
          </cell>
          <cell r="K2172">
            <v>0</v>
          </cell>
          <cell r="L2172">
            <v>1</v>
          </cell>
        </row>
        <row r="2173">
          <cell r="A2173" t="str">
            <v>20709.00425</v>
          </cell>
          <cell r="B2173" t="str">
            <v>CALCULATEUR DE DENSITE</v>
          </cell>
          <cell r="C2173" t="str">
            <v>FML621-A21AAAAAC12</v>
          </cell>
          <cell r="D2173" t="str">
            <v>PE</v>
          </cell>
          <cell r="E2173" t="str">
            <v>512.51201</v>
          </cell>
          <cell r="F2173">
            <v>63669.24</v>
          </cell>
          <cell r="G2173">
            <v>0</v>
          </cell>
          <cell r="H2173">
            <v>0</v>
          </cell>
          <cell r="I2173">
            <v>0</v>
          </cell>
          <cell r="J2173">
            <v>0</v>
          </cell>
          <cell r="K2173">
            <v>0</v>
          </cell>
          <cell r="L2173">
            <v>0</v>
          </cell>
        </row>
        <row r="2174">
          <cell r="A2174" t="str">
            <v>20709.00426</v>
          </cell>
          <cell r="B2174" t="str">
            <v>VANNE D'EVACUATION</v>
          </cell>
          <cell r="C2174">
            <v>51515580</v>
          </cell>
          <cell r="D2174" t="str">
            <v>PE</v>
          </cell>
          <cell r="E2174" t="str">
            <v>512.51201</v>
          </cell>
          <cell r="F2174">
            <v>3441.2040000000002</v>
          </cell>
          <cell r="G2174">
            <v>0</v>
          </cell>
          <cell r="H2174">
            <v>0</v>
          </cell>
          <cell r="I2174">
            <v>0</v>
          </cell>
          <cell r="J2174">
            <v>0</v>
          </cell>
          <cell r="K2174">
            <v>2</v>
          </cell>
          <cell r="L2174">
            <v>0</v>
          </cell>
        </row>
        <row r="2175">
          <cell r="A2175" t="str">
            <v>20709.00427</v>
          </cell>
          <cell r="B2175" t="str">
            <v>KIT DE REACTIF</v>
          </cell>
          <cell r="C2175" t="str">
            <v>CAY643-V10AAH</v>
          </cell>
          <cell r="D2175" t="str">
            <v>PE</v>
          </cell>
          <cell r="E2175" t="str">
            <v>512.51201</v>
          </cell>
          <cell r="F2175">
            <v>2229.12</v>
          </cell>
          <cell r="G2175">
            <v>0</v>
          </cell>
          <cell r="H2175">
            <v>0</v>
          </cell>
          <cell r="I2175">
            <v>0</v>
          </cell>
          <cell r="J2175">
            <v>0</v>
          </cell>
          <cell r="K2175">
            <v>0</v>
          </cell>
          <cell r="L2175">
            <v>0</v>
          </cell>
        </row>
        <row r="2176">
          <cell r="A2176" t="str">
            <v>20709.00430</v>
          </cell>
          <cell r="B2176" t="str">
            <v>KIT DE MAINTANANCE</v>
          </cell>
          <cell r="C2176" t="str">
            <v>CAV740-4C</v>
          </cell>
          <cell r="D2176" t="str">
            <v>PE</v>
          </cell>
          <cell r="E2176" t="str">
            <v>512.51201</v>
          </cell>
          <cell r="F2176">
            <v>17832.96</v>
          </cell>
          <cell r="G2176">
            <v>0</v>
          </cell>
          <cell r="H2176">
            <v>0</v>
          </cell>
          <cell r="I2176">
            <v>0</v>
          </cell>
          <cell r="J2176">
            <v>0</v>
          </cell>
          <cell r="K2176">
            <v>1</v>
          </cell>
          <cell r="L2176">
            <v>0</v>
          </cell>
        </row>
        <row r="2177">
          <cell r="A2177" t="str">
            <v>20709.00431</v>
          </cell>
          <cell r="B2177" t="str">
            <v>CASSETTE DE TUYAU</v>
          </cell>
          <cell r="C2177">
            <v>515112086</v>
          </cell>
          <cell r="D2177" t="str">
            <v>PE</v>
          </cell>
          <cell r="E2177" t="str">
            <v>512.51201</v>
          </cell>
          <cell r="F2177">
            <v>2479.8960000000002</v>
          </cell>
          <cell r="G2177">
            <v>0</v>
          </cell>
          <cell r="H2177">
            <v>0</v>
          </cell>
          <cell r="I2177">
            <v>0</v>
          </cell>
          <cell r="J2177">
            <v>0</v>
          </cell>
          <cell r="K2177">
            <v>4</v>
          </cell>
          <cell r="L2177">
            <v>0</v>
          </cell>
        </row>
        <row r="2178">
          <cell r="A2178" t="str">
            <v>20706.00270</v>
          </cell>
          <cell r="B2178" t="str">
            <v>RALLONGE</v>
          </cell>
          <cell r="C2178" t="str">
            <v>PL Y63429 REP19</v>
          </cell>
          <cell r="D2178" t="str">
            <v>PE</v>
          </cell>
          <cell r="E2178" t="str">
            <v>515.51511</v>
          </cell>
          <cell r="F2178">
            <v>485.36180000000002</v>
          </cell>
          <cell r="G2178">
            <v>0</v>
          </cell>
          <cell r="H2178">
            <v>0</v>
          </cell>
          <cell r="I2178">
            <v>0</v>
          </cell>
          <cell r="J2178">
            <v>0</v>
          </cell>
          <cell r="K2178">
            <v>0</v>
          </cell>
          <cell r="L2178">
            <v>1</v>
          </cell>
        </row>
        <row r="2179">
          <cell r="A2179" t="str">
            <v>20706.00271</v>
          </cell>
          <cell r="B2179" t="str">
            <v>HAUSSE</v>
          </cell>
          <cell r="C2179" t="str">
            <v>PL Y63429 REP15</v>
          </cell>
          <cell r="D2179" t="str">
            <v>PE</v>
          </cell>
          <cell r="E2179" t="str">
            <v>515.51511</v>
          </cell>
          <cell r="F2179">
            <v>162709.073</v>
          </cell>
          <cell r="G2179">
            <v>0</v>
          </cell>
          <cell r="H2179">
            <v>0</v>
          </cell>
          <cell r="I2179">
            <v>0</v>
          </cell>
          <cell r="J2179">
            <v>0</v>
          </cell>
          <cell r="K2179">
            <v>0</v>
          </cell>
          <cell r="L2179">
            <v>1</v>
          </cell>
        </row>
        <row r="2180">
          <cell r="A2180" t="str">
            <v>20706.00267</v>
          </cell>
          <cell r="B2180" t="str">
            <v>FLASQUE PORTE JOINT</v>
          </cell>
          <cell r="C2180" t="str">
            <v>PL Y63429 REP27</v>
          </cell>
          <cell r="D2180" t="str">
            <v>PE</v>
          </cell>
          <cell r="E2180" t="str">
            <v>515.51511</v>
          </cell>
          <cell r="F2180">
            <v>5756.6165000000001</v>
          </cell>
          <cell r="G2180">
            <v>0</v>
          </cell>
          <cell r="H2180">
            <v>0</v>
          </cell>
          <cell r="I2180">
            <v>0</v>
          </cell>
          <cell r="J2180">
            <v>0</v>
          </cell>
          <cell r="K2180">
            <v>0</v>
          </cell>
          <cell r="L2180">
            <v>4</v>
          </cell>
        </row>
        <row r="2181">
          <cell r="A2181" t="str">
            <v>20706.00268</v>
          </cell>
          <cell r="B2181" t="str">
            <v>RALLONGE</v>
          </cell>
          <cell r="C2181" t="str">
            <v>PL Y63429 REP26</v>
          </cell>
          <cell r="D2181" t="str">
            <v>PE</v>
          </cell>
          <cell r="E2181" t="str">
            <v>515.51511</v>
          </cell>
          <cell r="F2181">
            <v>383.77440000000001</v>
          </cell>
          <cell r="G2181">
            <v>0</v>
          </cell>
          <cell r="H2181">
            <v>0</v>
          </cell>
          <cell r="I2181">
            <v>0</v>
          </cell>
          <cell r="J2181">
            <v>0</v>
          </cell>
          <cell r="K2181">
            <v>0</v>
          </cell>
          <cell r="L2181">
            <v>1</v>
          </cell>
        </row>
        <row r="2182">
          <cell r="A2182" t="str">
            <v>20706.00269</v>
          </cell>
          <cell r="B2182" t="str">
            <v>FLASQUE PORTE JOINT</v>
          </cell>
          <cell r="C2182" t="str">
            <v>PL Y63429 REP23</v>
          </cell>
          <cell r="D2182" t="str">
            <v>PE</v>
          </cell>
          <cell r="E2182" t="str">
            <v>515.51511</v>
          </cell>
          <cell r="F2182">
            <v>4514.9934000000003</v>
          </cell>
          <cell r="G2182">
            <v>0</v>
          </cell>
          <cell r="H2182">
            <v>0</v>
          </cell>
          <cell r="I2182">
            <v>0</v>
          </cell>
          <cell r="J2182">
            <v>0</v>
          </cell>
          <cell r="K2182">
            <v>0</v>
          </cell>
          <cell r="L2182">
            <v>2</v>
          </cell>
        </row>
        <row r="2183">
          <cell r="A2183" t="str">
            <v>20706.00272</v>
          </cell>
          <cell r="B2183" t="str">
            <v>ARBRE DE TETE</v>
          </cell>
          <cell r="C2183" t="str">
            <v>PL Y63429 REP11</v>
          </cell>
          <cell r="D2183" t="str">
            <v>PE</v>
          </cell>
          <cell r="E2183" t="str">
            <v>515.51511</v>
          </cell>
          <cell r="F2183">
            <v>50906.5501</v>
          </cell>
          <cell r="G2183">
            <v>0</v>
          </cell>
          <cell r="H2183">
            <v>0</v>
          </cell>
          <cell r="I2183">
            <v>0</v>
          </cell>
          <cell r="J2183">
            <v>0</v>
          </cell>
          <cell r="K2183">
            <v>0</v>
          </cell>
          <cell r="L2183">
            <v>1</v>
          </cell>
        </row>
        <row r="2184">
          <cell r="A2184" t="str">
            <v>20706.00273</v>
          </cell>
          <cell r="B2184" t="str">
            <v>FLASQUE PORTE JOINT</v>
          </cell>
          <cell r="C2184" t="str">
            <v>PL Y63429 REP7</v>
          </cell>
          <cell r="D2184" t="str">
            <v>PE</v>
          </cell>
          <cell r="E2184" t="str">
            <v>515.51511</v>
          </cell>
          <cell r="F2184">
            <v>6095.241</v>
          </cell>
          <cell r="G2184">
            <v>0</v>
          </cell>
          <cell r="H2184">
            <v>0</v>
          </cell>
          <cell r="I2184">
            <v>0</v>
          </cell>
          <cell r="J2184">
            <v>0</v>
          </cell>
          <cell r="K2184">
            <v>0</v>
          </cell>
          <cell r="L2184">
            <v>2</v>
          </cell>
        </row>
        <row r="2185">
          <cell r="A2185" t="str">
            <v>20706.00274</v>
          </cell>
          <cell r="B2185" t="str">
            <v>ENTRETOISE</v>
          </cell>
          <cell r="C2185" t="str">
            <v>PL Y63429 REP2</v>
          </cell>
          <cell r="D2185" t="str">
            <v>PE</v>
          </cell>
          <cell r="E2185" t="str">
            <v>515.51511</v>
          </cell>
          <cell r="F2185">
            <v>2031.7470000000001</v>
          </cell>
          <cell r="G2185">
            <v>0</v>
          </cell>
          <cell r="H2185">
            <v>0</v>
          </cell>
          <cell r="I2185">
            <v>0</v>
          </cell>
          <cell r="J2185">
            <v>0</v>
          </cell>
          <cell r="K2185">
            <v>0</v>
          </cell>
          <cell r="L2185">
            <v>2</v>
          </cell>
        </row>
        <row r="2186">
          <cell r="A2186" t="str">
            <v>20706.00280</v>
          </cell>
          <cell r="B2186" t="str">
            <v>HAUSSE</v>
          </cell>
          <cell r="C2186" t="str">
            <v>PL Y63430 REP15</v>
          </cell>
          <cell r="D2186" t="str">
            <v>PE</v>
          </cell>
          <cell r="E2186" t="str">
            <v>515.51511</v>
          </cell>
          <cell r="F2186">
            <v>169132.72140000001</v>
          </cell>
          <cell r="G2186">
            <v>0</v>
          </cell>
          <cell r="H2186">
            <v>0</v>
          </cell>
          <cell r="I2186">
            <v>0</v>
          </cell>
          <cell r="J2186">
            <v>0</v>
          </cell>
          <cell r="K2186">
            <v>0</v>
          </cell>
          <cell r="L2186">
            <v>1</v>
          </cell>
        </row>
        <row r="2187">
          <cell r="A2187" t="str">
            <v>20706.00275</v>
          </cell>
          <cell r="B2187" t="str">
            <v>FLASQUE PORTE JOINT</v>
          </cell>
          <cell r="C2187" t="str">
            <v>PL Y63430 REP28</v>
          </cell>
          <cell r="D2187" t="str">
            <v>PE</v>
          </cell>
          <cell r="E2187" t="str">
            <v>515.51511</v>
          </cell>
          <cell r="F2187">
            <v>5869.2776999999996</v>
          </cell>
          <cell r="G2187">
            <v>0</v>
          </cell>
          <cell r="H2187">
            <v>0</v>
          </cell>
          <cell r="I2187">
            <v>0</v>
          </cell>
          <cell r="J2187">
            <v>0</v>
          </cell>
          <cell r="K2187">
            <v>0</v>
          </cell>
          <cell r="L2187">
            <v>4</v>
          </cell>
        </row>
        <row r="2188">
          <cell r="A2188" t="str">
            <v>20706.00276</v>
          </cell>
          <cell r="B2188" t="str">
            <v>RALLONGE</v>
          </cell>
          <cell r="C2188" t="str">
            <v>PL Y63430 REP27</v>
          </cell>
          <cell r="D2188" t="str">
            <v>PE</v>
          </cell>
          <cell r="E2188" t="str">
            <v>515.51511</v>
          </cell>
          <cell r="F2188">
            <v>383.77440000000001</v>
          </cell>
          <cell r="G2188">
            <v>0</v>
          </cell>
          <cell r="H2188">
            <v>0</v>
          </cell>
          <cell r="I2188">
            <v>0</v>
          </cell>
          <cell r="J2188">
            <v>0</v>
          </cell>
          <cell r="K2188">
            <v>0</v>
          </cell>
          <cell r="L2188">
            <v>1</v>
          </cell>
        </row>
        <row r="2189">
          <cell r="A2189" t="str">
            <v>20706.00281</v>
          </cell>
          <cell r="B2189" t="str">
            <v>ARBRE DE TETE</v>
          </cell>
          <cell r="C2189" t="str">
            <v>PL Y63430 REP11</v>
          </cell>
          <cell r="D2189" t="str">
            <v>PE</v>
          </cell>
          <cell r="E2189" t="str">
            <v>515.51511</v>
          </cell>
          <cell r="F2189">
            <v>52913.7673</v>
          </cell>
          <cell r="G2189">
            <v>0</v>
          </cell>
          <cell r="H2189">
            <v>0</v>
          </cell>
          <cell r="I2189">
            <v>0</v>
          </cell>
          <cell r="J2189">
            <v>0</v>
          </cell>
          <cell r="K2189">
            <v>0</v>
          </cell>
          <cell r="L2189">
            <v>1</v>
          </cell>
        </row>
        <row r="2190">
          <cell r="A2190" t="str">
            <v>20706.00277</v>
          </cell>
          <cell r="B2190" t="str">
            <v>FLASQUE PORTE JOINT</v>
          </cell>
          <cell r="C2190" t="str">
            <v>PL Y63430 REP24</v>
          </cell>
          <cell r="D2190" t="str">
            <v>PE</v>
          </cell>
          <cell r="E2190" t="str">
            <v>515.51511</v>
          </cell>
          <cell r="F2190">
            <v>4605.1877000000004</v>
          </cell>
          <cell r="G2190">
            <v>0</v>
          </cell>
          <cell r="H2190">
            <v>0</v>
          </cell>
          <cell r="I2190">
            <v>0</v>
          </cell>
          <cell r="J2190">
            <v>0</v>
          </cell>
          <cell r="K2190">
            <v>0</v>
          </cell>
          <cell r="L2190">
            <v>2</v>
          </cell>
        </row>
        <row r="2191">
          <cell r="A2191" t="str">
            <v>20706.00278</v>
          </cell>
          <cell r="B2191" t="str">
            <v>RALLONGE</v>
          </cell>
          <cell r="C2191" t="str">
            <v>PL Y63430 REP20</v>
          </cell>
          <cell r="D2191" t="str">
            <v>PE</v>
          </cell>
          <cell r="E2191" t="str">
            <v>515.51511</v>
          </cell>
          <cell r="F2191">
            <v>383.77440000000001</v>
          </cell>
          <cell r="G2191">
            <v>0</v>
          </cell>
          <cell r="H2191">
            <v>0</v>
          </cell>
          <cell r="I2191">
            <v>0</v>
          </cell>
          <cell r="J2191">
            <v>0</v>
          </cell>
          <cell r="K2191">
            <v>0</v>
          </cell>
          <cell r="L2191">
            <v>1</v>
          </cell>
        </row>
        <row r="2192">
          <cell r="A2192" t="str">
            <v>20708.00633</v>
          </cell>
          <cell r="B2192" t="str">
            <v>TRANSMETTEUR</v>
          </cell>
          <cell r="C2192" t="str">
            <v>5401AH2NA2RPDCBM1C1Q4Q8</v>
          </cell>
          <cell r="D2192" t="str">
            <v>PE</v>
          </cell>
          <cell r="E2192" t="str">
            <v>512.51201</v>
          </cell>
          <cell r="F2192">
            <v>21670</v>
          </cell>
          <cell r="G2192">
            <v>0</v>
          </cell>
          <cell r="H2192">
            <v>2</v>
          </cell>
          <cell r="I2192">
            <v>0</v>
          </cell>
          <cell r="J2192">
            <v>1</v>
          </cell>
          <cell r="K2192">
            <v>0</v>
          </cell>
          <cell r="L2192">
            <v>0</v>
          </cell>
        </row>
        <row r="2193">
          <cell r="A2193" t="str">
            <v>20706.00279</v>
          </cell>
          <cell r="B2193" t="str">
            <v>ENTRETOISE</v>
          </cell>
          <cell r="C2193" t="str">
            <v>PL Y63430 REP19</v>
          </cell>
          <cell r="D2193" t="str">
            <v>PE</v>
          </cell>
          <cell r="E2193" t="str">
            <v>515.51511</v>
          </cell>
          <cell r="F2193">
            <v>8352.7376999999997</v>
          </cell>
          <cell r="G2193">
            <v>0</v>
          </cell>
          <cell r="H2193">
            <v>0</v>
          </cell>
          <cell r="I2193">
            <v>0</v>
          </cell>
          <cell r="J2193">
            <v>0</v>
          </cell>
          <cell r="K2193">
            <v>0</v>
          </cell>
          <cell r="L2193">
            <v>2</v>
          </cell>
        </row>
        <row r="2194">
          <cell r="A2194" t="str">
            <v>20706.00282</v>
          </cell>
          <cell r="B2194" t="str">
            <v>FLASQUE PORTE JOINT</v>
          </cell>
          <cell r="C2194" t="str">
            <v>PL Y63430 REP7</v>
          </cell>
          <cell r="D2194" t="str">
            <v>PE</v>
          </cell>
          <cell r="E2194" t="str">
            <v>515.51511</v>
          </cell>
          <cell r="F2194">
            <v>6214.5293000000001</v>
          </cell>
          <cell r="G2194">
            <v>0</v>
          </cell>
          <cell r="H2194">
            <v>0</v>
          </cell>
          <cell r="I2194">
            <v>0</v>
          </cell>
          <cell r="J2194">
            <v>0</v>
          </cell>
          <cell r="K2194">
            <v>0</v>
          </cell>
          <cell r="L2194">
            <v>2</v>
          </cell>
        </row>
        <row r="2195">
          <cell r="A2195" t="str">
            <v>20706.00283</v>
          </cell>
          <cell r="B2195" t="str">
            <v>ENTRETOISE</v>
          </cell>
          <cell r="C2195" t="str">
            <v>PL Y63430 REP2</v>
          </cell>
          <cell r="D2195" t="str">
            <v>PE</v>
          </cell>
          <cell r="E2195" t="str">
            <v>515.51511</v>
          </cell>
          <cell r="F2195">
            <v>2934.7456999999999</v>
          </cell>
          <cell r="G2195">
            <v>0</v>
          </cell>
          <cell r="H2195">
            <v>0</v>
          </cell>
          <cell r="I2195">
            <v>0</v>
          </cell>
          <cell r="J2195">
            <v>0</v>
          </cell>
          <cell r="K2195">
            <v>0</v>
          </cell>
          <cell r="L2195">
            <v>2</v>
          </cell>
        </row>
        <row r="2196">
          <cell r="A2196" t="str">
            <v>20706.00290</v>
          </cell>
          <cell r="B2196" t="str">
            <v>FLASQUE PORTE JOINT</v>
          </cell>
          <cell r="C2196" t="str">
            <v>PL Y63437 REP12</v>
          </cell>
          <cell r="D2196" t="str">
            <v>PE</v>
          </cell>
          <cell r="E2196" t="str">
            <v>515.51511</v>
          </cell>
          <cell r="F2196">
            <v>4176.3689000000004</v>
          </cell>
          <cell r="G2196">
            <v>0</v>
          </cell>
          <cell r="H2196">
            <v>0</v>
          </cell>
          <cell r="I2196">
            <v>0</v>
          </cell>
          <cell r="J2196">
            <v>0</v>
          </cell>
          <cell r="K2196">
            <v>0</v>
          </cell>
          <cell r="L2196">
            <v>2</v>
          </cell>
        </row>
        <row r="2197">
          <cell r="A2197" t="str">
            <v>20706.00284</v>
          </cell>
          <cell r="B2197" t="str">
            <v>HAUSSE</v>
          </cell>
          <cell r="C2197" t="str">
            <v>PL Y63437 REP26</v>
          </cell>
          <cell r="D2197" t="str">
            <v>PE</v>
          </cell>
          <cell r="E2197" t="str">
            <v>515.51511</v>
          </cell>
          <cell r="F2197">
            <v>126984.1881</v>
          </cell>
          <cell r="G2197">
            <v>0</v>
          </cell>
          <cell r="H2197">
            <v>0</v>
          </cell>
          <cell r="I2197">
            <v>0</v>
          </cell>
          <cell r="J2197">
            <v>0</v>
          </cell>
          <cell r="K2197">
            <v>0</v>
          </cell>
          <cell r="L2197">
            <v>1</v>
          </cell>
        </row>
        <row r="2198">
          <cell r="A2198" t="str">
            <v>20709.00504</v>
          </cell>
          <cell r="B2198" t="str">
            <v>DETECTEUR DE NIVEAU A LAMES VARIANTES LONG 200MM</v>
          </cell>
          <cell r="C2198" t="str">
            <v xml:space="preserve">FTL51 ACE6 BE4G4A </v>
          </cell>
          <cell r="D2198" t="str">
            <v>PE</v>
          </cell>
          <cell r="E2198" t="str">
            <v>512.51201</v>
          </cell>
          <cell r="F2198">
            <v>10376.1423</v>
          </cell>
          <cell r="G2198">
            <v>0</v>
          </cell>
          <cell r="H2198">
            <v>0</v>
          </cell>
          <cell r="I2198">
            <v>0</v>
          </cell>
          <cell r="J2198">
            <v>0</v>
          </cell>
          <cell r="K2198">
            <v>0</v>
          </cell>
          <cell r="L2198">
            <v>0</v>
          </cell>
        </row>
        <row r="2199">
          <cell r="A2199" t="str">
            <v>20706.00285</v>
          </cell>
          <cell r="B2199" t="str">
            <v>RALLONGE</v>
          </cell>
          <cell r="C2199" t="str">
            <v>PL Y63437 REP27</v>
          </cell>
          <cell r="D2199" t="str">
            <v>PE</v>
          </cell>
          <cell r="E2199" t="str">
            <v>515.51511</v>
          </cell>
          <cell r="F2199">
            <v>417.63690000000003</v>
          </cell>
          <cell r="G2199">
            <v>0</v>
          </cell>
          <cell r="H2199">
            <v>0</v>
          </cell>
          <cell r="I2199">
            <v>0</v>
          </cell>
          <cell r="J2199">
            <v>0</v>
          </cell>
          <cell r="K2199">
            <v>0</v>
          </cell>
          <cell r="L2199">
            <v>1</v>
          </cell>
        </row>
        <row r="2200">
          <cell r="A2200" t="str">
            <v>20706.00291</v>
          </cell>
          <cell r="B2200" t="str">
            <v>ENTRETOISE</v>
          </cell>
          <cell r="C2200" t="str">
            <v>PL Y63437 REP1</v>
          </cell>
          <cell r="D2200" t="str">
            <v>PE</v>
          </cell>
          <cell r="E2200" t="str">
            <v>515.51511</v>
          </cell>
          <cell r="F2200">
            <v>3273.3701999999998</v>
          </cell>
          <cell r="G2200">
            <v>0</v>
          </cell>
          <cell r="H2200">
            <v>0</v>
          </cell>
          <cell r="I2200">
            <v>0</v>
          </cell>
          <cell r="J2200">
            <v>0</v>
          </cell>
          <cell r="K2200">
            <v>0</v>
          </cell>
          <cell r="L2200">
            <v>1</v>
          </cell>
        </row>
        <row r="2201">
          <cell r="A2201" t="str">
            <v>20706.00286</v>
          </cell>
          <cell r="B2201" t="str">
            <v>FLASQUE PORTE JOINT</v>
          </cell>
          <cell r="C2201" t="str">
            <v>PL Y63437 REP23</v>
          </cell>
          <cell r="D2201" t="str">
            <v>PE</v>
          </cell>
          <cell r="E2201" t="str">
            <v>515.51511</v>
          </cell>
          <cell r="F2201">
            <v>4402.1184999999996</v>
          </cell>
          <cell r="G2201">
            <v>0</v>
          </cell>
          <cell r="H2201">
            <v>0</v>
          </cell>
          <cell r="I2201">
            <v>0</v>
          </cell>
          <cell r="J2201">
            <v>0</v>
          </cell>
          <cell r="K2201">
            <v>0</v>
          </cell>
          <cell r="L2201">
            <v>1</v>
          </cell>
        </row>
        <row r="2202">
          <cell r="A2202" t="str">
            <v>20706.00287</v>
          </cell>
          <cell r="B2202" t="str">
            <v>RALLONGE</v>
          </cell>
          <cell r="C2202" t="str">
            <v>PL Y63437 REP20</v>
          </cell>
          <cell r="D2202" t="str">
            <v>PE</v>
          </cell>
          <cell r="E2202" t="str">
            <v>515.51511</v>
          </cell>
          <cell r="F2202">
            <v>485.36180000000002</v>
          </cell>
          <cell r="G2202">
            <v>0</v>
          </cell>
          <cell r="H2202">
            <v>0</v>
          </cell>
          <cell r="I2202">
            <v>0</v>
          </cell>
          <cell r="J2202">
            <v>0</v>
          </cell>
          <cell r="K2202">
            <v>0</v>
          </cell>
          <cell r="L2202">
            <v>1</v>
          </cell>
        </row>
        <row r="2203">
          <cell r="A2203" t="str">
            <v>20706.00288</v>
          </cell>
          <cell r="B2203" t="str">
            <v>FLASQUE PORTE JOINT</v>
          </cell>
          <cell r="C2203" t="str">
            <v>PL Y63437 REP19</v>
          </cell>
          <cell r="D2203" t="str">
            <v>PE</v>
          </cell>
          <cell r="E2203" t="str">
            <v>515.51511</v>
          </cell>
          <cell r="F2203">
            <v>4740.7430000000004</v>
          </cell>
          <cell r="G2203">
            <v>0</v>
          </cell>
          <cell r="H2203">
            <v>0</v>
          </cell>
          <cell r="I2203">
            <v>0</v>
          </cell>
          <cell r="J2203">
            <v>0</v>
          </cell>
          <cell r="K2203">
            <v>0</v>
          </cell>
          <cell r="L2203">
            <v>1</v>
          </cell>
        </row>
        <row r="2204">
          <cell r="A2204" t="str">
            <v>20706.00289</v>
          </cell>
          <cell r="B2204" t="str">
            <v>ARBRE DE TETE</v>
          </cell>
          <cell r="C2204" t="str">
            <v>PL Y63437 REP14</v>
          </cell>
          <cell r="D2204" t="str">
            <v>PE</v>
          </cell>
          <cell r="E2204" t="str">
            <v>515.51511</v>
          </cell>
          <cell r="F2204">
            <v>32282.202499999999</v>
          </cell>
          <cell r="G2204">
            <v>0</v>
          </cell>
          <cell r="H2204">
            <v>0</v>
          </cell>
          <cell r="I2204">
            <v>0</v>
          </cell>
          <cell r="J2204">
            <v>0</v>
          </cell>
          <cell r="K2204">
            <v>0</v>
          </cell>
          <cell r="L2204">
            <v>1</v>
          </cell>
        </row>
        <row r="2205">
          <cell r="A2205" t="str">
            <v>20706.00292</v>
          </cell>
          <cell r="B2205" t="str">
            <v>RONDELLE D'APPUI</v>
          </cell>
          <cell r="C2205" t="str">
            <v>PL Y63442 REP10</v>
          </cell>
          <cell r="D2205" t="str">
            <v>PE</v>
          </cell>
          <cell r="E2205" t="str">
            <v>515.51511</v>
          </cell>
          <cell r="F2205">
            <v>485.36180000000002</v>
          </cell>
          <cell r="G2205">
            <v>0</v>
          </cell>
          <cell r="H2205">
            <v>0</v>
          </cell>
          <cell r="I2205">
            <v>0</v>
          </cell>
          <cell r="J2205">
            <v>0</v>
          </cell>
          <cell r="K2205">
            <v>0</v>
          </cell>
          <cell r="L2205">
            <v>3</v>
          </cell>
        </row>
        <row r="2206">
          <cell r="A2206" t="str">
            <v>20706.00293</v>
          </cell>
          <cell r="B2206" t="str">
            <v>MANCHON</v>
          </cell>
          <cell r="C2206" t="str">
            <v>PL Y63442 REP8</v>
          </cell>
          <cell r="D2206" t="str">
            <v>PE</v>
          </cell>
          <cell r="E2206" t="str">
            <v>515.51511</v>
          </cell>
          <cell r="F2206">
            <v>3499.1197999999999</v>
          </cell>
          <cell r="G2206">
            <v>0</v>
          </cell>
          <cell r="H2206">
            <v>0</v>
          </cell>
          <cell r="I2206">
            <v>0</v>
          </cell>
          <cell r="J2206">
            <v>0</v>
          </cell>
          <cell r="K2206">
            <v>0</v>
          </cell>
          <cell r="L2206">
            <v>2</v>
          </cell>
        </row>
        <row r="2207">
          <cell r="A2207" t="str">
            <v>20706.00297</v>
          </cell>
          <cell r="B2207" t="str">
            <v>ARBRE DE TETE</v>
          </cell>
          <cell r="C2207" t="str">
            <v>PL Y63449D REP28</v>
          </cell>
          <cell r="D2207" t="str">
            <v>PE</v>
          </cell>
          <cell r="E2207" t="str">
            <v>515.51511</v>
          </cell>
          <cell r="F2207">
            <v>22762.156800000001</v>
          </cell>
          <cell r="G2207">
            <v>0</v>
          </cell>
          <cell r="H2207">
            <v>0</v>
          </cell>
          <cell r="I2207">
            <v>0</v>
          </cell>
          <cell r="J2207">
            <v>0</v>
          </cell>
          <cell r="K2207">
            <v>1</v>
          </cell>
          <cell r="L2207">
            <v>0</v>
          </cell>
        </row>
        <row r="2208">
          <cell r="A2208" t="str">
            <v>20706.00298</v>
          </cell>
          <cell r="B2208" t="str">
            <v>RALLONGE</v>
          </cell>
          <cell r="C2208" t="str">
            <v>PL Y63449D REP27</v>
          </cell>
          <cell r="D2208" t="str">
            <v>PE</v>
          </cell>
          <cell r="E2208" t="str">
            <v>515.51511</v>
          </cell>
          <cell r="F2208">
            <v>428.85219999999998</v>
          </cell>
          <cell r="G2208">
            <v>0</v>
          </cell>
          <cell r="H2208">
            <v>0</v>
          </cell>
          <cell r="I2208">
            <v>0</v>
          </cell>
          <cell r="J2208">
            <v>0</v>
          </cell>
          <cell r="K2208">
            <v>1</v>
          </cell>
          <cell r="L2208">
            <v>0</v>
          </cell>
        </row>
        <row r="2209">
          <cell r="A2209" t="str">
            <v>20706.00294</v>
          </cell>
          <cell r="B2209" t="str">
            <v>ENTRETOISE</v>
          </cell>
          <cell r="C2209" t="str">
            <v>PL Y63442 REP7</v>
          </cell>
          <cell r="D2209" t="str">
            <v>PE</v>
          </cell>
          <cell r="E2209" t="str">
            <v>515.51511</v>
          </cell>
          <cell r="F2209">
            <v>474.07429999999999</v>
          </cell>
          <cell r="G2209">
            <v>0</v>
          </cell>
          <cell r="H2209">
            <v>0</v>
          </cell>
          <cell r="I2209">
            <v>0</v>
          </cell>
          <cell r="J2209">
            <v>0</v>
          </cell>
          <cell r="K2209">
            <v>0</v>
          </cell>
          <cell r="L2209">
            <v>3</v>
          </cell>
        </row>
        <row r="2210">
          <cell r="A2210" t="str">
            <v>20706.00299</v>
          </cell>
          <cell r="B2210" t="str">
            <v>FLASQUE PORTE JOINT</v>
          </cell>
          <cell r="C2210" t="str">
            <v>PL Y63449D REP26</v>
          </cell>
          <cell r="D2210" t="str">
            <v>PE</v>
          </cell>
          <cell r="E2210" t="str">
            <v>515.51511</v>
          </cell>
          <cell r="F2210">
            <v>9500.7263000000003</v>
          </cell>
          <cell r="G2210">
            <v>0</v>
          </cell>
          <cell r="H2210">
            <v>0</v>
          </cell>
          <cell r="I2210">
            <v>0</v>
          </cell>
          <cell r="J2210">
            <v>0</v>
          </cell>
          <cell r="K2210">
            <v>1</v>
          </cell>
          <cell r="L2210">
            <v>1</v>
          </cell>
        </row>
        <row r="2211">
          <cell r="A2211" t="str">
            <v>20706.00296</v>
          </cell>
          <cell r="B2211" t="str">
            <v>ARBRE D'AGITATION</v>
          </cell>
          <cell r="C2211" t="str">
            <v>PL Y63442 REP5</v>
          </cell>
          <cell r="D2211" t="str">
            <v>PE</v>
          </cell>
          <cell r="E2211" t="str">
            <v>515.51511</v>
          </cell>
          <cell r="F2211">
            <v>200691.45449999999</v>
          </cell>
          <cell r="G2211">
            <v>0</v>
          </cell>
          <cell r="H2211">
            <v>0</v>
          </cell>
          <cell r="I2211">
            <v>0</v>
          </cell>
          <cell r="J2211">
            <v>0</v>
          </cell>
          <cell r="K2211">
            <v>0</v>
          </cell>
          <cell r="L2211">
            <v>1</v>
          </cell>
        </row>
        <row r="2212">
          <cell r="A2212" t="str">
            <v>20706.00300</v>
          </cell>
          <cell r="B2212" t="str">
            <v>FLASQUE PORTE JOINT</v>
          </cell>
          <cell r="C2212" t="str">
            <v>PL Y63449D REP25</v>
          </cell>
          <cell r="D2212" t="str">
            <v>PE</v>
          </cell>
          <cell r="E2212" t="str">
            <v>515.51511</v>
          </cell>
          <cell r="F2212">
            <v>5399.1396000000004</v>
          </cell>
          <cell r="G2212">
            <v>0</v>
          </cell>
          <cell r="H2212">
            <v>0</v>
          </cell>
          <cell r="I2212">
            <v>0</v>
          </cell>
          <cell r="J2212">
            <v>0</v>
          </cell>
          <cell r="K2212">
            <v>0</v>
          </cell>
          <cell r="L2212">
            <v>1</v>
          </cell>
        </row>
        <row r="2213">
          <cell r="A2213" t="str">
            <v>20706.00301</v>
          </cell>
          <cell r="B2213" t="str">
            <v>RALLONGE</v>
          </cell>
          <cell r="C2213" t="str">
            <v>PL Y63449D REP22</v>
          </cell>
          <cell r="D2213" t="str">
            <v>PE</v>
          </cell>
          <cell r="E2213" t="str">
            <v>515.51511</v>
          </cell>
          <cell r="F2213">
            <v>428.85219999999998</v>
          </cell>
          <cell r="G2213">
            <v>0</v>
          </cell>
          <cell r="H2213">
            <v>0</v>
          </cell>
          <cell r="I2213">
            <v>0</v>
          </cell>
          <cell r="J2213">
            <v>0</v>
          </cell>
          <cell r="K2213">
            <v>1</v>
          </cell>
          <cell r="L2213">
            <v>0</v>
          </cell>
        </row>
        <row r="2214">
          <cell r="A2214" t="str">
            <v>20706.00302</v>
          </cell>
          <cell r="B2214" t="str">
            <v>FLASQUE PORTE JOINT</v>
          </cell>
          <cell r="C2214" t="str">
            <v>PL Y63449D REP21</v>
          </cell>
          <cell r="D2214" t="str">
            <v>PE</v>
          </cell>
          <cell r="E2214" t="str">
            <v>515.51511</v>
          </cell>
          <cell r="F2214">
            <v>6223.8554000000004</v>
          </cell>
          <cell r="G2214">
            <v>0</v>
          </cell>
          <cell r="H2214">
            <v>0</v>
          </cell>
          <cell r="I2214">
            <v>0</v>
          </cell>
          <cell r="J2214">
            <v>0</v>
          </cell>
          <cell r="K2214">
            <v>0</v>
          </cell>
          <cell r="L2214">
            <v>1</v>
          </cell>
        </row>
        <row r="2215">
          <cell r="A2215" t="str">
            <v>20706.00305</v>
          </cell>
          <cell r="B2215" t="str">
            <v>ARBRE DE TETE</v>
          </cell>
          <cell r="C2215" t="str">
            <v>PL Y63450D REP28</v>
          </cell>
          <cell r="D2215" t="str">
            <v>PE</v>
          </cell>
          <cell r="E2215" t="str">
            <v>515.51511</v>
          </cell>
          <cell r="F2215">
            <v>22179.357599999999</v>
          </cell>
          <cell r="G2215">
            <v>0</v>
          </cell>
          <cell r="H2215">
            <v>0</v>
          </cell>
          <cell r="I2215">
            <v>0</v>
          </cell>
          <cell r="J2215">
            <v>0</v>
          </cell>
          <cell r="K2215">
            <v>1</v>
          </cell>
          <cell r="L2215">
            <v>0</v>
          </cell>
        </row>
        <row r="2216">
          <cell r="A2216" t="str">
            <v>20706.00306</v>
          </cell>
          <cell r="B2216" t="str">
            <v>RALLONGE</v>
          </cell>
          <cell r="C2216" t="str">
            <v>PL Y63450D REP27</v>
          </cell>
          <cell r="D2216" t="str">
            <v>PE</v>
          </cell>
          <cell r="E2216" t="str">
            <v>515.51511</v>
          </cell>
          <cell r="F2216">
            <v>428.85219999999998</v>
          </cell>
          <cell r="G2216">
            <v>0</v>
          </cell>
          <cell r="H2216">
            <v>0</v>
          </cell>
          <cell r="I2216">
            <v>0</v>
          </cell>
          <cell r="J2216">
            <v>0</v>
          </cell>
          <cell r="K2216">
            <v>1</v>
          </cell>
          <cell r="L2216">
            <v>0</v>
          </cell>
        </row>
        <row r="2217">
          <cell r="A2217" t="str">
            <v>20706.00303</v>
          </cell>
          <cell r="B2217" t="str">
            <v>HAUSSE</v>
          </cell>
          <cell r="C2217" t="str">
            <v>PL Y63449D REP18</v>
          </cell>
          <cell r="D2217" t="str">
            <v>PE</v>
          </cell>
          <cell r="E2217" t="str">
            <v>515.51511</v>
          </cell>
          <cell r="F2217">
            <v>98207.160399999993</v>
          </cell>
          <cell r="G2217">
            <v>0</v>
          </cell>
          <cell r="H2217">
            <v>0</v>
          </cell>
          <cell r="I2217">
            <v>0</v>
          </cell>
          <cell r="J2217">
            <v>0</v>
          </cell>
          <cell r="K2217">
            <v>0</v>
          </cell>
          <cell r="L2217">
            <v>1</v>
          </cell>
        </row>
        <row r="2218">
          <cell r="A2218" t="str">
            <v>20706.00307</v>
          </cell>
          <cell r="B2218" t="str">
            <v>FLASQUE PORTE JOINT</v>
          </cell>
          <cell r="C2218" t="str">
            <v>PL Y63450D REP26</v>
          </cell>
          <cell r="D2218" t="str">
            <v>PE</v>
          </cell>
          <cell r="E2218" t="str">
            <v>515.51511</v>
          </cell>
          <cell r="F2218">
            <v>9500.7263000000003</v>
          </cell>
          <cell r="G2218">
            <v>0</v>
          </cell>
          <cell r="H2218">
            <v>0</v>
          </cell>
          <cell r="I2218">
            <v>0</v>
          </cell>
          <cell r="J2218">
            <v>0</v>
          </cell>
          <cell r="K2218">
            <v>2</v>
          </cell>
          <cell r="L2218">
            <v>0</v>
          </cell>
        </row>
        <row r="2219">
          <cell r="A2219" t="str">
            <v>20706.00308</v>
          </cell>
          <cell r="B2219" t="str">
            <v>ENTRETOISE</v>
          </cell>
          <cell r="C2219" t="str">
            <v>PL Y63450D REP25</v>
          </cell>
          <cell r="D2219" t="str">
            <v>PE</v>
          </cell>
          <cell r="E2219" t="str">
            <v>515.51511</v>
          </cell>
          <cell r="F2219">
            <v>3991.6246000000001</v>
          </cell>
          <cell r="G2219">
            <v>0</v>
          </cell>
          <cell r="H2219">
            <v>0</v>
          </cell>
          <cell r="I2219">
            <v>0</v>
          </cell>
          <cell r="J2219">
            <v>0</v>
          </cell>
          <cell r="K2219">
            <v>1</v>
          </cell>
          <cell r="L2219">
            <v>0</v>
          </cell>
        </row>
        <row r="2220">
          <cell r="A2220" t="str">
            <v>20706.00304</v>
          </cell>
          <cell r="B2220" t="str">
            <v>ENTRETOISE</v>
          </cell>
          <cell r="C2220" t="str">
            <v>PL Y63449D REP1</v>
          </cell>
          <cell r="D2220" t="str">
            <v>PE</v>
          </cell>
          <cell r="E2220" t="str">
            <v>515.51511</v>
          </cell>
          <cell r="F2220">
            <v>3047.6205</v>
          </cell>
          <cell r="G2220">
            <v>0</v>
          </cell>
          <cell r="H2220">
            <v>0</v>
          </cell>
          <cell r="I2220">
            <v>0</v>
          </cell>
          <cell r="J2220">
            <v>0</v>
          </cell>
          <cell r="K2220">
            <v>0</v>
          </cell>
          <cell r="L2220">
            <v>1</v>
          </cell>
        </row>
        <row r="2221">
          <cell r="A2221" t="str">
            <v>20706.00309</v>
          </cell>
          <cell r="B2221" t="str">
            <v>FLASQUE PORTE JOINT</v>
          </cell>
          <cell r="C2221" t="str">
            <v>PL Y63450D REP24</v>
          </cell>
          <cell r="D2221" t="str">
            <v>PE</v>
          </cell>
          <cell r="E2221" t="str">
            <v>515.51511</v>
          </cell>
          <cell r="F2221">
            <v>5399.1396000000004</v>
          </cell>
          <cell r="G2221">
            <v>0</v>
          </cell>
          <cell r="H2221">
            <v>0</v>
          </cell>
          <cell r="I2221">
            <v>0</v>
          </cell>
          <cell r="J2221">
            <v>0</v>
          </cell>
          <cell r="K2221">
            <v>1</v>
          </cell>
          <cell r="L2221">
            <v>0</v>
          </cell>
        </row>
        <row r="2222">
          <cell r="A2222" t="str">
            <v>20706.00310</v>
          </cell>
          <cell r="B2222" t="str">
            <v>RALLONGE</v>
          </cell>
          <cell r="C2222" t="str">
            <v>PL Y63450D REP21</v>
          </cell>
          <cell r="D2222" t="str">
            <v>PE</v>
          </cell>
          <cell r="E2222" t="str">
            <v>515.51511</v>
          </cell>
          <cell r="F2222">
            <v>472.83710000000002</v>
          </cell>
          <cell r="G2222">
            <v>0</v>
          </cell>
          <cell r="H2222">
            <v>0</v>
          </cell>
          <cell r="I2222">
            <v>0</v>
          </cell>
          <cell r="J2222">
            <v>0</v>
          </cell>
          <cell r="K2222">
            <v>1</v>
          </cell>
          <cell r="L2222">
            <v>0</v>
          </cell>
        </row>
        <row r="2223">
          <cell r="A2223" t="str">
            <v>20706.00311</v>
          </cell>
          <cell r="B2223" t="str">
            <v>FLASQUE PORTE JOINT</v>
          </cell>
          <cell r="C2223" t="str">
            <v>PL Y63450D REP20</v>
          </cell>
          <cell r="D2223" t="str">
            <v>PE</v>
          </cell>
          <cell r="E2223" t="str">
            <v>515.51511</v>
          </cell>
          <cell r="F2223">
            <v>6223.8554000000004</v>
          </cell>
          <cell r="G2223">
            <v>0</v>
          </cell>
          <cell r="H2223">
            <v>0</v>
          </cell>
          <cell r="I2223">
            <v>0</v>
          </cell>
          <cell r="J2223">
            <v>0</v>
          </cell>
          <cell r="K2223">
            <v>1</v>
          </cell>
          <cell r="L2223">
            <v>0</v>
          </cell>
        </row>
        <row r="2224">
          <cell r="A2224" t="str">
            <v>20706.00316</v>
          </cell>
          <cell r="B2224" t="str">
            <v>ARBRE D'AGITATION</v>
          </cell>
          <cell r="C2224" t="str">
            <v>PL Y63466B REP4</v>
          </cell>
          <cell r="D2224" t="str">
            <v>PE</v>
          </cell>
          <cell r="E2224" t="str">
            <v>515.51511</v>
          </cell>
          <cell r="F2224">
            <v>118744.32520000001</v>
          </cell>
          <cell r="G2224">
            <v>0</v>
          </cell>
          <cell r="H2224">
            <v>0</v>
          </cell>
          <cell r="I2224">
            <v>0</v>
          </cell>
          <cell r="J2224">
            <v>0</v>
          </cell>
          <cell r="K2224">
            <v>0</v>
          </cell>
          <cell r="L2224">
            <v>1</v>
          </cell>
        </row>
        <row r="2225">
          <cell r="A2225" t="str">
            <v>20706.00312</v>
          </cell>
          <cell r="B2225" t="str">
            <v>HAUSSE</v>
          </cell>
          <cell r="C2225" t="str">
            <v>PL Y63450D REP17</v>
          </cell>
          <cell r="D2225" t="str">
            <v>PE</v>
          </cell>
          <cell r="E2225" t="str">
            <v>515.51511</v>
          </cell>
          <cell r="F2225">
            <v>98207.160399999993</v>
          </cell>
          <cell r="G2225">
            <v>0</v>
          </cell>
          <cell r="H2225">
            <v>0</v>
          </cell>
          <cell r="I2225">
            <v>0</v>
          </cell>
          <cell r="J2225">
            <v>0</v>
          </cell>
          <cell r="K2225">
            <v>1</v>
          </cell>
          <cell r="L2225">
            <v>0</v>
          </cell>
        </row>
        <row r="2226">
          <cell r="A2226" t="str">
            <v>20706.00317</v>
          </cell>
          <cell r="B2226" t="str">
            <v>HELICE</v>
          </cell>
          <cell r="C2226" t="str">
            <v>PL Y63467B REP6</v>
          </cell>
          <cell r="D2226" t="str">
            <v>PE</v>
          </cell>
          <cell r="E2226" t="str">
            <v>515.51511</v>
          </cell>
          <cell r="F2226">
            <v>196740.83540000001</v>
          </cell>
          <cell r="G2226">
            <v>0</v>
          </cell>
          <cell r="H2226">
            <v>0</v>
          </cell>
          <cell r="I2226">
            <v>0</v>
          </cell>
          <cell r="J2226">
            <v>0</v>
          </cell>
          <cell r="K2226">
            <v>0</v>
          </cell>
          <cell r="L2226">
            <v>1</v>
          </cell>
        </row>
        <row r="2227">
          <cell r="A2227" t="str">
            <v>20706.00318</v>
          </cell>
          <cell r="B2227" t="str">
            <v>ARBRE D'AGITATION</v>
          </cell>
          <cell r="C2227" t="str">
            <v>PL Y63467B REP4</v>
          </cell>
          <cell r="D2227" t="str">
            <v>PE</v>
          </cell>
          <cell r="E2227" t="str">
            <v>515.51511</v>
          </cell>
          <cell r="F2227">
            <v>116035.32919999999</v>
          </cell>
          <cell r="G2227">
            <v>0</v>
          </cell>
          <cell r="H2227">
            <v>0</v>
          </cell>
          <cell r="I2227">
            <v>0</v>
          </cell>
          <cell r="J2227">
            <v>0</v>
          </cell>
          <cell r="K2227">
            <v>0</v>
          </cell>
          <cell r="L2227">
            <v>1</v>
          </cell>
        </row>
        <row r="2228">
          <cell r="A2228" t="str">
            <v>20706.00313</v>
          </cell>
          <cell r="B2228" t="str">
            <v>ENTRETOISE</v>
          </cell>
          <cell r="C2228" t="str">
            <v>PL Y63450D REP1</v>
          </cell>
          <cell r="D2228" t="str">
            <v>PE</v>
          </cell>
          <cell r="E2228" t="str">
            <v>515.51511</v>
          </cell>
          <cell r="F2228">
            <v>3166.9088000000002</v>
          </cell>
          <cell r="G2228">
            <v>0</v>
          </cell>
          <cell r="H2228">
            <v>0</v>
          </cell>
          <cell r="I2228">
            <v>0</v>
          </cell>
          <cell r="J2228">
            <v>0</v>
          </cell>
          <cell r="K2228">
            <v>1</v>
          </cell>
          <cell r="L2228">
            <v>0</v>
          </cell>
        </row>
        <row r="2229">
          <cell r="A2229" t="str">
            <v>20706.00315</v>
          </cell>
          <cell r="B2229" t="str">
            <v>TURBINE</v>
          </cell>
          <cell r="C2229" t="str">
            <v>PL Y63466B REP6</v>
          </cell>
          <cell r="D2229" t="str">
            <v>PE</v>
          </cell>
          <cell r="E2229" t="str">
            <v>515.51511</v>
          </cell>
          <cell r="F2229">
            <v>173601.4944</v>
          </cell>
          <cell r="G2229">
            <v>0</v>
          </cell>
          <cell r="H2229">
            <v>0</v>
          </cell>
          <cell r="I2229">
            <v>0</v>
          </cell>
          <cell r="J2229">
            <v>0</v>
          </cell>
          <cell r="K2229">
            <v>0</v>
          </cell>
          <cell r="L2229">
            <v>1</v>
          </cell>
        </row>
        <row r="2230">
          <cell r="A2230" t="str">
            <v>20706.00319</v>
          </cell>
          <cell r="B2230" t="str">
            <v>HELICE</v>
          </cell>
          <cell r="C2230" t="str">
            <v>PL Y63468 REP6</v>
          </cell>
          <cell r="D2230" t="str">
            <v>PE</v>
          </cell>
          <cell r="E2230" t="str">
            <v>515.51511</v>
          </cell>
          <cell r="F2230">
            <v>1073384.1406</v>
          </cell>
          <cell r="G2230">
            <v>0</v>
          </cell>
          <cell r="H2230">
            <v>0</v>
          </cell>
          <cell r="I2230">
            <v>0</v>
          </cell>
          <cell r="J2230">
            <v>0</v>
          </cell>
          <cell r="K2230">
            <v>0</v>
          </cell>
          <cell r="L2230">
            <v>1</v>
          </cell>
        </row>
        <row r="2231">
          <cell r="A2231" t="str">
            <v>20708.00542</v>
          </cell>
          <cell r="B2231" t="str">
            <v>TUBE DE MESURE POUR DEBITMETRE</v>
          </cell>
          <cell r="C2231" t="str">
            <v>8705APA030SIWONOG2DTQ4</v>
          </cell>
          <cell r="D2231" t="str">
            <v>PE</v>
          </cell>
          <cell r="E2231" t="str">
            <v>512.51201</v>
          </cell>
          <cell r="F2231">
            <v>27690.54</v>
          </cell>
          <cell r="G2231">
            <v>0</v>
          </cell>
          <cell r="H2231">
            <v>0</v>
          </cell>
          <cell r="I2231">
            <v>1</v>
          </cell>
          <cell r="J2231">
            <v>0</v>
          </cell>
          <cell r="K2231">
            <v>0</v>
          </cell>
          <cell r="L2231">
            <v>0</v>
          </cell>
        </row>
        <row r="2232">
          <cell r="A2232" t="str">
            <v>20709.00459</v>
          </cell>
          <cell r="B2232" t="str">
            <v>CABLE DE MESURE CYK 71 LONG MINIMALE=5M</v>
          </cell>
          <cell r="C2232" t="str">
            <v>500 85 333</v>
          </cell>
          <cell r="D2232" t="str">
            <v>PE</v>
          </cell>
          <cell r="E2232" t="str">
            <v>512.51201</v>
          </cell>
          <cell r="F2232">
            <v>806.9</v>
          </cell>
          <cell r="G2232">
            <v>0</v>
          </cell>
          <cell r="H2232">
            <v>0</v>
          </cell>
          <cell r="I2232">
            <v>0</v>
          </cell>
          <cell r="J2232">
            <v>0</v>
          </cell>
          <cell r="K2232">
            <v>0</v>
          </cell>
          <cell r="L2232">
            <v>3</v>
          </cell>
        </row>
        <row r="2233">
          <cell r="A2233" t="str">
            <v>20709.00604</v>
          </cell>
          <cell r="B2233" t="str">
            <v xml:space="preserve">PATE DE COUPLAGE ACOUSTIQUE </v>
          </cell>
          <cell r="C2233" t="str">
            <v>DK9CM-7</v>
          </cell>
          <cell r="D2233" t="str">
            <v>PE</v>
          </cell>
          <cell r="E2233" t="str">
            <v>512.51201</v>
          </cell>
          <cell r="F2233">
            <v>375</v>
          </cell>
          <cell r="G2233">
            <v>0</v>
          </cell>
          <cell r="H2233">
            <v>0</v>
          </cell>
          <cell r="I2233">
            <v>0</v>
          </cell>
          <cell r="J2233">
            <v>0</v>
          </cell>
          <cell r="K2233">
            <v>4</v>
          </cell>
          <cell r="L2233">
            <v>0</v>
          </cell>
        </row>
        <row r="2234">
          <cell r="A2234" t="str">
            <v>20709.00605</v>
          </cell>
          <cell r="B2234" t="str">
            <v xml:space="preserve">CAPTEUR DE NIVEAU </v>
          </cell>
          <cell r="C2234" t="str">
            <v>FM121-C1C2C2</v>
          </cell>
          <cell r="D2234" t="str">
            <v>PE</v>
          </cell>
          <cell r="E2234" t="str">
            <v>512.51201</v>
          </cell>
          <cell r="F2234">
            <v>8360</v>
          </cell>
          <cell r="G2234">
            <v>0</v>
          </cell>
          <cell r="H2234">
            <v>0</v>
          </cell>
          <cell r="I2234">
            <v>0</v>
          </cell>
          <cell r="J2234">
            <v>0</v>
          </cell>
          <cell r="K2234">
            <v>0</v>
          </cell>
          <cell r="L2234">
            <v>1</v>
          </cell>
        </row>
        <row r="2235">
          <cell r="A2235" t="str">
            <v>20709.00679</v>
          </cell>
          <cell r="B2235" t="str">
            <v>TRANSMETTEUR COMPACT DE NIVEAU PAR ULTRASON</v>
          </cell>
          <cell r="C2235" t="str">
            <v>FMU40-ANB3A3   PROSONIC M</v>
          </cell>
          <cell r="D2235" t="str">
            <v>PE</v>
          </cell>
          <cell r="E2235" t="str">
            <v>512.51201</v>
          </cell>
          <cell r="F2235">
            <v>7800</v>
          </cell>
          <cell r="G2235">
            <v>0</v>
          </cell>
          <cell r="H2235">
            <v>1</v>
          </cell>
          <cell r="I2235">
            <v>0</v>
          </cell>
          <cell r="J2235">
            <v>0</v>
          </cell>
          <cell r="K2235">
            <v>0</v>
          </cell>
          <cell r="L2235">
            <v>1</v>
          </cell>
        </row>
        <row r="2236">
          <cell r="A2236" t="str">
            <v>20706.00444</v>
          </cell>
          <cell r="B2236" t="str">
            <v>JEU DE BOULON HM24X130 +ECROU Hm M24 +RONDELLE MU24</v>
          </cell>
          <cell r="C2236" t="str">
            <v>PL Y63437 REP 28</v>
          </cell>
          <cell r="D2236" t="str">
            <v>PE</v>
          </cell>
          <cell r="E2236" t="str">
            <v>515.51511</v>
          </cell>
          <cell r="F2236">
            <v>1715.4088999999999</v>
          </cell>
          <cell r="G2236">
            <v>0</v>
          </cell>
          <cell r="H2236">
            <v>0</v>
          </cell>
          <cell r="I2236">
            <v>0</v>
          </cell>
          <cell r="J2236">
            <v>0</v>
          </cell>
          <cell r="K2236">
            <v>0</v>
          </cell>
          <cell r="L2236">
            <v>1</v>
          </cell>
        </row>
        <row r="2237">
          <cell r="A2237" t="str">
            <v>20706.00443</v>
          </cell>
          <cell r="B2237" t="str">
            <v>JEU DE BOULON HM16X100 + ECROU Hm M16 + RONDELLE MU16</v>
          </cell>
          <cell r="C2237" t="str">
            <v>PL Y63449 REP 29</v>
          </cell>
          <cell r="D2237" t="str">
            <v>PE</v>
          </cell>
          <cell r="E2237" t="str">
            <v>515.51511</v>
          </cell>
          <cell r="F2237">
            <v>1055.6362999999999</v>
          </cell>
          <cell r="G2237">
            <v>0</v>
          </cell>
          <cell r="H2237">
            <v>0</v>
          </cell>
          <cell r="I2237">
            <v>0</v>
          </cell>
          <cell r="J2237">
            <v>0</v>
          </cell>
          <cell r="K2237">
            <v>0</v>
          </cell>
          <cell r="L2237">
            <v>2</v>
          </cell>
        </row>
        <row r="2238">
          <cell r="A2238" t="str">
            <v>20709.00388</v>
          </cell>
          <cell r="B2238" t="str">
            <v>DEBIMETRE  ELECTROMAGNETIQUE</v>
          </cell>
          <cell r="C2238" t="str">
            <v>23P1F-EL0A1AA012CA DN 150 REVETEMENT EN PTFE ELECTRODE 316L</v>
          </cell>
          <cell r="D2238" t="str">
            <v>PE</v>
          </cell>
          <cell r="E2238" t="str">
            <v>512.51201</v>
          </cell>
          <cell r="F2238">
            <v>49000</v>
          </cell>
          <cell r="G2238">
            <v>0</v>
          </cell>
          <cell r="H2238">
            <v>0</v>
          </cell>
          <cell r="I2238">
            <v>0</v>
          </cell>
          <cell r="J2238">
            <v>0</v>
          </cell>
          <cell r="K2238">
            <v>1</v>
          </cell>
          <cell r="L2238">
            <v>0</v>
          </cell>
        </row>
        <row r="2239">
          <cell r="A2239" t="str">
            <v>20709.00389</v>
          </cell>
          <cell r="B2239" t="str">
            <v>TRANSMETTEUR DE NIVEAU RADAR</v>
          </cell>
          <cell r="C2239" t="str">
            <v>FMR 231 AFAPKAA2AA</v>
          </cell>
          <cell r="D2239" t="str">
            <v>PE</v>
          </cell>
          <cell r="E2239" t="str">
            <v>512.51201</v>
          </cell>
          <cell r="F2239">
            <v>34342.379999999997</v>
          </cell>
          <cell r="G2239">
            <v>0</v>
          </cell>
          <cell r="H2239">
            <v>0</v>
          </cell>
          <cell r="I2239">
            <v>1</v>
          </cell>
          <cell r="J2239">
            <v>0</v>
          </cell>
          <cell r="K2239">
            <v>0</v>
          </cell>
          <cell r="L2239">
            <v>0</v>
          </cell>
        </row>
        <row r="2240">
          <cell r="A2240" t="str">
            <v>20709.00390</v>
          </cell>
          <cell r="B2240" t="str">
            <v>TRANSMETTEUR DE NIVEAU RADAR</v>
          </cell>
          <cell r="C2240" t="str">
            <v>FMR 230 A6VAQJKA2A</v>
          </cell>
          <cell r="D2240" t="str">
            <v>PE</v>
          </cell>
          <cell r="E2240" t="str">
            <v>512.51201</v>
          </cell>
          <cell r="F2240">
            <v>15359.5</v>
          </cell>
          <cell r="G2240">
            <v>0</v>
          </cell>
          <cell r="H2240">
            <v>1</v>
          </cell>
          <cell r="I2240">
            <v>0</v>
          </cell>
          <cell r="J2240">
            <v>0</v>
          </cell>
          <cell r="K2240">
            <v>0</v>
          </cell>
          <cell r="L2240">
            <v>2</v>
          </cell>
        </row>
        <row r="2241">
          <cell r="A2241" t="str">
            <v>20708.00381</v>
          </cell>
          <cell r="B2241" t="str">
            <v>TRANSMETTEUR DE PH /REDOX</v>
          </cell>
          <cell r="C2241" t="str">
            <v>5081-P-HT-21-60</v>
          </cell>
          <cell r="D2241" t="str">
            <v>PE</v>
          </cell>
          <cell r="E2241" t="str">
            <v>512.51201</v>
          </cell>
          <cell r="F2241">
            <v>6525.4766</v>
          </cell>
          <cell r="G2241">
            <v>0</v>
          </cell>
          <cell r="H2241">
            <v>0</v>
          </cell>
          <cell r="I2241">
            <v>0</v>
          </cell>
          <cell r="J2241">
            <v>0</v>
          </cell>
          <cell r="K2241">
            <v>0</v>
          </cell>
          <cell r="L2241">
            <v>1</v>
          </cell>
        </row>
        <row r="2242">
          <cell r="A2242" t="str">
            <v>20709.01529</v>
          </cell>
          <cell r="B2242" t="str">
            <v>TRANSMETTEUR DE PRESSION</v>
          </cell>
          <cell r="C2242" t="str">
            <v>PMD75-ABJ7881DAAU ECHELLE 0-80 MBAR</v>
          </cell>
          <cell r="D2242" t="str">
            <v>PE</v>
          </cell>
          <cell r="E2242" t="str">
            <v>512.51201</v>
          </cell>
          <cell r="F2242">
            <v>11410.16</v>
          </cell>
          <cell r="G2242">
            <v>0</v>
          </cell>
          <cell r="H2242">
            <v>0</v>
          </cell>
          <cell r="I2242">
            <v>0</v>
          </cell>
          <cell r="J2242">
            <v>0</v>
          </cell>
          <cell r="K2242">
            <v>0</v>
          </cell>
          <cell r="L2242">
            <v>1</v>
          </cell>
        </row>
        <row r="2243">
          <cell r="A2243" t="str">
            <v>20709.01530</v>
          </cell>
          <cell r="B2243" t="str">
            <v>TRANSMETTEUR DE PRESSION</v>
          </cell>
          <cell r="C2243" t="str">
            <v>PMD75-ABJ7FB1DAAU ECHELLE 0-500 MBAR</v>
          </cell>
          <cell r="D2243" t="str">
            <v>PE</v>
          </cell>
          <cell r="E2243" t="str">
            <v>512.51201</v>
          </cell>
          <cell r="F2243">
            <v>11402.89</v>
          </cell>
          <cell r="G2243">
            <v>0</v>
          </cell>
          <cell r="H2243">
            <v>0</v>
          </cell>
          <cell r="I2243">
            <v>0</v>
          </cell>
          <cell r="J2243">
            <v>0</v>
          </cell>
          <cell r="K2243">
            <v>0</v>
          </cell>
          <cell r="L2243">
            <v>2</v>
          </cell>
        </row>
        <row r="2244">
          <cell r="A2244" t="str">
            <v>20709.01531</v>
          </cell>
          <cell r="B2244" t="str">
            <v>THERMORESISTANCE MODULAIRE</v>
          </cell>
          <cell r="C2244" t="str">
            <v>TR10-AAA1CDSGH3000</v>
          </cell>
          <cell r="D2244" t="str">
            <v>PE</v>
          </cell>
          <cell r="E2244" t="str">
            <v>512.51201</v>
          </cell>
          <cell r="F2244">
            <v>3471.25</v>
          </cell>
          <cell r="G2244">
            <v>0</v>
          </cell>
          <cell r="H2244">
            <v>0</v>
          </cell>
          <cell r="I2244">
            <v>0</v>
          </cell>
          <cell r="J2244">
            <v>0</v>
          </cell>
          <cell r="K2244">
            <v>0</v>
          </cell>
          <cell r="L2244">
            <v>1</v>
          </cell>
        </row>
        <row r="2245">
          <cell r="A2245" t="str">
            <v>20709.01532</v>
          </cell>
          <cell r="B2245" t="str">
            <v>THERMORESISTANCE MODULAIRE</v>
          </cell>
          <cell r="C2245" t="str">
            <v>TR10-AAA1CDSDH3000</v>
          </cell>
          <cell r="D2245" t="str">
            <v>PE</v>
          </cell>
          <cell r="E2245" t="str">
            <v>512.51201</v>
          </cell>
          <cell r="F2245">
            <v>3374.53</v>
          </cell>
          <cell r="G2245">
            <v>0</v>
          </cell>
          <cell r="H2245">
            <v>0</v>
          </cell>
          <cell r="I2245">
            <v>0</v>
          </cell>
          <cell r="J2245">
            <v>0</v>
          </cell>
          <cell r="K2245">
            <v>0</v>
          </cell>
          <cell r="L2245">
            <v>1</v>
          </cell>
        </row>
        <row r="2246">
          <cell r="A2246" t="str">
            <v>20709.01533</v>
          </cell>
          <cell r="B2246" t="str">
            <v>SONDE DE NIVEAU LONG CABLE 4M</v>
          </cell>
          <cell r="C2246" t="str">
            <v>FMX167-B3ABC1A7</v>
          </cell>
          <cell r="D2246" t="str">
            <v>PE</v>
          </cell>
          <cell r="E2246" t="str">
            <v>512.51201</v>
          </cell>
          <cell r="F2246">
            <v>5432.5</v>
          </cell>
          <cell r="G2246">
            <v>0</v>
          </cell>
          <cell r="H2246">
            <v>1</v>
          </cell>
          <cell r="I2246">
            <v>0</v>
          </cell>
          <cell r="J2246">
            <v>1</v>
          </cell>
          <cell r="K2246">
            <v>0</v>
          </cell>
          <cell r="L2246">
            <v>0</v>
          </cell>
        </row>
        <row r="2247">
          <cell r="A2247" t="str">
            <v>20709.01526</v>
          </cell>
          <cell r="B2247" t="str">
            <v>DEBIMETRE ELECTROMAGNETIQUE</v>
          </cell>
          <cell r="C2247" t="str">
            <v>10P40-EL1A1AA0A4AA</v>
          </cell>
          <cell r="D2247" t="str">
            <v>PE</v>
          </cell>
          <cell r="E2247" t="str">
            <v>512.51201</v>
          </cell>
          <cell r="F2247">
            <v>14262.03</v>
          </cell>
          <cell r="G2247">
            <v>0</v>
          </cell>
          <cell r="H2247">
            <v>0</v>
          </cell>
          <cell r="I2247">
            <v>0</v>
          </cell>
          <cell r="J2247">
            <v>1</v>
          </cell>
          <cell r="K2247">
            <v>0</v>
          </cell>
          <cell r="L2247">
            <v>0</v>
          </cell>
        </row>
        <row r="2248">
          <cell r="A2248" t="str">
            <v>20709.01527</v>
          </cell>
          <cell r="B2248" t="str">
            <v>DEBIMETRE ELECTROMAGNETIQUE</v>
          </cell>
          <cell r="C2248" t="str">
            <v>50P25-EL2A1AA0AAAA</v>
          </cell>
          <cell r="D2248" t="str">
            <v>PE</v>
          </cell>
          <cell r="E2248" t="str">
            <v>512.51201</v>
          </cell>
          <cell r="F2248">
            <v>20340.16</v>
          </cell>
          <cell r="G2248">
            <v>0</v>
          </cell>
          <cell r="H2248">
            <v>0</v>
          </cell>
          <cell r="I2248">
            <v>0</v>
          </cell>
          <cell r="J2248">
            <v>0</v>
          </cell>
          <cell r="K2248">
            <v>0</v>
          </cell>
          <cell r="L2248">
            <v>1</v>
          </cell>
        </row>
        <row r="2249">
          <cell r="A2249" t="str">
            <v>20709.01528</v>
          </cell>
          <cell r="B2249" t="str">
            <v>TRANSMETTEUR DE PRESSION</v>
          </cell>
          <cell r="C2249" t="str">
            <v>PMD75-ABJ7881DAAU ECHELLE 0-8 MBAR</v>
          </cell>
          <cell r="D2249" t="str">
            <v>PE</v>
          </cell>
          <cell r="E2249" t="str">
            <v>512.51201</v>
          </cell>
          <cell r="F2249">
            <v>12256.88</v>
          </cell>
          <cell r="G2249">
            <v>0</v>
          </cell>
          <cell r="H2249">
            <v>0</v>
          </cell>
          <cell r="I2249">
            <v>0</v>
          </cell>
          <cell r="J2249">
            <v>0</v>
          </cell>
          <cell r="K2249">
            <v>0</v>
          </cell>
          <cell r="L2249">
            <v>1</v>
          </cell>
        </row>
        <row r="2250">
          <cell r="A2250" t="str">
            <v>20709.01538</v>
          </cell>
          <cell r="B2250" t="str">
            <v>DETECTEUR DE NIVEAU CONDUCTIF LIQUIPOINT</v>
          </cell>
          <cell r="C2250" t="str">
            <v>FTW32-A2D2AA4A LONG 12000MM</v>
          </cell>
          <cell r="D2250" t="str">
            <v>PE</v>
          </cell>
          <cell r="E2250" t="str">
            <v>512.51201</v>
          </cell>
          <cell r="F2250">
            <v>4010.94</v>
          </cell>
          <cell r="G2250">
            <v>0</v>
          </cell>
          <cell r="H2250">
            <v>0</v>
          </cell>
          <cell r="I2250">
            <v>0</v>
          </cell>
          <cell r="J2250">
            <v>0</v>
          </cell>
          <cell r="K2250">
            <v>0</v>
          </cell>
          <cell r="L2250">
            <v>1</v>
          </cell>
        </row>
        <row r="2251">
          <cell r="A2251" t="str">
            <v>20709.01539</v>
          </cell>
          <cell r="B2251" t="str">
            <v>DETECTEUR DE NIVEAU CONDUCTIF LIQUIPOINT</v>
          </cell>
          <cell r="C2251" t="str">
            <v>FTW32-A2D2AA4A LONG 15000MM</v>
          </cell>
          <cell r="D2251" t="str">
            <v>PE</v>
          </cell>
          <cell r="E2251" t="str">
            <v>512.51201</v>
          </cell>
          <cell r="F2251">
            <v>4489.0600000000004</v>
          </cell>
          <cell r="G2251">
            <v>0</v>
          </cell>
          <cell r="H2251">
            <v>1</v>
          </cell>
          <cell r="I2251">
            <v>0</v>
          </cell>
          <cell r="J2251">
            <v>0</v>
          </cell>
          <cell r="K2251">
            <v>0</v>
          </cell>
          <cell r="L2251">
            <v>0</v>
          </cell>
        </row>
        <row r="2252">
          <cell r="A2252" t="str">
            <v>20709.01534</v>
          </cell>
          <cell r="B2252" t="str">
            <v>SONDE DE NIVEAU LONG CABLE 10M</v>
          </cell>
          <cell r="C2252" t="str">
            <v>FMX167-A4AMD2B3</v>
          </cell>
          <cell r="D2252" t="str">
            <v>PE</v>
          </cell>
          <cell r="E2252" t="str">
            <v>512.51201</v>
          </cell>
          <cell r="F2252">
            <v>6255.5</v>
          </cell>
          <cell r="G2252">
            <v>0</v>
          </cell>
          <cell r="H2252">
            <v>1</v>
          </cell>
          <cell r="I2252">
            <v>1</v>
          </cell>
          <cell r="J2252">
            <v>0</v>
          </cell>
          <cell r="K2252">
            <v>0</v>
          </cell>
          <cell r="L2252">
            <v>0</v>
          </cell>
        </row>
        <row r="2253">
          <cell r="A2253" t="str">
            <v>20709.01535</v>
          </cell>
          <cell r="B2253" t="str">
            <v>DETECTEUR DE NIVEAU CONDUCTIF LIQUIPOINT</v>
          </cell>
          <cell r="C2253" t="str">
            <v>FTW32-A2D2AA4A LONG 3400MM</v>
          </cell>
          <cell r="D2253" t="str">
            <v>PE</v>
          </cell>
          <cell r="E2253" t="str">
            <v>512.51201</v>
          </cell>
          <cell r="F2253">
            <v>2669.53</v>
          </cell>
          <cell r="G2253">
            <v>0</v>
          </cell>
          <cell r="H2253">
            <v>0</v>
          </cell>
          <cell r="I2253">
            <v>0</v>
          </cell>
          <cell r="J2253">
            <v>0</v>
          </cell>
          <cell r="K2253">
            <v>0</v>
          </cell>
          <cell r="L2253">
            <v>1</v>
          </cell>
        </row>
        <row r="2254">
          <cell r="A2254" t="str">
            <v>20709.01536</v>
          </cell>
          <cell r="B2254" t="str">
            <v>DETECTEUR DE NIVEAU CONDUCTIF LIQUIPOINT</v>
          </cell>
          <cell r="C2254" t="str">
            <v>FTW32-A2D2AA4A LONG 5600MM</v>
          </cell>
          <cell r="D2254" t="str">
            <v>PE</v>
          </cell>
          <cell r="E2254" t="str">
            <v>512.51201</v>
          </cell>
          <cell r="F2254">
            <v>3014.84</v>
          </cell>
          <cell r="G2254">
            <v>0</v>
          </cell>
          <cell r="H2254">
            <v>0</v>
          </cell>
          <cell r="I2254">
            <v>0</v>
          </cell>
          <cell r="J2254">
            <v>0</v>
          </cell>
          <cell r="K2254">
            <v>0</v>
          </cell>
          <cell r="L2254">
            <v>1</v>
          </cell>
        </row>
        <row r="2255">
          <cell r="A2255" t="str">
            <v>20709.01537</v>
          </cell>
          <cell r="B2255" t="str">
            <v>DETECTEUR DE NIVEAU CONDUCTIF LIQUIPOINT</v>
          </cell>
          <cell r="C2255" t="str">
            <v>FTW32-A2D2AA4A LONG 11000MM</v>
          </cell>
          <cell r="D2255" t="str">
            <v>PE</v>
          </cell>
          <cell r="E2255" t="str">
            <v>512.51201</v>
          </cell>
          <cell r="F2255">
            <v>3864.84</v>
          </cell>
          <cell r="G2255">
            <v>0</v>
          </cell>
          <cell r="H2255">
            <v>0</v>
          </cell>
          <cell r="I2255">
            <v>0</v>
          </cell>
          <cell r="J2255">
            <v>0</v>
          </cell>
          <cell r="K2255">
            <v>0</v>
          </cell>
          <cell r="L2255">
            <v>1</v>
          </cell>
        </row>
        <row r="2256">
          <cell r="A2256" t="str">
            <v>20706.00430</v>
          </cell>
          <cell r="B2256" t="str">
            <v>ARBRE D'AGITATION</v>
          </cell>
          <cell r="C2256" t="str">
            <v xml:space="preserve">PL Y63449 REP 30 </v>
          </cell>
          <cell r="D2256" t="str">
            <v>PE</v>
          </cell>
          <cell r="E2256" t="str">
            <v>515.51511</v>
          </cell>
          <cell r="F2256">
            <v>30679.4287</v>
          </cell>
          <cell r="G2256">
            <v>0</v>
          </cell>
          <cell r="H2256">
            <v>0</v>
          </cell>
          <cell r="I2256">
            <v>0</v>
          </cell>
          <cell r="J2256">
            <v>0</v>
          </cell>
          <cell r="K2256">
            <v>0</v>
          </cell>
          <cell r="L2256">
            <v>1</v>
          </cell>
        </row>
        <row r="2257">
          <cell r="A2257" t="str">
            <v>20706.00431</v>
          </cell>
          <cell r="B2257" t="str">
            <v>TURBINE COULISSANTE REVETUE TA 15/12/130/SP/4</v>
          </cell>
          <cell r="C2257" t="str">
            <v xml:space="preserve">PL Y63466 REP 6 </v>
          </cell>
          <cell r="D2257" t="str">
            <v>PE</v>
          </cell>
          <cell r="E2257" t="str">
            <v>515.51511</v>
          </cell>
          <cell r="F2257">
            <v>180447.82250000001</v>
          </cell>
          <cell r="G2257">
            <v>0</v>
          </cell>
          <cell r="H2257">
            <v>0</v>
          </cell>
          <cell r="I2257">
            <v>0</v>
          </cell>
          <cell r="J2257">
            <v>0</v>
          </cell>
          <cell r="K2257">
            <v>0</v>
          </cell>
          <cell r="L2257">
            <v>1</v>
          </cell>
        </row>
        <row r="2258">
          <cell r="A2258" t="str">
            <v>20706.00429</v>
          </cell>
          <cell r="B2258" t="str">
            <v>TIRANT M30 LONG 740 MM+2 ECROUS HM30 EN INOX 316+2 FREIN D'ECROU Ø 30 EN INOX UB6</v>
          </cell>
          <cell r="C2258" t="str">
            <v xml:space="preserve">PL Y63465 REP 7 A REP 9 </v>
          </cell>
          <cell r="D2258" t="str">
            <v>PE</v>
          </cell>
          <cell r="E2258" t="str">
            <v>515.51511</v>
          </cell>
          <cell r="F2258">
            <v>1583.4544000000001</v>
          </cell>
          <cell r="G2258">
            <v>0</v>
          </cell>
          <cell r="H2258">
            <v>0</v>
          </cell>
          <cell r="I2258">
            <v>0</v>
          </cell>
          <cell r="J2258">
            <v>0</v>
          </cell>
          <cell r="K2258">
            <v>0</v>
          </cell>
          <cell r="L2258">
            <v>1</v>
          </cell>
        </row>
        <row r="2259">
          <cell r="A2259" t="str">
            <v>20709.00368</v>
          </cell>
          <cell r="B2259" t="str">
            <v>CAPTEUR DE TURBIDITE</v>
          </cell>
          <cell r="C2259" t="str">
            <v>CUS31-W2S</v>
          </cell>
          <cell r="D2259" t="str">
            <v>PE</v>
          </cell>
          <cell r="E2259" t="str">
            <v>512.51201</v>
          </cell>
          <cell r="F2259">
            <v>26633</v>
          </cell>
          <cell r="G2259">
            <v>0</v>
          </cell>
          <cell r="H2259">
            <v>1</v>
          </cell>
          <cell r="I2259">
            <v>0</v>
          </cell>
          <cell r="J2259">
            <v>0</v>
          </cell>
          <cell r="K2259">
            <v>0</v>
          </cell>
          <cell r="L2259">
            <v>0</v>
          </cell>
        </row>
        <row r="2260">
          <cell r="A2260" t="str">
            <v>20709.00369</v>
          </cell>
          <cell r="B2260" t="str">
            <v>TRANSMETTEUR D'ANALYSE</v>
          </cell>
          <cell r="C2260" t="str">
            <v>CM42-PAA100EAF00</v>
          </cell>
          <cell r="D2260" t="str">
            <v>PE</v>
          </cell>
          <cell r="E2260" t="str">
            <v>512.51201</v>
          </cell>
          <cell r="F2260">
            <v>11098.764999999999</v>
          </cell>
          <cell r="G2260">
            <v>0</v>
          </cell>
          <cell r="H2260">
            <v>0</v>
          </cell>
          <cell r="I2260">
            <v>0</v>
          </cell>
          <cell r="J2260">
            <v>0</v>
          </cell>
          <cell r="K2260">
            <v>0</v>
          </cell>
          <cell r="L2260">
            <v>1</v>
          </cell>
        </row>
        <row r="2261">
          <cell r="A2261" t="str">
            <v>20709.00370</v>
          </cell>
          <cell r="B2261" t="str">
            <v>ENSEMBLE DE MESURE DE PH</v>
          </cell>
          <cell r="C2261" t="str">
            <v>CPF201-A1A</v>
          </cell>
          <cell r="D2261" t="str">
            <v>PE</v>
          </cell>
          <cell r="E2261" t="str">
            <v>512.51201</v>
          </cell>
          <cell r="F2261">
            <v>13865.13</v>
          </cell>
          <cell r="G2261">
            <v>0</v>
          </cell>
          <cell r="H2261">
            <v>0</v>
          </cell>
          <cell r="I2261">
            <v>0</v>
          </cell>
          <cell r="J2261">
            <v>0</v>
          </cell>
          <cell r="K2261">
            <v>0</v>
          </cell>
          <cell r="L2261">
            <v>1</v>
          </cell>
        </row>
        <row r="2262">
          <cell r="A2262" t="str">
            <v>20709.00371</v>
          </cell>
          <cell r="B2262" t="str">
            <v>TRANSMETTEUR D'ANALYSE</v>
          </cell>
          <cell r="C2262" t="str">
            <v>CM42-CAA100EAF00</v>
          </cell>
          <cell r="D2262" t="str">
            <v>PE</v>
          </cell>
          <cell r="E2262" t="str">
            <v>512.51201</v>
          </cell>
          <cell r="F2262">
            <v>11098.764999999999</v>
          </cell>
          <cell r="G2262">
            <v>0</v>
          </cell>
          <cell r="H2262">
            <v>0</v>
          </cell>
          <cell r="I2262">
            <v>0</v>
          </cell>
          <cell r="J2262">
            <v>0</v>
          </cell>
          <cell r="K2262">
            <v>0</v>
          </cell>
          <cell r="L2262">
            <v>1</v>
          </cell>
        </row>
        <row r="2263">
          <cell r="A2263" t="str">
            <v>20709.00372</v>
          </cell>
          <cell r="B2263" t="str">
            <v>CELLULE DE CONDUCTIVITE</v>
          </cell>
          <cell r="C2263" t="str">
            <v>CLS15-A1A1A</v>
          </cell>
          <cell r="D2263" t="str">
            <v>PE</v>
          </cell>
          <cell r="E2263" t="str">
            <v>512.51201</v>
          </cell>
          <cell r="F2263">
            <v>4771.7</v>
          </cell>
          <cell r="G2263">
            <v>0</v>
          </cell>
          <cell r="H2263">
            <v>0</v>
          </cell>
          <cell r="I2263">
            <v>0</v>
          </cell>
          <cell r="J2263">
            <v>2</v>
          </cell>
          <cell r="K2263">
            <v>0</v>
          </cell>
          <cell r="L2263">
            <v>2</v>
          </cell>
        </row>
        <row r="2264">
          <cell r="A2264" t="str">
            <v>20709.00373</v>
          </cell>
          <cell r="B2264" t="str">
            <v>ANALYSEUR DE PROCESS</v>
          </cell>
          <cell r="C2264" t="str">
            <v>CA71SI-A10B2A3</v>
          </cell>
          <cell r="D2264" t="str">
            <v>PE</v>
          </cell>
          <cell r="E2264" t="str">
            <v>512.51201</v>
          </cell>
          <cell r="F2264">
            <v>179074.95600000001</v>
          </cell>
          <cell r="G2264">
            <v>0</v>
          </cell>
          <cell r="H2264">
            <v>0</v>
          </cell>
          <cell r="I2264">
            <v>0</v>
          </cell>
          <cell r="J2264">
            <v>0</v>
          </cell>
          <cell r="K2264">
            <v>1</v>
          </cell>
          <cell r="L2264">
            <v>0</v>
          </cell>
        </row>
        <row r="2265">
          <cell r="A2265" t="str">
            <v>20709.00367</v>
          </cell>
          <cell r="B2265" t="str">
            <v>TRANSMETTEUR DE NIVEAU</v>
          </cell>
          <cell r="C2265" t="str">
            <v xml:space="preserve">FMU40-ARB3A2* </v>
          </cell>
          <cell r="D2265" t="str">
            <v>PE</v>
          </cell>
          <cell r="E2265" t="str">
            <v>512.51201</v>
          </cell>
          <cell r="F2265">
            <v>6800</v>
          </cell>
          <cell r="G2265">
            <v>0</v>
          </cell>
          <cell r="H2265">
            <v>1</v>
          </cell>
          <cell r="I2265">
            <v>1</v>
          </cell>
          <cell r="J2265">
            <v>0</v>
          </cell>
          <cell r="K2265">
            <v>0</v>
          </cell>
          <cell r="L2265">
            <v>1</v>
          </cell>
        </row>
        <row r="2266">
          <cell r="A2266" t="str">
            <v>20708.00436</v>
          </cell>
          <cell r="B2266" t="str">
            <v>TRANSMETTEUR 2 FILS DE CONDUCTIVITE</v>
          </cell>
          <cell r="C2266" t="str">
            <v>5081-T-HT-21-60</v>
          </cell>
          <cell r="D2266" t="str">
            <v>PE</v>
          </cell>
          <cell r="E2266" t="str">
            <v>512.51201</v>
          </cell>
          <cell r="F2266">
            <v>17187</v>
          </cell>
          <cell r="G2266">
            <v>0</v>
          </cell>
          <cell r="H2266">
            <v>0</v>
          </cell>
          <cell r="I2266">
            <v>0</v>
          </cell>
          <cell r="J2266">
            <v>0</v>
          </cell>
          <cell r="K2266">
            <v>0</v>
          </cell>
          <cell r="L2266">
            <v>1</v>
          </cell>
        </row>
        <row r="2267">
          <cell r="A2267" t="str">
            <v>20708.00437</v>
          </cell>
          <cell r="B2267" t="str">
            <v>SONDE DE CONDUCTIVITE</v>
          </cell>
          <cell r="C2267" t="str">
            <v>228-04-21-56-61</v>
          </cell>
          <cell r="D2267" t="str">
            <v>PE</v>
          </cell>
          <cell r="E2267" t="str">
            <v>512.51201</v>
          </cell>
          <cell r="F2267">
            <v>7599.6054999999997</v>
          </cell>
          <cell r="G2267">
            <v>0</v>
          </cell>
          <cell r="H2267">
            <v>0</v>
          </cell>
          <cell r="I2267">
            <v>0</v>
          </cell>
          <cell r="J2267">
            <v>0</v>
          </cell>
          <cell r="K2267">
            <v>0</v>
          </cell>
          <cell r="L2267">
            <v>3</v>
          </cell>
        </row>
        <row r="2268">
          <cell r="A2268" t="str">
            <v>20709.00376</v>
          </cell>
          <cell r="B2268" t="str">
            <v>TRANSMETTEUR DE TURBIDITE</v>
          </cell>
          <cell r="C2268" t="str">
            <v>CUM253-TU0610</v>
          </cell>
          <cell r="D2268" t="str">
            <v>PE</v>
          </cell>
          <cell r="E2268" t="str">
            <v>512.51201</v>
          </cell>
          <cell r="F2268">
            <v>21723</v>
          </cell>
          <cell r="G2268">
            <v>0</v>
          </cell>
          <cell r="H2268">
            <v>0</v>
          </cell>
          <cell r="I2268">
            <v>0</v>
          </cell>
          <cell r="J2268">
            <v>0</v>
          </cell>
          <cell r="K2268">
            <v>1</v>
          </cell>
          <cell r="L2268">
            <v>0</v>
          </cell>
        </row>
        <row r="2269">
          <cell r="A2269" t="str">
            <v>20709.00377</v>
          </cell>
          <cell r="B2269" t="str">
            <v>THERMOMETRE A RESISTANCE</v>
          </cell>
          <cell r="C2269" t="str">
            <v>TR11-AAEBHSUCB000***</v>
          </cell>
          <cell r="D2269" t="str">
            <v>PE</v>
          </cell>
          <cell r="E2269" t="str">
            <v>512.51201</v>
          </cell>
          <cell r="F2269">
            <v>2444.6552000000001</v>
          </cell>
          <cell r="G2269">
            <v>0</v>
          </cell>
          <cell r="H2269">
            <v>0</v>
          </cell>
          <cell r="I2269">
            <v>0</v>
          </cell>
          <cell r="J2269">
            <v>0</v>
          </cell>
          <cell r="K2269">
            <v>4</v>
          </cell>
          <cell r="L2269">
            <v>0</v>
          </cell>
        </row>
        <row r="2270">
          <cell r="A2270" t="str">
            <v>20709.00378</v>
          </cell>
          <cell r="B2270" t="str">
            <v>MANOMETRE A RESISTANCE</v>
          </cell>
          <cell r="C2270" t="str">
            <v>TR88-AA3B1X2CB000</v>
          </cell>
          <cell r="D2270" t="str">
            <v>PE</v>
          </cell>
          <cell r="E2270" t="str">
            <v>512.51201</v>
          </cell>
          <cell r="F2270">
            <v>1986.9314999999999</v>
          </cell>
          <cell r="G2270">
            <v>0</v>
          </cell>
          <cell r="H2270">
            <v>0</v>
          </cell>
          <cell r="I2270">
            <v>0</v>
          </cell>
          <cell r="J2270">
            <v>0</v>
          </cell>
          <cell r="K2270">
            <v>1</v>
          </cell>
          <cell r="L2270">
            <v>0</v>
          </cell>
        </row>
        <row r="2271">
          <cell r="A2271" t="str">
            <v>20709.00379</v>
          </cell>
          <cell r="B2271" t="str">
            <v>THERMOCOUPLE /CONVERTISSEUR DE MESURE</v>
          </cell>
          <cell r="C2271" t="str">
            <v>TC88-AA4B1D3HB200***</v>
          </cell>
          <cell r="D2271" t="str">
            <v>PE</v>
          </cell>
          <cell r="E2271" t="str">
            <v>512.51201</v>
          </cell>
          <cell r="F2271">
            <v>4072.4843999999998</v>
          </cell>
          <cell r="G2271">
            <v>0</v>
          </cell>
          <cell r="H2271">
            <v>0</v>
          </cell>
          <cell r="I2271">
            <v>0</v>
          </cell>
          <cell r="J2271">
            <v>0</v>
          </cell>
          <cell r="K2271">
            <v>4</v>
          </cell>
          <cell r="L2271">
            <v>0</v>
          </cell>
        </row>
        <row r="2272">
          <cell r="A2272" t="str">
            <v>20709.00380</v>
          </cell>
          <cell r="B2272" t="str">
            <v>THERMOCOUPLE /CONVERTISSEUR DE MESURE</v>
          </cell>
          <cell r="C2272" t="str">
            <v>TC88-AA5B1D3HB200***</v>
          </cell>
          <cell r="D2272" t="str">
            <v>PE</v>
          </cell>
          <cell r="E2272" t="str">
            <v>512.51201</v>
          </cell>
          <cell r="F2272">
            <v>4161.8127999999997</v>
          </cell>
          <cell r="G2272">
            <v>0</v>
          </cell>
          <cell r="H2272">
            <v>0</v>
          </cell>
          <cell r="I2272">
            <v>0</v>
          </cell>
          <cell r="J2272">
            <v>0</v>
          </cell>
          <cell r="K2272">
            <v>4</v>
          </cell>
          <cell r="L2272">
            <v>0</v>
          </cell>
        </row>
        <row r="2273">
          <cell r="A2273" t="str">
            <v>20709.00381</v>
          </cell>
          <cell r="B2273" t="str">
            <v>SONDE DE DETECTION DE TEMPERATURE</v>
          </cell>
          <cell r="C2273" t="str">
            <v>TR88-AAACASU23000***</v>
          </cell>
          <cell r="D2273" t="str">
            <v>PE</v>
          </cell>
          <cell r="E2273" t="str">
            <v>512.51201</v>
          </cell>
          <cell r="F2273">
            <v>2153.8036000000002</v>
          </cell>
          <cell r="G2273">
            <v>0</v>
          </cell>
          <cell r="H2273">
            <v>0</v>
          </cell>
          <cell r="I2273">
            <v>0</v>
          </cell>
          <cell r="J2273">
            <v>0</v>
          </cell>
          <cell r="K2273">
            <v>1</v>
          </cell>
          <cell r="L2273">
            <v>0</v>
          </cell>
        </row>
        <row r="2274">
          <cell r="A2274" t="str">
            <v>20709.00383</v>
          </cell>
          <cell r="B2274" t="str">
            <v>TRANSMETTEUR DE NIVEAU</v>
          </cell>
          <cell r="C2274" t="str">
            <v>FMI51-A1AGCJA1A1A*</v>
          </cell>
          <cell r="D2274" t="str">
            <v>PE</v>
          </cell>
          <cell r="E2274" t="str">
            <v>512.51201</v>
          </cell>
          <cell r="F2274">
            <v>9315.9092999999993</v>
          </cell>
          <cell r="G2274">
            <v>0</v>
          </cell>
          <cell r="H2274">
            <v>0</v>
          </cell>
          <cell r="I2274">
            <v>0</v>
          </cell>
          <cell r="J2274">
            <v>0</v>
          </cell>
          <cell r="K2274">
            <v>0</v>
          </cell>
          <cell r="L2274">
            <v>0</v>
          </cell>
        </row>
        <row r="2275">
          <cell r="A2275" t="str">
            <v>20709.00384</v>
          </cell>
          <cell r="B2275" t="str">
            <v>SONDE DE DETECTION DE TEMPERATURE</v>
          </cell>
          <cell r="C2275" t="str">
            <v>TR11-AAEBHSKH3200***</v>
          </cell>
          <cell r="D2275" t="str">
            <v>PE</v>
          </cell>
          <cell r="E2275" t="str">
            <v>512.51201</v>
          </cell>
          <cell r="F2275">
            <v>4428.8420999999998</v>
          </cell>
          <cell r="G2275">
            <v>0</v>
          </cell>
          <cell r="H2275">
            <v>0</v>
          </cell>
          <cell r="I2275">
            <v>0</v>
          </cell>
          <cell r="J2275">
            <v>0</v>
          </cell>
          <cell r="K2275">
            <v>2</v>
          </cell>
          <cell r="L2275">
            <v>0</v>
          </cell>
        </row>
        <row r="2276">
          <cell r="A2276" t="str">
            <v>20709.00385</v>
          </cell>
          <cell r="B2276" t="str">
            <v>TRANSMETTEUR DE DEBIT ULTASON</v>
          </cell>
          <cell r="C2276" t="str">
            <v>93WA2-MA3B11ACAAAA*</v>
          </cell>
          <cell r="D2276" t="str">
            <v>PE</v>
          </cell>
          <cell r="E2276" t="str">
            <v>512.51201</v>
          </cell>
          <cell r="F2276">
            <v>127987.5</v>
          </cell>
          <cell r="G2276">
            <v>0</v>
          </cell>
          <cell r="H2276">
            <v>0</v>
          </cell>
          <cell r="I2276">
            <v>1</v>
          </cell>
          <cell r="J2276">
            <v>0</v>
          </cell>
          <cell r="K2276">
            <v>0</v>
          </cell>
          <cell r="L2276">
            <v>1</v>
          </cell>
        </row>
        <row r="2277">
          <cell r="A2277" t="str">
            <v>20709.00386</v>
          </cell>
          <cell r="B2277" t="str">
            <v>THERMOCOUPLE /CONVERTISSEUR DE MESURE</v>
          </cell>
          <cell r="C2277" t="str">
            <v>TMT182-A1KBB*</v>
          </cell>
          <cell r="D2277" t="str">
            <v>PE</v>
          </cell>
          <cell r="E2277" t="str">
            <v>512.51201</v>
          </cell>
          <cell r="F2277">
            <v>2795.5479</v>
          </cell>
          <cell r="G2277">
            <v>0</v>
          </cell>
          <cell r="H2277">
            <v>0</v>
          </cell>
          <cell r="I2277">
            <v>0</v>
          </cell>
          <cell r="J2277">
            <v>0</v>
          </cell>
          <cell r="K2277">
            <v>3</v>
          </cell>
          <cell r="L2277">
            <v>0</v>
          </cell>
        </row>
        <row r="2278">
          <cell r="A2278" t="str">
            <v>20709.00336</v>
          </cell>
          <cell r="B2278" t="str">
            <v>DEBITMETRE ELECTROMAGNETIQUE</v>
          </cell>
          <cell r="C2278" t="str">
            <v>23P50-EL0A1AA012CA  DN 50 REVETEMENT  EN PTFE  ELECTRODE 316L</v>
          </cell>
          <cell r="D2278" t="str">
            <v>PE</v>
          </cell>
          <cell r="E2278" t="str">
            <v>512.51201</v>
          </cell>
          <cell r="F2278">
            <v>18113.8</v>
          </cell>
          <cell r="G2278">
            <v>0</v>
          </cell>
          <cell r="H2278">
            <v>0</v>
          </cell>
          <cell r="I2278">
            <v>0</v>
          </cell>
          <cell r="J2278">
            <v>0</v>
          </cell>
          <cell r="K2278">
            <v>1</v>
          </cell>
          <cell r="L2278">
            <v>2</v>
          </cell>
        </row>
        <row r="2279">
          <cell r="A2279" t="str">
            <v>20709.00339</v>
          </cell>
          <cell r="B2279" t="str">
            <v>DEBITMETRE ELECTROMAGNETIQUE</v>
          </cell>
          <cell r="C2279" t="str">
            <v>23P2H-EL0A1AA012CA  DN 200  REVETEMENT EN PTFE  ELECTRODE 316 L</v>
          </cell>
          <cell r="D2279" t="str">
            <v>PE</v>
          </cell>
          <cell r="E2279" t="str">
            <v>512.51201</v>
          </cell>
          <cell r="F2279">
            <v>48485.682999999997</v>
          </cell>
          <cell r="G2279">
            <v>0</v>
          </cell>
          <cell r="H2279">
            <v>0</v>
          </cell>
          <cell r="I2279">
            <v>0</v>
          </cell>
          <cell r="J2279">
            <v>0</v>
          </cell>
          <cell r="K2279">
            <v>0</v>
          </cell>
          <cell r="L2279">
            <v>0</v>
          </cell>
        </row>
        <row r="2280">
          <cell r="A2280" t="str">
            <v>20709.00353</v>
          </cell>
          <cell r="B2280" t="str">
            <v>THERMORESISTANCE TR10</v>
          </cell>
          <cell r="C2280" t="str">
            <v>TR10-AAA1CDSHH3000 ECHELLE 6-120°C</v>
          </cell>
          <cell r="D2280" t="str">
            <v>PE</v>
          </cell>
          <cell r="E2280" t="str">
            <v>512.51201</v>
          </cell>
          <cell r="F2280">
            <v>3987.538</v>
          </cell>
          <cell r="G2280">
            <v>0</v>
          </cell>
          <cell r="H2280">
            <v>0</v>
          </cell>
          <cell r="I2280">
            <v>0</v>
          </cell>
          <cell r="J2280">
            <v>0</v>
          </cell>
          <cell r="K2280">
            <v>0</v>
          </cell>
          <cell r="L2280">
            <v>0</v>
          </cell>
        </row>
        <row r="2281">
          <cell r="A2281" t="str">
            <v>20709.00365</v>
          </cell>
          <cell r="B2281" t="str">
            <v>DETECTEUR DE NIVEAU PROSONIC</v>
          </cell>
          <cell r="C2281" t="str">
            <v>FTU230A-AA22  PROSONIC T  PLAGE DE MESURE  LIQUIDE 5M  SOLIDE 2M</v>
          </cell>
          <cell r="D2281" t="str">
            <v>PE</v>
          </cell>
          <cell r="E2281" t="str">
            <v>512.51201</v>
          </cell>
          <cell r="F2281">
            <v>7675.0604999999996</v>
          </cell>
          <cell r="G2281">
            <v>0</v>
          </cell>
          <cell r="H2281">
            <v>0</v>
          </cell>
          <cell r="I2281">
            <v>0</v>
          </cell>
          <cell r="J2281">
            <v>0</v>
          </cell>
          <cell r="K2281">
            <v>1</v>
          </cell>
          <cell r="L2281">
            <v>0</v>
          </cell>
        </row>
        <row r="2282">
          <cell r="A2282" t="str">
            <v>20709.00366</v>
          </cell>
          <cell r="B2282" t="str">
            <v>DETECTEUR DE DEBIT PROGRAMMABLE</v>
          </cell>
          <cell r="C2282" t="str">
            <v>DTT31-A1A111AA2CAC  FLOWPHANT T DTT31</v>
          </cell>
          <cell r="D2282" t="str">
            <v>PE</v>
          </cell>
          <cell r="E2282" t="str">
            <v>512.51201</v>
          </cell>
          <cell r="F2282">
            <v>3375.0264999999999</v>
          </cell>
          <cell r="G2282">
            <v>0</v>
          </cell>
          <cell r="H2282">
            <v>0</v>
          </cell>
          <cell r="I2282">
            <v>0</v>
          </cell>
          <cell r="J2282">
            <v>0</v>
          </cell>
          <cell r="K2282">
            <v>1</v>
          </cell>
          <cell r="L2282">
            <v>0</v>
          </cell>
        </row>
        <row r="2283">
          <cell r="A2283" t="str">
            <v>20709.00340</v>
          </cell>
          <cell r="B2283" t="str">
            <v>DEBITMETRE ELECTROMAGNETIQUE</v>
          </cell>
          <cell r="C2283" t="str">
            <v>10W2F-HL0A1AA0A4AA DN 250  REVETEMENT  EBONITE  ELECTRODE 1,4435/316L</v>
          </cell>
          <cell r="D2283" t="str">
            <v>PE</v>
          </cell>
          <cell r="E2283" t="str">
            <v>512.51201</v>
          </cell>
          <cell r="F2283">
            <v>26900</v>
          </cell>
          <cell r="G2283">
            <v>0</v>
          </cell>
          <cell r="H2283">
            <v>0</v>
          </cell>
          <cell r="I2283">
            <v>0</v>
          </cell>
          <cell r="J2283">
            <v>0</v>
          </cell>
          <cell r="K2283">
            <v>1</v>
          </cell>
          <cell r="L2283">
            <v>1</v>
          </cell>
        </row>
        <row r="2284">
          <cell r="A2284" t="str">
            <v>20709.00341</v>
          </cell>
          <cell r="B2284" t="str">
            <v>DEBITMETRE  ELECTROMAGNETIQUE</v>
          </cell>
          <cell r="C2284" t="str">
            <v>10W3H-HL0A1AA0A4AA DN 300 REVETEMENT EBONITE  ELECTRODE  1,4435/316L</v>
          </cell>
          <cell r="D2284" t="str">
            <v>PE</v>
          </cell>
          <cell r="E2284" t="str">
            <v>512.51201</v>
          </cell>
          <cell r="F2284">
            <v>29500</v>
          </cell>
          <cell r="G2284">
            <v>0</v>
          </cell>
          <cell r="H2284">
            <v>0</v>
          </cell>
          <cell r="I2284">
            <v>0</v>
          </cell>
          <cell r="J2284">
            <v>0</v>
          </cell>
          <cell r="K2284">
            <v>1</v>
          </cell>
          <cell r="L2284">
            <v>1</v>
          </cell>
        </row>
        <row r="2285">
          <cell r="A2285" t="str">
            <v>20709.00343</v>
          </cell>
          <cell r="B2285" t="str">
            <v>TRANSMETTEUR DE PRESSION</v>
          </cell>
          <cell r="C2285" t="str">
            <v>PMC41- RC11HBJ21N4 TYPE CERABAR  M  ECHELLE 0-1 BAR</v>
          </cell>
          <cell r="D2285" t="str">
            <v>PE</v>
          </cell>
          <cell r="E2285" t="str">
            <v>512.51201</v>
          </cell>
          <cell r="F2285">
            <v>4160</v>
          </cell>
          <cell r="G2285">
            <v>0</v>
          </cell>
          <cell r="H2285">
            <v>0</v>
          </cell>
          <cell r="I2285">
            <v>0</v>
          </cell>
          <cell r="J2285">
            <v>0</v>
          </cell>
          <cell r="K2285">
            <v>2</v>
          </cell>
          <cell r="L2285">
            <v>2</v>
          </cell>
        </row>
        <row r="2286">
          <cell r="A2286" t="str">
            <v>20709.00344</v>
          </cell>
          <cell r="B2286" t="str">
            <v>TRANSMETTEUR DE PRESSION</v>
          </cell>
          <cell r="C2286" t="str">
            <v>PMC41-RC11MBJ21N4 TYPE CERABAR M ECHELLE 0-4 BAR</v>
          </cell>
          <cell r="D2286" t="str">
            <v>PE</v>
          </cell>
          <cell r="E2286" t="str">
            <v>512.51201</v>
          </cell>
          <cell r="F2286">
            <v>4402</v>
          </cell>
          <cell r="G2286">
            <v>0</v>
          </cell>
          <cell r="H2286">
            <v>1</v>
          </cell>
          <cell r="I2286">
            <v>0</v>
          </cell>
          <cell r="J2286">
            <v>0</v>
          </cell>
          <cell r="K2286">
            <v>0</v>
          </cell>
          <cell r="L2286">
            <v>2</v>
          </cell>
        </row>
        <row r="2287">
          <cell r="A2287" t="str">
            <v>20709.00347</v>
          </cell>
          <cell r="B2287" t="str">
            <v>TRANSMETTEUR DE PRESSION</v>
          </cell>
          <cell r="C2287" t="str">
            <v>PMC41-RC11SBJ21N4 TYPE CERABAR  M ECHELLE 0-15 BAR</v>
          </cell>
          <cell r="D2287" t="str">
            <v>PE</v>
          </cell>
          <cell r="E2287" t="str">
            <v>512.51201</v>
          </cell>
          <cell r="F2287">
            <v>4160</v>
          </cell>
          <cell r="G2287">
            <v>0</v>
          </cell>
          <cell r="H2287">
            <v>0</v>
          </cell>
          <cell r="I2287">
            <v>0</v>
          </cell>
          <cell r="J2287">
            <v>0</v>
          </cell>
          <cell r="K2287">
            <v>0</v>
          </cell>
          <cell r="L2287">
            <v>1</v>
          </cell>
        </row>
        <row r="2288">
          <cell r="A2288" t="str">
            <v>20709.00349</v>
          </cell>
          <cell r="B2288" t="str">
            <v>TRANSMETTEUR  DIFFERENCIELLE</v>
          </cell>
          <cell r="C2288" t="str">
            <v>PMD75-ABJ7HB1DAAU TYPE  DELTABAR  - S/75 ECHELLE  0-2200 MBAR</v>
          </cell>
          <cell r="D2288" t="str">
            <v>PE</v>
          </cell>
          <cell r="E2288" t="str">
            <v>512.51201</v>
          </cell>
          <cell r="F2288">
            <v>10556.738499999999</v>
          </cell>
          <cell r="G2288">
            <v>0</v>
          </cell>
          <cell r="H2288">
            <v>0</v>
          </cell>
          <cell r="I2288">
            <v>0</v>
          </cell>
          <cell r="J2288">
            <v>0</v>
          </cell>
          <cell r="K2288">
            <v>0</v>
          </cell>
          <cell r="L2288">
            <v>1</v>
          </cell>
        </row>
        <row r="2289">
          <cell r="A2289" t="str">
            <v>20709.00279</v>
          </cell>
          <cell r="B2289" t="str">
            <v>CABLE DE MESURE</v>
          </cell>
          <cell r="C2289" t="str">
            <v xml:space="preserve">CPK 9-NAA1A </v>
          </cell>
          <cell r="D2289" t="str">
            <v>PE</v>
          </cell>
          <cell r="E2289" t="str">
            <v>512.51201</v>
          </cell>
          <cell r="F2289">
            <v>2446.13</v>
          </cell>
          <cell r="G2289">
            <v>0</v>
          </cell>
          <cell r="H2289">
            <v>0</v>
          </cell>
          <cell r="I2289">
            <v>0</v>
          </cell>
          <cell r="J2289">
            <v>0</v>
          </cell>
          <cell r="K2289">
            <v>0</v>
          </cell>
          <cell r="L2289">
            <v>1</v>
          </cell>
        </row>
        <row r="2290">
          <cell r="A2290" t="str">
            <v>20709.00613</v>
          </cell>
          <cell r="B2290" t="str">
            <v xml:space="preserve">TRANMETTEUR DE NIVEAU A ONDE GUIDE </v>
          </cell>
          <cell r="C2290" t="str">
            <v xml:space="preserve">FMP52-AAACAAOBCQKACNCPB  </v>
          </cell>
          <cell r="D2290" t="str">
            <v>PE</v>
          </cell>
          <cell r="E2290" t="str">
            <v>512.51201</v>
          </cell>
          <cell r="F2290">
            <v>37125</v>
          </cell>
          <cell r="G2290">
            <v>0</v>
          </cell>
          <cell r="H2290">
            <v>0</v>
          </cell>
          <cell r="I2290">
            <v>0</v>
          </cell>
          <cell r="J2290">
            <v>1</v>
          </cell>
          <cell r="K2290">
            <v>0</v>
          </cell>
          <cell r="L2290">
            <v>0</v>
          </cell>
        </row>
        <row r="2291">
          <cell r="A2291" t="str">
            <v>20709.00618</v>
          </cell>
          <cell r="B2291" t="str">
            <v xml:space="preserve">SONDE DE PH </v>
          </cell>
          <cell r="C2291" t="str">
            <v>CPF81 LH11C</v>
          </cell>
          <cell r="D2291" t="str">
            <v>PE</v>
          </cell>
          <cell r="E2291" t="str">
            <v>512.51201</v>
          </cell>
          <cell r="F2291">
            <v>7169.63</v>
          </cell>
          <cell r="G2291">
            <v>0</v>
          </cell>
          <cell r="H2291">
            <v>0</v>
          </cell>
          <cell r="I2291">
            <v>0</v>
          </cell>
          <cell r="J2291">
            <v>0</v>
          </cell>
          <cell r="K2291">
            <v>0</v>
          </cell>
          <cell r="L2291">
            <v>0</v>
          </cell>
        </row>
        <row r="2292">
          <cell r="A2292" t="str">
            <v>20709.00440</v>
          </cell>
          <cell r="B2292" t="str">
            <v>RACCORD COLLECTEUR</v>
          </cell>
          <cell r="C2292">
            <v>51512099</v>
          </cell>
          <cell r="D2292" t="str">
            <v>PE</v>
          </cell>
          <cell r="E2292" t="str">
            <v>512.51201</v>
          </cell>
          <cell r="F2292">
            <v>1226.0160000000001</v>
          </cell>
          <cell r="G2292">
            <v>0</v>
          </cell>
          <cell r="H2292">
            <v>0</v>
          </cell>
          <cell r="I2292">
            <v>0</v>
          </cell>
          <cell r="J2292">
            <v>0</v>
          </cell>
          <cell r="K2292">
            <v>1</v>
          </cell>
          <cell r="L2292">
            <v>0</v>
          </cell>
        </row>
        <row r="2293">
          <cell r="A2293" t="str">
            <v>20709.00441</v>
          </cell>
          <cell r="B2293" t="str">
            <v>TUYAU</v>
          </cell>
          <cell r="C2293">
            <v>51504116</v>
          </cell>
          <cell r="D2293" t="str">
            <v>PE</v>
          </cell>
          <cell r="E2293" t="str">
            <v>512.51201</v>
          </cell>
          <cell r="F2293">
            <v>153.25200000000001</v>
          </cell>
          <cell r="G2293">
            <v>0</v>
          </cell>
          <cell r="H2293">
            <v>0</v>
          </cell>
          <cell r="I2293">
            <v>0</v>
          </cell>
          <cell r="J2293">
            <v>0</v>
          </cell>
          <cell r="K2293">
            <v>2</v>
          </cell>
          <cell r="L2293">
            <v>0</v>
          </cell>
        </row>
        <row r="2294">
          <cell r="A2294" t="str">
            <v>20709.00442</v>
          </cell>
          <cell r="B2294" t="str">
            <v>TUYAU</v>
          </cell>
          <cell r="C2294">
            <v>51504114</v>
          </cell>
          <cell r="D2294" t="str">
            <v>PE</v>
          </cell>
          <cell r="E2294" t="str">
            <v>512.51201</v>
          </cell>
          <cell r="F2294">
            <v>243.816</v>
          </cell>
          <cell r="G2294">
            <v>0</v>
          </cell>
          <cell r="H2294">
            <v>0</v>
          </cell>
          <cell r="I2294">
            <v>0</v>
          </cell>
          <cell r="J2294">
            <v>0</v>
          </cell>
          <cell r="K2294">
            <v>2</v>
          </cell>
          <cell r="L2294">
            <v>0</v>
          </cell>
        </row>
        <row r="2295">
          <cell r="A2295" t="str">
            <v>20709.00443</v>
          </cell>
          <cell r="B2295" t="str">
            <v>TUYAU</v>
          </cell>
          <cell r="C2295">
            <v>51504115</v>
          </cell>
          <cell r="D2295" t="str">
            <v>PE</v>
          </cell>
          <cell r="E2295" t="str">
            <v>512.51201</v>
          </cell>
          <cell r="F2295">
            <v>390.096</v>
          </cell>
          <cell r="G2295">
            <v>0</v>
          </cell>
          <cell r="H2295">
            <v>0</v>
          </cell>
          <cell r="I2295">
            <v>0</v>
          </cell>
          <cell r="J2295">
            <v>0</v>
          </cell>
          <cell r="K2295">
            <v>2</v>
          </cell>
          <cell r="L2295">
            <v>0</v>
          </cell>
        </row>
        <row r="2296">
          <cell r="A2296" t="str">
            <v>20709.00444</v>
          </cell>
          <cell r="B2296" t="str">
            <v>TUYAU</v>
          </cell>
          <cell r="C2296">
            <v>51512535</v>
          </cell>
          <cell r="D2296" t="str">
            <v>PE</v>
          </cell>
          <cell r="E2296" t="str">
            <v>512.51201</v>
          </cell>
          <cell r="F2296">
            <v>543.34799999999996</v>
          </cell>
          <cell r="G2296">
            <v>0</v>
          </cell>
          <cell r="H2296">
            <v>0</v>
          </cell>
          <cell r="I2296">
            <v>0</v>
          </cell>
          <cell r="J2296">
            <v>0</v>
          </cell>
          <cell r="K2296">
            <v>2</v>
          </cell>
          <cell r="L2296">
            <v>0</v>
          </cell>
        </row>
        <row r="2297">
          <cell r="A2297" t="str">
            <v>20708.00614</v>
          </cell>
          <cell r="B2297" t="str">
            <v>TUBE DE MESURE POUR DEBIMETRE ELECTROMAGNETIQUE</v>
          </cell>
          <cell r="C2297" t="str">
            <v>8705NHA160CDW0NA</v>
          </cell>
          <cell r="D2297" t="str">
            <v>PE</v>
          </cell>
          <cell r="E2297" t="str">
            <v>512.51201</v>
          </cell>
          <cell r="F2297">
            <v>31887.384300000002</v>
          </cell>
          <cell r="G2297">
            <v>0</v>
          </cell>
          <cell r="H2297">
            <v>1</v>
          </cell>
          <cell r="I2297">
            <v>0</v>
          </cell>
          <cell r="J2297">
            <v>0</v>
          </cell>
          <cell r="K2297">
            <v>0</v>
          </cell>
          <cell r="L2297">
            <v>0</v>
          </cell>
        </row>
        <row r="2298">
          <cell r="A2298" t="str">
            <v>20708.00611</v>
          </cell>
          <cell r="B2298" t="str">
            <v>CAPTEUR POUR DEBIMETRE ELECTROMAGNETIQUE</v>
          </cell>
          <cell r="C2298" t="str">
            <v>8705NHA180S1W3NOG1Q4DT</v>
          </cell>
          <cell r="D2298" t="str">
            <v>PE</v>
          </cell>
          <cell r="E2298" t="str">
            <v>512.51201</v>
          </cell>
          <cell r="F2298">
            <v>79726.958299999998</v>
          </cell>
          <cell r="G2298">
            <v>0</v>
          </cell>
          <cell r="H2298">
            <v>1</v>
          </cell>
          <cell r="I2298">
            <v>0</v>
          </cell>
          <cell r="J2298">
            <v>0</v>
          </cell>
          <cell r="K2298">
            <v>0</v>
          </cell>
          <cell r="L2298">
            <v>0</v>
          </cell>
        </row>
        <row r="2299">
          <cell r="A2299" t="str">
            <v>20708.00630</v>
          </cell>
          <cell r="B2299" t="str">
            <v>TRANSMETTEUR RADAR A ONDES GUIDEES</v>
          </cell>
          <cell r="C2299" t="str">
            <v>3301 HA1S7V5AM08IBTFNAM1W3P2C4Q4</v>
          </cell>
          <cell r="D2299" t="str">
            <v>PE</v>
          </cell>
          <cell r="E2299" t="str">
            <v>512.51201</v>
          </cell>
          <cell r="F2299">
            <v>28160</v>
          </cell>
          <cell r="G2299">
            <v>0</v>
          </cell>
          <cell r="H2299">
            <v>0</v>
          </cell>
          <cell r="I2299">
            <v>0</v>
          </cell>
          <cell r="J2299">
            <v>0</v>
          </cell>
          <cell r="K2299">
            <v>0</v>
          </cell>
          <cell r="L2299">
            <v>0</v>
          </cell>
        </row>
        <row r="2300">
          <cell r="A2300" t="str">
            <v>20691.00365</v>
          </cell>
          <cell r="B2300" t="str">
            <v>TAMBOUR POUR IMPRIMANTE</v>
          </cell>
          <cell r="C2300" t="str">
            <v>BROTHER DR 5500 POUR IMPRIMANTE HL7050 et HL7050N</v>
          </cell>
          <cell r="D2300" t="str">
            <v>PE</v>
          </cell>
          <cell r="E2300" t="str">
            <v>222.22206</v>
          </cell>
          <cell r="F2300">
            <v>906.57140000000004</v>
          </cell>
          <cell r="G2300">
            <v>0</v>
          </cell>
          <cell r="H2300">
            <v>0</v>
          </cell>
          <cell r="I2300">
            <v>0</v>
          </cell>
          <cell r="J2300">
            <v>0</v>
          </cell>
          <cell r="K2300">
            <v>0</v>
          </cell>
          <cell r="L2300">
            <v>5</v>
          </cell>
        </row>
        <row r="2301">
          <cell r="A2301" t="str">
            <v>20708.00601</v>
          </cell>
          <cell r="B2301" t="str">
            <v>TRANSMETTEUR CORIOLIS</v>
          </cell>
          <cell r="C2301" t="str">
            <v>2700 C11BBMFZZZ</v>
          </cell>
          <cell r="D2301" t="str">
            <v>PE</v>
          </cell>
          <cell r="E2301" t="str">
            <v>512.51201</v>
          </cell>
          <cell r="F2301">
            <v>24434.172600000002</v>
          </cell>
          <cell r="G2301">
            <v>0</v>
          </cell>
          <cell r="H2301">
            <v>0</v>
          </cell>
          <cell r="I2301">
            <v>0</v>
          </cell>
          <cell r="J2301">
            <v>0</v>
          </cell>
          <cell r="K2301">
            <v>0</v>
          </cell>
          <cell r="L2301">
            <v>1</v>
          </cell>
        </row>
        <row r="2302">
          <cell r="A2302" t="str">
            <v>20710.00152</v>
          </cell>
          <cell r="B2302" t="str">
            <v>CARTE INTERFACE 32DI</v>
          </cell>
          <cell r="C2302" t="str">
            <v>5102-3804-2</v>
          </cell>
          <cell r="D2302" t="str">
            <v>PE</v>
          </cell>
          <cell r="E2302" t="str">
            <v>512.51201</v>
          </cell>
          <cell r="F2302">
            <v>5859.9903999999997</v>
          </cell>
          <cell r="G2302">
            <v>0</v>
          </cell>
          <cell r="H2302">
            <v>0</v>
          </cell>
          <cell r="I2302">
            <v>3</v>
          </cell>
          <cell r="J2302">
            <v>0</v>
          </cell>
          <cell r="K2302">
            <v>0</v>
          </cell>
          <cell r="L2302">
            <v>0</v>
          </cell>
        </row>
        <row r="2303">
          <cell r="A2303" t="str">
            <v>20710.00154</v>
          </cell>
          <cell r="B2303" t="str">
            <v>CARTE INTERFACE 8AI</v>
          </cell>
          <cell r="C2303" t="str">
            <v>5102-3461</v>
          </cell>
          <cell r="D2303" t="str">
            <v>PE</v>
          </cell>
          <cell r="E2303" t="str">
            <v>512.51201</v>
          </cell>
          <cell r="F2303">
            <v>2337.1284999999998</v>
          </cell>
          <cell r="G2303">
            <v>0</v>
          </cell>
          <cell r="H2303">
            <v>0</v>
          </cell>
          <cell r="I2303">
            <v>0</v>
          </cell>
          <cell r="J2303">
            <v>0</v>
          </cell>
          <cell r="K2303">
            <v>0</v>
          </cell>
          <cell r="L2303">
            <v>0</v>
          </cell>
        </row>
        <row r="2304">
          <cell r="A2304" t="str">
            <v>20708.00569</v>
          </cell>
          <cell r="B2304" t="str">
            <v>DEBIMETRE ELECTROMAGNETIQUE</v>
          </cell>
          <cell r="C2304" t="str">
            <v>8705TPA040C1W0NAG2Q4Q8</v>
          </cell>
          <cell r="D2304" t="str">
            <v>PE</v>
          </cell>
          <cell r="E2304" t="str">
            <v>512.51201</v>
          </cell>
          <cell r="F2304">
            <v>28180.639999999999</v>
          </cell>
          <cell r="G2304">
            <v>0</v>
          </cell>
          <cell r="H2304">
            <v>1</v>
          </cell>
          <cell r="I2304">
            <v>0</v>
          </cell>
          <cell r="J2304">
            <v>0</v>
          </cell>
          <cell r="K2304">
            <v>2</v>
          </cell>
          <cell r="L2304">
            <v>0</v>
          </cell>
        </row>
        <row r="2305">
          <cell r="A2305" t="str">
            <v>20708.00570</v>
          </cell>
          <cell r="B2305" t="str">
            <v>DEBIMETRE ELECTROMAGNETIQUE</v>
          </cell>
          <cell r="C2305" t="str">
            <v>8705TPA060C1W0NAG2Q4Q8</v>
          </cell>
          <cell r="D2305" t="str">
            <v>PE</v>
          </cell>
          <cell r="E2305" t="str">
            <v>512.51201</v>
          </cell>
          <cell r="F2305">
            <v>36739.9467</v>
          </cell>
          <cell r="G2305">
            <v>0</v>
          </cell>
          <cell r="H2305">
            <v>1</v>
          </cell>
          <cell r="I2305">
            <v>2</v>
          </cell>
          <cell r="J2305">
            <v>0</v>
          </cell>
          <cell r="K2305">
            <v>0</v>
          </cell>
          <cell r="L2305">
            <v>0</v>
          </cell>
        </row>
        <row r="2306">
          <cell r="A2306" t="str">
            <v>20708.00571</v>
          </cell>
          <cell r="B2306" t="str">
            <v>DEBIMETRE ELECTROMAGNETIQUE</v>
          </cell>
          <cell r="C2306" t="str">
            <v>8705TPA080C1W0NAG2Q4Q8</v>
          </cell>
          <cell r="D2306" t="str">
            <v>PE</v>
          </cell>
          <cell r="E2306" t="str">
            <v>512.51201</v>
          </cell>
          <cell r="F2306">
            <v>45506.22</v>
          </cell>
          <cell r="G2306">
            <v>0</v>
          </cell>
          <cell r="H2306">
            <v>0</v>
          </cell>
          <cell r="I2306">
            <v>1</v>
          </cell>
          <cell r="J2306">
            <v>0</v>
          </cell>
          <cell r="K2306">
            <v>0</v>
          </cell>
          <cell r="L2306">
            <v>0</v>
          </cell>
        </row>
        <row r="2307">
          <cell r="A2307" t="str">
            <v>20708.00573</v>
          </cell>
          <cell r="B2307" t="str">
            <v>DEBIMETRE ELECTROMAGNETIQUE</v>
          </cell>
          <cell r="C2307" t="str">
            <v> 8732ESR1A1NAM4C1B6</v>
          </cell>
          <cell r="D2307" t="str">
            <v>PE</v>
          </cell>
          <cell r="E2307" t="str">
            <v>512.51201</v>
          </cell>
          <cell r="F2307">
            <v>12683.13</v>
          </cell>
          <cell r="G2307">
            <v>0</v>
          </cell>
          <cell r="H2307">
            <v>5</v>
          </cell>
          <cell r="I2307">
            <v>0</v>
          </cell>
          <cell r="J2307">
            <v>0</v>
          </cell>
          <cell r="K2307">
            <v>0</v>
          </cell>
          <cell r="L2307">
            <v>5</v>
          </cell>
        </row>
        <row r="2308">
          <cell r="A2308" t="str">
            <v>20708.00577</v>
          </cell>
          <cell r="B2308" t="str">
            <v>DEBIMETRE MASSIQUE</v>
          </cell>
          <cell r="C2308" t="str">
            <v>F300H550CQGNEZZZZHTMC</v>
          </cell>
          <cell r="D2308" t="str">
            <v>PE</v>
          </cell>
          <cell r="E2308" t="str">
            <v>512.51201</v>
          </cell>
          <cell r="F2308">
            <v>227499.61629999999</v>
          </cell>
          <cell r="G2308">
            <v>0</v>
          </cell>
          <cell r="H2308">
            <v>1</v>
          </cell>
          <cell r="I2308">
            <v>0</v>
          </cell>
          <cell r="J2308">
            <v>0</v>
          </cell>
          <cell r="K2308">
            <v>0</v>
          </cell>
          <cell r="L2308">
            <v>0</v>
          </cell>
        </row>
        <row r="2309">
          <cell r="A2309" t="str">
            <v>20691.00642</v>
          </cell>
          <cell r="B2309" t="str">
            <v>TONER</v>
          </cell>
          <cell r="C2309" t="str">
            <v>HEWLETT PACKARD C B436 A P/IMP.LASER JET M1120 MFPN.B : A PRECISER SUR OFFRE ''MARQUE ORIGINE OU ADAPTABLE''</v>
          </cell>
          <cell r="D2309" t="str">
            <v>PE</v>
          </cell>
          <cell r="E2309" t="str">
            <v>222.22206</v>
          </cell>
          <cell r="F2309">
            <v>600</v>
          </cell>
          <cell r="G2309">
            <v>0</v>
          </cell>
          <cell r="H2309">
            <v>0</v>
          </cell>
          <cell r="I2309">
            <v>0</v>
          </cell>
          <cell r="J2309">
            <v>0</v>
          </cell>
          <cell r="K2309">
            <v>0</v>
          </cell>
          <cell r="L2309">
            <v>0</v>
          </cell>
        </row>
        <row r="2310">
          <cell r="A2310" t="str">
            <v>20708.00089</v>
          </cell>
          <cell r="B2310" t="str">
            <v>TRANSMETTEUR DE PH</v>
          </cell>
          <cell r="C2310" t="str">
            <v>54E PH/ORP</v>
          </cell>
          <cell r="D2310" t="str">
            <v>PE</v>
          </cell>
          <cell r="E2310" t="str">
            <v>512.51201</v>
          </cell>
          <cell r="F2310">
            <v>11568</v>
          </cell>
          <cell r="G2310">
            <v>0</v>
          </cell>
          <cell r="H2310">
            <v>0</v>
          </cell>
          <cell r="I2310">
            <v>0</v>
          </cell>
          <cell r="J2310">
            <v>0</v>
          </cell>
          <cell r="K2310">
            <v>1</v>
          </cell>
          <cell r="L2310">
            <v>1</v>
          </cell>
        </row>
        <row r="2311">
          <cell r="A2311" t="str">
            <v>20708.00091</v>
          </cell>
          <cell r="B2311" t="str">
            <v>TRANSMETTEUR CONDUCTIVITE</v>
          </cell>
          <cell r="C2311" t="str">
            <v>54E C</v>
          </cell>
          <cell r="D2311" t="str">
            <v>PE</v>
          </cell>
          <cell r="E2311" t="str">
            <v>512.51201</v>
          </cell>
          <cell r="F2311">
            <v>12363.7173</v>
          </cell>
          <cell r="G2311">
            <v>0</v>
          </cell>
          <cell r="H2311">
            <v>0</v>
          </cell>
          <cell r="I2311">
            <v>0</v>
          </cell>
          <cell r="J2311">
            <v>0</v>
          </cell>
          <cell r="K2311">
            <v>0</v>
          </cell>
          <cell r="L2311">
            <v>1</v>
          </cell>
        </row>
        <row r="2312">
          <cell r="A2312" t="str">
            <v>20708.00188</v>
          </cell>
          <cell r="B2312" t="str">
            <v>DEBIMETRE ELECTROMAGNETIQ</v>
          </cell>
          <cell r="C2312" t="str">
            <v>8732C 220VAC 50HZ</v>
          </cell>
          <cell r="D2312" t="str">
            <v>PE</v>
          </cell>
          <cell r="E2312" t="str">
            <v>512.51201</v>
          </cell>
          <cell r="F2312">
            <v>9326.5450000000001</v>
          </cell>
          <cell r="G2312">
            <v>0</v>
          </cell>
          <cell r="H2312">
            <v>0</v>
          </cell>
          <cell r="I2312">
            <v>3</v>
          </cell>
          <cell r="J2312">
            <v>0</v>
          </cell>
          <cell r="K2312">
            <v>1</v>
          </cell>
          <cell r="L2312">
            <v>0</v>
          </cell>
        </row>
        <row r="2313">
          <cell r="A2313" t="str">
            <v>20709.00432</v>
          </cell>
          <cell r="B2313" t="str">
            <v>COLLECTEUR AVEC CONTRÔLE NIVEAU</v>
          </cell>
          <cell r="C2313">
            <v>51512089</v>
          </cell>
          <cell r="D2313" t="str">
            <v>PE</v>
          </cell>
          <cell r="E2313" t="str">
            <v>512.51201</v>
          </cell>
          <cell r="F2313">
            <v>14558.94</v>
          </cell>
          <cell r="G2313">
            <v>0</v>
          </cell>
          <cell r="H2313">
            <v>0</v>
          </cell>
          <cell r="I2313">
            <v>0</v>
          </cell>
          <cell r="J2313">
            <v>0</v>
          </cell>
          <cell r="K2313">
            <v>0</v>
          </cell>
          <cell r="L2313">
            <v>1</v>
          </cell>
        </row>
        <row r="2314">
          <cell r="A2314" t="str">
            <v>20709.00433</v>
          </cell>
          <cell r="B2314" t="str">
            <v>MELANGEUR</v>
          </cell>
          <cell r="C2314">
            <v>51515579</v>
          </cell>
          <cell r="D2314" t="str">
            <v>PE</v>
          </cell>
          <cell r="E2314" t="str">
            <v>512.51201</v>
          </cell>
          <cell r="F2314">
            <v>2340.576</v>
          </cell>
          <cell r="G2314">
            <v>0</v>
          </cell>
          <cell r="H2314">
            <v>0</v>
          </cell>
          <cell r="I2314">
            <v>0</v>
          </cell>
          <cell r="J2314">
            <v>0</v>
          </cell>
          <cell r="K2314">
            <v>1</v>
          </cell>
          <cell r="L2314">
            <v>0</v>
          </cell>
        </row>
        <row r="2315">
          <cell r="A2315" t="str">
            <v>20709.00434</v>
          </cell>
          <cell r="B2315" t="str">
            <v>RACCORD DE TUYAU</v>
          </cell>
          <cell r="C2315">
            <v>51516166</v>
          </cell>
          <cell r="D2315" t="str">
            <v>PE</v>
          </cell>
          <cell r="E2315" t="str">
            <v>512.51201</v>
          </cell>
          <cell r="F2315">
            <v>555.88699999999994</v>
          </cell>
          <cell r="G2315">
            <v>0</v>
          </cell>
          <cell r="H2315">
            <v>0</v>
          </cell>
          <cell r="I2315">
            <v>0</v>
          </cell>
          <cell r="J2315">
            <v>0</v>
          </cell>
          <cell r="K2315">
            <v>4</v>
          </cell>
          <cell r="L2315">
            <v>0</v>
          </cell>
        </row>
        <row r="2316">
          <cell r="A2316" t="str">
            <v>20709.00435</v>
          </cell>
          <cell r="B2316" t="str">
            <v>VANNE COMPLETE</v>
          </cell>
          <cell r="C2316">
            <v>51512100</v>
          </cell>
          <cell r="D2316" t="str">
            <v>PE</v>
          </cell>
          <cell r="E2316" t="str">
            <v>512.51201</v>
          </cell>
          <cell r="F2316">
            <v>2619.2159999999999</v>
          </cell>
          <cell r="G2316">
            <v>0</v>
          </cell>
          <cell r="H2316">
            <v>1</v>
          </cell>
          <cell r="I2316">
            <v>0</v>
          </cell>
          <cell r="J2316">
            <v>0</v>
          </cell>
          <cell r="K2316">
            <v>0</v>
          </cell>
          <cell r="L2316">
            <v>0</v>
          </cell>
        </row>
        <row r="2317">
          <cell r="A2317" t="str">
            <v>20709.00354</v>
          </cell>
          <cell r="B2317" t="str">
            <v>CAPTEUR DE PRESSION HYDROSTATIQUE</v>
          </cell>
          <cell r="C2317" t="str">
            <v>FMX167-A4AMB2B3 TYPE WATERPILOT LONGUEUR DU CABLE 10M</v>
          </cell>
          <cell r="D2317" t="str">
            <v>PE</v>
          </cell>
          <cell r="E2317" t="str">
            <v>512.51201</v>
          </cell>
          <cell r="F2317">
            <v>8924</v>
          </cell>
          <cell r="G2317">
            <v>0</v>
          </cell>
          <cell r="H2317">
            <v>0</v>
          </cell>
          <cell r="I2317">
            <v>1</v>
          </cell>
          <cell r="J2317">
            <v>0</v>
          </cell>
          <cell r="K2317">
            <v>1</v>
          </cell>
          <cell r="L2317">
            <v>0</v>
          </cell>
        </row>
        <row r="2318">
          <cell r="A2318" t="str">
            <v>20709.00355</v>
          </cell>
          <cell r="B2318" t="str">
            <v>CAPTEUR DE PRESSION HYDROSTATIQUE</v>
          </cell>
          <cell r="C2318" t="str">
            <v>FMX167-A4AMC2B3 TYPE WATERPILOT  LONGUEUR DU CABLE 10M</v>
          </cell>
          <cell r="D2318" t="str">
            <v>PE</v>
          </cell>
          <cell r="E2318" t="str">
            <v>512.51201</v>
          </cell>
          <cell r="F2318">
            <v>8924</v>
          </cell>
          <cell r="G2318">
            <v>0</v>
          </cell>
          <cell r="H2318">
            <v>0</v>
          </cell>
          <cell r="I2318">
            <v>0</v>
          </cell>
          <cell r="J2318">
            <v>0</v>
          </cell>
          <cell r="K2318">
            <v>0</v>
          </cell>
          <cell r="L2318">
            <v>1</v>
          </cell>
        </row>
        <row r="2319">
          <cell r="A2319" t="str">
            <v>20709.00356</v>
          </cell>
          <cell r="B2319" t="str">
            <v>CAPTEUR DE PRESSION HYDROSTATIQUE</v>
          </cell>
          <cell r="C2319" t="str">
            <v>FMX167-A4AMC2C3 TYPE WATERPILOT  LONGUEUR DU CABLE 20M</v>
          </cell>
          <cell r="D2319" t="str">
            <v>PE</v>
          </cell>
          <cell r="E2319" t="str">
            <v>512.51201</v>
          </cell>
          <cell r="F2319">
            <v>9486</v>
          </cell>
          <cell r="G2319">
            <v>0</v>
          </cell>
          <cell r="H2319">
            <v>0</v>
          </cell>
          <cell r="I2319">
            <v>1</v>
          </cell>
          <cell r="J2319">
            <v>0</v>
          </cell>
          <cell r="K2319">
            <v>0</v>
          </cell>
          <cell r="L2319">
            <v>0</v>
          </cell>
        </row>
        <row r="2320">
          <cell r="A2320" t="str">
            <v>20709.00357</v>
          </cell>
          <cell r="B2320" t="str">
            <v>CAPTEUR DE PRESSION HYDROSTATIQUE</v>
          </cell>
          <cell r="C2320" t="str">
            <v>FMX167-A4CMD2B3 TYPE WATERPILOT  LONGUEUR DU CABLE 10M</v>
          </cell>
          <cell r="D2320" t="str">
            <v>PE</v>
          </cell>
          <cell r="E2320" t="str">
            <v>512.51201</v>
          </cell>
          <cell r="F2320">
            <v>10543</v>
          </cell>
          <cell r="G2320">
            <v>0</v>
          </cell>
          <cell r="H2320">
            <v>0</v>
          </cell>
          <cell r="I2320">
            <v>1</v>
          </cell>
          <cell r="J2320">
            <v>0</v>
          </cell>
          <cell r="K2320">
            <v>0</v>
          </cell>
          <cell r="L2320">
            <v>0</v>
          </cell>
        </row>
        <row r="2321">
          <cell r="A2321" t="str">
            <v>20709.00358</v>
          </cell>
          <cell r="B2321" t="str">
            <v>CAPTEUR DE PRESSION HYDROSTATIQUE</v>
          </cell>
          <cell r="C2321" t="str">
            <v>FMX167-A4CMB2B3  TYPE WATER PILOT  LONGUEUR DU CABLE 10M</v>
          </cell>
          <cell r="D2321" t="str">
            <v>PE</v>
          </cell>
          <cell r="E2321" t="str">
            <v>512.51201</v>
          </cell>
          <cell r="F2321">
            <v>8550.0689999999995</v>
          </cell>
          <cell r="G2321">
            <v>0</v>
          </cell>
          <cell r="H2321">
            <v>0</v>
          </cell>
          <cell r="I2321">
            <v>0</v>
          </cell>
          <cell r="J2321">
            <v>0</v>
          </cell>
          <cell r="K2321">
            <v>0</v>
          </cell>
          <cell r="L2321">
            <v>0</v>
          </cell>
        </row>
        <row r="2322">
          <cell r="A2322" t="str">
            <v>20706.00432</v>
          </cell>
          <cell r="B2322" t="str">
            <v>TIRANT M27 LONG 350 MM+2 ECROUS HM27 EN INOX 316+2 FREIN D'ECROU Ø 27 EN INOX UB6</v>
          </cell>
          <cell r="C2322" t="str">
            <v xml:space="preserve">PL Y63466 REP 7 A REP 9 </v>
          </cell>
          <cell r="D2322" t="str">
            <v>PE</v>
          </cell>
          <cell r="E2322" t="str">
            <v>515.51511</v>
          </cell>
          <cell r="F2322">
            <v>1154.6022</v>
          </cell>
          <cell r="G2322">
            <v>0</v>
          </cell>
          <cell r="H2322">
            <v>0</v>
          </cell>
          <cell r="I2322">
            <v>0</v>
          </cell>
          <cell r="J2322">
            <v>0</v>
          </cell>
          <cell r="K2322">
            <v>0</v>
          </cell>
          <cell r="L2322">
            <v>1</v>
          </cell>
        </row>
        <row r="2323">
          <cell r="A2323" t="str">
            <v>20691.00070</v>
          </cell>
          <cell r="B2323" t="str">
            <v>FLACON TONER P/TIREUSE DE PLAN TDS600</v>
          </cell>
          <cell r="C2323" t="str">
            <v>OCE B5</v>
          </cell>
          <cell r="D2323" t="str">
            <v>PE</v>
          </cell>
          <cell r="E2323" t="str">
            <v>222.22206</v>
          </cell>
          <cell r="F2323">
            <v>1000</v>
          </cell>
          <cell r="G2323">
            <v>0</v>
          </cell>
          <cell r="H2323">
            <v>0</v>
          </cell>
          <cell r="I2323">
            <v>0</v>
          </cell>
          <cell r="J2323">
            <v>0</v>
          </cell>
          <cell r="K2323">
            <v>8</v>
          </cell>
          <cell r="L2323">
            <v>0</v>
          </cell>
        </row>
        <row r="2324">
          <cell r="A2324" t="str">
            <v>20706.00433</v>
          </cell>
          <cell r="B2324" t="str">
            <v>ARBRE D'AGITATION</v>
          </cell>
          <cell r="C2324" t="str">
            <v xml:space="preserve">PL Y63450 REP 30 </v>
          </cell>
          <cell r="D2324" t="str">
            <v>PE</v>
          </cell>
          <cell r="E2324" t="str">
            <v>515.51511</v>
          </cell>
          <cell r="F2324">
            <v>26061.020100000002</v>
          </cell>
          <cell r="G2324">
            <v>0</v>
          </cell>
          <cell r="H2324">
            <v>0</v>
          </cell>
          <cell r="I2324">
            <v>0</v>
          </cell>
          <cell r="J2324">
            <v>0</v>
          </cell>
          <cell r="K2324">
            <v>0</v>
          </cell>
          <cell r="L2324">
            <v>1</v>
          </cell>
        </row>
        <row r="2325">
          <cell r="A2325" t="str">
            <v>20709.00359</v>
          </cell>
          <cell r="B2325" t="str">
            <v>CAPTEUR DE PRESSION HYDROSTATIQUE</v>
          </cell>
          <cell r="C2325" t="str">
            <v>FMX167-A4AMF2C3  TYPE WATER PILOT LONGUEUR DU CABLE 20M</v>
          </cell>
          <cell r="D2325" t="str">
            <v>PE</v>
          </cell>
          <cell r="E2325" t="str">
            <v>512.51201</v>
          </cell>
          <cell r="F2325">
            <v>6861</v>
          </cell>
          <cell r="G2325">
            <v>0</v>
          </cell>
          <cell r="H2325">
            <v>0</v>
          </cell>
          <cell r="I2325">
            <v>0</v>
          </cell>
          <cell r="J2325">
            <v>2</v>
          </cell>
          <cell r="K2325">
            <v>0</v>
          </cell>
          <cell r="L2325">
            <v>0</v>
          </cell>
        </row>
        <row r="2326">
          <cell r="A2326" t="str">
            <v>20706.00434</v>
          </cell>
          <cell r="B2326" t="str">
            <v>HELICE COULISSANTE REVETUE LC 18/12/120/SP/4</v>
          </cell>
          <cell r="C2326" t="str">
            <v xml:space="preserve">PL Y63467 REP 6 </v>
          </cell>
          <cell r="D2326" t="str">
            <v>PE</v>
          </cell>
          <cell r="E2326" t="str">
            <v>515.51511</v>
          </cell>
          <cell r="F2326">
            <v>204529.5246</v>
          </cell>
          <cell r="G2326">
            <v>0</v>
          </cell>
          <cell r="H2326">
            <v>0</v>
          </cell>
          <cell r="I2326">
            <v>0</v>
          </cell>
          <cell r="J2326">
            <v>0</v>
          </cell>
          <cell r="K2326">
            <v>0</v>
          </cell>
          <cell r="L2326">
            <v>1</v>
          </cell>
        </row>
        <row r="2327">
          <cell r="A2327" t="str">
            <v>20706.00435</v>
          </cell>
          <cell r="B2327" t="str">
            <v>TIRANT M27 LONG 330 MM+2 ECROUS HM27 EN INOX 316+2 FREIN D'ECROU Ø 27 EN INOX UB6</v>
          </cell>
          <cell r="C2327" t="str">
            <v xml:space="preserve">PL Y63467 REP 7 A REP 9 </v>
          </cell>
          <cell r="D2327" t="str">
            <v>PE</v>
          </cell>
          <cell r="E2327" t="str">
            <v>515.51511</v>
          </cell>
          <cell r="F2327">
            <v>1088.6249</v>
          </cell>
          <cell r="G2327">
            <v>0</v>
          </cell>
          <cell r="H2327">
            <v>0</v>
          </cell>
          <cell r="I2327">
            <v>0</v>
          </cell>
          <cell r="J2327">
            <v>0</v>
          </cell>
          <cell r="K2327">
            <v>0</v>
          </cell>
          <cell r="L2327">
            <v>1</v>
          </cell>
        </row>
        <row r="2328">
          <cell r="A2328" t="str">
            <v>20706.00436</v>
          </cell>
          <cell r="B2328" t="str">
            <v>ARBRE D'AGITATION</v>
          </cell>
          <cell r="C2328" t="str">
            <v xml:space="preserve">PL Y63429 REP 29 </v>
          </cell>
          <cell r="D2328" t="str">
            <v>PE</v>
          </cell>
          <cell r="E2328" t="str">
            <v>515.51511</v>
          </cell>
          <cell r="F2328">
            <v>564765.397</v>
          </cell>
          <cell r="G2328">
            <v>0</v>
          </cell>
          <cell r="H2328">
            <v>0</v>
          </cell>
          <cell r="I2328">
            <v>0</v>
          </cell>
          <cell r="J2328">
            <v>0</v>
          </cell>
          <cell r="K2328">
            <v>0</v>
          </cell>
          <cell r="L2328">
            <v>1</v>
          </cell>
        </row>
        <row r="2329">
          <cell r="A2329" t="str">
            <v>20709.00360</v>
          </cell>
          <cell r="B2329" t="str">
            <v>CAPTEUR DE PRESSION HYDROSTATIQUE</v>
          </cell>
          <cell r="C2329" t="str">
            <v>FMX167-A4AME2C3 TYPE WATERPILOT  LONGUEUR DU CABLE  20M</v>
          </cell>
          <cell r="D2329" t="str">
            <v>PE</v>
          </cell>
          <cell r="E2329" t="str">
            <v>512.51201</v>
          </cell>
          <cell r="F2329">
            <v>6122</v>
          </cell>
          <cell r="G2329">
            <v>0</v>
          </cell>
          <cell r="H2329">
            <v>0</v>
          </cell>
          <cell r="I2329">
            <v>0</v>
          </cell>
          <cell r="J2329">
            <v>1</v>
          </cell>
          <cell r="K2329">
            <v>0</v>
          </cell>
          <cell r="L2329">
            <v>0</v>
          </cell>
        </row>
        <row r="2330">
          <cell r="A2330" t="str">
            <v>20706.00438</v>
          </cell>
          <cell r="B2330" t="str">
            <v>ARBRE D'AGITATION</v>
          </cell>
          <cell r="C2330" t="str">
            <v xml:space="preserve">PL Y63437 REP 29 </v>
          </cell>
          <cell r="D2330" t="str">
            <v>PE</v>
          </cell>
          <cell r="E2330" t="str">
            <v>515.51511</v>
          </cell>
          <cell r="F2330">
            <v>521220.40139999997</v>
          </cell>
          <cell r="G2330">
            <v>0</v>
          </cell>
          <cell r="H2330">
            <v>0</v>
          </cell>
          <cell r="I2330">
            <v>0</v>
          </cell>
          <cell r="J2330">
            <v>0</v>
          </cell>
          <cell r="K2330">
            <v>0</v>
          </cell>
          <cell r="L2330">
            <v>1</v>
          </cell>
        </row>
        <row r="2331">
          <cell r="A2331" t="str">
            <v>20709.00361</v>
          </cell>
          <cell r="B2331" t="str">
            <v>TRANSMETTEUR DE NIVEAU ULTRA -SON</v>
          </cell>
          <cell r="C2331" t="str">
            <v>FMU40-ANB2 A2 TYPE PROSONIC -M</v>
          </cell>
          <cell r="D2331" t="str">
            <v>PE</v>
          </cell>
          <cell r="E2331" t="str">
            <v>512.51201</v>
          </cell>
          <cell r="F2331">
            <v>6800</v>
          </cell>
          <cell r="G2331">
            <v>0</v>
          </cell>
          <cell r="H2331">
            <v>1</v>
          </cell>
          <cell r="I2331">
            <v>1</v>
          </cell>
          <cell r="J2331">
            <v>0</v>
          </cell>
          <cell r="K2331">
            <v>0</v>
          </cell>
          <cell r="L2331">
            <v>1</v>
          </cell>
        </row>
        <row r="2332">
          <cell r="A2332" t="str">
            <v>20709.00363</v>
          </cell>
          <cell r="B2332" t="str">
            <v>DETECTEUR DE NIVEAU</v>
          </cell>
          <cell r="C2332" t="str">
            <v>FTL51-AAE2DB4G4A-LIQUIPHANT M FTL51 ( A LAMEES VIBRANTES )</v>
          </cell>
          <cell r="D2332" t="str">
            <v>PE</v>
          </cell>
          <cell r="E2332" t="str">
            <v>512.51201</v>
          </cell>
          <cell r="F2332">
            <v>8641.3150000000005</v>
          </cell>
          <cell r="G2332">
            <v>0</v>
          </cell>
          <cell r="H2332">
            <v>0</v>
          </cell>
          <cell r="I2332">
            <v>0</v>
          </cell>
          <cell r="J2332">
            <v>0</v>
          </cell>
          <cell r="K2332">
            <v>0</v>
          </cell>
          <cell r="L2332">
            <v>0</v>
          </cell>
        </row>
        <row r="2333">
          <cell r="A2333" t="str">
            <v>20709.00364</v>
          </cell>
          <cell r="B2333" t="str">
            <v>DETECTEUR DE NIVEAU</v>
          </cell>
          <cell r="C2333" t="str">
            <v>FTL51C-AAEKBK4G4AA  LIQUIPHANT M FTL51C ( A LAMES VIBRANTES )</v>
          </cell>
          <cell r="D2333" t="str">
            <v>PE</v>
          </cell>
          <cell r="E2333" t="str">
            <v>512.51201</v>
          </cell>
          <cell r="F2333">
            <v>8050</v>
          </cell>
          <cell r="G2333">
            <v>0</v>
          </cell>
          <cell r="H2333">
            <v>0</v>
          </cell>
          <cell r="I2333">
            <v>0</v>
          </cell>
          <cell r="J2333">
            <v>0</v>
          </cell>
          <cell r="K2333">
            <v>1</v>
          </cell>
          <cell r="L2333">
            <v>2</v>
          </cell>
        </row>
        <row r="2334">
          <cell r="A2334" t="str">
            <v>20706.00440</v>
          </cell>
          <cell r="B2334" t="str">
            <v>ARBRE D'AGITATION</v>
          </cell>
          <cell r="C2334" t="str">
            <v xml:space="preserve">PL Y63430 REP 30 </v>
          </cell>
          <cell r="D2334" t="str">
            <v>PE</v>
          </cell>
          <cell r="E2334" t="str">
            <v>515.51511</v>
          </cell>
          <cell r="F2334">
            <v>562456.19270000001</v>
          </cell>
          <cell r="G2334">
            <v>0</v>
          </cell>
          <cell r="H2334">
            <v>0</v>
          </cell>
          <cell r="I2334">
            <v>0</v>
          </cell>
          <cell r="J2334">
            <v>0</v>
          </cell>
          <cell r="K2334">
            <v>0</v>
          </cell>
          <cell r="L2334">
            <v>1</v>
          </cell>
        </row>
        <row r="2335">
          <cell r="A2335" t="str">
            <v>20706.00442</v>
          </cell>
          <cell r="B2335" t="str">
            <v>JEU DE BOULON HM30X200 +ECROU Hm M30 + RONDELLE MU30</v>
          </cell>
          <cell r="C2335" t="str">
            <v>PL Y63490 REP 16</v>
          </cell>
          <cell r="D2335" t="str">
            <v>PE</v>
          </cell>
          <cell r="E2335" t="str">
            <v>515.51511</v>
          </cell>
          <cell r="F2335">
            <v>2573.1134000000002</v>
          </cell>
          <cell r="G2335">
            <v>0</v>
          </cell>
          <cell r="H2335">
            <v>0</v>
          </cell>
          <cell r="I2335">
            <v>0</v>
          </cell>
          <cell r="J2335">
            <v>0</v>
          </cell>
          <cell r="K2335">
            <v>0</v>
          </cell>
          <cell r="L2335">
            <v>2</v>
          </cell>
        </row>
        <row r="2336">
          <cell r="A2336" t="str">
            <v>20706.00445</v>
          </cell>
          <cell r="B2336" t="str">
            <v>JEU DE BOULON HM30X160 +ECROU Hm M30 +RONDELLE MU30</v>
          </cell>
          <cell r="C2336" t="str">
            <v>PL Y63430 REP 29</v>
          </cell>
          <cell r="D2336" t="str">
            <v>PE</v>
          </cell>
          <cell r="E2336" t="str">
            <v>515.51511</v>
          </cell>
          <cell r="F2336">
            <v>2474.1475</v>
          </cell>
          <cell r="G2336">
            <v>0</v>
          </cell>
          <cell r="H2336">
            <v>0</v>
          </cell>
          <cell r="I2336">
            <v>0</v>
          </cell>
          <cell r="J2336">
            <v>0</v>
          </cell>
          <cell r="K2336">
            <v>0</v>
          </cell>
          <cell r="L2336">
            <v>4</v>
          </cell>
        </row>
        <row r="2337">
          <cell r="A2337" t="str">
            <v>20706.00446</v>
          </cell>
          <cell r="B2337" t="str">
            <v>JEU DE BOULON HM27X110 + FREIN D'ECROU Ø 27 EN UB6</v>
          </cell>
          <cell r="C2337" t="str">
            <v>PL Y63470 REP7 ET 8</v>
          </cell>
          <cell r="D2337" t="str">
            <v>PE</v>
          </cell>
          <cell r="E2337" t="str">
            <v>515.51511</v>
          </cell>
          <cell r="F2337">
            <v>1946.3293000000001</v>
          </cell>
          <cell r="G2337">
            <v>0</v>
          </cell>
          <cell r="H2337">
            <v>0</v>
          </cell>
          <cell r="I2337">
            <v>0</v>
          </cell>
          <cell r="J2337">
            <v>0</v>
          </cell>
          <cell r="K2337">
            <v>0</v>
          </cell>
          <cell r="L2337">
            <v>4</v>
          </cell>
        </row>
        <row r="2338">
          <cell r="A2338" t="str">
            <v>20706.00447</v>
          </cell>
          <cell r="B2338" t="str">
            <v>JEU DE BOULON H M24X110 + FREIN D'ECROU Ø24 EN UB6</v>
          </cell>
          <cell r="C2338" t="str">
            <v>PL Y63469 REP7 ET 8</v>
          </cell>
          <cell r="D2338" t="str">
            <v>PE</v>
          </cell>
          <cell r="E2338" t="str">
            <v>515.51511</v>
          </cell>
          <cell r="F2338">
            <v>1649.4317000000001</v>
          </cell>
          <cell r="G2338">
            <v>0</v>
          </cell>
          <cell r="H2338">
            <v>0</v>
          </cell>
          <cell r="I2338">
            <v>0</v>
          </cell>
          <cell r="J2338">
            <v>0</v>
          </cell>
          <cell r="K2338">
            <v>0</v>
          </cell>
          <cell r="L2338">
            <v>1</v>
          </cell>
        </row>
        <row r="2339">
          <cell r="A2339" t="str">
            <v>20691.00071</v>
          </cell>
          <cell r="B2339" t="str">
            <v>CARTOUCHE ENCRE CYAN P/IMPRIMANTE INKJET CP1700 ET 2300</v>
          </cell>
          <cell r="C2339" t="str">
            <v>HEWLETT PACKARD C 4836 A P/IMPRIMANTE INKJET CP1700; 2300 ET 1000N.B : A PRECISER SUR OFFRE ''MARQUE ORIGINE OU ADAPTABLE''</v>
          </cell>
          <cell r="D2339" t="str">
            <v>PE</v>
          </cell>
          <cell r="E2339" t="str">
            <v>222.22206</v>
          </cell>
          <cell r="F2339">
            <v>325.71429999999998</v>
          </cell>
          <cell r="G2339">
            <v>0</v>
          </cell>
          <cell r="H2339">
            <v>0</v>
          </cell>
          <cell r="I2339">
            <v>0</v>
          </cell>
          <cell r="J2339">
            <v>0</v>
          </cell>
          <cell r="K2339">
            <v>7</v>
          </cell>
          <cell r="L2339">
            <v>0</v>
          </cell>
        </row>
        <row r="2340">
          <cell r="A2340" t="str">
            <v>20691.00072</v>
          </cell>
          <cell r="B2340" t="str">
            <v>CARTOUCHE ENCRE MAGNETA P/IMPRIMANTE INKJET CP1700 ET 2300</v>
          </cell>
          <cell r="C2340" t="str">
            <v>HEWLETT PACKARD C 4837 A P/IMPRIMANTE INKJET CP1700; 2300 ET 1000N.B : A PRECISER SUR OFFRE ''MARQUE ORIGINE OU ADAPTABLE''</v>
          </cell>
          <cell r="D2340" t="str">
            <v>PE</v>
          </cell>
          <cell r="E2340" t="str">
            <v>222.22206</v>
          </cell>
          <cell r="F2340">
            <v>325.71429999999998</v>
          </cell>
          <cell r="G2340">
            <v>0</v>
          </cell>
          <cell r="H2340">
            <v>0</v>
          </cell>
          <cell r="I2340">
            <v>0</v>
          </cell>
          <cell r="J2340">
            <v>0</v>
          </cell>
          <cell r="K2340">
            <v>7</v>
          </cell>
          <cell r="L2340">
            <v>0</v>
          </cell>
        </row>
        <row r="2341">
          <cell r="A2341" t="str">
            <v>20691.00073</v>
          </cell>
          <cell r="B2341" t="str">
            <v>CARTOUCHE ENCRE YELLOW P/IMPRIMANTE INKJET CP1700 ET 2300</v>
          </cell>
          <cell r="C2341" t="str">
            <v>HEWLETT PACKARD C 4838 A P/IMPRIMANTE INKJET CP1700; 2300 ET 1000N.B : A PRECISER SUR OFFRE ''MARQUE ORIGINE OU ADAPTABLE''</v>
          </cell>
          <cell r="D2341" t="str">
            <v>PE</v>
          </cell>
          <cell r="E2341" t="str">
            <v>222.22206</v>
          </cell>
          <cell r="F2341">
            <v>325.71429999999998</v>
          </cell>
          <cell r="G2341">
            <v>0</v>
          </cell>
          <cell r="H2341">
            <v>0</v>
          </cell>
          <cell r="I2341">
            <v>0</v>
          </cell>
          <cell r="J2341">
            <v>0</v>
          </cell>
          <cell r="K2341">
            <v>7</v>
          </cell>
          <cell r="L2341">
            <v>0</v>
          </cell>
        </row>
        <row r="2342">
          <cell r="A2342" t="str">
            <v>20691.00496</v>
          </cell>
          <cell r="B2342" t="str">
            <v>TONER CYAN P/IMPRIMANTE</v>
          </cell>
          <cell r="C2342" t="str">
            <v>HEWLETT PACKARD Q 6001 A P/IMP.LASER JET 1600 ET 2600NN.B : A PRECISER SUR OFFRE ''MARQUE ORIGINE OU ADAPTABLE''</v>
          </cell>
          <cell r="D2342" t="str">
            <v>PE</v>
          </cell>
          <cell r="E2342" t="str">
            <v>222.22206</v>
          </cell>
          <cell r="F2342">
            <v>802.5</v>
          </cell>
          <cell r="G2342">
            <v>0</v>
          </cell>
          <cell r="H2342">
            <v>0</v>
          </cell>
          <cell r="I2342">
            <v>0</v>
          </cell>
          <cell r="J2342">
            <v>1</v>
          </cell>
          <cell r="K2342">
            <v>0</v>
          </cell>
          <cell r="L2342">
            <v>8</v>
          </cell>
        </row>
        <row r="2343">
          <cell r="A2343" t="str">
            <v>20691.00497</v>
          </cell>
          <cell r="B2343" t="str">
            <v>TONER JAUNE P/IMPRIMANTE</v>
          </cell>
          <cell r="C2343" t="str">
            <v>HEWLETT PACKARD Q 6002 A P/IMP.LASER JET 1600 ET 2600NN.B : A PRECISER SUR OFFRE ''MARQUE ORIGINE OU ADAPTABLE''</v>
          </cell>
          <cell r="D2343" t="str">
            <v>PE</v>
          </cell>
          <cell r="E2343" t="str">
            <v>222.22206</v>
          </cell>
          <cell r="F2343">
            <v>802.5</v>
          </cell>
          <cell r="G2343">
            <v>0</v>
          </cell>
          <cell r="H2343">
            <v>0</v>
          </cell>
          <cell r="I2343">
            <v>0</v>
          </cell>
          <cell r="J2343">
            <v>1</v>
          </cell>
          <cell r="K2343">
            <v>2</v>
          </cell>
          <cell r="L2343">
            <v>4</v>
          </cell>
        </row>
        <row r="2344">
          <cell r="A2344" t="str">
            <v>20710.00121</v>
          </cell>
          <cell r="B2344" t="str">
            <v>MODULE DES SORTIES LOGIQUES 32VOIES</v>
          </cell>
          <cell r="C2344" t="str">
            <v>ADV551</v>
          </cell>
          <cell r="D2344" t="str">
            <v>PE</v>
          </cell>
          <cell r="E2344" t="str">
            <v>512.51201</v>
          </cell>
          <cell r="F2344">
            <v>55277.719799999999</v>
          </cell>
          <cell r="G2344">
            <v>0</v>
          </cell>
          <cell r="H2344">
            <v>0</v>
          </cell>
          <cell r="I2344">
            <v>0</v>
          </cell>
          <cell r="J2344">
            <v>0</v>
          </cell>
          <cell r="K2344">
            <v>0</v>
          </cell>
          <cell r="L2344">
            <v>2</v>
          </cell>
        </row>
        <row r="2345">
          <cell r="A2345" t="str">
            <v>20691.00498</v>
          </cell>
          <cell r="B2345" t="str">
            <v>TONER MAGENTA P/IMPRIMANTE</v>
          </cell>
          <cell r="C2345" t="str">
            <v>HEWLETT PACKARD Q 6003 A P/IMP.LASER JET 1600 ET 2600NN.B : A PRECISER SUR OFFRE ''MARQUE ORIGINE OU ADAPTABLE''</v>
          </cell>
          <cell r="D2345" t="str">
            <v>PE</v>
          </cell>
          <cell r="E2345" t="str">
            <v>222.22206</v>
          </cell>
          <cell r="F2345">
            <v>802.5</v>
          </cell>
          <cell r="G2345">
            <v>0</v>
          </cell>
          <cell r="H2345">
            <v>0</v>
          </cell>
          <cell r="I2345">
            <v>1</v>
          </cell>
          <cell r="J2345">
            <v>1</v>
          </cell>
          <cell r="K2345">
            <v>0</v>
          </cell>
          <cell r="L2345">
            <v>7</v>
          </cell>
        </row>
        <row r="2346">
          <cell r="A2346" t="str">
            <v>20710.00122</v>
          </cell>
          <cell r="B2346" t="str">
            <v>MODULE DES ENTREES LOGIQUES 32VOIES</v>
          </cell>
          <cell r="C2346" t="str">
            <v>ADV151</v>
          </cell>
          <cell r="D2346" t="str">
            <v>PE</v>
          </cell>
          <cell r="E2346" t="str">
            <v>512.51201</v>
          </cell>
          <cell r="F2346">
            <v>67793.629799999995</v>
          </cell>
          <cell r="G2346">
            <v>0</v>
          </cell>
          <cell r="H2346">
            <v>0</v>
          </cell>
          <cell r="I2346">
            <v>0</v>
          </cell>
          <cell r="J2346">
            <v>0</v>
          </cell>
          <cell r="K2346">
            <v>0</v>
          </cell>
          <cell r="L2346">
            <v>2</v>
          </cell>
        </row>
        <row r="2347">
          <cell r="A2347" t="str">
            <v>20708.00444</v>
          </cell>
          <cell r="B2347" t="str">
            <v>TRANSMETTEUR DE PRESSION RELATIVE</v>
          </cell>
          <cell r="C2347" t="str">
            <v>3051TG2A2B21BB4M5Q4</v>
          </cell>
          <cell r="D2347" t="str">
            <v>PE</v>
          </cell>
          <cell r="E2347" t="str">
            <v>512.51201</v>
          </cell>
          <cell r="F2347">
            <v>5892.1877000000004</v>
          </cell>
          <cell r="G2347">
            <v>0</v>
          </cell>
          <cell r="H2347">
            <v>0</v>
          </cell>
          <cell r="I2347">
            <v>0</v>
          </cell>
          <cell r="J2347">
            <v>0</v>
          </cell>
          <cell r="K2347">
            <v>0</v>
          </cell>
          <cell r="L2347">
            <v>1</v>
          </cell>
        </row>
        <row r="2348">
          <cell r="A2348" t="str">
            <v>20708.00445</v>
          </cell>
          <cell r="B2348" t="str">
            <v>TRANSMETTEUR DE PRESSION ABSOLUE</v>
          </cell>
          <cell r="C2348" t="str">
            <v>3051TA1A2B21BB4M5Q4</v>
          </cell>
          <cell r="D2348" t="str">
            <v>PE</v>
          </cell>
          <cell r="E2348" t="str">
            <v>512.51201</v>
          </cell>
          <cell r="F2348">
            <v>19267.86</v>
          </cell>
          <cell r="G2348">
            <v>0</v>
          </cell>
          <cell r="H2348">
            <v>0</v>
          </cell>
          <cell r="I2348">
            <v>1</v>
          </cell>
          <cell r="J2348">
            <v>0</v>
          </cell>
          <cell r="K2348">
            <v>0</v>
          </cell>
          <cell r="L2348">
            <v>0</v>
          </cell>
        </row>
        <row r="2349">
          <cell r="A2349" t="str">
            <v>20708.00446</v>
          </cell>
          <cell r="B2349" t="str">
            <v>TRANSMETTEUR DE PRESSION RELATIVE AVEC SEPARATEUR A BRIDE A MEMBRANE AFFLEURANTE</v>
          </cell>
          <cell r="C2349" t="str">
            <v>3051TG2A2B21BB4M5Q4S1 +1199WDD60AFFW41DB00</v>
          </cell>
          <cell r="D2349" t="str">
            <v>PE</v>
          </cell>
          <cell r="E2349" t="str">
            <v>512.51201</v>
          </cell>
          <cell r="F2349">
            <v>11100</v>
          </cell>
          <cell r="G2349">
            <v>0</v>
          </cell>
          <cell r="H2349">
            <v>1</v>
          </cell>
          <cell r="I2349">
            <v>0</v>
          </cell>
          <cell r="J2349">
            <v>0</v>
          </cell>
          <cell r="K2349">
            <v>1</v>
          </cell>
          <cell r="L2349">
            <v>0</v>
          </cell>
        </row>
        <row r="2350">
          <cell r="A2350" t="str">
            <v>20708.00425</v>
          </cell>
          <cell r="B2350" t="str">
            <v>TUBE DE MESURE POUR DEBIMETRE18''</v>
          </cell>
          <cell r="C2350" t="str">
            <v>8705TPA180S1W0N0G2Q4DT</v>
          </cell>
          <cell r="D2350" t="str">
            <v>PE</v>
          </cell>
          <cell r="E2350" t="str">
            <v>512.51201</v>
          </cell>
          <cell r="F2350">
            <v>71316.7644</v>
          </cell>
          <cell r="G2350">
            <v>0</v>
          </cell>
          <cell r="H2350">
            <v>0</v>
          </cell>
          <cell r="I2350">
            <v>0</v>
          </cell>
          <cell r="J2350">
            <v>0</v>
          </cell>
          <cell r="K2350">
            <v>0</v>
          </cell>
          <cell r="L2350">
            <v>0</v>
          </cell>
        </row>
        <row r="2351">
          <cell r="A2351" t="str">
            <v>20708.00426</v>
          </cell>
          <cell r="B2351" t="str">
            <v>TUBE DE MESURE POUR DEBIMETRE 8''</v>
          </cell>
          <cell r="C2351" t="str">
            <v>8705APA080S1W0N0G2Q4DT</v>
          </cell>
          <cell r="D2351" t="str">
            <v>PE</v>
          </cell>
          <cell r="E2351" t="str">
            <v>512.51201</v>
          </cell>
          <cell r="F2351">
            <v>42300</v>
          </cell>
          <cell r="G2351">
            <v>0</v>
          </cell>
          <cell r="H2351">
            <v>0</v>
          </cell>
          <cell r="I2351">
            <v>0</v>
          </cell>
          <cell r="J2351">
            <v>0</v>
          </cell>
          <cell r="K2351">
            <v>1</v>
          </cell>
          <cell r="L2351">
            <v>2</v>
          </cell>
        </row>
        <row r="2352">
          <cell r="A2352" t="str">
            <v>20691.00876</v>
          </cell>
          <cell r="B2352" t="str">
            <v>CARTOUCHE D'ENCRE NOIR /JAUNE</v>
          </cell>
          <cell r="C2352" t="str">
            <v>HEWLETT PACKARD C9381A P/IMP OFFICEJET PRO L7780 ALL-IN-ONEN.B : A PRECISER SUR OFFRE ''MARQUE ORIGINE OU ADAPTABLE''</v>
          </cell>
          <cell r="D2352" t="str">
            <v>PE</v>
          </cell>
          <cell r="E2352" t="str">
            <v>222.22206</v>
          </cell>
          <cell r="F2352">
            <v>580</v>
          </cell>
          <cell r="G2352">
            <v>0</v>
          </cell>
          <cell r="H2352">
            <v>0</v>
          </cell>
          <cell r="I2352">
            <v>0</v>
          </cell>
          <cell r="J2352">
            <v>0</v>
          </cell>
          <cell r="K2352">
            <v>2</v>
          </cell>
          <cell r="L2352">
            <v>0</v>
          </cell>
        </row>
        <row r="2353">
          <cell r="A2353" t="str">
            <v>20691.00877</v>
          </cell>
          <cell r="B2353" t="str">
            <v>CARTOUCHE D'ENCRE CYAN /MAGENTA</v>
          </cell>
          <cell r="C2353" t="str">
            <v>HEWLETT PACKARD C9382A P/IMP OFFICEJET PRO L7780 ALL-IN-ONEN.B : A PRECISER SUR OFFRE ''MARQUE ORIGINE OU ADAPTABLE''</v>
          </cell>
          <cell r="D2353" t="str">
            <v>PE</v>
          </cell>
          <cell r="E2353" t="str">
            <v>222.22206</v>
          </cell>
          <cell r="F2353">
            <v>550</v>
          </cell>
          <cell r="G2353">
            <v>0</v>
          </cell>
          <cell r="H2353">
            <v>0</v>
          </cell>
          <cell r="I2353">
            <v>0</v>
          </cell>
          <cell r="J2353">
            <v>0</v>
          </cell>
          <cell r="K2353">
            <v>2</v>
          </cell>
          <cell r="L2353">
            <v>0</v>
          </cell>
        </row>
        <row r="2354">
          <cell r="A2354" t="str">
            <v>20691.00673</v>
          </cell>
          <cell r="B2354" t="str">
            <v>TONER P/IMPRIMANTE</v>
          </cell>
          <cell r="C2354" t="str">
            <v>HEWLETT PACKARD Q 7570 A P/IMPRIMANTE LASER JET M5035 MFPN.B : A PRECISER SUR OFFRE ''MARQUE ORIGINE OU ADAPTABLE''</v>
          </cell>
          <cell r="D2354" t="str">
            <v>PE</v>
          </cell>
          <cell r="E2354" t="str">
            <v>222.22206</v>
          </cell>
          <cell r="F2354">
            <v>1570</v>
          </cell>
          <cell r="G2354">
            <v>0</v>
          </cell>
          <cell r="H2354">
            <v>0</v>
          </cell>
          <cell r="I2354">
            <v>0</v>
          </cell>
          <cell r="J2354">
            <v>0</v>
          </cell>
          <cell r="K2354">
            <v>0</v>
          </cell>
          <cell r="L2354">
            <v>0</v>
          </cell>
        </row>
        <row r="2355">
          <cell r="A2355" t="str">
            <v>20691.00875</v>
          </cell>
          <cell r="B2355" t="str">
            <v>CARTOUCHE D'ENCRE CYAN</v>
          </cell>
          <cell r="C2355" t="str">
            <v>HEWLETT PACKARD C9386A P/IMP OFFICEJET PRO L7780 ALL-IN-ONEN.B : A PRECISER SUR OFFRE ''MARQUE ORIGINE OU ADAPTABLE''</v>
          </cell>
          <cell r="D2355" t="str">
            <v>PE</v>
          </cell>
          <cell r="E2355" t="str">
            <v>222.22206</v>
          </cell>
          <cell r="F2355">
            <v>550</v>
          </cell>
          <cell r="G2355">
            <v>0</v>
          </cell>
          <cell r="H2355">
            <v>0</v>
          </cell>
          <cell r="I2355">
            <v>0</v>
          </cell>
          <cell r="J2355">
            <v>0</v>
          </cell>
          <cell r="K2355">
            <v>3</v>
          </cell>
          <cell r="L2355">
            <v>0</v>
          </cell>
        </row>
        <row r="2356">
          <cell r="A2356" t="str">
            <v>20708.00427</v>
          </cell>
          <cell r="B2356" t="str">
            <v>TUBE DE MESURE POUR DEBIMETRE 10''</v>
          </cell>
          <cell r="C2356" t="str">
            <v>8705APA100S1W0N0Q4DT</v>
          </cell>
          <cell r="D2356" t="str">
            <v>PE</v>
          </cell>
          <cell r="E2356" t="str">
            <v>512.51201</v>
          </cell>
          <cell r="F2356">
            <v>35075.919300000001</v>
          </cell>
          <cell r="G2356">
            <v>0</v>
          </cell>
          <cell r="H2356">
            <v>1</v>
          </cell>
          <cell r="I2356">
            <v>0</v>
          </cell>
          <cell r="J2356">
            <v>0</v>
          </cell>
          <cell r="K2356">
            <v>0</v>
          </cell>
          <cell r="L2356">
            <v>0</v>
          </cell>
        </row>
        <row r="2357">
          <cell r="A2357" t="str">
            <v>20708.00428</v>
          </cell>
          <cell r="B2357" t="str">
            <v>TUBE DE MESURE POUR DEBIMETRE 12''</v>
          </cell>
          <cell r="C2357" t="str">
            <v>8705APA120S1W0N0Q4DT</v>
          </cell>
          <cell r="D2357" t="str">
            <v>PE</v>
          </cell>
          <cell r="E2357" t="str">
            <v>512.51201</v>
          </cell>
          <cell r="F2357">
            <v>72598.89</v>
          </cell>
          <cell r="G2357">
            <v>0</v>
          </cell>
          <cell r="H2357">
            <v>1</v>
          </cell>
          <cell r="I2357">
            <v>0</v>
          </cell>
          <cell r="J2357">
            <v>0</v>
          </cell>
          <cell r="K2357">
            <v>0</v>
          </cell>
          <cell r="L2357">
            <v>0</v>
          </cell>
        </row>
        <row r="2358">
          <cell r="A2358" t="str">
            <v>20708.00438</v>
          </cell>
          <cell r="B2358" t="str">
            <v>SONDE PH</v>
          </cell>
          <cell r="C2358" t="str">
            <v>385+02-10</v>
          </cell>
          <cell r="D2358" t="str">
            <v>PE</v>
          </cell>
          <cell r="E2358" t="str">
            <v>512.51201</v>
          </cell>
          <cell r="F2358">
            <v>15460</v>
          </cell>
          <cell r="G2358">
            <v>0</v>
          </cell>
          <cell r="H2358">
            <v>0</v>
          </cell>
          <cell r="I2358">
            <v>0</v>
          </cell>
          <cell r="J2358">
            <v>0</v>
          </cell>
          <cell r="K2358">
            <v>0</v>
          </cell>
          <cell r="L2358">
            <v>2</v>
          </cell>
        </row>
        <row r="2359">
          <cell r="A2359" t="str">
            <v>20708.00439</v>
          </cell>
          <cell r="B2359" t="str">
            <v>ANALYSEUR</v>
          </cell>
          <cell r="C2359" t="str">
            <v>NGA2000</v>
          </cell>
          <cell r="D2359" t="str">
            <v>PE</v>
          </cell>
          <cell r="E2359" t="str">
            <v>512.51201</v>
          </cell>
          <cell r="F2359">
            <v>213693.75</v>
          </cell>
          <cell r="G2359">
            <v>0</v>
          </cell>
          <cell r="H2359">
            <v>0</v>
          </cell>
          <cell r="I2359">
            <v>0</v>
          </cell>
          <cell r="J2359">
            <v>0</v>
          </cell>
          <cell r="K2359">
            <v>0</v>
          </cell>
          <cell r="L2359">
            <v>0</v>
          </cell>
        </row>
        <row r="2360">
          <cell r="A2360" t="str">
            <v>20708.00440</v>
          </cell>
          <cell r="B2360" t="str">
            <v>SONDE DE PRELEVEMENT GAZ</v>
          </cell>
          <cell r="C2360" t="str">
            <v>SP2200-H/C/I/BB</v>
          </cell>
          <cell r="D2360" t="str">
            <v>PE</v>
          </cell>
          <cell r="E2360" t="str">
            <v>512.51201</v>
          </cell>
          <cell r="F2360">
            <v>75543</v>
          </cell>
          <cell r="G2360">
            <v>0</v>
          </cell>
          <cell r="H2360">
            <v>0</v>
          </cell>
          <cell r="I2360">
            <v>0</v>
          </cell>
          <cell r="J2360">
            <v>0</v>
          </cell>
          <cell r="K2360">
            <v>1</v>
          </cell>
          <cell r="L2360">
            <v>0</v>
          </cell>
        </row>
        <row r="2361">
          <cell r="A2361" t="str">
            <v>20708.00441</v>
          </cell>
          <cell r="B2361" t="str">
            <v>DEBIMETRE</v>
          </cell>
          <cell r="C2361" t="str">
            <v>TYPE FM-40/150</v>
          </cell>
          <cell r="D2361" t="str">
            <v>PE</v>
          </cell>
          <cell r="E2361" t="str">
            <v>512.51201</v>
          </cell>
          <cell r="F2361">
            <v>2481.2921999999999</v>
          </cell>
          <cell r="G2361">
            <v>0</v>
          </cell>
          <cell r="H2361">
            <v>0</v>
          </cell>
          <cell r="I2361">
            <v>0</v>
          </cell>
          <cell r="J2361">
            <v>0</v>
          </cell>
          <cell r="K2361">
            <v>0</v>
          </cell>
          <cell r="L2361">
            <v>0</v>
          </cell>
        </row>
        <row r="2362">
          <cell r="A2362" t="str">
            <v>20700.00507</v>
          </cell>
          <cell r="B2362" t="str">
            <v>REDUCTION MALE/FEMELLE NPT</v>
          </cell>
          <cell r="C2362" t="str">
            <v>1872 22 18</v>
          </cell>
          <cell r="D2362" t="str">
            <v>PE</v>
          </cell>
          <cell r="E2362" t="str">
            <v>515.51511</v>
          </cell>
          <cell r="F2362">
            <v>201</v>
          </cell>
          <cell r="G2362">
            <v>0</v>
          </cell>
          <cell r="H2362">
            <v>0</v>
          </cell>
          <cell r="I2362">
            <v>0</v>
          </cell>
          <cell r="J2362">
            <v>0</v>
          </cell>
          <cell r="K2362">
            <v>0</v>
          </cell>
          <cell r="L2362">
            <v>0</v>
          </cell>
        </row>
        <row r="2363">
          <cell r="A2363" t="str">
            <v>20691.01192</v>
          </cell>
          <cell r="B2363" t="str">
            <v>PHOTORECEPTEUR</v>
          </cell>
          <cell r="C2363" t="str">
            <v>XEROX 013R00662 P/IMPRIMANTE WORK CENTRE TYPE 7545..NB : A PRECISER SUR OFFRE "MARQUE ORIGINE OU ADAPTABLE</v>
          </cell>
          <cell r="D2363" t="str">
            <v>PE</v>
          </cell>
          <cell r="E2363" t="str">
            <v>222.22206</v>
          </cell>
          <cell r="F2363">
            <v>3800</v>
          </cell>
          <cell r="G2363">
            <v>0</v>
          </cell>
          <cell r="H2363">
            <v>0</v>
          </cell>
          <cell r="I2363">
            <v>0</v>
          </cell>
          <cell r="J2363">
            <v>0</v>
          </cell>
          <cell r="K2363">
            <v>0</v>
          </cell>
          <cell r="L2363">
            <v>0</v>
          </cell>
        </row>
        <row r="2364">
          <cell r="A2364" t="str">
            <v>20710.00125</v>
          </cell>
          <cell r="B2364" t="str">
            <v>MODULE DES ENTREES ANALOGIQUES TYPE HART</v>
          </cell>
          <cell r="C2364" t="str">
            <v>AAI135</v>
          </cell>
          <cell r="D2364" t="str">
            <v>PE</v>
          </cell>
          <cell r="E2364" t="str">
            <v>512.51201</v>
          </cell>
          <cell r="F2364">
            <v>23850</v>
          </cell>
          <cell r="G2364">
            <v>0</v>
          </cell>
          <cell r="H2364">
            <v>0</v>
          </cell>
          <cell r="I2364">
            <v>0</v>
          </cell>
          <cell r="J2364">
            <v>0</v>
          </cell>
          <cell r="K2364">
            <v>12</v>
          </cell>
          <cell r="L2364">
            <v>0</v>
          </cell>
        </row>
        <row r="2365">
          <cell r="A2365" t="str">
            <v>20710.00127</v>
          </cell>
          <cell r="B2365" t="str">
            <v>MODULE DE COMMUNICATION</v>
          </cell>
          <cell r="C2365" t="str">
            <v>EC401</v>
          </cell>
          <cell r="D2365" t="str">
            <v>PE</v>
          </cell>
          <cell r="E2365" t="str">
            <v>512.51201</v>
          </cell>
          <cell r="F2365">
            <v>70959.766300000003</v>
          </cell>
          <cell r="G2365">
            <v>0</v>
          </cell>
          <cell r="H2365">
            <v>0</v>
          </cell>
          <cell r="I2365">
            <v>0</v>
          </cell>
          <cell r="J2365">
            <v>0</v>
          </cell>
          <cell r="K2365">
            <v>0</v>
          </cell>
          <cell r="L2365">
            <v>0</v>
          </cell>
        </row>
        <row r="2366">
          <cell r="A2366" t="str">
            <v>20710.00129</v>
          </cell>
          <cell r="B2366" t="str">
            <v>CARTE D'ALIMENTATION 220V/50HZ</v>
          </cell>
          <cell r="C2366" t="str">
            <v>PW482</v>
          </cell>
          <cell r="D2366" t="str">
            <v>PE</v>
          </cell>
          <cell r="E2366" t="str">
            <v>512.51201</v>
          </cell>
          <cell r="F2366">
            <v>17740.082200000001</v>
          </cell>
          <cell r="G2366">
            <v>0</v>
          </cell>
          <cell r="H2366">
            <v>0</v>
          </cell>
          <cell r="I2366">
            <v>0</v>
          </cell>
          <cell r="J2366">
            <v>0</v>
          </cell>
          <cell r="K2366">
            <v>0</v>
          </cell>
          <cell r="L2366">
            <v>0</v>
          </cell>
        </row>
        <row r="2367">
          <cell r="A2367" t="str">
            <v>20691.01193</v>
          </cell>
          <cell r="B2367" t="str">
            <v>FOUR</v>
          </cell>
          <cell r="C2367" t="str">
            <v>XEROX 604K62230 P/IMPRIMANTE WORK CENTRE TYPE 7545.NB : A PRECISER SUR OFFRE "MARQUE ORIGINE OU ADAPTABLE.</v>
          </cell>
          <cell r="D2367" t="str">
            <v>PE</v>
          </cell>
          <cell r="E2367" t="str">
            <v>222.22206</v>
          </cell>
          <cell r="F2367">
            <v>14000</v>
          </cell>
          <cell r="G2367">
            <v>0</v>
          </cell>
          <cell r="H2367">
            <v>0</v>
          </cell>
          <cell r="I2367">
            <v>0</v>
          </cell>
          <cell r="J2367">
            <v>0</v>
          </cell>
          <cell r="K2367">
            <v>0</v>
          </cell>
          <cell r="L2367">
            <v>0</v>
          </cell>
        </row>
        <row r="2368">
          <cell r="A2368" t="str">
            <v>20691.01194</v>
          </cell>
          <cell r="B2368" t="str">
            <v>TONER NOIR</v>
          </cell>
          <cell r="C2368" t="str">
            <v>XEROX 106R01604 P/IMPRIMANTE WORK CENTRE TYPE 6505.NB : A PRECISER SUR OFFRE "MARQUE ORIGINE OU ADAPTABLE..</v>
          </cell>
          <cell r="D2368" t="str">
            <v>PE</v>
          </cell>
          <cell r="E2368" t="str">
            <v>222.22206</v>
          </cell>
          <cell r="F2368">
            <v>660</v>
          </cell>
          <cell r="G2368">
            <v>0</v>
          </cell>
          <cell r="H2368">
            <v>0</v>
          </cell>
          <cell r="I2368">
            <v>0</v>
          </cell>
          <cell r="J2368">
            <v>0</v>
          </cell>
          <cell r="K2368">
            <v>0</v>
          </cell>
          <cell r="L2368">
            <v>0</v>
          </cell>
        </row>
        <row r="2369">
          <cell r="A2369" t="str">
            <v>20691.01195</v>
          </cell>
          <cell r="B2369" t="str">
            <v>TONER JAUNE</v>
          </cell>
          <cell r="C2369" t="str">
            <v>XEROX 106R01603 P/IMPRIMANTE WORK CENTRE TYPE 6505.NB : A PRECISER SUR OFFRE "MARQUE ORIGINE OU ADAPTABLE.</v>
          </cell>
          <cell r="D2369" t="str">
            <v>PE</v>
          </cell>
          <cell r="E2369" t="str">
            <v>222.22206</v>
          </cell>
          <cell r="F2369">
            <v>660</v>
          </cell>
          <cell r="G2369">
            <v>0</v>
          </cell>
          <cell r="H2369">
            <v>0</v>
          </cell>
          <cell r="I2369">
            <v>0</v>
          </cell>
          <cell r="J2369">
            <v>0</v>
          </cell>
          <cell r="K2369">
            <v>0</v>
          </cell>
          <cell r="L2369">
            <v>0</v>
          </cell>
        </row>
        <row r="2370">
          <cell r="A2370" t="str">
            <v>20691.01196</v>
          </cell>
          <cell r="B2370" t="str">
            <v>TONER MAGENTA</v>
          </cell>
          <cell r="C2370" t="str">
            <v>XEROX 106R01602 P/IMPRIMANTE WORK CENTRE TYPE 6505.NB : A PRECISER SUR OFFRE "MARQUE ORIGINE OU ADAPTABLE.</v>
          </cell>
          <cell r="D2370" t="str">
            <v>PE</v>
          </cell>
          <cell r="E2370" t="str">
            <v>222.22206</v>
          </cell>
          <cell r="F2370">
            <v>660</v>
          </cell>
          <cell r="G2370">
            <v>0</v>
          </cell>
          <cell r="H2370">
            <v>0</v>
          </cell>
          <cell r="I2370">
            <v>0</v>
          </cell>
          <cell r="J2370">
            <v>0</v>
          </cell>
          <cell r="K2370">
            <v>0</v>
          </cell>
          <cell r="L2370">
            <v>0</v>
          </cell>
        </row>
        <row r="2371">
          <cell r="A2371" t="str">
            <v>20691.01197</v>
          </cell>
          <cell r="B2371" t="str">
            <v>TONER CYAN</v>
          </cell>
          <cell r="C2371" t="str">
            <v>XEROX 106R01601 P/IMPRIMANTE WORK CENTRE TYPE 6505.NB : A PRECISER SUR OFFRE "MARQUE ORIGINE OU ADAPTABLE.</v>
          </cell>
          <cell r="D2371" t="str">
            <v>PE</v>
          </cell>
          <cell r="E2371" t="str">
            <v>222.22206</v>
          </cell>
          <cell r="F2371">
            <v>660</v>
          </cell>
          <cell r="G2371">
            <v>0</v>
          </cell>
          <cell r="H2371">
            <v>0</v>
          </cell>
          <cell r="I2371">
            <v>0</v>
          </cell>
          <cell r="J2371">
            <v>0</v>
          </cell>
          <cell r="K2371">
            <v>0</v>
          </cell>
          <cell r="L2371">
            <v>0</v>
          </cell>
        </row>
        <row r="2372">
          <cell r="A2372" t="str">
            <v>20708.00600</v>
          </cell>
          <cell r="B2372" t="str">
            <v>CAPTEUR STANDARD CORIOLIS</v>
          </cell>
          <cell r="C2372" t="str">
            <v>DS150Z</v>
          </cell>
          <cell r="D2372" t="str">
            <v>PE</v>
          </cell>
          <cell r="E2372" t="str">
            <v>512.51201</v>
          </cell>
          <cell r="F2372">
            <v>92211.947400000005</v>
          </cell>
          <cell r="G2372">
            <v>0</v>
          </cell>
          <cell r="H2372">
            <v>0</v>
          </cell>
          <cell r="I2372">
            <v>0</v>
          </cell>
          <cell r="J2372">
            <v>0</v>
          </cell>
          <cell r="K2372">
            <v>0</v>
          </cell>
          <cell r="L2372">
            <v>0</v>
          </cell>
        </row>
        <row r="2373">
          <cell r="A2373" t="str">
            <v>20691.01042</v>
          </cell>
          <cell r="B2373" t="str">
            <v>TONER JAUNE</v>
          </cell>
          <cell r="C2373" t="str">
            <v>XEROX 108R00777 P/IMPRIMANTE TYPE WORKCENTRE 6400XN.B : A PRECISER SUR OFFRE ''MARQUE ORIGINE OU ADAPTABLE''</v>
          </cell>
          <cell r="D2373" t="str">
            <v>PE</v>
          </cell>
          <cell r="E2373" t="str">
            <v>222.22206</v>
          </cell>
          <cell r="F2373">
            <v>1400</v>
          </cell>
          <cell r="G2373">
            <v>0</v>
          </cell>
          <cell r="H2373">
            <v>0</v>
          </cell>
          <cell r="I2373">
            <v>0</v>
          </cell>
          <cell r="J2373">
            <v>0</v>
          </cell>
          <cell r="K2373">
            <v>0</v>
          </cell>
          <cell r="L2373">
            <v>0</v>
          </cell>
        </row>
        <row r="2374">
          <cell r="A2374" t="str">
            <v>20708.00447</v>
          </cell>
          <cell r="B2374" t="str">
            <v>TRANSMETTEUR DE PRESSION DIFFERENTIELLE AVEC DEUX INTERNAL DIAPHRAGM SEAL</v>
          </cell>
          <cell r="C2374" t="str">
            <v>3051CD2A22A1BS2M5B4L4Q4 + 1199WDAB4ACFS41DA00 + 1199MD256ACFS41DA00</v>
          </cell>
          <cell r="D2374" t="str">
            <v>PE</v>
          </cell>
          <cell r="E2374" t="str">
            <v>512.51201</v>
          </cell>
          <cell r="F2374">
            <v>24666.8537</v>
          </cell>
          <cell r="G2374">
            <v>0</v>
          </cell>
          <cell r="H2374">
            <v>0</v>
          </cell>
          <cell r="I2374">
            <v>1</v>
          </cell>
          <cell r="J2374">
            <v>0</v>
          </cell>
          <cell r="K2374">
            <v>0</v>
          </cell>
          <cell r="L2374">
            <v>1</v>
          </cell>
        </row>
        <row r="2375">
          <cell r="A2375" t="str">
            <v>20699.00354</v>
          </cell>
          <cell r="B2375" t="str">
            <v>VANNE DE REGULATION VARIPAK STANDAD DN 25</v>
          </cell>
          <cell r="C2375" t="str">
            <v xml:space="preserve">28-28142 </v>
          </cell>
          <cell r="D2375" t="str">
            <v>PE</v>
          </cell>
          <cell r="E2375" t="str">
            <v>512.51201</v>
          </cell>
          <cell r="F2375">
            <v>18000</v>
          </cell>
          <cell r="G2375">
            <v>0</v>
          </cell>
          <cell r="H2375">
            <v>0</v>
          </cell>
          <cell r="I2375">
            <v>0</v>
          </cell>
          <cell r="J2375">
            <v>0</v>
          </cell>
          <cell r="K2375">
            <v>0</v>
          </cell>
          <cell r="L2375">
            <v>2</v>
          </cell>
        </row>
        <row r="2376">
          <cell r="A2376" t="str">
            <v>20691.01043</v>
          </cell>
          <cell r="B2376" t="str">
            <v>TONER MAGENTA</v>
          </cell>
          <cell r="C2376" t="str">
            <v>XEROX 108R00776 P/IMPRIMANTE TYPE WORKCENTRE 6400XN.B : A PRECISER SUR OFFRE ''MARQUE ORIGINE OU ADAPTABLE''</v>
          </cell>
          <cell r="D2376" t="str">
            <v>PE</v>
          </cell>
          <cell r="E2376" t="str">
            <v>222.22206</v>
          </cell>
          <cell r="F2376">
            <v>1400</v>
          </cell>
          <cell r="G2376">
            <v>0</v>
          </cell>
          <cell r="H2376">
            <v>0</v>
          </cell>
          <cell r="I2376">
            <v>0</v>
          </cell>
          <cell r="J2376">
            <v>0</v>
          </cell>
          <cell r="K2376">
            <v>0</v>
          </cell>
          <cell r="L2376">
            <v>0</v>
          </cell>
        </row>
        <row r="2377">
          <cell r="A2377" t="str">
            <v>20708.00453</v>
          </cell>
          <cell r="B2377" t="str">
            <v>TRANSSMETTEUR DE TEMPERATURE SMART</v>
          </cell>
          <cell r="C2377" t="str">
            <v>644HANAJ5M5Q4</v>
          </cell>
          <cell r="D2377" t="str">
            <v>PE</v>
          </cell>
          <cell r="E2377" t="str">
            <v>512.51201</v>
          </cell>
          <cell r="F2377">
            <v>2712.2768999999998</v>
          </cell>
          <cell r="G2377">
            <v>0</v>
          </cell>
          <cell r="H2377">
            <v>0</v>
          </cell>
          <cell r="I2377">
            <v>0</v>
          </cell>
          <cell r="J2377">
            <v>1</v>
          </cell>
          <cell r="K2377">
            <v>0</v>
          </cell>
          <cell r="L2377">
            <v>4</v>
          </cell>
        </row>
        <row r="2378">
          <cell r="A2378" t="str">
            <v>20691.01044</v>
          </cell>
          <cell r="B2378" t="str">
            <v>TONER CYAN</v>
          </cell>
          <cell r="C2378" t="str">
            <v>XEROX 108R00775 P/IMPRIMANTE TYPE WORKCENTRE 6400XN.B : A PRECISER SUR OFFRE ''MARQUE ORIGINE OU ADAPTABLE''</v>
          </cell>
          <cell r="D2378" t="str">
            <v>PE</v>
          </cell>
          <cell r="E2378" t="str">
            <v>222.22206</v>
          </cell>
          <cell r="F2378">
            <v>1400</v>
          </cell>
          <cell r="G2378">
            <v>0</v>
          </cell>
          <cell r="H2378">
            <v>0</v>
          </cell>
          <cell r="I2378">
            <v>0</v>
          </cell>
          <cell r="J2378">
            <v>0</v>
          </cell>
          <cell r="K2378">
            <v>0</v>
          </cell>
          <cell r="L2378">
            <v>0</v>
          </cell>
        </row>
        <row r="2379">
          <cell r="A2379" t="str">
            <v>20708.00448</v>
          </cell>
          <cell r="B2379" t="str">
            <v>TRANSMETTEUR DE PRESSION ABSOLUE AVEC SEPARATEUR A BRIDE A MEMBRANE AFFLEURANTE</v>
          </cell>
          <cell r="C2379" t="str">
            <v xml:space="preserve">3051TA1A2B21BB4M5Q4S1 +1199WCD60AFFW71DB00 </v>
          </cell>
          <cell r="D2379" t="str">
            <v>PE</v>
          </cell>
          <cell r="E2379" t="str">
            <v>512.51201</v>
          </cell>
          <cell r="F2379">
            <v>22047.041399999998</v>
          </cell>
          <cell r="G2379">
            <v>0</v>
          </cell>
          <cell r="H2379">
            <v>1</v>
          </cell>
          <cell r="I2379">
            <v>0</v>
          </cell>
          <cell r="J2379">
            <v>0</v>
          </cell>
          <cell r="K2379">
            <v>0</v>
          </cell>
          <cell r="L2379">
            <v>0</v>
          </cell>
        </row>
        <row r="2380">
          <cell r="A2380" t="str">
            <v>20691.01045</v>
          </cell>
          <cell r="B2380" t="str">
            <v>TONER NOIR</v>
          </cell>
          <cell r="C2380" t="str">
            <v>XEROX 108R00774 P/IMPRIMANTE TYPE WORKCENTRE 6400XN.B : A PRECISER SUR OFFRE ''MARQUE ORIGINE OU ADAPTABLE''</v>
          </cell>
          <cell r="D2380" t="str">
            <v>PE</v>
          </cell>
          <cell r="E2380" t="str">
            <v>222.22206</v>
          </cell>
          <cell r="F2380">
            <v>1200</v>
          </cell>
          <cell r="G2380">
            <v>0</v>
          </cell>
          <cell r="H2380">
            <v>0</v>
          </cell>
          <cell r="I2380">
            <v>0</v>
          </cell>
          <cell r="J2380">
            <v>0</v>
          </cell>
          <cell r="K2380">
            <v>0</v>
          </cell>
          <cell r="L2380">
            <v>0</v>
          </cell>
        </row>
        <row r="2381">
          <cell r="A2381" t="str">
            <v>20708.00449</v>
          </cell>
          <cell r="B2381" t="str">
            <v>TRANSMETTEUR DE PRESSION DIFFERENTIELLE + INTERNAL DIAPHRAGM SEAL</v>
          </cell>
          <cell r="C2381" t="str">
            <v>3051CD2A22A1BS2M5B4L4Q4 + 1199WDAB3ACFS41DA00+1199MD260ACFS41DA00</v>
          </cell>
          <cell r="D2381" t="str">
            <v>PE</v>
          </cell>
          <cell r="E2381" t="str">
            <v>512.51201</v>
          </cell>
          <cell r="F2381">
            <v>11036.1612</v>
          </cell>
          <cell r="G2381">
            <v>0</v>
          </cell>
          <cell r="H2381">
            <v>0</v>
          </cell>
          <cell r="I2381">
            <v>0</v>
          </cell>
          <cell r="J2381">
            <v>0</v>
          </cell>
          <cell r="K2381">
            <v>0</v>
          </cell>
          <cell r="L2381">
            <v>1</v>
          </cell>
        </row>
        <row r="2382">
          <cell r="A2382" t="str">
            <v>20708.00450</v>
          </cell>
          <cell r="B2382" t="str">
            <v>TRANSMETTEUR DE PRESSION DIFFERENTIELLE AVEC  INTERNAL DIAPHRAGM SEAL</v>
          </cell>
          <cell r="C2382" t="str">
            <v>3051CD2A22A1BS1M5B4L4Q4+1199WDAB3ACFS41DA00</v>
          </cell>
          <cell r="D2382" t="str">
            <v>PE</v>
          </cell>
          <cell r="E2382" t="str">
            <v>512.51201</v>
          </cell>
          <cell r="F2382">
            <v>7797.7960999999996</v>
          </cell>
          <cell r="G2382">
            <v>0</v>
          </cell>
          <cell r="H2382">
            <v>1</v>
          </cell>
          <cell r="I2382">
            <v>0</v>
          </cell>
          <cell r="J2382">
            <v>0</v>
          </cell>
          <cell r="K2382">
            <v>0</v>
          </cell>
          <cell r="L2382">
            <v>0</v>
          </cell>
        </row>
        <row r="2383">
          <cell r="A2383" t="str">
            <v>20708.00451</v>
          </cell>
          <cell r="B2383" t="str">
            <v>TRANSMETTEUR DE PRESSION RELATIVE AVEC SEPARATEUR A BRIDE AVEC EXTENSION</v>
          </cell>
          <cell r="C2383" t="str">
            <v>3051TG2A2B21BB4M5Q4S1 +1199WDA95AEFW91DA80</v>
          </cell>
          <cell r="D2383" t="str">
            <v>PE</v>
          </cell>
          <cell r="E2383" t="str">
            <v>512.51201</v>
          </cell>
          <cell r="F2383">
            <v>26678.477500000001</v>
          </cell>
          <cell r="G2383">
            <v>0</v>
          </cell>
          <cell r="H2383">
            <v>0</v>
          </cell>
          <cell r="I2383">
            <v>1</v>
          </cell>
          <cell r="J2383">
            <v>0</v>
          </cell>
          <cell r="K2383">
            <v>0</v>
          </cell>
          <cell r="L2383">
            <v>0</v>
          </cell>
        </row>
        <row r="2384">
          <cell r="A2384" t="str">
            <v>20708.00452</v>
          </cell>
          <cell r="B2384" t="str">
            <v>TRANSMETTEUR DE PRESSION RELATIVE AVEC SEPARATEUR A BRIDE A MEMBRANE AFFLEURANTE</v>
          </cell>
          <cell r="C2384" t="str">
            <v>3051TG2A2B31BB4M5Q4S1 + 1199WDJ60AFFWG1DB00</v>
          </cell>
          <cell r="D2384" t="str">
            <v>PE</v>
          </cell>
          <cell r="E2384" t="str">
            <v>512.51201</v>
          </cell>
          <cell r="F2384">
            <v>11900</v>
          </cell>
          <cell r="G2384">
            <v>0</v>
          </cell>
          <cell r="H2384">
            <v>0</v>
          </cell>
          <cell r="I2384">
            <v>0</v>
          </cell>
          <cell r="J2384">
            <v>1</v>
          </cell>
          <cell r="K2384">
            <v>0</v>
          </cell>
          <cell r="L2384">
            <v>1</v>
          </cell>
        </row>
        <row r="2385">
          <cell r="A2385" t="str">
            <v>20708.00454</v>
          </cell>
          <cell r="B2385" t="str">
            <v>TRANSMETTEUR DE NIVEAU RADAR AVEC BRIDE D'ADAPTATION 12"  PLUS TIGE ET GOUJON</v>
          </cell>
          <cell r="C2385" t="str">
            <v>5402AH2NA4PPVCAM1Q4</v>
          </cell>
          <cell r="D2385" t="str">
            <v>PE</v>
          </cell>
          <cell r="E2385" t="str">
            <v>512.51201</v>
          </cell>
          <cell r="F2385">
            <v>84068.892900000006</v>
          </cell>
          <cell r="G2385">
            <v>0</v>
          </cell>
          <cell r="H2385">
            <v>0</v>
          </cell>
          <cell r="I2385">
            <v>0</v>
          </cell>
          <cell r="J2385">
            <v>0</v>
          </cell>
          <cell r="K2385">
            <v>0</v>
          </cell>
          <cell r="L2385">
            <v>0</v>
          </cell>
        </row>
        <row r="2386">
          <cell r="A2386" t="str">
            <v>20708.00455</v>
          </cell>
          <cell r="B2386" t="str">
            <v>TRANSMETTEUR DE NIVEAU RADAR</v>
          </cell>
          <cell r="C2386" t="str">
            <v>5402AH2NA3PPVBAM1Q4</v>
          </cell>
          <cell r="D2386" t="str">
            <v>PE</v>
          </cell>
          <cell r="E2386" t="str">
            <v>512.51201</v>
          </cell>
          <cell r="F2386">
            <v>17529</v>
          </cell>
          <cell r="G2386">
            <v>0</v>
          </cell>
          <cell r="H2386">
            <v>1</v>
          </cell>
          <cell r="I2386">
            <v>0</v>
          </cell>
          <cell r="J2386">
            <v>0</v>
          </cell>
          <cell r="K2386">
            <v>1</v>
          </cell>
          <cell r="L2386">
            <v>1</v>
          </cell>
        </row>
        <row r="2387">
          <cell r="A2387" t="str">
            <v>20710.00133</v>
          </cell>
          <cell r="B2387" t="str">
            <v>TRANSMETTEUR DE PRESSION DIFFERENTIELLE AVEC SEPARATEUR A BRIDE 3"</v>
          </cell>
          <cell r="C2387" t="str">
            <v>EJA110A - EMS5B-97DB/KS2/N5 + TYPE: 990.29A</v>
          </cell>
          <cell r="D2387" t="str">
            <v>PE</v>
          </cell>
          <cell r="E2387" t="str">
            <v>512.51201</v>
          </cell>
          <cell r="F2387">
            <v>25600</v>
          </cell>
          <cell r="G2387">
            <v>0</v>
          </cell>
          <cell r="H2387">
            <v>0</v>
          </cell>
          <cell r="I2387">
            <v>1</v>
          </cell>
          <cell r="J2387">
            <v>0</v>
          </cell>
          <cell r="K2387">
            <v>0</v>
          </cell>
          <cell r="L2387">
            <v>0</v>
          </cell>
        </row>
        <row r="2388">
          <cell r="A2388" t="str">
            <v>20708.00610</v>
          </cell>
          <cell r="B2388" t="str">
            <v>CAPTEUR POUR DEBIMETRE ELECTROMAGNETIQUE</v>
          </cell>
          <cell r="C2388" t="str">
            <v>8705NHA160S1W3NOG1Q4DT</v>
          </cell>
          <cell r="D2388" t="str">
            <v>PE</v>
          </cell>
          <cell r="E2388" t="str">
            <v>512.51201</v>
          </cell>
          <cell r="F2388">
            <v>70020.038400000005</v>
          </cell>
          <cell r="G2388">
            <v>0</v>
          </cell>
          <cell r="H2388">
            <v>0</v>
          </cell>
          <cell r="I2388">
            <v>0</v>
          </cell>
          <cell r="J2388">
            <v>0</v>
          </cell>
          <cell r="K2388">
            <v>1</v>
          </cell>
          <cell r="L2388">
            <v>0</v>
          </cell>
        </row>
        <row r="2389">
          <cell r="A2389" t="str">
            <v>20708.00605</v>
          </cell>
          <cell r="B2389" t="str">
            <v>TRANSMETTEUR D'OXYGENE OXYMITTER 4000</v>
          </cell>
          <cell r="C2389" t="str">
            <v>OXT4A 32001431000111</v>
          </cell>
          <cell r="D2389" t="str">
            <v>PE</v>
          </cell>
          <cell r="E2389" t="str">
            <v>512.51201</v>
          </cell>
          <cell r="F2389">
            <v>60000</v>
          </cell>
          <cell r="G2389">
            <v>1</v>
          </cell>
          <cell r="H2389">
            <v>0</v>
          </cell>
          <cell r="I2389">
            <v>0</v>
          </cell>
          <cell r="J2389">
            <v>0</v>
          </cell>
          <cell r="K2389">
            <v>0</v>
          </cell>
          <cell r="L2389">
            <v>0</v>
          </cell>
        </row>
        <row r="2390">
          <cell r="A2390" t="str">
            <v>20708.00606</v>
          </cell>
          <cell r="B2390" t="str">
            <v>SEQENSEUR D'AUTOCALIBRATION</v>
          </cell>
          <cell r="C2390" t="str">
            <v>SPS 4001B</v>
          </cell>
          <cell r="D2390" t="str">
            <v>PE</v>
          </cell>
          <cell r="E2390" t="str">
            <v>512.51201</v>
          </cell>
          <cell r="F2390">
            <v>11412.591</v>
          </cell>
          <cell r="G2390">
            <v>0</v>
          </cell>
          <cell r="H2390">
            <v>0</v>
          </cell>
          <cell r="I2390">
            <v>0</v>
          </cell>
          <cell r="J2390">
            <v>0</v>
          </cell>
          <cell r="K2390">
            <v>0</v>
          </cell>
          <cell r="L2390">
            <v>0</v>
          </cell>
        </row>
        <row r="2391">
          <cell r="A2391" t="str">
            <v>20708.00607</v>
          </cell>
          <cell r="B2391" t="str">
            <v>BOUTEILLE DE GAZ DE CALIBRATION (JETABLE)</v>
          </cell>
          <cell r="C2391" t="str">
            <v>1A99119G01</v>
          </cell>
          <cell r="D2391" t="str">
            <v>PE</v>
          </cell>
          <cell r="E2391" t="str">
            <v>512.51201</v>
          </cell>
          <cell r="F2391">
            <v>28900</v>
          </cell>
          <cell r="G2391">
            <v>0</v>
          </cell>
          <cell r="H2391">
            <v>0</v>
          </cell>
          <cell r="I2391">
            <v>0</v>
          </cell>
          <cell r="J2391">
            <v>0</v>
          </cell>
          <cell r="K2391">
            <v>0</v>
          </cell>
          <cell r="L2391">
            <v>1</v>
          </cell>
        </row>
        <row r="2392">
          <cell r="A2392" t="str">
            <v>20708.00608</v>
          </cell>
          <cell r="B2392" t="str">
            <v>REGULATEUR DE DEBIT</v>
          </cell>
          <cell r="C2392" t="str">
            <v>1A99119G02</v>
          </cell>
          <cell r="D2392" t="str">
            <v>PE</v>
          </cell>
          <cell r="E2392" t="str">
            <v>512.51201</v>
          </cell>
          <cell r="F2392">
            <v>5000</v>
          </cell>
          <cell r="G2392">
            <v>1</v>
          </cell>
          <cell r="H2392">
            <v>0</v>
          </cell>
          <cell r="I2392">
            <v>0</v>
          </cell>
          <cell r="J2392">
            <v>0</v>
          </cell>
          <cell r="K2392">
            <v>0</v>
          </cell>
          <cell r="L2392">
            <v>0</v>
          </cell>
        </row>
        <row r="2393">
          <cell r="A2393" t="str">
            <v>20708.00228</v>
          </cell>
          <cell r="B2393" t="str">
            <v>TRANSMETTEUR DE PRESSION DIFFERENTIELLE</v>
          </cell>
          <cell r="C2393" t="str">
            <v>3051CD 2A03A1AH2BAM5  0A625 MM H20</v>
          </cell>
          <cell r="D2393" t="str">
            <v>PE</v>
          </cell>
          <cell r="E2393" t="str">
            <v>512.51201</v>
          </cell>
          <cell r="F2393">
            <v>7671.3438999999998</v>
          </cell>
          <cell r="G2393">
            <v>0</v>
          </cell>
          <cell r="H2393">
            <v>0</v>
          </cell>
          <cell r="I2393">
            <v>0</v>
          </cell>
          <cell r="J2393">
            <v>0</v>
          </cell>
          <cell r="K2393">
            <v>0</v>
          </cell>
          <cell r="L2393">
            <v>1</v>
          </cell>
        </row>
        <row r="2394">
          <cell r="A2394" t="str">
            <v>20708.00241</v>
          </cell>
          <cell r="B2394" t="str">
            <v>TRANSMETTEUR DE PRESSION DIFFERENTIELLE</v>
          </cell>
          <cell r="C2394" t="str">
            <v>3051CD 2A03A1AH2BAM5  0A1000 MM H20</v>
          </cell>
          <cell r="D2394" t="str">
            <v>PE</v>
          </cell>
          <cell r="E2394" t="str">
            <v>512.51201</v>
          </cell>
          <cell r="F2394">
            <v>7671.3438999999998</v>
          </cell>
          <cell r="G2394">
            <v>0</v>
          </cell>
          <cell r="H2394">
            <v>0</v>
          </cell>
          <cell r="I2394">
            <v>0</v>
          </cell>
          <cell r="J2394">
            <v>0</v>
          </cell>
          <cell r="K2394">
            <v>0</v>
          </cell>
          <cell r="L2394">
            <v>2</v>
          </cell>
        </row>
        <row r="2395">
          <cell r="A2395" t="str">
            <v>20708.00263</v>
          </cell>
          <cell r="B2395" t="str">
            <v>TRANSMETTEUR DE PRESSION DIFFERENTIELLE</v>
          </cell>
          <cell r="C2395" t="str">
            <v>3051CD 2A03A1AH2BAM5  0A800 MM H20</v>
          </cell>
          <cell r="D2395" t="str">
            <v>PE</v>
          </cell>
          <cell r="E2395" t="str">
            <v>512.51201</v>
          </cell>
          <cell r="F2395">
            <v>7671.3438999999998</v>
          </cell>
          <cell r="G2395">
            <v>0</v>
          </cell>
          <cell r="H2395">
            <v>0</v>
          </cell>
          <cell r="I2395">
            <v>0</v>
          </cell>
          <cell r="J2395">
            <v>0</v>
          </cell>
          <cell r="K2395">
            <v>0</v>
          </cell>
          <cell r="L2395">
            <v>2</v>
          </cell>
        </row>
        <row r="2396">
          <cell r="A2396" t="str">
            <v>20708.00333</v>
          </cell>
          <cell r="B2396" t="str">
            <v>VANNE DE REGULATION</v>
          </cell>
          <cell r="C2396" t="str">
            <v>TYPE GX DN 100 CLASS 300</v>
          </cell>
          <cell r="D2396" t="str">
            <v>PE</v>
          </cell>
          <cell r="E2396" t="str">
            <v>512.51201</v>
          </cell>
          <cell r="F2396">
            <v>46231.981399999997</v>
          </cell>
          <cell r="G2396">
            <v>0</v>
          </cell>
          <cell r="H2396">
            <v>0</v>
          </cell>
          <cell r="I2396">
            <v>0</v>
          </cell>
          <cell r="J2396">
            <v>0</v>
          </cell>
          <cell r="K2396">
            <v>0</v>
          </cell>
          <cell r="L2396">
            <v>1</v>
          </cell>
        </row>
        <row r="2397">
          <cell r="A2397" t="str">
            <v>20708.00334</v>
          </cell>
          <cell r="B2397" t="str">
            <v>VANNE DE REGULATION</v>
          </cell>
          <cell r="C2397" t="str">
            <v>TYPE GX DN 40 CLASS 150</v>
          </cell>
          <cell r="D2397" t="str">
            <v>PE</v>
          </cell>
          <cell r="E2397" t="str">
            <v>512.51201</v>
          </cell>
          <cell r="F2397">
            <v>24166.161100000001</v>
          </cell>
          <cell r="G2397">
            <v>0</v>
          </cell>
          <cell r="H2397">
            <v>0</v>
          </cell>
          <cell r="I2397">
            <v>0</v>
          </cell>
          <cell r="J2397">
            <v>0</v>
          </cell>
          <cell r="K2397">
            <v>0</v>
          </cell>
          <cell r="L2397">
            <v>1</v>
          </cell>
        </row>
        <row r="2398">
          <cell r="A2398" t="str">
            <v>20709.00337</v>
          </cell>
          <cell r="B2398" t="str">
            <v>DEBITMETRE ELECTOMAGNETIQUE</v>
          </cell>
          <cell r="C2398" t="str">
            <v>23P80-EL0A1AA012CA DN 80 REVETEMENT EN PTFE  ELECTRODE 316L</v>
          </cell>
          <cell r="D2398" t="str">
            <v>PE</v>
          </cell>
          <cell r="E2398" t="str">
            <v>512.51201</v>
          </cell>
          <cell r="F2398">
            <v>20440.75</v>
          </cell>
          <cell r="G2398">
            <v>0</v>
          </cell>
          <cell r="H2398">
            <v>0</v>
          </cell>
          <cell r="I2398">
            <v>0</v>
          </cell>
          <cell r="J2398">
            <v>1</v>
          </cell>
          <cell r="K2398">
            <v>0</v>
          </cell>
          <cell r="L2398">
            <v>1</v>
          </cell>
        </row>
        <row r="2399">
          <cell r="A2399" t="str">
            <v>20708.00336</v>
          </cell>
          <cell r="B2399" t="str">
            <v>VANNE DE REGULATION</v>
          </cell>
          <cell r="C2399" t="str">
            <v>TYPE 667-HPS DN 25</v>
          </cell>
          <cell r="D2399" t="str">
            <v>PE</v>
          </cell>
          <cell r="E2399" t="str">
            <v>512.51201</v>
          </cell>
          <cell r="F2399">
            <v>55717.009899999997</v>
          </cell>
          <cell r="G2399">
            <v>0</v>
          </cell>
          <cell r="H2399">
            <v>0</v>
          </cell>
          <cell r="I2399">
            <v>0</v>
          </cell>
          <cell r="J2399">
            <v>0</v>
          </cell>
          <cell r="K2399">
            <v>0</v>
          </cell>
          <cell r="L2399">
            <v>1</v>
          </cell>
        </row>
        <row r="2400">
          <cell r="A2400" t="str">
            <v>20709.00342</v>
          </cell>
          <cell r="B2400" t="str">
            <v>DEBITMETRE ELECTROMAGNETIQUE</v>
          </cell>
          <cell r="C2400" t="str">
            <v>10W5H-HL0A1AA0A4AA DN 500  REVETEMENT EBONITE ELECTRODE 1,4435/316L</v>
          </cell>
          <cell r="D2400" t="str">
            <v>PE</v>
          </cell>
          <cell r="E2400" t="str">
            <v>512.51201</v>
          </cell>
          <cell r="F2400">
            <v>54563.31</v>
          </cell>
          <cell r="G2400">
            <v>0</v>
          </cell>
          <cell r="H2400">
            <v>0</v>
          </cell>
          <cell r="I2400">
            <v>0</v>
          </cell>
          <cell r="J2400">
            <v>0</v>
          </cell>
          <cell r="K2400">
            <v>0</v>
          </cell>
          <cell r="L2400">
            <v>1</v>
          </cell>
        </row>
        <row r="2401">
          <cell r="A2401" t="str">
            <v>20700.00261</v>
          </cell>
          <cell r="B2401" t="str">
            <v>RACCORD 1/2 NPTF INOX 316</v>
          </cell>
          <cell r="C2401" t="str">
            <v>18141221 POUR TUBE 10/12</v>
          </cell>
          <cell r="D2401" t="str">
            <v>PE</v>
          </cell>
          <cell r="E2401" t="str">
            <v>515.51511</v>
          </cell>
          <cell r="F2401">
            <v>188.18</v>
          </cell>
          <cell r="G2401">
            <v>0</v>
          </cell>
          <cell r="H2401">
            <v>0</v>
          </cell>
          <cell r="I2401">
            <v>0</v>
          </cell>
          <cell r="J2401">
            <v>0</v>
          </cell>
          <cell r="K2401">
            <v>0</v>
          </cell>
          <cell r="L2401">
            <v>0</v>
          </cell>
        </row>
        <row r="2402">
          <cell r="A2402" t="str">
            <v>20708.00337</v>
          </cell>
          <cell r="B2402" t="str">
            <v>VANNE DE REGULATION</v>
          </cell>
          <cell r="C2402" t="str">
            <v>TYPE 657-ET DN 50</v>
          </cell>
          <cell r="D2402" t="str">
            <v>PE</v>
          </cell>
          <cell r="E2402" t="str">
            <v>512.51201</v>
          </cell>
          <cell r="F2402">
            <v>45798.104599999999</v>
          </cell>
          <cell r="G2402">
            <v>0</v>
          </cell>
          <cell r="H2402">
            <v>0</v>
          </cell>
          <cell r="I2402">
            <v>0</v>
          </cell>
          <cell r="J2402">
            <v>0</v>
          </cell>
          <cell r="K2402">
            <v>1</v>
          </cell>
          <cell r="L2402">
            <v>0</v>
          </cell>
        </row>
        <row r="2403">
          <cell r="A2403" t="str">
            <v>20709.00345</v>
          </cell>
          <cell r="B2403" t="str">
            <v>TRANSMETTEUR DE PRESSION</v>
          </cell>
          <cell r="C2403" t="str">
            <v>PMC41-RC11PBJ21N4 TYPE CERABAR M ECHELLE 0-5 BAR</v>
          </cell>
          <cell r="D2403" t="str">
            <v>PE</v>
          </cell>
          <cell r="E2403" t="str">
            <v>512.51201</v>
          </cell>
          <cell r="F2403">
            <v>6900</v>
          </cell>
          <cell r="G2403">
            <v>0</v>
          </cell>
          <cell r="H2403">
            <v>1</v>
          </cell>
          <cell r="I2403">
            <v>0</v>
          </cell>
          <cell r="J2403">
            <v>0</v>
          </cell>
          <cell r="K2403">
            <v>0</v>
          </cell>
          <cell r="L2403">
            <v>0</v>
          </cell>
        </row>
        <row r="2404">
          <cell r="A2404" t="str">
            <v>20709.00346</v>
          </cell>
          <cell r="B2404" t="str">
            <v>TRANSMETTEUR DE PRESSION</v>
          </cell>
          <cell r="C2404" t="str">
            <v>PMC41-RC11PBJ21N4TYPE CERABAR M ECHELLE 0-10 BAR</v>
          </cell>
          <cell r="D2404" t="str">
            <v>PE</v>
          </cell>
          <cell r="E2404" t="str">
            <v>512.51201</v>
          </cell>
          <cell r="F2404">
            <v>4523</v>
          </cell>
          <cell r="G2404">
            <v>0</v>
          </cell>
          <cell r="H2404">
            <v>1</v>
          </cell>
          <cell r="I2404">
            <v>0</v>
          </cell>
          <cell r="J2404">
            <v>0</v>
          </cell>
          <cell r="K2404">
            <v>0</v>
          </cell>
          <cell r="L2404">
            <v>2</v>
          </cell>
        </row>
        <row r="2405">
          <cell r="A2405" t="str">
            <v>20700.00257</v>
          </cell>
          <cell r="B2405" t="str">
            <v>VANNE DOUBLE FEMELLE</v>
          </cell>
          <cell r="C2405">
            <v>4891321</v>
          </cell>
          <cell r="D2405" t="str">
            <v>PE</v>
          </cell>
          <cell r="E2405" t="str">
            <v>515.51511</v>
          </cell>
          <cell r="F2405">
            <v>479</v>
          </cell>
          <cell r="G2405">
            <v>0</v>
          </cell>
          <cell r="H2405">
            <v>0</v>
          </cell>
          <cell r="I2405">
            <v>0</v>
          </cell>
          <cell r="J2405">
            <v>0</v>
          </cell>
          <cell r="K2405">
            <v>0</v>
          </cell>
          <cell r="L2405">
            <v>0</v>
          </cell>
        </row>
        <row r="2406">
          <cell r="A2406" t="str">
            <v>20709.00348</v>
          </cell>
          <cell r="B2406" t="str">
            <v>TRANSMETTEUR DE PRESSION DIFFERENCIELLE</v>
          </cell>
          <cell r="C2406" t="str">
            <v>PMD75-ABJ7HB1DAAU TYPE DELTABAR -S/75 ECHELLE  0-600 MBAR</v>
          </cell>
          <cell r="D2406" t="str">
            <v>PE</v>
          </cell>
          <cell r="E2406" t="str">
            <v>512.51201</v>
          </cell>
          <cell r="F2406">
            <v>12522.179899999999</v>
          </cell>
          <cell r="G2406">
            <v>0</v>
          </cell>
          <cell r="H2406">
            <v>1</v>
          </cell>
          <cell r="I2406">
            <v>0</v>
          </cell>
          <cell r="J2406">
            <v>0</v>
          </cell>
          <cell r="K2406">
            <v>0</v>
          </cell>
          <cell r="L2406">
            <v>3</v>
          </cell>
        </row>
        <row r="2407">
          <cell r="A2407" t="str">
            <v>20709.00350</v>
          </cell>
          <cell r="B2407" t="str">
            <v>TRANSMETTEUR  DE DEBIT</v>
          </cell>
          <cell r="C2407" t="str">
            <v>PMD75-ABJ7DB1DAAU  TYPE DELTABAR -S/75 ECHELLE 0-80 MBAR</v>
          </cell>
          <cell r="D2407" t="str">
            <v>PE</v>
          </cell>
          <cell r="E2407" t="str">
            <v>512.51201</v>
          </cell>
          <cell r="F2407">
            <v>14487.621999999999</v>
          </cell>
          <cell r="G2407">
            <v>0</v>
          </cell>
          <cell r="H2407">
            <v>0</v>
          </cell>
          <cell r="I2407">
            <v>0</v>
          </cell>
          <cell r="J2407">
            <v>0</v>
          </cell>
          <cell r="K2407">
            <v>2</v>
          </cell>
          <cell r="L2407">
            <v>0</v>
          </cell>
        </row>
        <row r="2408">
          <cell r="A2408" t="str">
            <v>20709.00351</v>
          </cell>
          <cell r="B2408" t="str">
            <v>TRANSMETTEUR DE DEBIT</v>
          </cell>
          <cell r="C2408" t="str">
            <v>PMD75-ABJ7FB1DAAU TYPE DELTABAR -S/75 ECHELLE 0-250 MBAR</v>
          </cell>
          <cell r="D2408" t="str">
            <v>PE</v>
          </cell>
          <cell r="E2408" t="str">
            <v>512.51201</v>
          </cell>
          <cell r="F2408">
            <v>5523</v>
          </cell>
          <cell r="G2408">
            <v>0</v>
          </cell>
          <cell r="H2408">
            <v>0</v>
          </cell>
          <cell r="I2408">
            <v>0</v>
          </cell>
          <cell r="J2408">
            <v>0</v>
          </cell>
          <cell r="K2408">
            <v>0</v>
          </cell>
          <cell r="L2408">
            <v>1</v>
          </cell>
        </row>
        <row r="2409">
          <cell r="A2409" t="str">
            <v>20709.00352</v>
          </cell>
          <cell r="B2409" t="str">
            <v>TRANSMETTEUR DE DEBIT</v>
          </cell>
          <cell r="C2409" t="str">
            <v>PMD75-ABJ7FB1DAAU TYPE DELTABAR -S/75  ECHELLE 0-400 MBAR</v>
          </cell>
          <cell r="D2409" t="str">
            <v>PE</v>
          </cell>
          <cell r="E2409" t="str">
            <v>512.51201</v>
          </cell>
          <cell r="F2409">
            <v>14487.621999999999</v>
          </cell>
          <cell r="G2409">
            <v>0</v>
          </cell>
          <cell r="H2409">
            <v>0</v>
          </cell>
          <cell r="I2409">
            <v>0</v>
          </cell>
          <cell r="J2409">
            <v>0</v>
          </cell>
          <cell r="K2409">
            <v>2</v>
          </cell>
          <cell r="L2409">
            <v>0</v>
          </cell>
        </row>
        <row r="2410">
          <cell r="A2410" t="str">
            <v>20708.00343</v>
          </cell>
          <cell r="B2410" t="str">
            <v>DEBIMETRE ELECTROMAGNETIQUE</v>
          </cell>
          <cell r="C2410" t="str">
            <v>TYPE 8705TPA 160 SI WONO G2 DT Q4</v>
          </cell>
          <cell r="D2410" t="str">
            <v>PE</v>
          </cell>
          <cell r="E2410" t="str">
            <v>512.51201</v>
          </cell>
          <cell r="F2410">
            <v>137900</v>
          </cell>
          <cell r="G2410">
            <v>0</v>
          </cell>
          <cell r="H2410">
            <v>0</v>
          </cell>
          <cell r="I2410">
            <v>0</v>
          </cell>
          <cell r="J2410">
            <v>0</v>
          </cell>
          <cell r="K2410">
            <v>0</v>
          </cell>
          <cell r="L2410">
            <v>1</v>
          </cell>
        </row>
        <row r="2411">
          <cell r="A2411" t="str">
            <v>20708.00238</v>
          </cell>
          <cell r="B2411" t="str">
            <v>SONDE DE PH</v>
          </cell>
          <cell r="C2411" t="str">
            <v>3200HP- 01</v>
          </cell>
          <cell r="D2411" t="str">
            <v>PE</v>
          </cell>
          <cell r="E2411" t="str">
            <v>512.51201</v>
          </cell>
          <cell r="F2411">
            <v>4377</v>
          </cell>
          <cell r="G2411">
            <v>0</v>
          </cell>
          <cell r="H2411">
            <v>0</v>
          </cell>
          <cell r="I2411">
            <v>0</v>
          </cell>
          <cell r="J2411">
            <v>0</v>
          </cell>
          <cell r="K2411">
            <v>1</v>
          </cell>
          <cell r="L2411">
            <v>2</v>
          </cell>
        </row>
        <row r="2412">
          <cell r="A2412" t="str">
            <v>20708.00456</v>
          </cell>
          <cell r="B2412" t="str">
            <v>TRANSMETTEUR DE PRESSION DIFFERENTIELLE</v>
          </cell>
          <cell r="C2412" t="str">
            <v xml:space="preserve">3051CD 2A22A1AS2B4M5Q4      </v>
          </cell>
          <cell r="D2412" t="str">
            <v>PE</v>
          </cell>
          <cell r="E2412" t="str">
            <v>512.51201</v>
          </cell>
          <cell r="F2412">
            <v>5808</v>
          </cell>
          <cell r="G2412">
            <v>0</v>
          </cell>
          <cell r="H2412">
            <v>0</v>
          </cell>
          <cell r="I2412">
            <v>0</v>
          </cell>
          <cell r="J2412">
            <v>0</v>
          </cell>
          <cell r="K2412">
            <v>0</v>
          </cell>
          <cell r="L2412">
            <v>1</v>
          </cell>
        </row>
        <row r="2413">
          <cell r="A2413" t="str">
            <v>20708.00457</v>
          </cell>
          <cell r="B2413" t="str">
            <v>TRANSMETTEUR DE PRESSION DIFFERENTIELLE</v>
          </cell>
          <cell r="C2413" t="str">
            <v>3051CD 2A02MAH2BAM5Q4A1604     CALIB : 0 - 2500mmCE</v>
          </cell>
          <cell r="D2413" t="str">
            <v>PE</v>
          </cell>
          <cell r="E2413" t="str">
            <v>512.51201</v>
          </cell>
          <cell r="F2413">
            <v>10734.561799999999</v>
          </cell>
          <cell r="G2413">
            <v>0</v>
          </cell>
          <cell r="H2413">
            <v>0</v>
          </cell>
          <cell r="I2413">
            <v>0</v>
          </cell>
          <cell r="J2413">
            <v>0</v>
          </cell>
          <cell r="K2413">
            <v>0</v>
          </cell>
          <cell r="L2413">
            <v>1</v>
          </cell>
        </row>
        <row r="2414">
          <cell r="A2414" t="str">
            <v>20710.00171</v>
          </cell>
          <cell r="B2414" t="str">
            <v>TRANSMETTEUR D'ANALYSE CONDUCTIVITE</v>
          </cell>
          <cell r="C2414" t="str">
            <v>FLXA21-D-E-D-AA-C1-NN-A-N-LA-N-NN</v>
          </cell>
          <cell r="D2414" t="str">
            <v>PE</v>
          </cell>
          <cell r="E2414" t="str">
            <v>512.51201</v>
          </cell>
          <cell r="F2414">
            <v>10520</v>
          </cell>
          <cell r="G2414">
            <v>0</v>
          </cell>
          <cell r="H2414">
            <v>0</v>
          </cell>
          <cell r="I2414">
            <v>0</v>
          </cell>
          <cell r="J2414">
            <v>0</v>
          </cell>
          <cell r="K2414">
            <v>0</v>
          </cell>
          <cell r="L2414">
            <v>2</v>
          </cell>
        </row>
        <row r="2415">
          <cell r="A2415" t="str">
            <v>20700.00542</v>
          </cell>
          <cell r="B2415" t="str">
            <v xml:space="preserve">TE EGAL 8MM </v>
          </cell>
          <cell r="C2415" t="str">
            <v>3904 08 00</v>
          </cell>
          <cell r="D2415" t="str">
            <v>PE</v>
          </cell>
          <cell r="E2415" t="str">
            <v>515.51511</v>
          </cell>
          <cell r="F2415">
            <v>321.86200000000002</v>
          </cell>
          <cell r="G2415">
            <v>0</v>
          </cell>
          <cell r="H2415">
            <v>0</v>
          </cell>
          <cell r="I2415">
            <v>0</v>
          </cell>
          <cell r="J2415">
            <v>0</v>
          </cell>
          <cell r="K2415">
            <v>0</v>
          </cell>
          <cell r="L2415">
            <v>0</v>
          </cell>
        </row>
        <row r="2416">
          <cell r="A2416" t="str">
            <v>20700.00575</v>
          </cell>
          <cell r="B2416" t="str">
            <v xml:space="preserve">ADAPTEUR D'ORIENTATION ENCLIQUETABLE </v>
          </cell>
          <cell r="C2416" t="str">
            <v>3921 12 21</v>
          </cell>
          <cell r="D2416" t="str">
            <v>PE</v>
          </cell>
          <cell r="E2416" t="str">
            <v>515.51511</v>
          </cell>
          <cell r="F2416">
            <v>201.73419999999999</v>
          </cell>
          <cell r="G2416">
            <v>0</v>
          </cell>
          <cell r="H2416">
            <v>0</v>
          </cell>
          <cell r="I2416">
            <v>0</v>
          </cell>
          <cell r="J2416">
            <v>0</v>
          </cell>
          <cell r="K2416">
            <v>0</v>
          </cell>
          <cell r="L2416">
            <v>0</v>
          </cell>
        </row>
        <row r="2417">
          <cell r="A2417" t="str">
            <v>20700.00576</v>
          </cell>
          <cell r="B2417" t="str">
            <v xml:space="preserve">EQUERRE A PIQUAGE MALE </v>
          </cell>
          <cell r="C2417" t="str">
            <v>3909 06 13</v>
          </cell>
          <cell r="D2417" t="str">
            <v>PE</v>
          </cell>
          <cell r="E2417" t="str">
            <v>515.51511</v>
          </cell>
          <cell r="F2417">
            <v>300</v>
          </cell>
          <cell r="G2417">
            <v>0</v>
          </cell>
          <cell r="H2417">
            <v>0</v>
          </cell>
          <cell r="I2417">
            <v>0</v>
          </cell>
          <cell r="J2417">
            <v>0</v>
          </cell>
          <cell r="K2417">
            <v>0</v>
          </cell>
          <cell r="L2417">
            <v>0</v>
          </cell>
        </row>
        <row r="2418">
          <cell r="A2418" t="str">
            <v>20700.00577</v>
          </cell>
          <cell r="B2418" t="str">
            <v xml:space="preserve">EQUERRE A PIQUAGE MALE </v>
          </cell>
          <cell r="C2418" t="str">
            <v>3909 08 13</v>
          </cell>
          <cell r="D2418" t="str">
            <v>PE</v>
          </cell>
          <cell r="E2418" t="str">
            <v>515.51511</v>
          </cell>
          <cell r="F2418">
            <v>296</v>
          </cell>
          <cell r="G2418">
            <v>0</v>
          </cell>
          <cell r="H2418">
            <v>0</v>
          </cell>
          <cell r="I2418">
            <v>0</v>
          </cell>
          <cell r="J2418">
            <v>0</v>
          </cell>
          <cell r="K2418">
            <v>0</v>
          </cell>
          <cell r="L2418">
            <v>0</v>
          </cell>
        </row>
        <row r="2419">
          <cell r="A2419" t="str">
            <v>20700.00578</v>
          </cell>
          <cell r="B2419" t="str">
            <v xml:space="preserve">TOUREE DE TUBE PFA 6MM </v>
          </cell>
          <cell r="C2419" t="str">
            <v>1010 T 06 P 00</v>
          </cell>
          <cell r="D2419" t="str">
            <v>PE</v>
          </cell>
          <cell r="E2419" t="str">
            <v>515.51511</v>
          </cell>
          <cell r="F2419">
            <v>930.68060000000003</v>
          </cell>
          <cell r="G2419">
            <v>0</v>
          </cell>
          <cell r="H2419">
            <v>0</v>
          </cell>
          <cell r="I2419">
            <v>0</v>
          </cell>
          <cell r="J2419">
            <v>0</v>
          </cell>
          <cell r="K2419">
            <v>0</v>
          </cell>
          <cell r="L2419">
            <v>0</v>
          </cell>
        </row>
        <row r="2420">
          <cell r="A2420" t="str">
            <v>20700.00579</v>
          </cell>
          <cell r="B2420" t="str">
            <v xml:space="preserve">TOUREE DE TUBE PFA 8MM </v>
          </cell>
          <cell r="C2420" t="str">
            <v>1010 T 08 P 00</v>
          </cell>
          <cell r="D2420" t="str">
            <v>PE</v>
          </cell>
          <cell r="E2420" t="str">
            <v>515.51511</v>
          </cell>
          <cell r="F2420">
            <v>1323.9571000000001</v>
          </cell>
          <cell r="G2420">
            <v>0</v>
          </cell>
          <cell r="H2420">
            <v>0</v>
          </cell>
          <cell r="I2420">
            <v>0</v>
          </cell>
          <cell r="J2420">
            <v>0</v>
          </cell>
          <cell r="K2420">
            <v>0</v>
          </cell>
          <cell r="L2420">
            <v>0</v>
          </cell>
        </row>
        <row r="2421">
          <cell r="A2421" t="str">
            <v>20700.00290</v>
          </cell>
          <cell r="B2421" t="str">
            <v>EQUERRE MAL/FEMEL D6/1/4</v>
          </cell>
          <cell r="C2421">
            <v>31690613</v>
          </cell>
          <cell r="D2421" t="str">
            <v>PE</v>
          </cell>
          <cell r="E2421" t="str">
            <v>515.51511</v>
          </cell>
          <cell r="F2421">
            <v>52</v>
          </cell>
          <cell r="G2421">
            <v>0</v>
          </cell>
          <cell r="H2421">
            <v>0</v>
          </cell>
          <cell r="I2421">
            <v>0</v>
          </cell>
          <cell r="J2421">
            <v>0</v>
          </cell>
          <cell r="K2421">
            <v>0</v>
          </cell>
          <cell r="L2421">
            <v>0</v>
          </cell>
        </row>
        <row r="2422">
          <cell r="A2422" t="str">
            <v>20700.00580</v>
          </cell>
          <cell r="B2422" t="str">
            <v xml:space="preserve">TOUREE DE TUBE PFA 10MM </v>
          </cell>
          <cell r="C2422" t="str">
            <v>1010 T 10 P 00</v>
          </cell>
          <cell r="D2422" t="str">
            <v>PE</v>
          </cell>
          <cell r="E2422" t="str">
            <v>515.51511</v>
          </cell>
          <cell r="F2422">
            <v>1848.0672999999999</v>
          </cell>
          <cell r="G2422">
            <v>0</v>
          </cell>
          <cell r="H2422">
            <v>0</v>
          </cell>
          <cell r="I2422">
            <v>0</v>
          </cell>
          <cell r="J2422">
            <v>0</v>
          </cell>
          <cell r="K2422">
            <v>0</v>
          </cell>
          <cell r="L2422">
            <v>0</v>
          </cell>
        </row>
        <row r="2423">
          <cell r="A2423" t="str">
            <v>20700.00581</v>
          </cell>
          <cell r="B2423" t="str">
            <v xml:space="preserve">TOUREE DE TUBE PFA 12MM </v>
          </cell>
          <cell r="C2423" t="str">
            <v>1010 T 12 P 00</v>
          </cell>
          <cell r="D2423" t="str">
            <v>PE</v>
          </cell>
          <cell r="E2423" t="str">
            <v>515.51511</v>
          </cell>
          <cell r="F2423">
            <v>2490.8252000000002</v>
          </cell>
          <cell r="G2423">
            <v>0</v>
          </cell>
          <cell r="H2423">
            <v>0</v>
          </cell>
          <cell r="I2423">
            <v>0</v>
          </cell>
          <cell r="J2423">
            <v>0</v>
          </cell>
          <cell r="K2423">
            <v>0</v>
          </cell>
          <cell r="L2423">
            <v>0</v>
          </cell>
        </row>
        <row r="2424">
          <cell r="A2424" t="str">
            <v>20700.00293</v>
          </cell>
          <cell r="B2424" t="str">
            <v>CONE</v>
          </cell>
          <cell r="C2424">
            <v>31020600</v>
          </cell>
          <cell r="D2424" t="str">
            <v>PE</v>
          </cell>
          <cell r="E2424" t="str">
            <v>515.51511</v>
          </cell>
          <cell r="F2424">
            <v>27</v>
          </cell>
          <cell r="G2424">
            <v>0</v>
          </cell>
          <cell r="H2424">
            <v>0</v>
          </cell>
          <cell r="I2424">
            <v>0</v>
          </cell>
          <cell r="J2424">
            <v>0</v>
          </cell>
          <cell r="K2424">
            <v>0</v>
          </cell>
          <cell r="L2424">
            <v>0</v>
          </cell>
        </row>
        <row r="2425">
          <cell r="A2425" t="str">
            <v>20708.00462</v>
          </cell>
          <cell r="B2425" t="str">
            <v>TRANSMETTEUR DE PRESSION DIFFERENTIELLE</v>
          </cell>
          <cell r="C2425" t="str">
            <v>3051CD 2A02A1AH2BAM5Q4A1604   CALIB : 0 - 1800mmH2O</v>
          </cell>
          <cell r="D2425" t="str">
            <v>PE</v>
          </cell>
          <cell r="E2425" t="str">
            <v>512.51201</v>
          </cell>
          <cell r="F2425">
            <v>11268.8886</v>
          </cell>
          <cell r="G2425">
            <v>0</v>
          </cell>
          <cell r="H2425">
            <v>1</v>
          </cell>
          <cell r="I2425">
            <v>0</v>
          </cell>
          <cell r="J2425">
            <v>0</v>
          </cell>
          <cell r="K2425">
            <v>0</v>
          </cell>
          <cell r="L2425">
            <v>0</v>
          </cell>
        </row>
        <row r="2426">
          <cell r="A2426" t="str">
            <v>20708.00463</v>
          </cell>
          <cell r="B2426" t="str">
            <v>TRANSMETTEUR DE PRESSION DIFFERENTIELLE</v>
          </cell>
          <cell r="C2426" t="str">
            <v>3051CD 3A02A1AH2BAM5Q4A1604  CALIB : 0 - 16605mmH2O</v>
          </cell>
          <cell r="D2426" t="str">
            <v>PE</v>
          </cell>
          <cell r="E2426" t="str">
            <v>512.51201</v>
          </cell>
          <cell r="F2426">
            <v>10734.561799999999</v>
          </cell>
          <cell r="G2426">
            <v>0</v>
          </cell>
          <cell r="H2426">
            <v>1</v>
          </cell>
          <cell r="I2426">
            <v>0</v>
          </cell>
          <cell r="J2426">
            <v>0</v>
          </cell>
          <cell r="K2426">
            <v>0</v>
          </cell>
          <cell r="L2426">
            <v>0</v>
          </cell>
        </row>
        <row r="2427">
          <cell r="A2427" t="str">
            <v>20708.00464</v>
          </cell>
          <cell r="B2427" t="str">
            <v>TRANSMETTEUR DE PRESSION DIFFERENTIELLE</v>
          </cell>
          <cell r="C2427" t="str">
            <v>3051CD 3A02A1AH2BAM5Q4A1604  CALIB : 0 - 7128mmH2O</v>
          </cell>
          <cell r="D2427" t="str">
            <v>PE</v>
          </cell>
          <cell r="E2427" t="str">
            <v>512.51201</v>
          </cell>
          <cell r="F2427">
            <v>11268.8886</v>
          </cell>
          <cell r="G2427">
            <v>0</v>
          </cell>
          <cell r="H2427">
            <v>0</v>
          </cell>
          <cell r="I2427">
            <v>0</v>
          </cell>
          <cell r="J2427">
            <v>0</v>
          </cell>
          <cell r="K2427">
            <v>0</v>
          </cell>
          <cell r="L2427">
            <v>1</v>
          </cell>
        </row>
        <row r="2428">
          <cell r="A2428" t="str">
            <v>20708.00465</v>
          </cell>
          <cell r="B2428" t="str">
            <v>TRANSMETTEUR DE PRESSION DIFFERENTIELLE</v>
          </cell>
          <cell r="C2428" t="str">
            <v>3051CD 3A02A1AH2BAM5Q4A1604  CALIB : 0 - 8500mmH2O</v>
          </cell>
          <cell r="D2428" t="str">
            <v>PE</v>
          </cell>
          <cell r="E2428" t="str">
            <v>512.51201</v>
          </cell>
          <cell r="F2428">
            <v>11268.8886</v>
          </cell>
          <cell r="G2428">
            <v>0</v>
          </cell>
          <cell r="H2428">
            <v>0</v>
          </cell>
          <cell r="I2428">
            <v>0</v>
          </cell>
          <cell r="J2428">
            <v>0</v>
          </cell>
          <cell r="K2428">
            <v>0</v>
          </cell>
          <cell r="L2428">
            <v>1</v>
          </cell>
        </row>
        <row r="2429">
          <cell r="A2429" t="str">
            <v>20708.00458</v>
          </cell>
          <cell r="B2429" t="str">
            <v>TRANSMETTEUR DE PRESSION DIFFERENTIELLE</v>
          </cell>
          <cell r="C2429" t="str">
            <v>3051CD 1A01A1AH2BAM5Q41604      CALIB : 0 - 177.857mmH2O</v>
          </cell>
          <cell r="D2429" t="str">
            <v>PE</v>
          </cell>
          <cell r="E2429" t="str">
            <v>512.51201</v>
          </cell>
          <cell r="F2429">
            <v>11812.372799999999</v>
          </cell>
          <cell r="G2429">
            <v>0</v>
          </cell>
          <cell r="H2429">
            <v>0</v>
          </cell>
          <cell r="I2429">
            <v>0</v>
          </cell>
          <cell r="J2429">
            <v>0</v>
          </cell>
          <cell r="K2429">
            <v>0</v>
          </cell>
          <cell r="L2429">
            <v>1</v>
          </cell>
        </row>
        <row r="2430">
          <cell r="A2430" t="str">
            <v>20708.00459</v>
          </cell>
          <cell r="B2430" t="str">
            <v>TRANSMETTEUR DE PRESSION DIFFERENTIELLE</v>
          </cell>
          <cell r="C2430" t="str">
            <v>3051CD 1A02A1AH2BAM5Q4A1604    CALIB : 0 - 2700mmH2O</v>
          </cell>
          <cell r="D2430" t="str">
            <v>PE</v>
          </cell>
          <cell r="E2430" t="str">
            <v>512.51201</v>
          </cell>
          <cell r="F2430">
            <v>11268.8886</v>
          </cell>
          <cell r="G2430">
            <v>0</v>
          </cell>
          <cell r="H2430">
            <v>0</v>
          </cell>
          <cell r="I2430">
            <v>0</v>
          </cell>
          <cell r="J2430">
            <v>0</v>
          </cell>
          <cell r="K2430">
            <v>0</v>
          </cell>
          <cell r="L2430">
            <v>1</v>
          </cell>
        </row>
        <row r="2431">
          <cell r="A2431" t="str">
            <v>20708.00460</v>
          </cell>
          <cell r="B2431" t="str">
            <v>TRANSMETTEUR DE PRESSION DIFFERENTIELLE</v>
          </cell>
          <cell r="C2431" t="str">
            <v>3051CD 2A02A1AH2BAM5Q4A1604   CALIB : 0 - 4347mmH2O</v>
          </cell>
          <cell r="D2431" t="str">
            <v>PE</v>
          </cell>
          <cell r="E2431" t="str">
            <v>512.51201</v>
          </cell>
          <cell r="F2431">
            <v>10734.561799999999</v>
          </cell>
          <cell r="G2431">
            <v>0</v>
          </cell>
          <cell r="H2431">
            <v>0</v>
          </cell>
          <cell r="I2431">
            <v>0</v>
          </cell>
          <cell r="J2431">
            <v>0</v>
          </cell>
          <cell r="K2431">
            <v>0</v>
          </cell>
          <cell r="L2431">
            <v>1</v>
          </cell>
        </row>
        <row r="2432">
          <cell r="A2432" t="str">
            <v>20708.00461</v>
          </cell>
          <cell r="B2432" t="str">
            <v>TRANSMETTEUR DE PRESSION DIFFERENTIELLE</v>
          </cell>
          <cell r="C2432" t="str">
            <v>3051CD 2A02A1AH2BAM5Q4A1604   CALIB : 0 - 711mmH2O</v>
          </cell>
          <cell r="D2432" t="str">
            <v>PE</v>
          </cell>
          <cell r="E2432" t="str">
            <v>512.51201</v>
          </cell>
          <cell r="F2432">
            <v>11268.8886</v>
          </cell>
          <cell r="G2432">
            <v>0</v>
          </cell>
          <cell r="H2432">
            <v>0</v>
          </cell>
          <cell r="I2432">
            <v>0</v>
          </cell>
          <cell r="J2432">
            <v>0</v>
          </cell>
          <cell r="K2432">
            <v>0</v>
          </cell>
          <cell r="L2432">
            <v>1</v>
          </cell>
        </row>
        <row r="2433">
          <cell r="A2433" t="str">
            <v>20691.00427</v>
          </cell>
          <cell r="B2433" t="str">
            <v>TONER P/PHOTOCOPIEUR</v>
          </cell>
          <cell r="C2433" t="str">
            <v>MINOLTA MT 604 BN.B : A PRECISER SUR OFFRE ''MARQUE ORIGINE OU ADAPTABLE''</v>
          </cell>
          <cell r="D2433" t="str">
            <v>PE</v>
          </cell>
          <cell r="E2433" t="str">
            <v>222.22206</v>
          </cell>
          <cell r="F2433">
            <v>987.8</v>
          </cell>
          <cell r="G2433">
            <v>0</v>
          </cell>
          <cell r="H2433">
            <v>0</v>
          </cell>
          <cell r="I2433">
            <v>0</v>
          </cell>
          <cell r="J2433">
            <v>0</v>
          </cell>
          <cell r="K2433">
            <v>0</v>
          </cell>
          <cell r="L2433">
            <v>0</v>
          </cell>
        </row>
        <row r="2434">
          <cell r="A2434" t="str">
            <v>20709.00256</v>
          </cell>
          <cell r="B2434" t="str">
            <v>CHAMBRE DE PASSAGE</v>
          </cell>
          <cell r="C2434" t="str">
            <v>CLA751/A</v>
          </cell>
          <cell r="D2434" t="str">
            <v>PE</v>
          </cell>
          <cell r="E2434" t="str">
            <v>512.51201</v>
          </cell>
          <cell r="F2434">
            <v>10664.63</v>
          </cell>
          <cell r="G2434">
            <v>0</v>
          </cell>
          <cell r="H2434">
            <v>0</v>
          </cell>
          <cell r="I2434">
            <v>0</v>
          </cell>
          <cell r="J2434">
            <v>0</v>
          </cell>
          <cell r="K2434">
            <v>1</v>
          </cell>
          <cell r="L2434">
            <v>0</v>
          </cell>
        </row>
        <row r="2435">
          <cell r="A2435" t="str">
            <v>20708.00466</v>
          </cell>
          <cell r="B2435" t="str">
            <v>TRANSMETTEUR DE PRESSION DIFFERENTIELLE</v>
          </cell>
          <cell r="C2435" t="str">
            <v>3051CD 2A021AH2BAM5Q4A1604        CALIB : 0 - 1500mmH2O</v>
          </cell>
          <cell r="D2435" t="str">
            <v>PE</v>
          </cell>
          <cell r="E2435" t="str">
            <v>512.51201</v>
          </cell>
          <cell r="F2435">
            <v>10734.561799999999</v>
          </cell>
          <cell r="G2435">
            <v>0</v>
          </cell>
          <cell r="H2435">
            <v>1</v>
          </cell>
          <cell r="I2435">
            <v>0</v>
          </cell>
          <cell r="J2435">
            <v>0</v>
          </cell>
          <cell r="K2435">
            <v>0</v>
          </cell>
          <cell r="L2435">
            <v>0</v>
          </cell>
        </row>
        <row r="2436">
          <cell r="A2436" t="str">
            <v>20708.00467</v>
          </cell>
          <cell r="B2436" t="str">
            <v>TRANSMETTEUR DE PRESSION DIFFERENTIELLE</v>
          </cell>
          <cell r="C2436" t="str">
            <v>3051CD 1A02A1AH2BAM5Q4A1604    CALIB : -150 - 0 mmH2O</v>
          </cell>
          <cell r="D2436" t="str">
            <v>PE</v>
          </cell>
          <cell r="E2436" t="str">
            <v>512.51201</v>
          </cell>
          <cell r="F2436">
            <v>11812.372799999999</v>
          </cell>
          <cell r="G2436">
            <v>0</v>
          </cell>
          <cell r="H2436">
            <v>0</v>
          </cell>
          <cell r="I2436">
            <v>0</v>
          </cell>
          <cell r="J2436">
            <v>0</v>
          </cell>
          <cell r="K2436">
            <v>0</v>
          </cell>
          <cell r="L2436">
            <v>1</v>
          </cell>
        </row>
        <row r="2437">
          <cell r="A2437" t="str">
            <v>20708.00468</v>
          </cell>
          <cell r="B2437" t="str">
            <v>TRANSMETTEUR DE PRESSION DIFFERENTIELLE</v>
          </cell>
          <cell r="C2437" t="str">
            <v>3051CD 1A02A1AH2BAM5Q4A1604   CALIB : 0 - 300mmH2O</v>
          </cell>
          <cell r="D2437" t="str">
            <v>PE</v>
          </cell>
          <cell r="E2437" t="str">
            <v>512.51201</v>
          </cell>
          <cell r="F2437">
            <v>12389.877500000001</v>
          </cell>
          <cell r="G2437">
            <v>0</v>
          </cell>
          <cell r="H2437">
            <v>0</v>
          </cell>
          <cell r="I2437">
            <v>0</v>
          </cell>
          <cell r="J2437">
            <v>0</v>
          </cell>
          <cell r="K2437">
            <v>0</v>
          </cell>
          <cell r="L2437">
            <v>1</v>
          </cell>
        </row>
        <row r="2438">
          <cell r="A2438" t="str">
            <v>20708.00469</v>
          </cell>
          <cell r="B2438" t="str">
            <v>TRANSMETTEUR DE PRESSION DIFFERENTIELLE</v>
          </cell>
          <cell r="C2438" t="str">
            <v>3051CD 1A02A1AH2BAM5Q4A1604   CALIB : 0 - 1 BAR</v>
          </cell>
          <cell r="D2438" t="str">
            <v>PE</v>
          </cell>
          <cell r="E2438" t="str">
            <v>512.51201</v>
          </cell>
          <cell r="F2438">
            <v>11268.8886</v>
          </cell>
          <cell r="G2438">
            <v>0</v>
          </cell>
          <cell r="H2438">
            <v>1</v>
          </cell>
          <cell r="I2438">
            <v>0</v>
          </cell>
          <cell r="J2438">
            <v>0</v>
          </cell>
          <cell r="K2438">
            <v>0</v>
          </cell>
          <cell r="L2438">
            <v>0</v>
          </cell>
        </row>
        <row r="2439">
          <cell r="A2439" t="str">
            <v>20708.00442</v>
          </cell>
          <cell r="B2439" t="str">
            <v>TRANSMETTEUR DE PRESSION DIFFERENTIELLE AVEC MANIFOLD INTEGRE</v>
          </cell>
          <cell r="C2439" t="str">
            <v>3051CD2A03A1BM5S5Q4 +0305RC33B11B4L4</v>
          </cell>
          <cell r="D2439" t="str">
            <v>PE</v>
          </cell>
          <cell r="E2439" t="str">
            <v>512.51201</v>
          </cell>
          <cell r="F2439">
            <v>15712.500599999999</v>
          </cell>
          <cell r="G2439">
            <v>0</v>
          </cell>
          <cell r="H2439">
            <v>0</v>
          </cell>
          <cell r="I2439">
            <v>0</v>
          </cell>
          <cell r="J2439">
            <v>0</v>
          </cell>
          <cell r="K2439">
            <v>0</v>
          </cell>
          <cell r="L2439">
            <v>2</v>
          </cell>
        </row>
        <row r="2440">
          <cell r="A2440" t="str">
            <v>20708.00443</v>
          </cell>
          <cell r="B2440" t="str">
            <v>TRANSMETTEUR DE PRESSION DIFFERENTIELLE AVEC MANIFOLD INTEGRE</v>
          </cell>
          <cell r="C2440" t="str">
            <v>3051CD1A02A1BM5S5Q4 + 0305RC32B11B4L4</v>
          </cell>
          <cell r="D2440" t="str">
            <v>PE</v>
          </cell>
          <cell r="E2440" t="str">
            <v>512.51201</v>
          </cell>
          <cell r="F2440">
            <v>8662.9189000000006</v>
          </cell>
          <cell r="G2440">
            <v>0</v>
          </cell>
          <cell r="H2440">
            <v>0</v>
          </cell>
          <cell r="I2440">
            <v>0</v>
          </cell>
          <cell r="J2440">
            <v>0</v>
          </cell>
          <cell r="K2440">
            <v>0</v>
          </cell>
          <cell r="L2440">
            <v>1</v>
          </cell>
        </row>
        <row r="2441">
          <cell r="A2441" t="str">
            <v>20708.00470</v>
          </cell>
          <cell r="B2441" t="str">
            <v>TRANSMETTEUR DE PRESSION RELATIVE</v>
          </cell>
          <cell r="C2441" t="str">
            <v>3051TG 4A2B21AB4M5S5Q4      CALIB : 0 - 75 BARS</v>
          </cell>
          <cell r="D2441" t="str">
            <v>PE</v>
          </cell>
          <cell r="E2441" t="str">
            <v>512.51201</v>
          </cell>
          <cell r="F2441">
            <v>5583.3333000000002</v>
          </cell>
          <cell r="G2441">
            <v>0</v>
          </cell>
          <cell r="H2441">
            <v>0</v>
          </cell>
          <cell r="I2441">
            <v>0</v>
          </cell>
          <cell r="J2441">
            <v>0</v>
          </cell>
          <cell r="K2441">
            <v>3</v>
          </cell>
          <cell r="L2441">
            <v>3</v>
          </cell>
        </row>
        <row r="2442">
          <cell r="A2442" t="str">
            <v>20708.00471</v>
          </cell>
          <cell r="B2442" t="str">
            <v>TRANSMETTEUR DE PRESSION RELATIVE</v>
          </cell>
          <cell r="C2442" t="str">
            <v>3051TG 2A2B21AB4M5S5Q4      CALIB : 0 - 10 BARS</v>
          </cell>
          <cell r="D2442" t="str">
            <v>PE</v>
          </cell>
          <cell r="E2442" t="str">
            <v>512.51201</v>
          </cell>
          <cell r="F2442">
            <v>8437.4091000000008</v>
          </cell>
          <cell r="G2442">
            <v>0</v>
          </cell>
          <cell r="H2442">
            <v>0</v>
          </cell>
          <cell r="I2442">
            <v>0</v>
          </cell>
          <cell r="J2442">
            <v>0</v>
          </cell>
          <cell r="K2442">
            <v>0</v>
          </cell>
          <cell r="L2442">
            <v>1</v>
          </cell>
        </row>
        <row r="2443">
          <cell r="A2443" t="str">
            <v>20691.00499</v>
          </cell>
          <cell r="B2443" t="str">
            <v>TONER NOIR P/IMPRIMANTE</v>
          </cell>
          <cell r="C2443" t="str">
            <v>HEWLETT PACKARD Q 6000 A P/IMP.LASER JET 1600 ET 2600NN.B : A PRECISER SUR OFFRE ''MARQUE ORIGINE OU ADAPTABLE''</v>
          </cell>
          <cell r="D2443" t="str">
            <v>PE</v>
          </cell>
          <cell r="E2443" t="str">
            <v>222.22206</v>
          </cell>
          <cell r="F2443">
            <v>780</v>
          </cell>
          <cell r="G2443">
            <v>0</v>
          </cell>
          <cell r="H2443">
            <v>0</v>
          </cell>
          <cell r="I2443">
            <v>0</v>
          </cell>
          <cell r="J2443">
            <v>1</v>
          </cell>
          <cell r="K2443">
            <v>1</v>
          </cell>
          <cell r="L2443">
            <v>1</v>
          </cell>
        </row>
        <row r="2444">
          <cell r="A2444" t="str">
            <v>20691.00336</v>
          </cell>
          <cell r="B2444" t="str">
            <v>TONER IMPRIMANTE</v>
          </cell>
          <cell r="C2444" t="str">
            <v>BROTHER TN 5500N.B : A PRECISER SUR OFFRE ''MARQUE ORIGINE OU ADAPTABLE''</v>
          </cell>
          <cell r="D2444" t="str">
            <v>PE</v>
          </cell>
          <cell r="E2444" t="str">
            <v>222.22206</v>
          </cell>
          <cell r="F2444">
            <v>855.55560000000003</v>
          </cell>
          <cell r="G2444">
            <v>0</v>
          </cell>
          <cell r="H2444">
            <v>0</v>
          </cell>
          <cell r="I2444">
            <v>0</v>
          </cell>
          <cell r="J2444">
            <v>0</v>
          </cell>
          <cell r="K2444">
            <v>4</v>
          </cell>
          <cell r="L2444">
            <v>0</v>
          </cell>
        </row>
        <row r="2445">
          <cell r="A2445" t="str">
            <v>20691.00338</v>
          </cell>
          <cell r="B2445" t="str">
            <v>PROCESS P/IMPRIM.BROTHER</v>
          </cell>
          <cell r="C2445" t="str">
            <v>BROTHER DR 3000</v>
          </cell>
          <cell r="D2445" t="str">
            <v>PE</v>
          </cell>
          <cell r="E2445" t="str">
            <v>222.22206</v>
          </cell>
          <cell r="F2445">
            <v>1464</v>
          </cell>
          <cell r="G2445">
            <v>0</v>
          </cell>
          <cell r="H2445">
            <v>0</v>
          </cell>
          <cell r="I2445">
            <v>0</v>
          </cell>
          <cell r="J2445">
            <v>0</v>
          </cell>
          <cell r="K2445">
            <v>2</v>
          </cell>
          <cell r="L2445">
            <v>0</v>
          </cell>
        </row>
        <row r="2446">
          <cell r="A2446" t="str">
            <v>20699.00634</v>
          </cell>
          <cell r="B2446" t="str">
            <v>DIAPHRAGME BUNA N+DACRON</v>
          </cell>
          <cell r="C2446">
            <v>35104040716</v>
          </cell>
          <cell r="D2446" t="str">
            <v>PE</v>
          </cell>
          <cell r="E2446" t="str">
            <v>512.51201</v>
          </cell>
          <cell r="F2446">
            <v>850</v>
          </cell>
          <cell r="G2446">
            <v>0</v>
          </cell>
          <cell r="H2446">
            <v>0</v>
          </cell>
          <cell r="I2446">
            <v>0</v>
          </cell>
          <cell r="J2446">
            <v>0</v>
          </cell>
          <cell r="K2446">
            <v>0</v>
          </cell>
          <cell r="L2446">
            <v>3</v>
          </cell>
        </row>
        <row r="2447">
          <cell r="A2447" t="str">
            <v>20708.00474</v>
          </cell>
          <cell r="B2447" t="str">
            <v>TRANSMETTEUR DE TEMPERATURE SMART</v>
          </cell>
          <cell r="C2447" t="str">
            <v xml:space="preserve">644HANAM5J6F6Q4                       </v>
          </cell>
          <cell r="D2447" t="str">
            <v>PE</v>
          </cell>
          <cell r="E2447" t="str">
            <v>512.51201</v>
          </cell>
          <cell r="F2447">
            <v>7962</v>
          </cell>
          <cell r="G2447">
            <v>1</v>
          </cell>
          <cell r="H2447">
            <v>0</v>
          </cell>
          <cell r="I2447">
            <v>1</v>
          </cell>
          <cell r="J2447">
            <v>0</v>
          </cell>
          <cell r="K2447">
            <v>0</v>
          </cell>
          <cell r="L2447">
            <v>13</v>
          </cell>
        </row>
        <row r="2448">
          <cell r="A2448" t="str">
            <v>20708.00472</v>
          </cell>
          <cell r="B2448" t="str">
            <v>TRANSMETTEUR DE PRESSION RELATIVE</v>
          </cell>
          <cell r="C2448" t="str">
            <v>3051TG 2A2B21AS1B4M5Q5       CALIB : 0 - 7 BARS</v>
          </cell>
          <cell r="D2448" t="str">
            <v>PE</v>
          </cell>
          <cell r="E2448" t="str">
            <v>512.51201</v>
          </cell>
          <cell r="F2448">
            <v>23572.794999999998</v>
          </cell>
          <cell r="G2448">
            <v>0</v>
          </cell>
          <cell r="H2448">
            <v>0</v>
          </cell>
          <cell r="I2448">
            <v>0</v>
          </cell>
          <cell r="J2448">
            <v>0</v>
          </cell>
          <cell r="K2448">
            <v>1</v>
          </cell>
          <cell r="L2448">
            <v>0</v>
          </cell>
        </row>
        <row r="2449">
          <cell r="A2449" t="str">
            <v>20708.00473</v>
          </cell>
          <cell r="B2449" t="str">
            <v>TRANSMETTEUR DE PRESSION RELATIVE</v>
          </cell>
          <cell r="C2449" t="str">
            <v>3051TG 3A2B21AS1B4M5Q4         CALIB : 0 - 15 BARS</v>
          </cell>
          <cell r="D2449" t="str">
            <v>PE</v>
          </cell>
          <cell r="E2449" t="str">
            <v>512.51201</v>
          </cell>
          <cell r="F2449">
            <v>20752.037499999999</v>
          </cell>
          <cell r="G2449">
            <v>0</v>
          </cell>
          <cell r="H2449">
            <v>0</v>
          </cell>
          <cell r="I2449">
            <v>0</v>
          </cell>
          <cell r="J2449">
            <v>1</v>
          </cell>
          <cell r="K2449">
            <v>0</v>
          </cell>
          <cell r="L2449">
            <v>0</v>
          </cell>
        </row>
        <row r="2450">
          <cell r="A2450" t="str">
            <v>20708.00475</v>
          </cell>
          <cell r="B2450" t="str">
            <v>TRANSMETTEUR DE PRESSION DIFFERENTIELLE</v>
          </cell>
          <cell r="C2450" t="str">
            <v>3051CD 3A1AH2BAM5Q4A1604   CALIB: 0 - 7500mmH2O</v>
          </cell>
          <cell r="D2450" t="str">
            <v>PE</v>
          </cell>
          <cell r="E2450" t="str">
            <v>512.51201</v>
          </cell>
          <cell r="F2450">
            <v>10734.561799999999</v>
          </cell>
          <cell r="G2450">
            <v>0</v>
          </cell>
          <cell r="H2450">
            <v>0</v>
          </cell>
          <cell r="I2450">
            <v>0</v>
          </cell>
          <cell r="J2450">
            <v>0</v>
          </cell>
          <cell r="K2450">
            <v>0</v>
          </cell>
          <cell r="L2450">
            <v>1</v>
          </cell>
        </row>
        <row r="2451">
          <cell r="A2451" t="str">
            <v>20691.00684</v>
          </cell>
          <cell r="B2451" t="str">
            <v>RUBAN LAMINE NOIR SUR ROUGE 8MX12MM</v>
          </cell>
          <cell r="C2451" t="str">
            <v>BROTHER TZ 431 POUR APPAREIL D'ETIQUETAGE PT3600 DC 24V</v>
          </cell>
          <cell r="D2451" t="str">
            <v>PE</v>
          </cell>
          <cell r="E2451" t="str">
            <v>222.22206</v>
          </cell>
          <cell r="F2451">
            <v>152</v>
          </cell>
          <cell r="G2451">
            <v>0</v>
          </cell>
          <cell r="H2451">
            <v>0</v>
          </cell>
          <cell r="I2451">
            <v>0</v>
          </cell>
          <cell r="J2451">
            <v>0</v>
          </cell>
          <cell r="K2451">
            <v>0</v>
          </cell>
          <cell r="L2451">
            <v>0</v>
          </cell>
        </row>
        <row r="2452">
          <cell r="A2452" t="str">
            <v>20691.00689</v>
          </cell>
          <cell r="B2452" t="str">
            <v>RUBAN LAMINE NOIR SUR JAUNE 8MX36MM</v>
          </cell>
          <cell r="C2452" t="str">
            <v>BROTHER TZ 661 POUR APPAREIL D'ETIQUETAGE PT3600 DC 24V</v>
          </cell>
          <cell r="D2452" t="str">
            <v>PE</v>
          </cell>
          <cell r="E2452" t="str">
            <v>222.22206</v>
          </cell>
          <cell r="F2452">
            <v>304</v>
          </cell>
          <cell r="G2452">
            <v>0</v>
          </cell>
          <cell r="H2452">
            <v>0</v>
          </cell>
          <cell r="I2452">
            <v>0</v>
          </cell>
          <cell r="J2452">
            <v>0</v>
          </cell>
          <cell r="K2452">
            <v>0</v>
          </cell>
          <cell r="L2452">
            <v>0</v>
          </cell>
        </row>
        <row r="2453">
          <cell r="A2453" t="str">
            <v>20708.00476</v>
          </cell>
          <cell r="B2453" t="str">
            <v>CAPTEUR MICRO MOTION</v>
          </cell>
          <cell r="C2453" t="str">
            <v>F300S355CQENFZAZZ</v>
          </cell>
          <cell r="D2453" t="str">
            <v>PE</v>
          </cell>
          <cell r="E2453" t="str">
            <v>512.51201</v>
          </cell>
          <cell r="F2453">
            <v>139938.70000000001</v>
          </cell>
          <cell r="G2453">
            <v>0</v>
          </cell>
          <cell r="H2453">
            <v>2</v>
          </cell>
          <cell r="I2453">
            <v>0</v>
          </cell>
          <cell r="J2453">
            <v>0</v>
          </cell>
          <cell r="K2453">
            <v>0</v>
          </cell>
          <cell r="L2453">
            <v>0</v>
          </cell>
        </row>
        <row r="2454">
          <cell r="A2454" t="str">
            <v>20708.00477</v>
          </cell>
          <cell r="B2454" t="str">
            <v>CAPTEUR MICRO MOTION</v>
          </cell>
          <cell r="C2454" t="str">
            <v>F300S550NQENFZZZ</v>
          </cell>
          <cell r="D2454" t="str">
            <v>PE</v>
          </cell>
          <cell r="E2454" t="str">
            <v>512.51201</v>
          </cell>
          <cell r="F2454">
            <v>139938.70000000001</v>
          </cell>
          <cell r="G2454">
            <v>0</v>
          </cell>
          <cell r="H2454">
            <v>0</v>
          </cell>
          <cell r="I2454">
            <v>0</v>
          </cell>
          <cell r="J2454">
            <v>0</v>
          </cell>
          <cell r="K2454">
            <v>0</v>
          </cell>
          <cell r="L2454">
            <v>1</v>
          </cell>
        </row>
        <row r="2455">
          <cell r="A2455" t="str">
            <v>20708.00478</v>
          </cell>
          <cell r="B2455" t="str">
            <v>TRANSMETTEUR DE NIVEAU</v>
          </cell>
          <cell r="C2455" t="str">
            <v xml:space="preserve">1151DP5S22M4L4C2P1W2Q4Q8S6    </v>
          </cell>
          <cell r="D2455" t="str">
            <v>PE</v>
          </cell>
          <cell r="E2455" t="str">
            <v>512.51201</v>
          </cell>
          <cell r="F2455">
            <v>8628.7345999999998</v>
          </cell>
          <cell r="G2455">
            <v>0</v>
          </cell>
          <cell r="H2455">
            <v>0</v>
          </cell>
          <cell r="I2455">
            <v>0</v>
          </cell>
          <cell r="J2455">
            <v>1</v>
          </cell>
          <cell r="K2455">
            <v>0</v>
          </cell>
          <cell r="L2455">
            <v>10</v>
          </cell>
        </row>
        <row r="2456">
          <cell r="A2456" t="str">
            <v>20708.00479</v>
          </cell>
          <cell r="B2456" t="str">
            <v>TRANSMETTEUR DE TEMPERATURE</v>
          </cell>
          <cell r="C2456" t="str">
            <v xml:space="preserve">644HANAXA55Q4 </v>
          </cell>
          <cell r="D2456" t="str">
            <v>PE</v>
          </cell>
          <cell r="E2456" t="str">
            <v>512.51201</v>
          </cell>
          <cell r="F2456">
            <v>3732.9162000000001</v>
          </cell>
          <cell r="G2456">
            <v>0</v>
          </cell>
          <cell r="H2456">
            <v>3</v>
          </cell>
          <cell r="I2456">
            <v>0</v>
          </cell>
          <cell r="J2456">
            <v>0</v>
          </cell>
          <cell r="K2456">
            <v>0</v>
          </cell>
          <cell r="L2456">
            <v>5</v>
          </cell>
        </row>
        <row r="2457">
          <cell r="A2457" t="str">
            <v>20691.00351</v>
          </cell>
          <cell r="B2457" t="str">
            <v>TONER PETITE CAPACITE</v>
          </cell>
          <cell r="C2457" t="str">
            <v>BROTHER TN 3030 POUR IMPRIMANTE HL5130 . HL5140 . HL5150D . HL5170DN . MFC8220 . MFC8440 . MFC8840D et MFC8840DNN.B : A PRECISER SUR OFFRE ''MARQUE ORIGINE OU ADAPTABLE''</v>
          </cell>
          <cell r="D2457" t="str">
            <v>PE</v>
          </cell>
          <cell r="E2457" t="str">
            <v>222.22206</v>
          </cell>
          <cell r="F2457">
            <v>564</v>
          </cell>
          <cell r="G2457">
            <v>0</v>
          </cell>
          <cell r="H2457">
            <v>0</v>
          </cell>
          <cell r="I2457">
            <v>0</v>
          </cell>
          <cell r="J2457">
            <v>0</v>
          </cell>
          <cell r="K2457">
            <v>4</v>
          </cell>
          <cell r="L2457">
            <v>0</v>
          </cell>
        </row>
        <row r="2458">
          <cell r="A2458" t="str">
            <v>20699.00533</v>
          </cell>
          <cell r="B2458" t="str">
            <v>POSITIONNEUR ELECTRO-PNEUMATIC</v>
          </cell>
          <cell r="C2458" t="str">
            <v>7700E ENTREE 4-20MA 1/2"NPT</v>
          </cell>
          <cell r="D2458" t="str">
            <v>PE</v>
          </cell>
          <cell r="E2458" t="str">
            <v>512.51201</v>
          </cell>
          <cell r="F2458">
            <v>10276.200000000001</v>
          </cell>
          <cell r="G2458">
            <v>0</v>
          </cell>
          <cell r="H2458">
            <v>0</v>
          </cell>
          <cell r="I2458">
            <v>0</v>
          </cell>
          <cell r="J2458">
            <v>0</v>
          </cell>
          <cell r="K2458">
            <v>0</v>
          </cell>
          <cell r="L2458">
            <v>1</v>
          </cell>
        </row>
        <row r="2459">
          <cell r="A2459" t="str">
            <v>20699.00534</v>
          </cell>
          <cell r="B2459" t="str">
            <v>VANNE DE REGULATION CAMFLEX</v>
          </cell>
          <cell r="C2459" t="str">
            <v>35-35112/CM/78/SVI 2/496/EV DN 150 PN 20 CV500 MAT:ACIER INOX -ASTM A 351 Gr CFBM</v>
          </cell>
          <cell r="D2459" t="str">
            <v>PE</v>
          </cell>
          <cell r="E2459" t="str">
            <v>512.51201</v>
          </cell>
          <cell r="F2459">
            <v>100148.4</v>
          </cell>
          <cell r="G2459">
            <v>0</v>
          </cell>
          <cell r="H2459">
            <v>0</v>
          </cell>
          <cell r="I2459">
            <v>0</v>
          </cell>
          <cell r="J2459">
            <v>0</v>
          </cell>
          <cell r="K2459">
            <v>0</v>
          </cell>
          <cell r="L2459">
            <v>0</v>
          </cell>
        </row>
        <row r="2460">
          <cell r="A2460" t="str">
            <v>20699.00535</v>
          </cell>
          <cell r="B2460" t="str">
            <v>VANNE DE REGULATION MINITORK</v>
          </cell>
          <cell r="C2460" t="str">
            <v>35-35322/78/SVI 2/496/EV DN250 PN20 CV 3700 MAT:ACIER CARBON AVEC CHEMISE BUNA N</v>
          </cell>
          <cell r="D2460" t="str">
            <v>PE</v>
          </cell>
          <cell r="E2460" t="str">
            <v>512.51201</v>
          </cell>
          <cell r="F2460">
            <v>103950</v>
          </cell>
          <cell r="G2460">
            <v>0</v>
          </cell>
          <cell r="H2460">
            <v>0</v>
          </cell>
          <cell r="I2460">
            <v>0</v>
          </cell>
          <cell r="J2460">
            <v>0</v>
          </cell>
          <cell r="K2460">
            <v>0</v>
          </cell>
          <cell r="L2460">
            <v>0</v>
          </cell>
        </row>
        <row r="2461">
          <cell r="A2461" t="str">
            <v>20705.01645</v>
          </cell>
          <cell r="B2461" t="str">
            <v>FILTRE A AIR</v>
          </cell>
          <cell r="C2461">
            <v>8041419</v>
          </cell>
          <cell r="D2461" t="str">
            <v>PE</v>
          </cell>
          <cell r="E2461" t="str">
            <v>222.22209</v>
          </cell>
          <cell r="F2461">
            <v>2861.2</v>
          </cell>
          <cell r="G2461">
            <v>0</v>
          </cell>
          <cell r="H2461">
            <v>0</v>
          </cell>
          <cell r="I2461">
            <v>0</v>
          </cell>
          <cell r="J2461">
            <v>0</v>
          </cell>
          <cell r="K2461">
            <v>0</v>
          </cell>
          <cell r="L2461">
            <v>2</v>
          </cell>
        </row>
        <row r="2462">
          <cell r="A2462" t="str">
            <v>20691.00227</v>
          </cell>
          <cell r="B2462" t="str">
            <v>TONER</v>
          </cell>
          <cell r="C2462" t="str">
            <v>HEWLETT PACKARD CB436A  P/IMPRIMANTE JET M1120MFP-M1522MFPN.B : A PRECISER SUR OFFRE ''MARQUE ORIGINE OU ADAPTABLE''</v>
          </cell>
          <cell r="D2462" t="str">
            <v>PE</v>
          </cell>
          <cell r="E2462" t="str">
            <v>222.22206</v>
          </cell>
          <cell r="F2462">
            <v>952</v>
          </cell>
          <cell r="G2462">
            <v>0</v>
          </cell>
          <cell r="H2462">
            <v>5</v>
          </cell>
          <cell r="I2462">
            <v>3</v>
          </cell>
          <cell r="J2462">
            <v>1</v>
          </cell>
          <cell r="K2462">
            <v>13</v>
          </cell>
          <cell r="L2462">
            <v>2</v>
          </cell>
        </row>
        <row r="2463">
          <cell r="A2463" t="str">
            <v>20699.00313</v>
          </cell>
          <cell r="B2463" t="str">
            <v>PSITIONNEUR ELEC/PN COMPL</v>
          </cell>
          <cell r="C2463" t="str">
            <v>4700E P/VANNES MASONEILAN SAUF VARIPAK</v>
          </cell>
          <cell r="D2463" t="str">
            <v>PE</v>
          </cell>
          <cell r="E2463" t="str">
            <v>512.51201</v>
          </cell>
          <cell r="F2463">
            <v>11369.16</v>
          </cell>
          <cell r="G2463">
            <v>0</v>
          </cell>
          <cell r="H2463">
            <v>0</v>
          </cell>
          <cell r="I2463">
            <v>0</v>
          </cell>
          <cell r="J2463">
            <v>0</v>
          </cell>
          <cell r="K2463">
            <v>0</v>
          </cell>
          <cell r="L2463">
            <v>1</v>
          </cell>
        </row>
        <row r="2464">
          <cell r="A2464" t="str">
            <v>20691.00547</v>
          </cell>
          <cell r="B2464" t="str">
            <v>TONER</v>
          </cell>
          <cell r="C2464" t="str">
            <v>HEWLETT PACKARD C 2612 A P/IMP.LAZER JET 3015N.B : A PRECISER SUR OFFRE ''MARQUE ORIGINE OU ADAPTABLE''</v>
          </cell>
          <cell r="D2464" t="str">
            <v>PE</v>
          </cell>
          <cell r="E2464" t="str">
            <v>222.22206</v>
          </cell>
          <cell r="F2464">
            <v>725.2</v>
          </cell>
          <cell r="G2464">
            <v>0</v>
          </cell>
          <cell r="H2464">
            <v>0</v>
          </cell>
          <cell r="I2464">
            <v>1</v>
          </cell>
          <cell r="J2464">
            <v>3</v>
          </cell>
          <cell r="K2464">
            <v>3</v>
          </cell>
          <cell r="L2464">
            <v>1</v>
          </cell>
        </row>
        <row r="2465">
          <cell r="A2465" t="str">
            <v>20691.00779</v>
          </cell>
          <cell r="B2465" t="str">
            <v>TONER NOIR</v>
          </cell>
          <cell r="C2465" t="str">
            <v>HEWLETT PACKARD Réf : CE 250 A  P/IMPRIMENTE LASER JET CM 3530FSN.B : A PRECISER SUR OFFRE ''MARQUE ORIGINE OU ADAPTABLE''</v>
          </cell>
          <cell r="D2465" t="str">
            <v>PE</v>
          </cell>
          <cell r="E2465" t="str">
            <v>222.22206</v>
          </cell>
          <cell r="F2465">
            <v>1090</v>
          </cell>
          <cell r="G2465">
            <v>0</v>
          </cell>
          <cell r="H2465">
            <v>0</v>
          </cell>
          <cell r="I2465">
            <v>0</v>
          </cell>
          <cell r="J2465">
            <v>0</v>
          </cell>
          <cell r="K2465">
            <v>0</v>
          </cell>
          <cell r="L2465">
            <v>0</v>
          </cell>
        </row>
        <row r="2466">
          <cell r="A2466" t="str">
            <v>20691.00780</v>
          </cell>
          <cell r="B2466" t="str">
            <v>TONER CYAN</v>
          </cell>
          <cell r="C2466" t="str">
            <v>HEWLETT PACKARD Réf : CE 251 A  P/IMPRIMENTE LASER JET CM 3530FSN.B : A PRECISER SUR OFFRE ''MARQUE ORIGINE OU ADAPTABLE''</v>
          </cell>
          <cell r="D2466" t="str">
            <v>PE</v>
          </cell>
          <cell r="E2466" t="str">
            <v>222.22206</v>
          </cell>
          <cell r="F2466">
            <v>2150</v>
          </cell>
          <cell r="G2466">
            <v>0</v>
          </cell>
          <cell r="H2466">
            <v>0</v>
          </cell>
          <cell r="I2466">
            <v>0</v>
          </cell>
          <cell r="J2466">
            <v>0</v>
          </cell>
          <cell r="K2466">
            <v>0</v>
          </cell>
          <cell r="L2466">
            <v>0</v>
          </cell>
        </row>
        <row r="2467">
          <cell r="A2467" t="str">
            <v>20691.00781</v>
          </cell>
          <cell r="B2467" t="str">
            <v>TONER JAUNE</v>
          </cell>
          <cell r="C2467" t="str">
            <v>HEWLETT PACKARD Réf : CE 252 A  P/IMPRIMENTE LASER JET CM 3530FSN.B : A PRECISER SUR OFFRE ''MARQUE ORIGINE OU ADAPTABLE''</v>
          </cell>
          <cell r="D2467" t="str">
            <v>PE</v>
          </cell>
          <cell r="E2467" t="str">
            <v>222.22206</v>
          </cell>
          <cell r="F2467">
            <v>2150</v>
          </cell>
          <cell r="G2467">
            <v>0</v>
          </cell>
          <cell r="H2467">
            <v>0</v>
          </cell>
          <cell r="I2467">
            <v>0</v>
          </cell>
          <cell r="J2467">
            <v>0</v>
          </cell>
          <cell r="K2467">
            <v>0</v>
          </cell>
          <cell r="L2467">
            <v>0</v>
          </cell>
        </row>
        <row r="2468">
          <cell r="A2468" t="str">
            <v>20691.00782</v>
          </cell>
          <cell r="B2468" t="str">
            <v>TONER MAGENTA</v>
          </cell>
          <cell r="C2468" t="str">
            <v>HEWLETT PACKARD Réf : CE 253 A  P/IMPRIMENTE LASER JET CM 3530FSN.B : A PRECISER SUR OFFRE ''MARQUE ORIGINE OU ADAPTABLE''</v>
          </cell>
          <cell r="D2468" t="str">
            <v>PE</v>
          </cell>
          <cell r="E2468" t="str">
            <v>222.22206</v>
          </cell>
          <cell r="F2468">
            <v>2150</v>
          </cell>
          <cell r="G2468">
            <v>0</v>
          </cell>
          <cell r="H2468">
            <v>0</v>
          </cell>
          <cell r="I2468">
            <v>0</v>
          </cell>
          <cell r="J2468">
            <v>0</v>
          </cell>
          <cell r="K2468">
            <v>0</v>
          </cell>
          <cell r="L2468">
            <v>0</v>
          </cell>
        </row>
        <row r="2469">
          <cell r="A2469" t="str">
            <v>20700.00284</v>
          </cell>
          <cell r="B2469" t="str">
            <v>PIQUAGE DROIT MAL D12/1/2</v>
          </cell>
          <cell r="C2469">
            <v>1011221</v>
          </cell>
          <cell r="D2469" t="str">
            <v>PE</v>
          </cell>
          <cell r="E2469" t="str">
            <v>515.51511</v>
          </cell>
          <cell r="F2469">
            <v>29.1</v>
          </cell>
          <cell r="G2469">
            <v>0</v>
          </cell>
          <cell r="H2469">
            <v>0</v>
          </cell>
          <cell r="I2469">
            <v>0</v>
          </cell>
          <cell r="J2469">
            <v>0</v>
          </cell>
          <cell r="K2469">
            <v>0</v>
          </cell>
          <cell r="L2469">
            <v>0</v>
          </cell>
        </row>
        <row r="2470">
          <cell r="A2470" t="str">
            <v>20691.00847</v>
          </cell>
          <cell r="B2470" t="str">
            <v>CARTOUCHE D'ENCRE MAGENTA</v>
          </cell>
          <cell r="C2470" t="str">
            <v>HEWLETT PACKARD CD973AE P/IMPRIMANTE OFFICEJET 7500AN.B : A PRECISER SUR OFFRE ''MARQUE ORIGINE OU ADAPTABLE''</v>
          </cell>
          <cell r="D2470" t="str">
            <v>PE</v>
          </cell>
          <cell r="E2470" t="str">
            <v>222.22206</v>
          </cell>
          <cell r="F2470">
            <v>170</v>
          </cell>
          <cell r="G2470">
            <v>0</v>
          </cell>
          <cell r="H2470">
            <v>0</v>
          </cell>
          <cell r="I2470">
            <v>0</v>
          </cell>
          <cell r="J2470">
            <v>0</v>
          </cell>
          <cell r="K2470">
            <v>0</v>
          </cell>
          <cell r="L2470">
            <v>0</v>
          </cell>
        </row>
        <row r="2471">
          <cell r="A2471" t="str">
            <v>20691.00848</v>
          </cell>
          <cell r="B2471" t="str">
            <v>CARTOUCHE D'ENCRE JAUNE</v>
          </cell>
          <cell r="C2471" t="str">
            <v>HEWLETT PACKARD CD974AE P/IMPRIMANTE OFFICEJET 7500AN.B : A PRECISER SUR OFFRE ''MARQUE ORIGINE OU ADAPTABLE''</v>
          </cell>
          <cell r="D2471" t="str">
            <v>PE</v>
          </cell>
          <cell r="E2471" t="str">
            <v>222.22206</v>
          </cell>
          <cell r="F2471">
            <v>170</v>
          </cell>
          <cell r="G2471">
            <v>0</v>
          </cell>
          <cell r="H2471">
            <v>0</v>
          </cell>
          <cell r="I2471">
            <v>0</v>
          </cell>
          <cell r="J2471">
            <v>0</v>
          </cell>
          <cell r="K2471">
            <v>0</v>
          </cell>
          <cell r="L2471">
            <v>0</v>
          </cell>
        </row>
        <row r="2472">
          <cell r="A2472" t="str">
            <v>20691.01046</v>
          </cell>
          <cell r="B2472" t="str">
            <v>TONER COULEUR JAUNE</v>
          </cell>
          <cell r="C2472" t="str">
            <v>XEROX 106R01322 P/IMPRIMANTRE TYPE WORKCENTRE 6400XN.B : A PRECISER SUR OFFRE ''MARQUE ORIGINE OU ADAPTABLE''</v>
          </cell>
          <cell r="D2472" t="str">
            <v>PE</v>
          </cell>
          <cell r="E2472" t="str">
            <v>222.22206</v>
          </cell>
          <cell r="F2472">
            <v>1900</v>
          </cell>
          <cell r="G2472">
            <v>0</v>
          </cell>
          <cell r="H2472">
            <v>0</v>
          </cell>
          <cell r="I2472">
            <v>0</v>
          </cell>
          <cell r="J2472">
            <v>0</v>
          </cell>
          <cell r="K2472">
            <v>0</v>
          </cell>
          <cell r="L2472">
            <v>0</v>
          </cell>
        </row>
        <row r="2473">
          <cell r="A2473" t="str">
            <v>20691.01047</v>
          </cell>
          <cell r="B2473" t="str">
            <v>TONER COULEUR MAGENTA</v>
          </cell>
          <cell r="C2473" t="str">
            <v>XEROX 106R01321 P/IMPRIMANTRE TYPE WORKCENTRE 6400XN.B : A PRECISER SUR OFFRE ''MARQUE ORIGINE OU ADAPTABLE''</v>
          </cell>
          <cell r="D2473" t="str">
            <v>PE</v>
          </cell>
          <cell r="E2473" t="str">
            <v>222.22206</v>
          </cell>
          <cell r="F2473">
            <v>1900</v>
          </cell>
          <cell r="G2473">
            <v>0</v>
          </cell>
          <cell r="H2473">
            <v>0</v>
          </cell>
          <cell r="I2473">
            <v>0</v>
          </cell>
          <cell r="J2473">
            <v>0</v>
          </cell>
          <cell r="K2473">
            <v>0</v>
          </cell>
          <cell r="L2473">
            <v>0</v>
          </cell>
        </row>
        <row r="2474">
          <cell r="A2474" t="str">
            <v>20691.01048</v>
          </cell>
          <cell r="B2474" t="str">
            <v>TONER COULEUR CYAN</v>
          </cell>
          <cell r="C2474" t="str">
            <v>XEROX 106R01320 P/IMPRIMANTRE TYPE WORKCENTRE 6400XN.B : A PRECISER SUR OFFRE ''MARQUE ORIGINE OU ADAPTABLE''</v>
          </cell>
          <cell r="D2474" t="str">
            <v>PE</v>
          </cell>
          <cell r="E2474" t="str">
            <v>222.22206</v>
          </cell>
          <cell r="F2474">
            <v>1900</v>
          </cell>
          <cell r="G2474">
            <v>0</v>
          </cell>
          <cell r="H2474">
            <v>0</v>
          </cell>
          <cell r="I2474">
            <v>0</v>
          </cell>
          <cell r="J2474">
            <v>0</v>
          </cell>
          <cell r="K2474">
            <v>0</v>
          </cell>
          <cell r="L2474">
            <v>0</v>
          </cell>
        </row>
        <row r="2475">
          <cell r="A2475" t="str">
            <v>20691.01049</v>
          </cell>
          <cell r="B2475" t="str">
            <v>TONER COULEUR NOIR</v>
          </cell>
          <cell r="C2475" t="str">
            <v>XEROX 106R01316 P/IMPRIMANTRE TYPE WORKCENTRE 6400XN.B : A PRECISER SUR OFFRE ''MARQUE ORIGINE OU ADAPTABLE''</v>
          </cell>
          <cell r="D2475" t="str">
            <v>PE</v>
          </cell>
          <cell r="E2475" t="str">
            <v>222.22206</v>
          </cell>
          <cell r="F2475">
            <v>1000</v>
          </cell>
          <cell r="G2475">
            <v>0</v>
          </cell>
          <cell r="H2475">
            <v>0</v>
          </cell>
          <cell r="I2475">
            <v>0</v>
          </cell>
          <cell r="J2475">
            <v>0</v>
          </cell>
          <cell r="K2475">
            <v>0</v>
          </cell>
          <cell r="L2475">
            <v>0</v>
          </cell>
        </row>
        <row r="2476">
          <cell r="A2476" t="str">
            <v>20691.00269</v>
          </cell>
          <cell r="B2476" t="str">
            <v>TONER P/TRACEUR HP 11</v>
          </cell>
          <cell r="C2476" t="str">
            <v>HEWLETT PACKARD C 4911 AN.B : A PRECISER SUR OFFRE ''MARQUE ORIGINE OU ADAPTABLE''</v>
          </cell>
          <cell r="D2476" t="str">
            <v>PE</v>
          </cell>
          <cell r="E2476" t="str">
            <v>222.22206</v>
          </cell>
          <cell r="F2476">
            <v>378</v>
          </cell>
          <cell r="G2476">
            <v>0</v>
          </cell>
          <cell r="H2476">
            <v>0</v>
          </cell>
          <cell r="I2476">
            <v>0</v>
          </cell>
          <cell r="J2476">
            <v>0</v>
          </cell>
          <cell r="K2476">
            <v>0</v>
          </cell>
          <cell r="L2476">
            <v>0</v>
          </cell>
        </row>
        <row r="2477">
          <cell r="A2477" t="str">
            <v>20691.00270</v>
          </cell>
          <cell r="B2477" t="str">
            <v>TONER P/TRACEUR HP 11</v>
          </cell>
          <cell r="C2477" t="str">
            <v>HEWLETT PACKARD C 4912 AN.B : A PRECISER SUR OFFRE ''MARQUE ORIGINE OU ADAPTABLE''</v>
          </cell>
          <cell r="D2477" t="str">
            <v>PE</v>
          </cell>
          <cell r="E2477" t="str">
            <v>222.22206</v>
          </cell>
          <cell r="F2477">
            <v>378</v>
          </cell>
          <cell r="G2477">
            <v>0</v>
          </cell>
          <cell r="H2477">
            <v>0</v>
          </cell>
          <cell r="I2477">
            <v>0</v>
          </cell>
          <cell r="J2477">
            <v>0</v>
          </cell>
          <cell r="K2477">
            <v>0</v>
          </cell>
          <cell r="L2477">
            <v>0</v>
          </cell>
        </row>
        <row r="2478">
          <cell r="A2478" t="str">
            <v>20691.00271</v>
          </cell>
          <cell r="B2478" t="str">
            <v>TONER P/TRACEUR HP 11</v>
          </cell>
          <cell r="C2478" t="str">
            <v>HEWLETT PACKARD C 4913 AN.B : A PRECISER SUR OFFRE ''MARQUE ORIGINE OU ADAPTABLE''</v>
          </cell>
          <cell r="D2478" t="str">
            <v>PE</v>
          </cell>
          <cell r="E2478" t="str">
            <v>222.22206</v>
          </cell>
          <cell r="F2478">
            <v>378</v>
          </cell>
          <cell r="G2478">
            <v>0</v>
          </cell>
          <cell r="H2478">
            <v>0</v>
          </cell>
          <cell r="I2478">
            <v>0</v>
          </cell>
          <cell r="J2478">
            <v>0</v>
          </cell>
          <cell r="K2478">
            <v>0</v>
          </cell>
          <cell r="L2478">
            <v>0</v>
          </cell>
        </row>
        <row r="2479">
          <cell r="A2479" t="str">
            <v>20691.00453</v>
          </cell>
          <cell r="B2479" t="str">
            <v>TONER POUR TELECOPIEUR</v>
          </cell>
          <cell r="C2479" t="str">
            <v>XEROX 113R00667 P/TELECOP.WORK CENTER PE 16N.B : A PRECISER SUR OFFRE ''MARQUE ORIGINE OU ADAPTABLE''</v>
          </cell>
          <cell r="D2479" t="str">
            <v>PE</v>
          </cell>
          <cell r="E2479" t="str">
            <v>222.22206</v>
          </cell>
          <cell r="F2479">
            <v>708</v>
          </cell>
          <cell r="G2479">
            <v>0</v>
          </cell>
          <cell r="H2479">
            <v>0</v>
          </cell>
          <cell r="I2479">
            <v>0</v>
          </cell>
          <cell r="J2479">
            <v>0</v>
          </cell>
          <cell r="K2479">
            <v>9</v>
          </cell>
          <cell r="L2479">
            <v>0</v>
          </cell>
        </row>
        <row r="2480">
          <cell r="A2480" t="str">
            <v>20691.00268</v>
          </cell>
          <cell r="B2480" t="str">
            <v>TONER</v>
          </cell>
          <cell r="C2480" t="str">
            <v>HEWLETT PACKARD C 4844 A P/TRACEUR HP 800 ET IMP.LASER 2000CN.B : A PRECISER SUR OFFRE ''MARQUE ORIGINE OU ADAPTABLE''</v>
          </cell>
          <cell r="D2480" t="str">
            <v>PE</v>
          </cell>
          <cell r="E2480" t="str">
            <v>222.22206</v>
          </cell>
          <cell r="F2480">
            <v>320.22859999999997</v>
          </cell>
          <cell r="G2480">
            <v>0</v>
          </cell>
          <cell r="H2480">
            <v>0</v>
          </cell>
          <cell r="I2480">
            <v>0</v>
          </cell>
          <cell r="J2480">
            <v>0</v>
          </cell>
          <cell r="K2480">
            <v>0</v>
          </cell>
          <cell r="L2480">
            <v>0</v>
          </cell>
        </row>
        <row r="2481">
          <cell r="A2481" t="str">
            <v>20691.01140</v>
          </cell>
          <cell r="B2481" t="str">
            <v>FOUR 220V P/IMPRIMANTE</v>
          </cell>
          <cell r="C2481" t="str">
            <v>XEROX 115R00060 P/IMPRIMANTRE TYPE WORKCENTRE 6400XN.B : A PRECISER SUR OFFRE ''MARQUE ORIGINE OU ADAPTABLE''</v>
          </cell>
          <cell r="D2481" t="str">
            <v>PE</v>
          </cell>
          <cell r="E2481" t="str">
            <v>222.22206</v>
          </cell>
          <cell r="F2481">
            <v>2500</v>
          </cell>
          <cell r="G2481">
            <v>0</v>
          </cell>
          <cell r="H2481">
            <v>0</v>
          </cell>
          <cell r="I2481">
            <v>0</v>
          </cell>
          <cell r="J2481">
            <v>0</v>
          </cell>
          <cell r="K2481">
            <v>0</v>
          </cell>
          <cell r="L2481">
            <v>0</v>
          </cell>
        </row>
        <row r="2482">
          <cell r="A2482" t="str">
            <v>20691.00874</v>
          </cell>
          <cell r="B2482" t="str">
            <v>CARTOUCHE D'ENCRE JAUNE</v>
          </cell>
          <cell r="C2482" t="str">
            <v>HEWLETT PACKARD C9388A P/IMP OFFICEJET PRO L7780 ALL-IN-ONEN.B : A PRECISER SUR OFFRE ''MARQUE ORIGINE OU ADAPTABLE''</v>
          </cell>
          <cell r="D2482" t="str">
            <v>PE</v>
          </cell>
          <cell r="E2482" t="str">
            <v>222.22206</v>
          </cell>
          <cell r="F2482">
            <v>550</v>
          </cell>
          <cell r="G2482">
            <v>0</v>
          </cell>
          <cell r="H2482">
            <v>0</v>
          </cell>
          <cell r="I2482">
            <v>0</v>
          </cell>
          <cell r="J2482">
            <v>0</v>
          </cell>
          <cell r="K2482">
            <v>3</v>
          </cell>
          <cell r="L2482">
            <v>0</v>
          </cell>
        </row>
        <row r="2483">
          <cell r="A2483" t="str">
            <v>20691.00872</v>
          </cell>
          <cell r="B2483" t="str">
            <v>CARTOUCHE D'ENCRE NOIR</v>
          </cell>
          <cell r="C2483" t="str">
            <v>HEWLETT PACKARD C9385S P/IMP OFFICEJET PRO L7780 ALL-IN-ONEN.B : A PRECISER SUR OFFRE ''MARQUE ORIGINE OU ADAPTABLE''</v>
          </cell>
          <cell r="D2483" t="str">
            <v>PE</v>
          </cell>
          <cell r="E2483" t="str">
            <v>222.22206</v>
          </cell>
          <cell r="F2483">
            <v>620</v>
          </cell>
          <cell r="G2483">
            <v>0</v>
          </cell>
          <cell r="H2483">
            <v>0</v>
          </cell>
          <cell r="I2483">
            <v>0</v>
          </cell>
          <cell r="J2483">
            <v>0</v>
          </cell>
          <cell r="K2483">
            <v>3</v>
          </cell>
          <cell r="L2483">
            <v>0</v>
          </cell>
        </row>
        <row r="2484">
          <cell r="A2484" t="str">
            <v>20691.00873</v>
          </cell>
          <cell r="B2484" t="str">
            <v>CARTOUCHE D'ENCRE MAGENTA</v>
          </cell>
          <cell r="C2484" t="str">
            <v>HEWLETT PACKARD C9387A P/IMP OFFICEJET PRO L7780 ALL-IN-ONEN.B : A PRECISER SUR OFFRE ''MARQUE ORIGINE OU ADAPTABLE''</v>
          </cell>
          <cell r="D2484" t="str">
            <v>PE</v>
          </cell>
          <cell r="E2484" t="str">
            <v>222.22206</v>
          </cell>
          <cell r="F2484">
            <v>550</v>
          </cell>
          <cell r="G2484">
            <v>0</v>
          </cell>
          <cell r="H2484">
            <v>0</v>
          </cell>
          <cell r="I2484">
            <v>0</v>
          </cell>
          <cell r="J2484">
            <v>0</v>
          </cell>
          <cell r="K2484">
            <v>3</v>
          </cell>
          <cell r="L2484">
            <v>0</v>
          </cell>
        </row>
        <row r="2485">
          <cell r="A2485" t="str">
            <v>20691.00688</v>
          </cell>
          <cell r="B2485" t="str">
            <v>RUBAN LAMINE NOIR SUR BLANC 8MX36MM</v>
          </cell>
          <cell r="C2485" t="str">
            <v>BROTHER TZ 261 POUR APPAREIL D'ETIQUETAGE PT3600 DC 24V</v>
          </cell>
          <cell r="D2485" t="str">
            <v>PE</v>
          </cell>
          <cell r="E2485" t="str">
            <v>222.22206</v>
          </cell>
          <cell r="F2485">
            <v>304</v>
          </cell>
          <cell r="G2485">
            <v>0</v>
          </cell>
          <cell r="H2485">
            <v>0</v>
          </cell>
          <cell r="I2485">
            <v>0</v>
          </cell>
          <cell r="J2485">
            <v>0</v>
          </cell>
          <cell r="K2485">
            <v>0</v>
          </cell>
          <cell r="L2485">
            <v>0</v>
          </cell>
        </row>
        <row r="2486">
          <cell r="A2486" t="str">
            <v>20691.00695</v>
          </cell>
          <cell r="B2486" t="str">
            <v>TONER NOIR</v>
          </cell>
          <cell r="C2486" t="str">
            <v>HEWLETT PACKARD Q 7553 A P/IMP.LASER JET P2015N.B : A PRECISER SUR OFFRE ''MARQUE ORIGINE OU ADAPTABLE''</v>
          </cell>
          <cell r="D2486" t="str">
            <v>PE</v>
          </cell>
          <cell r="E2486" t="str">
            <v>222.22206</v>
          </cell>
          <cell r="F2486">
            <v>688.33330000000001</v>
          </cell>
          <cell r="G2486">
            <v>0</v>
          </cell>
          <cell r="H2486">
            <v>0</v>
          </cell>
          <cell r="I2486">
            <v>0</v>
          </cell>
          <cell r="J2486">
            <v>0</v>
          </cell>
          <cell r="K2486">
            <v>4</v>
          </cell>
          <cell r="L2486">
            <v>0</v>
          </cell>
        </row>
        <row r="2487">
          <cell r="A2487" t="str">
            <v>20700.00456</v>
          </cell>
          <cell r="B2487" t="str">
            <v>MANCHON DOUBLE FEMELLE, BSP CYLINDRIQUE</v>
          </cell>
          <cell r="C2487" t="str">
            <v>1855 13 13</v>
          </cell>
          <cell r="D2487" t="str">
            <v>PE</v>
          </cell>
          <cell r="E2487" t="str">
            <v>515.51511</v>
          </cell>
          <cell r="F2487">
            <v>141</v>
          </cell>
          <cell r="G2487">
            <v>0</v>
          </cell>
          <cell r="H2487">
            <v>0</v>
          </cell>
          <cell r="I2487">
            <v>0</v>
          </cell>
          <cell r="J2487">
            <v>0</v>
          </cell>
          <cell r="K2487">
            <v>0</v>
          </cell>
          <cell r="L2487">
            <v>0</v>
          </cell>
        </row>
        <row r="2488">
          <cell r="A2488" t="str">
            <v>20701.00232</v>
          </cell>
          <cell r="B2488" t="str">
            <v>DEBIMETRE ELECTROMAGNETIQUE</v>
          </cell>
          <cell r="C2488" t="str">
            <v>OPTIFLUX 4000 DN25  REVETEMENT PTFE</v>
          </cell>
          <cell r="D2488" t="str">
            <v>PE</v>
          </cell>
          <cell r="E2488" t="str">
            <v>512.51201</v>
          </cell>
          <cell r="F2488">
            <v>14855.3506</v>
          </cell>
          <cell r="G2488">
            <v>0</v>
          </cell>
          <cell r="H2488">
            <v>0</v>
          </cell>
          <cell r="I2488">
            <v>0</v>
          </cell>
          <cell r="J2488">
            <v>0</v>
          </cell>
          <cell r="K2488">
            <v>0</v>
          </cell>
          <cell r="L2488">
            <v>0</v>
          </cell>
        </row>
        <row r="2489">
          <cell r="A2489" t="str">
            <v>20701.00233</v>
          </cell>
          <cell r="B2489" t="str">
            <v>DEBIMETRE ELECTROMAGNETIQUE</v>
          </cell>
          <cell r="C2489" t="str">
            <v>OPTIFLUX 5000 DN200 REVETEMENT CERAMIQUE</v>
          </cell>
          <cell r="D2489" t="str">
            <v>PE</v>
          </cell>
          <cell r="E2489" t="str">
            <v>512.51201</v>
          </cell>
          <cell r="F2489">
            <v>45670</v>
          </cell>
          <cell r="G2489">
            <v>0</v>
          </cell>
          <cell r="H2489">
            <v>1</v>
          </cell>
          <cell r="I2489">
            <v>0</v>
          </cell>
          <cell r="J2489">
            <v>0</v>
          </cell>
          <cell r="K2489">
            <v>0</v>
          </cell>
          <cell r="L2489">
            <v>0</v>
          </cell>
        </row>
        <row r="2490">
          <cell r="A2490" t="str">
            <v>20700.00460</v>
          </cell>
          <cell r="B2490" t="str">
            <v>EQUERE EGALE (12mm)</v>
          </cell>
          <cell r="C2490">
            <v>31021200</v>
          </cell>
          <cell r="D2490" t="str">
            <v>PE</v>
          </cell>
          <cell r="E2490" t="str">
            <v>515.51511</v>
          </cell>
          <cell r="F2490">
            <v>55</v>
          </cell>
          <cell r="G2490">
            <v>0</v>
          </cell>
          <cell r="H2490">
            <v>0</v>
          </cell>
          <cell r="I2490">
            <v>0</v>
          </cell>
          <cell r="J2490">
            <v>0</v>
          </cell>
          <cell r="K2490">
            <v>0</v>
          </cell>
          <cell r="L2490">
            <v>0</v>
          </cell>
        </row>
        <row r="2491">
          <cell r="A2491" t="str">
            <v>20700.00409</v>
          </cell>
          <cell r="B2491" t="str">
            <v>TUBE POLYMIDE 10/8</v>
          </cell>
          <cell r="C2491" t="str">
            <v>1025P1000</v>
          </cell>
          <cell r="D2491" t="str">
            <v>PE</v>
          </cell>
          <cell r="E2491" t="str">
            <v>515.51511</v>
          </cell>
          <cell r="F2491">
            <v>391</v>
          </cell>
          <cell r="G2491">
            <v>0</v>
          </cell>
          <cell r="H2491">
            <v>0</v>
          </cell>
          <cell r="I2491">
            <v>0</v>
          </cell>
          <cell r="J2491">
            <v>0</v>
          </cell>
          <cell r="K2491">
            <v>0</v>
          </cell>
          <cell r="L2491">
            <v>0</v>
          </cell>
        </row>
        <row r="2492">
          <cell r="A2492" t="str">
            <v>20700.00407</v>
          </cell>
          <cell r="B2492" t="str">
            <v>TUBE POLYMIDE 6/4</v>
          </cell>
          <cell r="C2492" t="str">
            <v>1025P0600</v>
          </cell>
          <cell r="D2492" t="str">
            <v>PE</v>
          </cell>
          <cell r="E2492" t="str">
            <v>515.51511</v>
          </cell>
          <cell r="F2492">
            <v>216</v>
          </cell>
          <cell r="G2492">
            <v>0</v>
          </cell>
          <cell r="H2492">
            <v>0</v>
          </cell>
          <cell r="I2492">
            <v>0</v>
          </cell>
          <cell r="J2492">
            <v>0</v>
          </cell>
          <cell r="K2492">
            <v>0</v>
          </cell>
          <cell r="L2492">
            <v>0</v>
          </cell>
        </row>
        <row r="2493">
          <cell r="A2493" t="str">
            <v>20700.00408</v>
          </cell>
          <cell r="B2493" t="str">
            <v>TUBE POLYMIDE 8/6</v>
          </cell>
          <cell r="C2493" t="str">
            <v>1025P0800</v>
          </cell>
          <cell r="D2493" t="str">
            <v>PE</v>
          </cell>
          <cell r="E2493" t="str">
            <v>515.51511</v>
          </cell>
          <cell r="F2493">
            <v>297</v>
          </cell>
          <cell r="G2493">
            <v>0</v>
          </cell>
          <cell r="H2493">
            <v>0</v>
          </cell>
          <cell r="I2493">
            <v>0</v>
          </cell>
          <cell r="J2493">
            <v>0</v>
          </cell>
          <cell r="K2493">
            <v>0</v>
          </cell>
          <cell r="L2493">
            <v>0</v>
          </cell>
        </row>
        <row r="2494">
          <cell r="A2494" t="str">
            <v>20701.00209</v>
          </cell>
          <cell r="B2494" t="str">
            <v>CONTROLEUR DE DEBIT</v>
          </cell>
          <cell r="C2494" t="str">
            <v>DW 181/RR/A/KV1 DN 015</v>
          </cell>
          <cell r="D2494" t="str">
            <v>PE</v>
          </cell>
          <cell r="E2494" t="str">
            <v>512.51201</v>
          </cell>
          <cell r="F2494">
            <v>7449.5060999999996</v>
          </cell>
          <cell r="G2494">
            <v>0</v>
          </cell>
          <cell r="H2494">
            <v>1</v>
          </cell>
          <cell r="I2494">
            <v>0</v>
          </cell>
          <cell r="J2494">
            <v>0</v>
          </cell>
          <cell r="K2494">
            <v>0</v>
          </cell>
          <cell r="L2494">
            <v>0</v>
          </cell>
        </row>
        <row r="2495">
          <cell r="A2495" t="str">
            <v>20700.00472</v>
          </cell>
          <cell r="B2495" t="str">
            <v>EQUERRE PROLONGEE A PIQUAGE MALE,BSP CYLINDRIQUE (6mm-1/8")</v>
          </cell>
          <cell r="C2495">
            <v>31690610</v>
          </cell>
          <cell r="D2495" t="str">
            <v>PE</v>
          </cell>
          <cell r="E2495" t="str">
            <v>515.51511</v>
          </cell>
          <cell r="F2495">
            <v>45</v>
          </cell>
          <cell r="G2495">
            <v>0</v>
          </cell>
          <cell r="H2495">
            <v>0</v>
          </cell>
          <cell r="I2495">
            <v>0</v>
          </cell>
          <cell r="J2495">
            <v>0</v>
          </cell>
          <cell r="K2495">
            <v>0</v>
          </cell>
          <cell r="L2495">
            <v>0</v>
          </cell>
        </row>
        <row r="2496">
          <cell r="A2496" t="str">
            <v>20700.00473</v>
          </cell>
          <cell r="B2496" t="str">
            <v>EQUERRE PROLONGEE A PIQUAGE MALE ,BSP CYLINDRIQUE(8mm-1/4")</v>
          </cell>
          <cell r="C2496">
            <v>31690813</v>
          </cell>
          <cell r="D2496" t="str">
            <v>PE</v>
          </cell>
          <cell r="E2496" t="str">
            <v>515.51511</v>
          </cell>
          <cell r="F2496">
            <v>60</v>
          </cell>
          <cell r="G2496">
            <v>0</v>
          </cell>
          <cell r="H2496">
            <v>0</v>
          </cell>
          <cell r="I2496">
            <v>0</v>
          </cell>
          <cell r="J2496">
            <v>0</v>
          </cell>
          <cell r="K2496">
            <v>0</v>
          </cell>
          <cell r="L2496">
            <v>0</v>
          </cell>
        </row>
        <row r="2497">
          <cell r="A2497" t="str">
            <v>20700.00474</v>
          </cell>
          <cell r="B2497" t="str">
            <v>EQUERRE PROLONGEE A PIQUAGE MALE ,BSP CYLINDRIQUE(8mm-3/8")</v>
          </cell>
          <cell r="C2497">
            <v>31690817</v>
          </cell>
          <cell r="D2497" t="str">
            <v>PE</v>
          </cell>
          <cell r="E2497" t="str">
            <v>515.51511</v>
          </cell>
          <cell r="F2497">
            <v>64</v>
          </cell>
          <cell r="G2497">
            <v>0</v>
          </cell>
          <cell r="H2497">
            <v>0</v>
          </cell>
          <cell r="I2497">
            <v>0</v>
          </cell>
          <cell r="J2497">
            <v>0</v>
          </cell>
          <cell r="K2497">
            <v>0</v>
          </cell>
          <cell r="L2497">
            <v>0</v>
          </cell>
        </row>
        <row r="2498">
          <cell r="A2498" t="str">
            <v>20701.00008</v>
          </cell>
          <cell r="B2498" t="str">
            <v>DEBITMETRE ELECTROMAGNETI</v>
          </cell>
          <cell r="C2498" t="str">
            <v>OPTIFLUX 4000 DN150 PN16 220V SORTIE:4-20MA    EX  REF : IFS 4000</v>
          </cell>
          <cell r="D2498" t="str">
            <v>PE</v>
          </cell>
          <cell r="E2498" t="str">
            <v>512.51201</v>
          </cell>
          <cell r="F2498">
            <v>22400</v>
          </cell>
          <cell r="G2498">
            <v>0</v>
          </cell>
          <cell r="H2498">
            <v>1</v>
          </cell>
          <cell r="I2498">
            <v>0</v>
          </cell>
          <cell r="J2498">
            <v>0</v>
          </cell>
          <cell r="K2498">
            <v>0</v>
          </cell>
          <cell r="L2498">
            <v>0</v>
          </cell>
        </row>
        <row r="2499">
          <cell r="A2499" t="str">
            <v>20691.00903</v>
          </cell>
          <cell r="B2499" t="str">
            <v>CARTOUCHE TONER NOIR</v>
          </cell>
          <cell r="C2499" t="str">
            <v>HEWLETT PACKARD CE 278 A P/IMPRIMANTE LASER JET PRO M1536DNFN.B : A PRECISER SUR OFFRE ''MARQUE ORIGINE OU ADAPTABLE''</v>
          </cell>
          <cell r="D2499" t="str">
            <v>PE</v>
          </cell>
          <cell r="E2499" t="str">
            <v>222.22206</v>
          </cell>
          <cell r="F2499">
            <v>919.28570000000002</v>
          </cell>
          <cell r="G2499">
            <v>2</v>
          </cell>
          <cell r="H2499">
            <v>7</v>
          </cell>
          <cell r="I2499">
            <v>0</v>
          </cell>
          <cell r="J2499">
            <v>6</v>
          </cell>
          <cell r="K2499">
            <v>11</v>
          </cell>
          <cell r="L2499">
            <v>10</v>
          </cell>
        </row>
        <row r="2500">
          <cell r="A2500" t="str">
            <v>20700.00440</v>
          </cell>
          <cell r="B2500" t="str">
            <v>RACCORD A COUDE</v>
          </cell>
          <cell r="C2500">
            <v>31020800</v>
          </cell>
          <cell r="D2500" t="str">
            <v>PE</v>
          </cell>
          <cell r="E2500" t="str">
            <v>515.51511</v>
          </cell>
          <cell r="F2500">
            <v>33</v>
          </cell>
          <cell r="G2500">
            <v>0</v>
          </cell>
          <cell r="H2500">
            <v>0</v>
          </cell>
          <cell r="I2500">
            <v>0</v>
          </cell>
          <cell r="J2500">
            <v>0</v>
          </cell>
          <cell r="K2500">
            <v>0</v>
          </cell>
          <cell r="L2500">
            <v>0</v>
          </cell>
        </row>
        <row r="2501">
          <cell r="A2501" t="str">
            <v>20700.00441</v>
          </cell>
          <cell r="B2501" t="str">
            <v>RACCORD A TE</v>
          </cell>
          <cell r="C2501">
            <v>31040800</v>
          </cell>
          <cell r="D2501" t="str">
            <v>PE</v>
          </cell>
          <cell r="E2501" t="str">
            <v>515.51511</v>
          </cell>
          <cell r="F2501">
            <v>40</v>
          </cell>
          <cell r="G2501">
            <v>0</v>
          </cell>
          <cell r="H2501">
            <v>0</v>
          </cell>
          <cell r="I2501">
            <v>0</v>
          </cell>
          <cell r="J2501">
            <v>0</v>
          </cell>
          <cell r="K2501">
            <v>0</v>
          </cell>
          <cell r="L2501">
            <v>0</v>
          </cell>
        </row>
        <row r="2502">
          <cell r="A2502" t="str">
            <v>20700.00442</v>
          </cell>
          <cell r="B2502" t="str">
            <v>RACCORD A TE</v>
          </cell>
          <cell r="C2502">
            <v>31041200</v>
          </cell>
          <cell r="D2502" t="str">
            <v>PE</v>
          </cell>
          <cell r="E2502" t="str">
            <v>515.51511</v>
          </cell>
          <cell r="F2502">
            <v>75</v>
          </cell>
          <cell r="G2502">
            <v>0</v>
          </cell>
          <cell r="H2502">
            <v>0</v>
          </cell>
          <cell r="I2502">
            <v>0</v>
          </cell>
          <cell r="J2502">
            <v>0</v>
          </cell>
          <cell r="K2502">
            <v>0</v>
          </cell>
          <cell r="L2502">
            <v>0</v>
          </cell>
        </row>
        <row r="2503">
          <cell r="A2503" t="str">
            <v>20691.00863</v>
          </cell>
          <cell r="B2503" t="str">
            <v>TONER</v>
          </cell>
          <cell r="C2503" t="str">
            <v>HEWLETT PACKARD CE255A P/IMPRIMANTE LASER JET P3015DNN.B : A PRECISER SUR OFFRE ''MARQUE ORIGINE OU ADAPTABLE''</v>
          </cell>
          <cell r="D2503" t="str">
            <v>PE</v>
          </cell>
          <cell r="E2503" t="str">
            <v>222.22206</v>
          </cell>
          <cell r="F2503">
            <v>1309</v>
          </cell>
          <cell r="G2503">
            <v>0</v>
          </cell>
          <cell r="H2503">
            <v>0</v>
          </cell>
          <cell r="I2503">
            <v>0</v>
          </cell>
          <cell r="J2503">
            <v>2</v>
          </cell>
          <cell r="K2503">
            <v>1</v>
          </cell>
          <cell r="L2503">
            <v>3</v>
          </cell>
        </row>
        <row r="2504">
          <cell r="A2504" t="str">
            <v>20700.00001</v>
          </cell>
          <cell r="B2504" t="str">
            <v>MAMELON DOUBL.EGAL MALE</v>
          </cell>
          <cell r="C2504">
            <v>18211111</v>
          </cell>
          <cell r="D2504" t="str">
            <v>PE</v>
          </cell>
          <cell r="E2504" t="str">
            <v>515.51511</v>
          </cell>
          <cell r="F2504">
            <v>89</v>
          </cell>
          <cell r="G2504">
            <v>0</v>
          </cell>
          <cell r="H2504">
            <v>0</v>
          </cell>
          <cell r="I2504">
            <v>0</v>
          </cell>
          <cell r="J2504">
            <v>0</v>
          </cell>
          <cell r="K2504">
            <v>0</v>
          </cell>
          <cell r="L2504">
            <v>0</v>
          </cell>
        </row>
        <row r="2505">
          <cell r="A2505" t="str">
            <v>20700.00003</v>
          </cell>
          <cell r="B2505" t="str">
            <v>ROBINET INOX DOUBLE.F.1/4</v>
          </cell>
          <cell r="C2505">
            <v>48121013</v>
          </cell>
          <cell r="D2505" t="str">
            <v>PE</v>
          </cell>
          <cell r="E2505" t="str">
            <v>515.51511</v>
          </cell>
          <cell r="F2505">
            <v>787</v>
          </cell>
          <cell r="G2505">
            <v>0</v>
          </cell>
          <cell r="H2505">
            <v>0</v>
          </cell>
          <cell r="I2505">
            <v>0</v>
          </cell>
          <cell r="J2505">
            <v>0</v>
          </cell>
          <cell r="K2505">
            <v>0</v>
          </cell>
          <cell r="L2505">
            <v>0</v>
          </cell>
        </row>
        <row r="2506">
          <cell r="A2506" t="str">
            <v>20700.00272</v>
          </cell>
          <cell r="B2506" t="str">
            <v>MAMELON DOUBL EGALE INOX</v>
          </cell>
          <cell r="C2506" t="str">
            <v>18212222 1/2" NPTM</v>
          </cell>
          <cell r="D2506" t="str">
            <v>PE</v>
          </cell>
          <cell r="E2506" t="str">
            <v>515.51511</v>
          </cell>
          <cell r="F2506">
            <v>233</v>
          </cell>
          <cell r="G2506">
            <v>0</v>
          </cell>
          <cell r="H2506">
            <v>0</v>
          </cell>
          <cell r="I2506">
            <v>0</v>
          </cell>
          <cell r="J2506">
            <v>0</v>
          </cell>
          <cell r="K2506">
            <v>0</v>
          </cell>
          <cell r="L2506">
            <v>0</v>
          </cell>
        </row>
        <row r="2507">
          <cell r="A2507" t="str">
            <v>20700.00271</v>
          </cell>
          <cell r="B2507" t="str">
            <v>MAMELON DOUBL EGALE INOX</v>
          </cell>
          <cell r="C2507" t="str">
            <v>18211414 1/4" NPTM</v>
          </cell>
          <cell r="D2507" t="str">
            <v>PE</v>
          </cell>
          <cell r="E2507" t="str">
            <v>515.51511</v>
          </cell>
          <cell r="F2507">
            <v>114</v>
          </cell>
          <cell r="G2507">
            <v>0</v>
          </cell>
          <cell r="H2507">
            <v>0</v>
          </cell>
          <cell r="I2507">
            <v>0</v>
          </cell>
          <cell r="J2507">
            <v>0</v>
          </cell>
          <cell r="K2507">
            <v>0</v>
          </cell>
          <cell r="L2507">
            <v>0</v>
          </cell>
        </row>
        <row r="2508">
          <cell r="A2508" t="str">
            <v>20706.00326</v>
          </cell>
          <cell r="B2508" t="str">
            <v>ARBRE DE TETE</v>
          </cell>
          <cell r="C2508" t="str">
            <v>PL Y63490B REP15</v>
          </cell>
          <cell r="D2508" t="str">
            <v>PE</v>
          </cell>
          <cell r="E2508" t="str">
            <v>515.51511</v>
          </cell>
          <cell r="F2508">
            <v>279006.86170000001</v>
          </cell>
          <cell r="G2508">
            <v>0</v>
          </cell>
          <cell r="H2508">
            <v>0</v>
          </cell>
          <cell r="I2508">
            <v>0</v>
          </cell>
          <cell r="J2508">
            <v>0</v>
          </cell>
          <cell r="K2508">
            <v>0</v>
          </cell>
          <cell r="L2508">
            <v>0</v>
          </cell>
        </row>
        <row r="2509">
          <cell r="A2509" t="str">
            <v>20706.00327</v>
          </cell>
          <cell r="B2509" t="str">
            <v>FLASQUE PORTE JOINT</v>
          </cell>
          <cell r="C2509" t="str">
            <v>PL Y63490B REP6</v>
          </cell>
          <cell r="D2509" t="str">
            <v>PE</v>
          </cell>
          <cell r="E2509" t="str">
            <v>515.51511</v>
          </cell>
          <cell r="F2509">
            <v>15251.744699999999</v>
          </cell>
          <cell r="G2509">
            <v>0</v>
          </cell>
          <cell r="H2509">
            <v>0</v>
          </cell>
          <cell r="I2509">
            <v>0</v>
          </cell>
          <cell r="J2509">
            <v>0</v>
          </cell>
          <cell r="K2509">
            <v>0</v>
          </cell>
          <cell r="L2509">
            <v>0</v>
          </cell>
        </row>
        <row r="2510">
          <cell r="A2510" t="str">
            <v>20706.00328</v>
          </cell>
          <cell r="B2510" t="str">
            <v>ENTRETOISE</v>
          </cell>
          <cell r="C2510" t="str">
            <v>PL Y63490B REP1</v>
          </cell>
          <cell r="D2510" t="str">
            <v>PE</v>
          </cell>
          <cell r="E2510" t="str">
            <v>515.51511</v>
          </cell>
          <cell r="F2510">
            <v>6546.7403999999997</v>
          </cell>
          <cell r="G2510">
            <v>0</v>
          </cell>
          <cell r="H2510">
            <v>0</v>
          </cell>
          <cell r="I2510">
            <v>0</v>
          </cell>
          <cell r="J2510">
            <v>0</v>
          </cell>
          <cell r="K2510">
            <v>0</v>
          </cell>
          <cell r="L2510">
            <v>1</v>
          </cell>
        </row>
        <row r="2511">
          <cell r="A2511" t="str">
            <v>20706.00339</v>
          </cell>
          <cell r="B2511" t="str">
            <v>PLAQUE DE GUIDAGE</v>
          </cell>
          <cell r="C2511" t="str">
            <v>PL Z62674B REP12</v>
          </cell>
          <cell r="D2511" t="str">
            <v>PE</v>
          </cell>
          <cell r="E2511" t="str">
            <v>515.51511</v>
          </cell>
          <cell r="F2511">
            <v>6659.6152000000002</v>
          </cell>
          <cell r="G2511">
            <v>0</v>
          </cell>
          <cell r="H2511">
            <v>0</v>
          </cell>
          <cell r="I2511">
            <v>0</v>
          </cell>
          <cell r="J2511">
            <v>0</v>
          </cell>
          <cell r="K2511">
            <v>0</v>
          </cell>
          <cell r="L2511">
            <v>2</v>
          </cell>
        </row>
        <row r="2512">
          <cell r="A2512" t="str">
            <v>20700.00299</v>
          </cell>
          <cell r="B2512" t="str">
            <v>VANNE DOUBLE FEMEL 1/2</v>
          </cell>
          <cell r="C2512">
            <v>49021521</v>
          </cell>
          <cell r="D2512" t="str">
            <v>PE</v>
          </cell>
          <cell r="E2512" t="str">
            <v>515.51511</v>
          </cell>
          <cell r="F2512">
            <v>74</v>
          </cell>
          <cell r="G2512">
            <v>0</v>
          </cell>
          <cell r="H2512">
            <v>0</v>
          </cell>
          <cell r="I2512">
            <v>0</v>
          </cell>
          <cell r="J2512">
            <v>0</v>
          </cell>
          <cell r="K2512">
            <v>0</v>
          </cell>
          <cell r="L2512">
            <v>0</v>
          </cell>
        </row>
        <row r="2513">
          <cell r="A2513" t="str">
            <v>20700.00300</v>
          </cell>
          <cell r="B2513" t="str">
            <v>VANNE DOUBLE FEMEL 1/4</v>
          </cell>
          <cell r="C2513">
            <v>49021013</v>
          </cell>
          <cell r="D2513" t="str">
            <v>PE</v>
          </cell>
          <cell r="E2513" t="str">
            <v>515.51511</v>
          </cell>
          <cell r="F2513">
            <v>65</v>
          </cell>
          <cell r="G2513">
            <v>0</v>
          </cell>
          <cell r="H2513">
            <v>0</v>
          </cell>
          <cell r="I2513">
            <v>0</v>
          </cell>
          <cell r="J2513">
            <v>0</v>
          </cell>
          <cell r="K2513">
            <v>0</v>
          </cell>
          <cell r="L2513">
            <v>0</v>
          </cell>
        </row>
        <row r="2514">
          <cell r="A2514" t="str">
            <v>20700.00294</v>
          </cell>
          <cell r="B2514" t="str">
            <v>TE EGAL D6</v>
          </cell>
          <cell r="C2514">
            <v>31040600</v>
          </cell>
          <cell r="D2514" t="str">
            <v>PE</v>
          </cell>
          <cell r="E2514" t="str">
            <v>515.51511</v>
          </cell>
          <cell r="F2514">
            <v>36</v>
          </cell>
          <cell r="G2514">
            <v>0</v>
          </cell>
          <cell r="H2514">
            <v>0</v>
          </cell>
          <cell r="I2514">
            <v>0</v>
          </cell>
          <cell r="J2514">
            <v>0</v>
          </cell>
          <cell r="K2514">
            <v>0</v>
          </cell>
          <cell r="L2514">
            <v>0</v>
          </cell>
        </row>
        <row r="2515">
          <cell r="A2515" t="str">
            <v>20700.00306</v>
          </cell>
          <cell r="B2515" t="str">
            <v>VANNE D'ISOLEMENT D'AIR</v>
          </cell>
          <cell r="C2515">
            <v>4021321</v>
          </cell>
          <cell r="D2515" t="str">
            <v>PE</v>
          </cell>
          <cell r="E2515" t="str">
            <v>515.51511</v>
          </cell>
          <cell r="F2515">
            <v>306</v>
          </cell>
          <cell r="G2515">
            <v>0</v>
          </cell>
          <cell r="H2515">
            <v>0</v>
          </cell>
          <cell r="I2515">
            <v>0</v>
          </cell>
          <cell r="J2515">
            <v>0</v>
          </cell>
          <cell r="K2515">
            <v>0</v>
          </cell>
          <cell r="L2515">
            <v>0</v>
          </cell>
        </row>
        <row r="2516">
          <cell r="A2516" t="str">
            <v>20700.00323</v>
          </cell>
          <cell r="B2516" t="str">
            <v>TE EGAL</v>
          </cell>
          <cell r="C2516">
            <v>31041000</v>
          </cell>
          <cell r="D2516" t="str">
            <v>PE</v>
          </cell>
          <cell r="E2516" t="str">
            <v>515.51511</v>
          </cell>
          <cell r="F2516">
            <v>57</v>
          </cell>
          <cell r="G2516">
            <v>0</v>
          </cell>
          <cell r="H2516">
            <v>0</v>
          </cell>
          <cell r="I2516">
            <v>0</v>
          </cell>
          <cell r="J2516">
            <v>0</v>
          </cell>
          <cell r="K2516">
            <v>0</v>
          </cell>
          <cell r="L2516">
            <v>0</v>
          </cell>
        </row>
        <row r="2517">
          <cell r="A2517" t="str">
            <v>20700.00153</v>
          </cell>
          <cell r="B2517" t="str">
            <v>RAC UNION DOUBL P/TUBE 10</v>
          </cell>
          <cell r="C2517">
            <v>18061000</v>
          </cell>
          <cell r="D2517" t="str">
            <v>PE</v>
          </cell>
          <cell r="E2517" t="str">
            <v>515.51511</v>
          </cell>
          <cell r="F2517">
            <v>117.04</v>
          </cell>
          <cell r="G2517">
            <v>0</v>
          </cell>
          <cell r="H2517">
            <v>0</v>
          </cell>
          <cell r="I2517">
            <v>0</v>
          </cell>
          <cell r="J2517">
            <v>0</v>
          </cell>
          <cell r="K2517">
            <v>0</v>
          </cell>
          <cell r="L2517">
            <v>0</v>
          </cell>
        </row>
        <row r="2518">
          <cell r="A2518" t="str">
            <v>20700.00154</v>
          </cell>
          <cell r="B2518" t="str">
            <v>RAC UNION DOUBL P/TUBE 12</v>
          </cell>
          <cell r="C2518">
            <v>18061200</v>
          </cell>
          <cell r="D2518" t="str">
            <v>PE</v>
          </cell>
          <cell r="E2518" t="str">
            <v>515.51511</v>
          </cell>
          <cell r="F2518">
            <v>152.32</v>
          </cell>
          <cell r="G2518">
            <v>0</v>
          </cell>
          <cell r="H2518">
            <v>0</v>
          </cell>
          <cell r="I2518">
            <v>0</v>
          </cell>
          <cell r="J2518">
            <v>0</v>
          </cell>
          <cell r="K2518">
            <v>0</v>
          </cell>
          <cell r="L2518">
            <v>0</v>
          </cell>
        </row>
        <row r="2519">
          <cell r="A2519" t="str">
            <v>20700.00156</v>
          </cell>
          <cell r="B2519" t="str">
            <v>EQUERRE EGALE P/ TUBE 6</v>
          </cell>
          <cell r="C2519">
            <v>18020600</v>
          </cell>
          <cell r="D2519" t="str">
            <v>PE</v>
          </cell>
          <cell r="E2519" t="str">
            <v>515.51511</v>
          </cell>
          <cell r="F2519">
            <v>153.17400000000001</v>
          </cell>
          <cell r="G2519">
            <v>0</v>
          </cell>
          <cell r="H2519">
            <v>0</v>
          </cell>
          <cell r="I2519">
            <v>0</v>
          </cell>
          <cell r="J2519">
            <v>0</v>
          </cell>
          <cell r="K2519">
            <v>0</v>
          </cell>
          <cell r="L2519">
            <v>0</v>
          </cell>
        </row>
        <row r="2520">
          <cell r="A2520" t="str">
            <v>20700.00151</v>
          </cell>
          <cell r="B2520" t="str">
            <v>RAC UNION DOUBL P/TUBE 6</v>
          </cell>
          <cell r="C2520">
            <v>18060600</v>
          </cell>
          <cell r="D2520" t="str">
            <v>PE</v>
          </cell>
          <cell r="E2520" t="str">
            <v>515.51511</v>
          </cell>
          <cell r="F2520">
            <v>80.668000000000006</v>
          </cell>
          <cell r="G2520">
            <v>0</v>
          </cell>
          <cell r="H2520">
            <v>0</v>
          </cell>
          <cell r="I2520">
            <v>0</v>
          </cell>
          <cell r="J2520">
            <v>0</v>
          </cell>
          <cell r="K2520">
            <v>0</v>
          </cell>
          <cell r="L2520">
            <v>0</v>
          </cell>
        </row>
        <row r="2521">
          <cell r="A2521" t="str">
            <v>20700.00152</v>
          </cell>
          <cell r="B2521" t="str">
            <v>RAC UNION DOUBL P/TUBE 8</v>
          </cell>
          <cell r="C2521">
            <v>18060800</v>
          </cell>
          <cell r="D2521" t="str">
            <v>PE</v>
          </cell>
          <cell r="E2521" t="str">
            <v>515.51511</v>
          </cell>
          <cell r="F2521">
            <v>107.324</v>
          </cell>
          <cell r="G2521">
            <v>0</v>
          </cell>
          <cell r="H2521">
            <v>0</v>
          </cell>
          <cell r="I2521">
            <v>0</v>
          </cell>
          <cell r="J2521">
            <v>0</v>
          </cell>
          <cell r="K2521">
            <v>0</v>
          </cell>
          <cell r="L2521">
            <v>0</v>
          </cell>
        </row>
        <row r="2522">
          <cell r="A2522" t="str">
            <v>20704.00275</v>
          </cell>
          <cell r="B2522" t="str">
            <v>BANDE TRANSPORTEUSE LARG 1400mm;LONG17100mm</v>
          </cell>
          <cell r="C2522" t="str">
            <v>TYPE:DLN 1400-8000 REP 373</v>
          </cell>
          <cell r="D2522" t="str">
            <v>PE</v>
          </cell>
          <cell r="E2522" t="str">
            <v>512.51201</v>
          </cell>
          <cell r="F2522">
            <v>90873.534</v>
          </cell>
          <cell r="G2522">
            <v>0</v>
          </cell>
          <cell r="H2522">
            <v>0</v>
          </cell>
          <cell r="I2522">
            <v>0</v>
          </cell>
          <cell r="J2522">
            <v>0</v>
          </cell>
          <cell r="K2522">
            <v>0</v>
          </cell>
          <cell r="L2522">
            <v>0</v>
          </cell>
        </row>
        <row r="2523">
          <cell r="A2523" t="str">
            <v>20704.00276</v>
          </cell>
          <cell r="B2523" t="str">
            <v>PALIER AVANT TCJ 70 AVECROULEMENT GE 70KPPB 3</v>
          </cell>
          <cell r="C2523" t="str">
            <v>TYPE:DLN 1400-8000 REP 372</v>
          </cell>
          <cell r="D2523" t="str">
            <v>PE</v>
          </cell>
          <cell r="E2523" t="str">
            <v>512.51201</v>
          </cell>
          <cell r="F2523">
            <v>3717.4108999999999</v>
          </cell>
          <cell r="G2523">
            <v>0</v>
          </cell>
          <cell r="H2523">
            <v>0</v>
          </cell>
          <cell r="I2523">
            <v>0</v>
          </cell>
          <cell r="J2523">
            <v>0</v>
          </cell>
          <cell r="K2523">
            <v>0</v>
          </cell>
          <cell r="L2523">
            <v>0</v>
          </cell>
        </row>
        <row r="2524">
          <cell r="A2524" t="str">
            <v>20704.00277</v>
          </cell>
          <cell r="B2524" t="str">
            <v>PALIER ARRIERE TTUE 70 AVEC ROULEMENT GE 70KPPB 3</v>
          </cell>
          <cell r="C2524" t="str">
            <v>TYPE:DLN 1400-8000 REP 339</v>
          </cell>
          <cell r="D2524" t="str">
            <v>PE</v>
          </cell>
          <cell r="E2524" t="str">
            <v>512.51201</v>
          </cell>
          <cell r="F2524">
            <v>3931.8769000000002</v>
          </cell>
          <cell r="G2524">
            <v>0</v>
          </cell>
          <cell r="H2524">
            <v>0</v>
          </cell>
          <cell r="I2524">
            <v>0</v>
          </cell>
          <cell r="J2524">
            <v>0</v>
          </cell>
          <cell r="K2524">
            <v>1</v>
          </cell>
          <cell r="L2524">
            <v>0</v>
          </cell>
        </row>
        <row r="2525">
          <cell r="A2525" t="str">
            <v>20704.00278</v>
          </cell>
          <cell r="B2525" t="str">
            <v>PALIER POUR AUTOCENTRAGE DE BANDE TASE 60 AVEC ROULEMENTS :60KPPB 3</v>
          </cell>
          <cell r="C2525" t="str">
            <v>TYPE:DLN 1400-8000 REP 352</v>
          </cell>
          <cell r="D2525" t="str">
            <v>PE</v>
          </cell>
          <cell r="E2525" t="str">
            <v>512.51201</v>
          </cell>
          <cell r="F2525">
            <v>2144.6601000000001</v>
          </cell>
          <cell r="G2525">
            <v>0</v>
          </cell>
          <cell r="H2525">
            <v>0</v>
          </cell>
          <cell r="I2525">
            <v>0</v>
          </cell>
          <cell r="J2525">
            <v>0</v>
          </cell>
          <cell r="K2525">
            <v>1</v>
          </cell>
          <cell r="L2525">
            <v>0</v>
          </cell>
        </row>
        <row r="2526">
          <cell r="A2526" t="str">
            <v>20704.00279</v>
          </cell>
          <cell r="B2526" t="str">
            <v>JEU DE 2 LAMES D'ARTICULATION A RESSORT</v>
          </cell>
          <cell r="C2526" t="str">
            <v>TYPE:DLN 1400-8000 CODE 23023 REP 321</v>
          </cell>
          <cell r="D2526" t="str">
            <v>PE</v>
          </cell>
          <cell r="E2526" t="str">
            <v>512.51201</v>
          </cell>
          <cell r="F2526">
            <v>2742.4564</v>
          </cell>
          <cell r="G2526">
            <v>0</v>
          </cell>
          <cell r="H2526">
            <v>0</v>
          </cell>
          <cell r="I2526">
            <v>0</v>
          </cell>
          <cell r="J2526">
            <v>0</v>
          </cell>
          <cell r="K2526">
            <v>2</v>
          </cell>
          <cell r="L2526">
            <v>0</v>
          </cell>
        </row>
        <row r="2527">
          <cell r="A2527" t="str">
            <v>20704.00280</v>
          </cell>
          <cell r="B2527" t="str">
            <v>ROULEAU DE PESEUR CAOUTCHOUTE</v>
          </cell>
          <cell r="C2527" t="str">
            <v>TYPE:DLN 1400-8000 REP 335</v>
          </cell>
          <cell r="D2527" t="str">
            <v>PE</v>
          </cell>
          <cell r="E2527" t="str">
            <v>512.51201</v>
          </cell>
          <cell r="F2527">
            <v>14858.1175</v>
          </cell>
          <cell r="G2527">
            <v>0</v>
          </cell>
          <cell r="H2527">
            <v>0</v>
          </cell>
          <cell r="I2527">
            <v>0</v>
          </cell>
          <cell r="J2527">
            <v>0</v>
          </cell>
          <cell r="K2527">
            <v>0</v>
          </cell>
          <cell r="L2527">
            <v>0</v>
          </cell>
        </row>
        <row r="2528">
          <cell r="A2528" t="str">
            <v>20704.00281</v>
          </cell>
          <cell r="B2528" t="str">
            <v>ROULEAU GUIDE POUR DOSEUR A BANDE DIA 54X5mm LONG 120mm</v>
          </cell>
          <cell r="C2528" t="str">
            <v>TYPE:DLN 1400-8000 REP 341</v>
          </cell>
          <cell r="D2528" t="str">
            <v>PE</v>
          </cell>
          <cell r="E2528" t="str">
            <v>512.51201</v>
          </cell>
          <cell r="F2528">
            <v>3204.7395999999999</v>
          </cell>
          <cell r="G2528">
            <v>0</v>
          </cell>
          <cell r="H2528">
            <v>0</v>
          </cell>
          <cell r="I2528">
            <v>0</v>
          </cell>
          <cell r="J2528">
            <v>0</v>
          </cell>
          <cell r="K2528">
            <v>0</v>
          </cell>
          <cell r="L2528">
            <v>0</v>
          </cell>
        </row>
        <row r="2529">
          <cell r="A2529" t="str">
            <v>20704.00282</v>
          </cell>
          <cell r="B2529" t="str">
            <v>ROULEAU SUPERIEUR CAOUTCHOUTE DIA 133mm 1510/1548/1580 AXE 25/18</v>
          </cell>
          <cell r="C2529" t="str">
            <v>TYPE:DLN 1400-8000 REP 337</v>
          </cell>
          <cell r="D2529" t="str">
            <v>PE</v>
          </cell>
          <cell r="E2529" t="str">
            <v>512.51201</v>
          </cell>
          <cell r="F2529">
            <v>6100.8991999999998</v>
          </cell>
          <cell r="G2529">
            <v>0</v>
          </cell>
          <cell r="H2529">
            <v>0</v>
          </cell>
          <cell r="I2529">
            <v>0</v>
          </cell>
          <cell r="J2529">
            <v>0</v>
          </cell>
          <cell r="K2529">
            <v>1</v>
          </cell>
          <cell r="L2529">
            <v>2</v>
          </cell>
        </row>
        <row r="2530">
          <cell r="A2530" t="str">
            <v>20704.00283</v>
          </cell>
          <cell r="B2530" t="str">
            <v>ROULEAU DE CONTRAINTE CAOUTCHOUTE DIA 133mm1510/1548/1580 AXE 25/18</v>
          </cell>
          <cell r="C2530" t="str">
            <v>TYPE:DLN 1400-8000 REP 338</v>
          </cell>
          <cell r="D2530" t="str">
            <v>PE</v>
          </cell>
          <cell r="E2530" t="str">
            <v>512.51201</v>
          </cell>
          <cell r="F2530">
            <v>7466.1354000000001</v>
          </cell>
          <cell r="G2530">
            <v>0</v>
          </cell>
          <cell r="H2530">
            <v>0</v>
          </cell>
          <cell r="I2530">
            <v>0</v>
          </cell>
          <cell r="J2530">
            <v>0</v>
          </cell>
          <cell r="K2530">
            <v>0</v>
          </cell>
          <cell r="L2530">
            <v>0</v>
          </cell>
        </row>
        <row r="2531">
          <cell r="A2531" t="str">
            <v>20704.00287</v>
          </cell>
          <cell r="B2531" t="str">
            <v>TAMBOUR D'ENTRAINEMENT CAOUTCHOUTE POUR DOSEUR A BANDE</v>
          </cell>
          <cell r="C2531" t="str">
            <v>TYPE:DLN 1400-8000 REP 349</v>
          </cell>
          <cell r="D2531" t="str">
            <v>PE</v>
          </cell>
          <cell r="E2531" t="str">
            <v>512.51201</v>
          </cell>
          <cell r="F2531">
            <v>48022.2621</v>
          </cell>
          <cell r="G2531">
            <v>0</v>
          </cell>
          <cell r="H2531">
            <v>0</v>
          </cell>
          <cell r="I2531">
            <v>0</v>
          </cell>
          <cell r="J2531">
            <v>0</v>
          </cell>
          <cell r="K2531">
            <v>0</v>
          </cell>
          <cell r="L2531">
            <v>1</v>
          </cell>
        </row>
        <row r="2532">
          <cell r="A2532" t="str">
            <v>20704.00288</v>
          </cell>
          <cell r="B2532" t="str">
            <v>TAMBOUR DE RETOUR CAOUTCHOUTE</v>
          </cell>
          <cell r="C2532" t="str">
            <v>TYPE:DLN 1400-8000 REP 350</v>
          </cell>
          <cell r="D2532" t="str">
            <v>PE</v>
          </cell>
          <cell r="E2532" t="str">
            <v>512.51201</v>
          </cell>
          <cell r="F2532">
            <v>39839.342900000003</v>
          </cell>
          <cell r="G2532">
            <v>0</v>
          </cell>
          <cell r="H2532">
            <v>0</v>
          </cell>
          <cell r="I2532">
            <v>0</v>
          </cell>
          <cell r="J2532">
            <v>0</v>
          </cell>
          <cell r="K2532">
            <v>0</v>
          </cell>
          <cell r="L2532">
            <v>2</v>
          </cell>
        </row>
        <row r="2533">
          <cell r="A2533" t="str">
            <v>20704.00289</v>
          </cell>
          <cell r="B2533" t="str">
            <v>JEU DE 2 LAMES DE RACLEUR DE BANDE</v>
          </cell>
          <cell r="C2533" t="str">
            <v>TYPE:DLN 1400-8000 REP 343</v>
          </cell>
          <cell r="D2533" t="str">
            <v>PE</v>
          </cell>
          <cell r="E2533" t="str">
            <v>512.51201</v>
          </cell>
          <cell r="F2533">
            <v>2999.1990999999998</v>
          </cell>
          <cell r="G2533">
            <v>0</v>
          </cell>
          <cell r="H2533">
            <v>0</v>
          </cell>
          <cell r="I2533">
            <v>0</v>
          </cell>
          <cell r="J2533">
            <v>0</v>
          </cell>
          <cell r="K2533">
            <v>0</v>
          </cell>
          <cell r="L2533">
            <v>0</v>
          </cell>
        </row>
        <row r="2534">
          <cell r="A2534" t="str">
            <v>20704.00291</v>
          </cell>
          <cell r="B2534" t="str">
            <v>BAVETTE CAOUTCHOUTE</v>
          </cell>
          <cell r="C2534" t="str">
            <v>TYPE:DLN 1400-8000 REP 334</v>
          </cell>
          <cell r="D2534" t="str">
            <v>PE</v>
          </cell>
          <cell r="E2534" t="str">
            <v>512.51201</v>
          </cell>
          <cell r="F2534">
            <v>6855.6799000000001</v>
          </cell>
          <cell r="G2534">
            <v>0</v>
          </cell>
          <cell r="H2534">
            <v>0</v>
          </cell>
          <cell r="I2534">
            <v>0</v>
          </cell>
          <cell r="J2534">
            <v>0</v>
          </cell>
          <cell r="K2534">
            <v>0</v>
          </cell>
          <cell r="L2534">
            <v>0</v>
          </cell>
        </row>
        <row r="2535">
          <cell r="A2535" t="str">
            <v>20704.00284</v>
          </cell>
          <cell r="B2535" t="str">
            <v>ROULEAU INFERIEUR CAOUTCHOUTE DIA 89mm1510/1548/1580 AXE 25/18</v>
          </cell>
          <cell r="C2535" t="str">
            <v>TYPE:DLN 1400-8000 REP 336</v>
          </cell>
          <cell r="D2535" t="str">
            <v>PE</v>
          </cell>
          <cell r="E2535" t="str">
            <v>512.51201</v>
          </cell>
          <cell r="F2535">
            <v>6932.84</v>
          </cell>
          <cell r="G2535">
            <v>0</v>
          </cell>
          <cell r="H2535">
            <v>0</v>
          </cell>
          <cell r="I2535">
            <v>0</v>
          </cell>
          <cell r="J2535">
            <v>0</v>
          </cell>
          <cell r="K2535">
            <v>1</v>
          </cell>
          <cell r="L2535">
            <v>0</v>
          </cell>
        </row>
        <row r="2536">
          <cell r="A2536" t="str">
            <v>20704.00285</v>
          </cell>
          <cell r="B2536" t="str">
            <v>ROULEAU DE TENSION CAOUTCHOUTE DIA 133X4mm</v>
          </cell>
          <cell r="C2536" t="str">
            <v>TYPE:DLN 1400-8000 REP 339</v>
          </cell>
          <cell r="D2536" t="str">
            <v>PE</v>
          </cell>
          <cell r="E2536" t="str">
            <v>512.51201</v>
          </cell>
          <cell r="F2536">
            <v>12457.7803</v>
          </cell>
          <cell r="G2536">
            <v>0</v>
          </cell>
          <cell r="H2536">
            <v>0</v>
          </cell>
          <cell r="I2536">
            <v>0</v>
          </cell>
          <cell r="J2536">
            <v>0</v>
          </cell>
          <cell r="K2536">
            <v>0</v>
          </cell>
          <cell r="L2536">
            <v>0</v>
          </cell>
        </row>
        <row r="2537">
          <cell r="A2537" t="str">
            <v>20704.00286</v>
          </cell>
          <cell r="B2537" t="str">
            <v>ROULEAU D'AUTOCENTRAGE CAOUTCHOUTE DIA 108mm1510/1548/1580 AXE 25/18</v>
          </cell>
          <cell r="C2537" t="str">
            <v>TYPE:DLN 1400-8000 REP 332</v>
          </cell>
          <cell r="D2537" t="str">
            <v>PE</v>
          </cell>
          <cell r="E2537" t="str">
            <v>512.51201</v>
          </cell>
          <cell r="F2537">
            <v>12457.7803</v>
          </cell>
          <cell r="G2537">
            <v>0</v>
          </cell>
          <cell r="H2537">
            <v>0</v>
          </cell>
          <cell r="I2537">
            <v>0</v>
          </cell>
          <cell r="J2537">
            <v>0</v>
          </cell>
          <cell r="K2537">
            <v>0</v>
          </cell>
          <cell r="L2537">
            <v>0</v>
          </cell>
        </row>
        <row r="2538">
          <cell r="A2538" t="str">
            <v>20700.00162</v>
          </cell>
          <cell r="B2538" t="str">
            <v>TE EGAL P/ TUBE 12</v>
          </cell>
          <cell r="C2538">
            <v>18041200</v>
          </cell>
          <cell r="D2538" t="str">
            <v>PE</v>
          </cell>
          <cell r="E2538" t="str">
            <v>515.51511</v>
          </cell>
          <cell r="F2538">
            <v>313.60000000000002</v>
          </cell>
          <cell r="G2538">
            <v>0</v>
          </cell>
          <cell r="H2538">
            <v>0</v>
          </cell>
          <cell r="I2538">
            <v>0</v>
          </cell>
          <cell r="J2538">
            <v>0</v>
          </cell>
          <cell r="K2538">
            <v>0</v>
          </cell>
          <cell r="L2538">
            <v>0</v>
          </cell>
        </row>
        <row r="2539">
          <cell r="A2539" t="str">
            <v>20700.00163</v>
          </cell>
          <cell r="B2539" t="str">
            <v>BAGUE ETANCHEITE P/TUB 6</v>
          </cell>
          <cell r="C2539">
            <v>18240600</v>
          </cell>
          <cell r="D2539" t="str">
            <v>PE</v>
          </cell>
          <cell r="E2539" t="str">
            <v>515.51511</v>
          </cell>
          <cell r="F2539">
            <v>14.7</v>
          </cell>
          <cell r="G2539">
            <v>0</v>
          </cell>
          <cell r="H2539">
            <v>0</v>
          </cell>
          <cell r="I2539">
            <v>0</v>
          </cell>
          <cell r="J2539">
            <v>0</v>
          </cell>
          <cell r="K2539">
            <v>0</v>
          </cell>
          <cell r="L2539">
            <v>0</v>
          </cell>
        </row>
        <row r="2540">
          <cell r="A2540" t="str">
            <v>20700.00164</v>
          </cell>
          <cell r="B2540" t="str">
            <v>BAGUE ETANCHEITE P/TUB 8</v>
          </cell>
          <cell r="C2540">
            <v>18240800</v>
          </cell>
          <cell r="D2540" t="str">
            <v>PE</v>
          </cell>
          <cell r="E2540" t="str">
            <v>515.51511</v>
          </cell>
          <cell r="F2540">
            <v>18.061399999999999</v>
          </cell>
          <cell r="G2540">
            <v>0</v>
          </cell>
          <cell r="H2540">
            <v>0</v>
          </cell>
          <cell r="I2540">
            <v>0</v>
          </cell>
          <cell r="J2540">
            <v>0</v>
          </cell>
          <cell r="K2540">
            <v>0</v>
          </cell>
          <cell r="L2540">
            <v>0</v>
          </cell>
        </row>
        <row r="2541">
          <cell r="A2541" t="str">
            <v>20700.00165</v>
          </cell>
          <cell r="B2541" t="str">
            <v>BAGUE ETANCHEITE P/TUB 10</v>
          </cell>
          <cell r="C2541">
            <v>18241000</v>
          </cell>
          <cell r="D2541" t="str">
            <v>PE</v>
          </cell>
          <cell r="E2541" t="str">
            <v>515.51511</v>
          </cell>
          <cell r="F2541">
            <v>21.863800000000001</v>
          </cell>
          <cell r="G2541">
            <v>0</v>
          </cell>
          <cell r="H2541">
            <v>0</v>
          </cell>
          <cell r="I2541">
            <v>0</v>
          </cell>
          <cell r="J2541">
            <v>0</v>
          </cell>
          <cell r="K2541">
            <v>0</v>
          </cell>
          <cell r="L2541">
            <v>0</v>
          </cell>
        </row>
        <row r="2542">
          <cell r="A2542" t="str">
            <v>20700.00157</v>
          </cell>
          <cell r="B2542" t="str">
            <v>EQUERRE EGALE P/ TUBE 8</v>
          </cell>
          <cell r="C2542">
            <v>18020800</v>
          </cell>
          <cell r="D2542" t="str">
            <v>PE</v>
          </cell>
          <cell r="E2542" t="str">
            <v>515.51511</v>
          </cell>
          <cell r="F2542">
            <v>170.1</v>
          </cell>
          <cell r="G2542">
            <v>0</v>
          </cell>
          <cell r="H2542">
            <v>0</v>
          </cell>
          <cell r="I2542">
            <v>0</v>
          </cell>
          <cell r="J2542">
            <v>0</v>
          </cell>
          <cell r="K2542">
            <v>0</v>
          </cell>
          <cell r="L2542">
            <v>0</v>
          </cell>
        </row>
        <row r="2543">
          <cell r="A2543" t="str">
            <v>20700.00158</v>
          </cell>
          <cell r="B2543" t="str">
            <v>EQUERRE EGALE P/ TUBE 12</v>
          </cell>
          <cell r="C2543">
            <v>18021200</v>
          </cell>
          <cell r="D2543" t="str">
            <v>PE</v>
          </cell>
          <cell r="E2543" t="str">
            <v>515.51511</v>
          </cell>
          <cell r="F2543">
            <v>228.494</v>
          </cell>
          <cell r="G2543">
            <v>0</v>
          </cell>
          <cell r="H2543">
            <v>0</v>
          </cell>
          <cell r="I2543">
            <v>0</v>
          </cell>
          <cell r="J2543">
            <v>0</v>
          </cell>
          <cell r="K2543">
            <v>0</v>
          </cell>
          <cell r="L2543">
            <v>0</v>
          </cell>
        </row>
        <row r="2544">
          <cell r="A2544" t="str">
            <v>20700.00159</v>
          </cell>
          <cell r="B2544" t="str">
            <v>TE EGAL P/ TUBE 6</v>
          </cell>
          <cell r="C2544">
            <v>18040600</v>
          </cell>
          <cell r="D2544" t="str">
            <v>PE</v>
          </cell>
          <cell r="E2544" t="str">
            <v>515.51511</v>
          </cell>
          <cell r="F2544">
            <v>210.72800000000001</v>
          </cell>
          <cell r="G2544">
            <v>0</v>
          </cell>
          <cell r="H2544">
            <v>0</v>
          </cell>
          <cell r="I2544">
            <v>0</v>
          </cell>
          <cell r="J2544">
            <v>0</v>
          </cell>
          <cell r="K2544">
            <v>0</v>
          </cell>
          <cell r="L2544">
            <v>0</v>
          </cell>
        </row>
        <row r="2545">
          <cell r="A2545" t="str">
            <v>20700.00160</v>
          </cell>
          <cell r="B2545" t="str">
            <v>TE ETAL P/ TUBE 8</v>
          </cell>
          <cell r="C2545">
            <v>18040800</v>
          </cell>
          <cell r="D2545" t="str">
            <v>PE</v>
          </cell>
          <cell r="E2545" t="str">
            <v>515.51511</v>
          </cell>
          <cell r="F2545">
            <v>238.62</v>
          </cell>
          <cell r="G2545">
            <v>0</v>
          </cell>
          <cell r="H2545">
            <v>0</v>
          </cell>
          <cell r="I2545">
            <v>0</v>
          </cell>
          <cell r="J2545">
            <v>0</v>
          </cell>
          <cell r="K2545">
            <v>0</v>
          </cell>
          <cell r="L2545">
            <v>0</v>
          </cell>
        </row>
        <row r="2546">
          <cell r="A2546" t="str">
            <v>20700.00161</v>
          </cell>
          <cell r="B2546" t="str">
            <v>TE EGAL P/ TUBE 10</v>
          </cell>
          <cell r="C2546">
            <v>18041000</v>
          </cell>
          <cell r="D2546" t="str">
            <v>PE</v>
          </cell>
          <cell r="E2546" t="str">
            <v>515.51511</v>
          </cell>
          <cell r="F2546">
            <v>300.42599999999999</v>
          </cell>
          <cell r="G2546">
            <v>0</v>
          </cell>
          <cell r="H2546">
            <v>0</v>
          </cell>
          <cell r="I2546">
            <v>0</v>
          </cell>
          <cell r="J2546">
            <v>0</v>
          </cell>
          <cell r="K2546">
            <v>0</v>
          </cell>
          <cell r="L2546">
            <v>0</v>
          </cell>
        </row>
        <row r="2547">
          <cell r="A2547" t="str">
            <v>20701.00157</v>
          </cell>
          <cell r="B2547" t="str">
            <v>CAPTEUR DEBIMET ALTOFLUX</v>
          </cell>
          <cell r="C2547" t="str">
            <v>IFS 4000 F DN25 PN40 IP67</v>
          </cell>
          <cell r="D2547" t="str">
            <v>PE</v>
          </cell>
          <cell r="E2547" t="str">
            <v>512.51201</v>
          </cell>
          <cell r="F2547">
            <v>21412.483</v>
          </cell>
          <cell r="G2547">
            <v>0</v>
          </cell>
          <cell r="H2547">
            <v>1</v>
          </cell>
          <cell r="I2547">
            <v>0</v>
          </cell>
          <cell r="J2547">
            <v>0</v>
          </cell>
          <cell r="K2547">
            <v>0</v>
          </cell>
          <cell r="L2547">
            <v>0</v>
          </cell>
        </row>
        <row r="2548">
          <cell r="A2548" t="str">
            <v>20704.00292</v>
          </cell>
          <cell r="B2548" t="str">
            <v>VIBRATEUR MVS1 15/700 POUR TREMI VIBREE</v>
          </cell>
          <cell r="C2548" t="str">
            <v>TYPE:DLN 1400-8000 REP 342</v>
          </cell>
          <cell r="D2548" t="str">
            <v>PE</v>
          </cell>
          <cell r="E2548" t="str">
            <v>512.51201</v>
          </cell>
          <cell r="F2548">
            <v>9133.9246000000003</v>
          </cell>
          <cell r="G2548">
            <v>0</v>
          </cell>
          <cell r="H2548">
            <v>0</v>
          </cell>
          <cell r="I2548">
            <v>0</v>
          </cell>
          <cell r="J2548">
            <v>0</v>
          </cell>
          <cell r="K2548">
            <v>1</v>
          </cell>
          <cell r="L2548">
            <v>0</v>
          </cell>
        </row>
        <row r="2549">
          <cell r="A2549" t="str">
            <v>20704.00293</v>
          </cell>
          <cell r="B2549" t="str">
            <v>JAUGE DE CONTRAINTE 100KG MODELE Z6FC3-CABLE 6m</v>
          </cell>
          <cell r="C2549" t="str">
            <v>TYPE:DLN 1400-8000 CODE 40073 REP 319</v>
          </cell>
          <cell r="D2549" t="str">
            <v>PE</v>
          </cell>
          <cell r="E2549" t="str">
            <v>512.51201</v>
          </cell>
          <cell r="F2549">
            <v>5753.0092000000004</v>
          </cell>
          <cell r="G2549">
            <v>0</v>
          </cell>
          <cell r="H2549">
            <v>0</v>
          </cell>
          <cell r="I2549">
            <v>0</v>
          </cell>
          <cell r="J2549">
            <v>0</v>
          </cell>
          <cell r="K2549">
            <v>4</v>
          </cell>
          <cell r="L2549">
            <v>0</v>
          </cell>
        </row>
        <row r="2550">
          <cell r="A2550" t="str">
            <v>20704.00294</v>
          </cell>
          <cell r="B2550" t="str">
            <v>UNITE DE TRAITEMENT NUMERIQUE UTN/DSP</v>
          </cell>
          <cell r="C2550" t="str">
            <v>TYPE:DLN 1400-8000 CODE 00511 REP UTN</v>
          </cell>
          <cell r="D2550" t="str">
            <v>PE</v>
          </cell>
          <cell r="E2550" t="str">
            <v>512.51201</v>
          </cell>
          <cell r="F2550">
            <v>28492.3917</v>
          </cell>
          <cell r="G2550">
            <v>0</v>
          </cell>
          <cell r="H2550">
            <v>0</v>
          </cell>
          <cell r="I2550">
            <v>0</v>
          </cell>
          <cell r="J2550">
            <v>0</v>
          </cell>
          <cell r="K2550">
            <v>0</v>
          </cell>
          <cell r="L2550">
            <v>0</v>
          </cell>
        </row>
        <row r="2551">
          <cell r="A2551" t="str">
            <v>20704.00295</v>
          </cell>
          <cell r="B2551" t="str">
            <v>CALCULATEUR MINISMART MS1 COMPLET</v>
          </cell>
          <cell r="C2551" t="str">
            <v>TYPE:DLN 1400-8000 CODE 00502 REP AC1-MS1</v>
          </cell>
          <cell r="D2551" t="str">
            <v>PE</v>
          </cell>
          <cell r="E2551" t="str">
            <v>512.51201</v>
          </cell>
          <cell r="F2551">
            <v>52934.867100000003</v>
          </cell>
          <cell r="G2551">
            <v>0</v>
          </cell>
          <cell r="H2551">
            <v>0</v>
          </cell>
          <cell r="I2551">
            <v>0</v>
          </cell>
          <cell r="J2551">
            <v>0</v>
          </cell>
          <cell r="K2551">
            <v>0</v>
          </cell>
          <cell r="L2551">
            <v>0</v>
          </cell>
        </row>
        <row r="2552">
          <cell r="A2552" t="str">
            <v>20704.00296</v>
          </cell>
          <cell r="B2552" t="str">
            <v>FACE AVANT CLAVIER NUMERIQUE</v>
          </cell>
          <cell r="C2552" t="str">
            <v>TYPE:DLN 1400-8000 CODE 00507 REP AC1</v>
          </cell>
          <cell r="D2552" t="str">
            <v>PE</v>
          </cell>
          <cell r="E2552" t="str">
            <v>512.51201</v>
          </cell>
          <cell r="F2552">
            <v>20789.9031</v>
          </cell>
          <cell r="G2552">
            <v>0</v>
          </cell>
          <cell r="H2552">
            <v>0</v>
          </cell>
          <cell r="I2552">
            <v>0</v>
          </cell>
          <cell r="J2552">
            <v>0</v>
          </cell>
          <cell r="K2552">
            <v>0</v>
          </cell>
          <cell r="L2552">
            <v>0</v>
          </cell>
        </row>
        <row r="2553">
          <cell r="A2553" t="str">
            <v>20704.00297</v>
          </cell>
          <cell r="B2553" t="str">
            <v>MODULE ISOLEMENT 6185DPR ELECTRONICS 4 VOIES</v>
          </cell>
          <cell r="C2553" t="str">
            <v>TYPE:DLN 1400-8000  CODE 40139 REP AC-IG1</v>
          </cell>
          <cell r="D2553" t="str">
            <v>PE</v>
          </cell>
          <cell r="E2553" t="str">
            <v>512.51201</v>
          </cell>
          <cell r="F2553">
            <v>4500</v>
          </cell>
          <cell r="G2553">
            <v>0</v>
          </cell>
          <cell r="H2553">
            <v>0</v>
          </cell>
          <cell r="I2553">
            <v>0</v>
          </cell>
          <cell r="J2553">
            <v>10</v>
          </cell>
          <cell r="K2553">
            <v>0</v>
          </cell>
          <cell r="L2553">
            <v>0</v>
          </cell>
        </row>
        <row r="2554">
          <cell r="A2554" t="str">
            <v>20704.00298</v>
          </cell>
          <cell r="B2554" t="str">
            <v>AFFICHEUR DIGITAL</v>
          </cell>
          <cell r="C2554" t="str">
            <v>TYPE:DLN 1400-8000 REP P1</v>
          </cell>
          <cell r="D2554" t="str">
            <v>PE</v>
          </cell>
          <cell r="E2554" t="str">
            <v>512.51201</v>
          </cell>
          <cell r="F2554">
            <v>5180.4349000000002</v>
          </cell>
          <cell r="G2554">
            <v>0</v>
          </cell>
          <cell r="H2554">
            <v>0</v>
          </cell>
          <cell r="I2554">
            <v>0</v>
          </cell>
          <cell r="J2554">
            <v>0</v>
          </cell>
          <cell r="K2554">
            <v>1</v>
          </cell>
          <cell r="L2554">
            <v>0</v>
          </cell>
        </row>
        <row r="2555">
          <cell r="A2555" t="str">
            <v>20704.00299</v>
          </cell>
          <cell r="B2555" t="str">
            <v>BORNIER MINISMART</v>
          </cell>
          <cell r="C2555" t="str">
            <v>TYPE:DLN 1400-8000 REP XP2</v>
          </cell>
          <cell r="D2555" t="str">
            <v>PE</v>
          </cell>
          <cell r="E2555" t="str">
            <v>512.51201</v>
          </cell>
          <cell r="F2555">
            <v>1704.0904</v>
          </cell>
          <cell r="G2555">
            <v>0</v>
          </cell>
          <cell r="H2555">
            <v>0</v>
          </cell>
          <cell r="I2555">
            <v>0</v>
          </cell>
          <cell r="J2555">
            <v>0</v>
          </cell>
          <cell r="K2555">
            <v>1</v>
          </cell>
          <cell r="L2555">
            <v>0</v>
          </cell>
        </row>
        <row r="2556">
          <cell r="A2556" t="str">
            <v>20704.00300</v>
          </cell>
          <cell r="B2556" t="str">
            <v>BORNIER MINISMART POUR DOSEUR A BANDE</v>
          </cell>
          <cell r="C2556" t="str">
            <v>TYPE:DLN 1400-8000 REP XC2</v>
          </cell>
          <cell r="D2556" t="str">
            <v>PE</v>
          </cell>
          <cell r="E2556" t="str">
            <v>512.51201</v>
          </cell>
          <cell r="F2556">
            <v>1704.0904</v>
          </cell>
          <cell r="G2556">
            <v>0</v>
          </cell>
          <cell r="H2556">
            <v>0</v>
          </cell>
          <cell r="I2556">
            <v>0</v>
          </cell>
          <cell r="J2556">
            <v>0</v>
          </cell>
          <cell r="K2556">
            <v>1</v>
          </cell>
          <cell r="L2556">
            <v>0</v>
          </cell>
        </row>
        <row r="2557">
          <cell r="A2557" t="str">
            <v>20704.00305</v>
          </cell>
          <cell r="B2557" t="str">
            <v>CONTACT DE DEPORT DE BANDE ZC2JC1ZC2JE01ZC2JY91</v>
          </cell>
          <cell r="C2557" t="str">
            <v>TYPE:DLN 1400-8000 REP 2070</v>
          </cell>
          <cell r="D2557" t="str">
            <v>PE</v>
          </cell>
          <cell r="E2557" t="str">
            <v>512.51201</v>
          </cell>
          <cell r="F2557">
            <v>1000.8414</v>
          </cell>
          <cell r="G2557">
            <v>0</v>
          </cell>
          <cell r="H2557">
            <v>0</v>
          </cell>
          <cell r="I2557">
            <v>0</v>
          </cell>
          <cell r="J2557">
            <v>0</v>
          </cell>
          <cell r="K2557">
            <v>2</v>
          </cell>
          <cell r="L2557">
            <v>0</v>
          </cell>
        </row>
        <row r="2558">
          <cell r="A2558" t="str">
            <v>20704.00306</v>
          </cell>
          <cell r="B2558" t="str">
            <v>POTENTIOMETRE 1 TOUR 4,7 kohms</v>
          </cell>
          <cell r="C2558" t="str">
            <v>TYPE:DLN 1400-8000 CODE 13060,13061 REP R1</v>
          </cell>
          <cell r="D2558" t="str">
            <v>PE</v>
          </cell>
          <cell r="E2558" t="str">
            <v>512.51201</v>
          </cell>
          <cell r="F2558">
            <v>1358.2847999999999</v>
          </cell>
          <cell r="G2558">
            <v>0</v>
          </cell>
          <cell r="H2558">
            <v>0</v>
          </cell>
          <cell r="I2558">
            <v>0</v>
          </cell>
          <cell r="J2558">
            <v>0</v>
          </cell>
          <cell r="K2558">
            <v>2</v>
          </cell>
          <cell r="L2558">
            <v>0</v>
          </cell>
        </row>
        <row r="2559">
          <cell r="A2559" t="str">
            <v>20701.00164</v>
          </cell>
          <cell r="B2559" t="str">
            <v>TRANSMETTEUR DE DEBIT</v>
          </cell>
          <cell r="C2559" t="str">
            <v>IFC 300 WID HART 4-20MA 220 VAC</v>
          </cell>
          <cell r="D2559" t="str">
            <v>PE</v>
          </cell>
          <cell r="E2559" t="str">
            <v>512.51201</v>
          </cell>
          <cell r="F2559">
            <v>19691.179199999999</v>
          </cell>
          <cell r="G2559">
            <v>0</v>
          </cell>
          <cell r="H2559">
            <v>2</v>
          </cell>
          <cell r="I2559">
            <v>0</v>
          </cell>
          <cell r="J2559">
            <v>1</v>
          </cell>
          <cell r="K2559">
            <v>0</v>
          </cell>
          <cell r="L2559">
            <v>2</v>
          </cell>
        </row>
        <row r="2560">
          <cell r="A2560" t="str">
            <v>20704.00307</v>
          </cell>
          <cell r="B2560" t="str">
            <v>CODEUR INCREMENTAL I =100 HER R1 36-H ref,0530 100 HENGSTLER</v>
          </cell>
          <cell r="C2560" t="str">
            <v>TYPE:DLN 1400-8000 CODE 34713 REP 313-1</v>
          </cell>
          <cell r="D2560" t="str">
            <v>PE</v>
          </cell>
          <cell r="E2560" t="str">
            <v>512.51201</v>
          </cell>
          <cell r="F2560">
            <v>6471.5281999999997</v>
          </cell>
          <cell r="G2560">
            <v>0</v>
          </cell>
          <cell r="H2560">
            <v>2</v>
          </cell>
          <cell r="I2560">
            <v>0</v>
          </cell>
          <cell r="J2560">
            <v>0</v>
          </cell>
          <cell r="K2560">
            <v>0</v>
          </cell>
          <cell r="L2560">
            <v>0</v>
          </cell>
        </row>
        <row r="2561">
          <cell r="A2561" t="str">
            <v>20704.00308</v>
          </cell>
          <cell r="B2561" t="str">
            <v>DETECTEUR DE VITESSE XS612B1NAM12NPN DIA 12 TEL</v>
          </cell>
          <cell r="C2561" t="str">
            <v>TYPE:DLN 1400-8000 CODE 34522 REP 313</v>
          </cell>
          <cell r="D2561" t="str">
            <v>PE</v>
          </cell>
          <cell r="E2561" t="str">
            <v>512.51201</v>
          </cell>
          <cell r="F2561">
            <v>1379.5893000000001</v>
          </cell>
          <cell r="G2561">
            <v>0</v>
          </cell>
          <cell r="H2561">
            <v>2</v>
          </cell>
          <cell r="I2561">
            <v>0</v>
          </cell>
          <cell r="J2561">
            <v>0</v>
          </cell>
          <cell r="K2561">
            <v>0</v>
          </cell>
          <cell r="L2561">
            <v>0</v>
          </cell>
        </row>
        <row r="2562">
          <cell r="A2562" t="str">
            <v>20704.00301</v>
          </cell>
          <cell r="B2562" t="str">
            <v>BORNIER MINISMART POUR DOSEUR</v>
          </cell>
          <cell r="C2562" t="str">
            <v>TYPE:DLN 1400-8000 REP XM2</v>
          </cell>
          <cell r="D2562" t="str">
            <v>PE</v>
          </cell>
          <cell r="E2562" t="str">
            <v>512.51201</v>
          </cell>
          <cell r="F2562">
            <v>1704.0904</v>
          </cell>
          <cell r="G2562">
            <v>0</v>
          </cell>
          <cell r="H2562">
            <v>0</v>
          </cell>
          <cell r="I2562">
            <v>0</v>
          </cell>
          <cell r="J2562">
            <v>0</v>
          </cell>
          <cell r="K2562">
            <v>1</v>
          </cell>
          <cell r="L2562">
            <v>0</v>
          </cell>
        </row>
        <row r="2563">
          <cell r="A2563" t="str">
            <v>20704.00302</v>
          </cell>
          <cell r="B2563" t="str">
            <v>VARIATEUR DE FREQUENCE POUR BANDE ACS 800-01-7,5 KW  POUR BANDE</v>
          </cell>
          <cell r="C2563" t="str">
            <v>TYPE:DLN 1400-8000 REP VF1</v>
          </cell>
          <cell r="D2563" t="str">
            <v>PE</v>
          </cell>
          <cell r="E2563" t="str">
            <v>512.51201</v>
          </cell>
          <cell r="F2563">
            <v>50032.094599999997</v>
          </cell>
          <cell r="G2563">
            <v>0</v>
          </cell>
          <cell r="H2563">
            <v>0</v>
          </cell>
          <cell r="I2563">
            <v>0</v>
          </cell>
          <cell r="J2563">
            <v>0</v>
          </cell>
          <cell r="K2563">
            <v>1</v>
          </cell>
          <cell r="L2563">
            <v>0</v>
          </cell>
        </row>
        <row r="2564">
          <cell r="A2564" t="str">
            <v>20704.00303</v>
          </cell>
          <cell r="B2564" t="str">
            <v>RELAIS D'AUTOMATISME RUN-31A21BD</v>
          </cell>
          <cell r="C2564" t="str">
            <v>TYPE:DLN 1400-8000 REP K9A</v>
          </cell>
          <cell r="D2564" t="str">
            <v>PE</v>
          </cell>
          <cell r="E2564" t="str">
            <v>512.51201</v>
          </cell>
          <cell r="F2564">
            <v>500.42070000000001</v>
          </cell>
          <cell r="G2564">
            <v>0</v>
          </cell>
          <cell r="H2564">
            <v>0</v>
          </cell>
          <cell r="I2564">
            <v>0</v>
          </cell>
          <cell r="J2564">
            <v>0</v>
          </cell>
          <cell r="K2564">
            <v>6</v>
          </cell>
          <cell r="L2564">
            <v>0</v>
          </cell>
        </row>
        <row r="2565">
          <cell r="A2565" t="str">
            <v>20704.00304</v>
          </cell>
          <cell r="B2565" t="str">
            <v>RELAIS D'AUTOMATISME RXN-41G11BD</v>
          </cell>
          <cell r="C2565" t="str">
            <v>TYPE:DLN 1400-8000 REP K6A</v>
          </cell>
          <cell r="D2565" t="str">
            <v>PE</v>
          </cell>
          <cell r="E2565" t="str">
            <v>512.51201</v>
          </cell>
          <cell r="F2565">
            <v>500.42070000000001</v>
          </cell>
          <cell r="G2565">
            <v>0</v>
          </cell>
          <cell r="H2565">
            <v>0</v>
          </cell>
          <cell r="I2565">
            <v>0</v>
          </cell>
          <cell r="J2565">
            <v>0</v>
          </cell>
          <cell r="K2565">
            <v>10</v>
          </cell>
          <cell r="L2565">
            <v>0</v>
          </cell>
        </row>
        <row r="2566">
          <cell r="A2566" t="str">
            <v>20705.00745</v>
          </cell>
          <cell r="B2566" t="str">
            <v>CARTOUCHE FILTRE A HUILE</v>
          </cell>
          <cell r="C2566">
            <v>2992242</v>
          </cell>
          <cell r="D2566" t="str">
            <v>PE</v>
          </cell>
          <cell r="E2566" t="str">
            <v>222.22209</v>
          </cell>
          <cell r="F2566">
            <v>329.1</v>
          </cell>
          <cell r="G2566">
            <v>0</v>
          </cell>
          <cell r="H2566">
            <v>0</v>
          </cell>
          <cell r="I2566">
            <v>0</v>
          </cell>
          <cell r="J2566">
            <v>0</v>
          </cell>
          <cell r="K2566">
            <v>0</v>
          </cell>
          <cell r="L2566">
            <v>1</v>
          </cell>
        </row>
        <row r="2567">
          <cell r="A2567" t="str">
            <v>20704.00309</v>
          </cell>
          <cell r="B2567" t="str">
            <v>ALIMENTATION EXTERNE 24V DR-4524 2A</v>
          </cell>
          <cell r="C2567" t="str">
            <v>TYPE:DLN 1400-8000 CODE 03402 REP U1</v>
          </cell>
          <cell r="D2567" t="str">
            <v>PE</v>
          </cell>
          <cell r="E2567" t="str">
            <v>512.51201</v>
          </cell>
          <cell r="F2567">
            <v>5476.3647000000001</v>
          </cell>
          <cell r="G2567">
            <v>0</v>
          </cell>
          <cell r="H2567">
            <v>0</v>
          </cell>
          <cell r="I2567">
            <v>0</v>
          </cell>
          <cell r="J2567">
            <v>0</v>
          </cell>
          <cell r="K2567">
            <v>0</v>
          </cell>
          <cell r="L2567">
            <v>0</v>
          </cell>
        </row>
        <row r="2568">
          <cell r="A2568" t="str">
            <v>20700.00004</v>
          </cell>
          <cell r="B2568" t="str">
            <v>ROBINET INOX DOUBLE.F.1/2</v>
          </cell>
          <cell r="C2568">
            <v>48121521</v>
          </cell>
          <cell r="D2568" t="str">
            <v>PE</v>
          </cell>
          <cell r="E2568" t="str">
            <v>515.51511</v>
          </cell>
          <cell r="F2568">
            <v>1015</v>
          </cell>
          <cell r="G2568">
            <v>0</v>
          </cell>
          <cell r="H2568">
            <v>0</v>
          </cell>
          <cell r="I2568">
            <v>0</v>
          </cell>
          <cell r="J2568">
            <v>0</v>
          </cell>
          <cell r="K2568">
            <v>0</v>
          </cell>
          <cell r="L2568">
            <v>0</v>
          </cell>
        </row>
        <row r="2569">
          <cell r="A2569" t="str">
            <v>20706.00322</v>
          </cell>
          <cell r="B2569" t="str">
            <v>FLASQUE PORTE JOINT</v>
          </cell>
          <cell r="C2569" t="str">
            <v>PL Y63490B REP27</v>
          </cell>
          <cell r="D2569" t="str">
            <v>PE</v>
          </cell>
          <cell r="E2569" t="str">
            <v>515.51511</v>
          </cell>
          <cell r="F2569">
            <v>10325.4421</v>
          </cell>
          <cell r="G2569">
            <v>0</v>
          </cell>
          <cell r="H2569">
            <v>0</v>
          </cell>
          <cell r="I2569">
            <v>0</v>
          </cell>
          <cell r="J2569">
            <v>0</v>
          </cell>
          <cell r="K2569">
            <v>0</v>
          </cell>
          <cell r="L2569">
            <v>0</v>
          </cell>
        </row>
        <row r="2570">
          <cell r="A2570" t="str">
            <v>20706.00323</v>
          </cell>
          <cell r="B2570" t="str">
            <v>HAUSSE</v>
          </cell>
          <cell r="C2570" t="str">
            <v>PL Y63490B REP26</v>
          </cell>
          <cell r="D2570" t="str">
            <v>PE</v>
          </cell>
          <cell r="E2570" t="str">
            <v>515.51511</v>
          </cell>
          <cell r="F2570">
            <v>538627.40339999995</v>
          </cell>
          <cell r="G2570">
            <v>0</v>
          </cell>
          <cell r="H2570">
            <v>0</v>
          </cell>
          <cell r="I2570">
            <v>0</v>
          </cell>
          <cell r="J2570">
            <v>0</v>
          </cell>
          <cell r="K2570">
            <v>0</v>
          </cell>
          <cell r="L2570">
            <v>0</v>
          </cell>
        </row>
        <row r="2571">
          <cell r="A2571" t="str">
            <v>20706.00324</v>
          </cell>
          <cell r="B2571" t="str">
            <v>FLASQUE PORTE JOINT</v>
          </cell>
          <cell r="C2571" t="str">
            <v>PL Y63490B REP25</v>
          </cell>
          <cell r="D2571" t="str">
            <v>PE</v>
          </cell>
          <cell r="E2571" t="str">
            <v>515.51511</v>
          </cell>
          <cell r="F2571">
            <v>8687.0066999999999</v>
          </cell>
          <cell r="G2571">
            <v>0</v>
          </cell>
          <cell r="H2571">
            <v>0</v>
          </cell>
          <cell r="I2571">
            <v>0</v>
          </cell>
          <cell r="J2571">
            <v>0</v>
          </cell>
          <cell r="K2571">
            <v>0</v>
          </cell>
          <cell r="L2571">
            <v>0</v>
          </cell>
        </row>
        <row r="2572">
          <cell r="A2572" t="str">
            <v>20706.00325</v>
          </cell>
          <cell r="B2572" t="str">
            <v>RALLONGE</v>
          </cell>
          <cell r="C2572" t="str">
            <v>PL Y63490B REP23</v>
          </cell>
          <cell r="D2572" t="str">
            <v>PE</v>
          </cell>
          <cell r="E2572" t="str">
            <v>515.51511</v>
          </cell>
          <cell r="F2572">
            <v>598.23659999999995</v>
          </cell>
          <cell r="G2572">
            <v>0</v>
          </cell>
          <cell r="H2572">
            <v>0</v>
          </cell>
          <cell r="I2572">
            <v>0</v>
          </cell>
          <cell r="J2572">
            <v>0</v>
          </cell>
          <cell r="K2572">
            <v>0</v>
          </cell>
          <cell r="L2572">
            <v>0</v>
          </cell>
        </row>
        <row r="2573">
          <cell r="A2573" t="str">
            <v>20700.00169</v>
          </cell>
          <cell r="B2573" t="str">
            <v>RAC UNION SIM MAL 1/4 NPT</v>
          </cell>
          <cell r="C2573">
            <v>18050814</v>
          </cell>
          <cell r="D2573" t="str">
            <v>PE</v>
          </cell>
          <cell r="E2573" t="str">
            <v>515.51511</v>
          </cell>
          <cell r="F2573">
            <v>105</v>
          </cell>
          <cell r="G2573">
            <v>0</v>
          </cell>
          <cell r="H2573">
            <v>0</v>
          </cell>
          <cell r="I2573">
            <v>0</v>
          </cell>
          <cell r="J2573">
            <v>0</v>
          </cell>
          <cell r="K2573">
            <v>0</v>
          </cell>
          <cell r="L2573">
            <v>0</v>
          </cell>
        </row>
        <row r="2574">
          <cell r="A2574" t="str">
            <v>20700.00170</v>
          </cell>
          <cell r="B2574" t="str">
            <v>RAC UNION SIM MAL 1/4 NPT</v>
          </cell>
          <cell r="C2574">
            <v>18051014</v>
          </cell>
          <cell r="D2574" t="str">
            <v>PE</v>
          </cell>
          <cell r="E2574" t="str">
            <v>515.51511</v>
          </cell>
          <cell r="F2574">
            <v>108.64</v>
          </cell>
          <cell r="G2574">
            <v>0</v>
          </cell>
          <cell r="H2574">
            <v>0</v>
          </cell>
          <cell r="I2574">
            <v>0</v>
          </cell>
          <cell r="J2574">
            <v>0</v>
          </cell>
          <cell r="K2574">
            <v>0</v>
          </cell>
          <cell r="L2574">
            <v>0</v>
          </cell>
        </row>
        <row r="2575">
          <cell r="A2575" t="str">
            <v>20700.00166</v>
          </cell>
          <cell r="B2575" t="str">
            <v>BAGUE ETANCHEITE P/TUB 12</v>
          </cell>
          <cell r="C2575">
            <v>18241200</v>
          </cell>
          <cell r="D2575" t="str">
            <v>PE</v>
          </cell>
          <cell r="E2575" t="str">
            <v>515.51511</v>
          </cell>
          <cell r="F2575">
            <v>23.765000000000001</v>
          </cell>
          <cell r="G2575">
            <v>0</v>
          </cell>
          <cell r="H2575">
            <v>0</v>
          </cell>
          <cell r="I2575">
            <v>0</v>
          </cell>
          <cell r="J2575">
            <v>0</v>
          </cell>
          <cell r="K2575">
            <v>0</v>
          </cell>
          <cell r="L2575">
            <v>0</v>
          </cell>
        </row>
        <row r="2576">
          <cell r="A2576" t="str">
            <v>20700.00167</v>
          </cell>
          <cell r="B2576" t="str">
            <v>RAC UNION SIM MAL 1/4 NPT</v>
          </cell>
          <cell r="C2576">
            <v>18050614</v>
          </cell>
          <cell r="D2576" t="str">
            <v>PE</v>
          </cell>
          <cell r="E2576" t="str">
            <v>515.51511</v>
          </cell>
          <cell r="F2576">
            <v>96.03</v>
          </cell>
          <cell r="G2576">
            <v>0</v>
          </cell>
          <cell r="H2576">
            <v>0</v>
          </cell>
          <cell r="I2576">
            <v>0</v>
          </cell>
          <cell r="J2576">
            <v>0</v>
          </cell>
          <cell r="K2576">
            <v>0</v>
          </cell>
          <cell r="L2576">
            <v>0</v>
          </cell>
        </row>
        <row r="2577">
          <cell r="A2577" t="str">
            <v>20700.00173</v>
          </cell>
          <cell r="B2577" t="str">
            <v>EQUERRE SIMPL MAL 1/4 NPT</v>
          </cell>
          <cell r="C2577">
            <v>18090614</v>
          </cell>
          <cell r="D2577" t="str">
            <v>PE</v>
          </cell>
          <cell r="E2577" t="str">
            <v>515.51511</v>
          </cell>
          <cell r="F2577">
            <v>126.1</v>
          </cell>
          <cell r="G2577">
            <v>0</v>
          </cell>
          <cell r="H2577">
            <v>0</v>
          </cell>
          <cell r="I2577">
            <v>0</v>
          </cell>
          <cell r="J2577">
            <v>0</v>
          </cell>
          <cell r="K2577">
            <v>0</v>
          </cell>
          <cell r="L2577">
            <v>0</v>
          </cell>
        </row>
        <row r="2578">
          <cell r="A2578" t="str">
            <v>20700.00174</v>
          </cell>
          <cell r="B2578" t="str">
            <v>EQUERRE SIMPL MAL 1/4 NPT</v>
          </cell>
          <cell r="C2578">
            <v>18090814</v>
          </cell>
          <cell r="D2578" t="str">
            <v>PE</v>
          </cell>
          <cell r="E2578" t="str">
            <v>515.51511</v>
          </cell>
          <cell r="F2578">
            <v>134.83000000000001</v>
          </cell>
          <cell r="G2578">
            <v>0</v>
          </cell>
          <cell r="H2578">
            <v>0</v>
          </cell>
          <cell r="I2578">
            <v>0</v>
          </cell>
          <cell r="J2578">
            <v>0</v>
          </cell>
          <cell r="K2578">
            <v>0</v>
          </cell>
          <cell r="L2578">
            <v>0</v>
          </cell>
        </row>
        <row r="2579">
          <cell r="A2579" t="str">
            <v>20700.00451</v>
          </cell>
          <cell r="B2579" t="str">
            <v>MAMELON DOUBLE EGAL 3/8NPT EN INOX</v>
          </cell>
          <cell r="C2579">
            <v>18211818</v>
          </cell>
          <cell r="D2579" t="str">
            <v>PE</v>
          </cell>
          <cell r="E2579" t="str">
            <v>515.51511</v>
          </cell>
          <cell r="F2579">
            <v>163</v>
          </cell>
          <cell r="G2579">
            <v>0</v>
          </cell>
          <cell r="H2579">
            <v>0</v>
          </cell>
          <cell r="I2579">
            <v>0</v>
          </cell>
          <cell r="J2579">
            <v>0</v>
          </cell>
          <cell r="K2579">
            <v>0</v>
          </cell>
          <cell r="L2579">
            <v>0</v>
          </cell>
        </row>
        <row r="2580">
          <cell r="A2580" t="str">
            <v>20700.00176</v>
          </cell>
          <cell r="B2580" t="str">
            <v>EQUERRE SIMPL MAL 1/4 NPT</v>
          </cell>
          <cell r="C2580">
            <v>18091014</v>
          </cell>
          <cell r="D2580" t="str">
            <v>PE</v>
          </cell>
          <cell r="E2580" t="str">
            <v>515.51511</v>
          </cell>
          <cell r="F2580">
            <v>233.8</v>
          </cell>
          <cell r="G2580">
            <v>0</v>
          </cell>
          <cell r="H2580">
            <v>0</v>
          </cell>
          <cell r="I2580">
            <v>0</v>
          </cell>
          <cell r="J2580">
            <v>0</v>
          </cell>
          <cell r="K2580">
            <v>0</v>
          </cell>
          <cell r="L2580">
            <v>0</v>
          </cell>
        </row>
        <row r="2581">
          <cell r="A2581" t="str">
            <v>20700.00178</v>
          </cell>
          <cell r="B2581" t="str">
            <v>RAC UNION SIM MAL 3/8 NPT</v>
          </cell>
          <cell r="C2581">
            <v>18050618</v>
          </cell>
          <cell r="D2581" t="str">
            <v>PE</v>
          </cell>
          <cell r="E2581" t="str">
            <v>515.51511</v>
          </cell>
          <cell r="F2581">
            <v>98</v>
          </cell>
          <cell r="G2581">
            <v>0</v>
          </cell>
          <cell r="H2581">
            <v>0</v>
          </cell>
          <cell r="I2581">
            <v>0</v>
          </cell>
          <cell r="J2581">
            <v>0</v>
          </cell>
          <cell r="K2581">
            <v>0</v>
          </cell>
          <cell r="L2581">
            <v>0</v>
          </cell>
        </row>
        <row r="2582">
          <cell r="A2582" t="str">
            <v>20700.00179</v>
          </cell>
          <cell r="B2582" t="str">
            <v>RAC UNION SIM MAL 1/2 NPT</v>
          </cell>
          <cell r="C2582">
            <v>18050622</v>
          </cell>
          <cell r="D2582" t="str">
            <v>PE</v>
          </cell>
          <cell r="E2582" t="str">
            <v>515.51511</v>
          </cell>
          <cell r="F2582">
            <v>126.1</v>
          </cell>
          <cell r="G2582">
            <v>0</v>
          </cell>
          <cell r="H2582">
            <v>0</v>
          </cell>
          <cell r="I2582">
            <v>0</v>
          </cell>
          <cell r="J2582">
            <v>0</v>
          </cell>
          <cell r="K2582">
            <v>0</v>
          </cell>
          <cell r="L2582">
            <v>0</v>
          </cell>
        </row>
        <row r="2583">
          <cell r="A2583" t="str">
            <v>20700.00181</v>
          </cell>
          <cell r="B2583" t="str">
            <v>RAC UNION SIM MAL 1/2 NPT</v>
          </cell>
          <cell r="C2583">
            <v>18051222</v>
          </cell>
          <cell r="D2583" t="str">
            <v>PE</v>
          </cell>
          <cell r="E2583" t="str">
            <v>515.51511</v>
          </cell>
          <cell r="F2583">
            <v>173.63</v>
          </cell>
          <cell r="G2583">
            <v>0</v>
          </cell>
          <cell r="H2583">
            <v>0</v>
          </cell>
          <cell r="I2583">
            <v>0</v>
          </cell>
          <cell r="J2583">
            <v>0</v>
          </cell>
          <cell r="K2583">
            <v>0</v>
          </cell>
          <cell r="L2583">
            <v>0</v>
          </cell>
        </row>
        <row r="2584">
          <cell r="A2584" t="str">
            <v>20699.00532</v>
          </cell>
          <cell r="B2584" t="str">
            <v>POSITIONNEUR ELECTRO-PNEUMATIC</v>
          </cell>
          <cell r="C2584" t="str">
            <v>SVI 2 PROTOCOL HART ENTREE 4-20MA 1/2" NPT</v>
          </cell>
          <cell r="D2584" t="str">
            <v>PE</v>
          </cell>
          <cell r="E2584" t="str">
            <v>512.51201</v>
          </cell>
          <cell r="F2584">
            <v>21146.400000000001</v>
          </cell>
          <cell r="G2584">
            <v>0</v>
          </cell>
          <cell r="H2584">
            <v>0</v>
          </cell>
          <cell r="I2584">
            <v>0</v>
          </cell>
          <cell r="J2584">
            <v>0</v>
          </cell>
          <cell r="K2584">
            <v>0</v>
          </cell>
          <cell r="L2584">
            <v>1</v>
          </cell>
        </row>
        <row r="2585">
          <cell r="A2585" t="str">
            <v>20700.00455</v>
          </cell>
          <cell r="B2585" t="str">
            <v>MANCHON DOUBLE FEMELLE, BSP CYLINDRIQUE</v>
          </cell>
          <cell r="C2585" t="str">
            <v>1855 21 21</v>
          </cell>
          <cell r="D2585" t="str">
            <v>PE</v>
          </cell>
          <cell r="E2585" t="str">
            <v>515.51511</v>
          </cell>
          <cell r="F2585">
            <v>244</v>
          </cell>
          <cell r="G2585">
            <v>0</v>
          </cell>
          <cell r="H2585">
            <v>0</v>
          </cell>
          <cell r="I2585">
            <v>0</v>
          </cell>
          <cell r="J2585">
            <v>0</v>
          </cell>
          <cell r="K2585">
            <v>0</v>
          </cell>
          <cell r="L2585">
            <v>0</v>
          </cell>
        </row>
        <row r="2586">
          <cell r="A2586" t="str">
            <v>20700.00185</v>
          </cell>
          <cell r="B2586" t="str">
            <v>EQUERRE SIMPL MAL 1/2 NPT</v>
          </cell>
          <cell r="C2586">
            <v>18091222</v>
          </cell>
          <cell r="D2586" t="str">
            <v>PE</v>
          </cell>
          <cell r="E2586" t="str">
            <v>515.51511</v>
          </cell>
          <cell r="F2586">
            <v>235.71</v>
          </cell>
          <cell r="G2586">
            <v>0</v>
          </cell>
          <cell r="H2586">
            <v>0</v>
          </cell>
          <cell r="I2586">
            <v>0</v>
          </cell>
          <cell r="J2586">
            <v>0</v>
          </cell>
          <cell r="K2586">
            <v>0</v>
          </cell>
          <cell r="L2586">
            <v>0</v>
          </cell>
        </row>
        <row r="2587">
          <cell r="A2587" t="str">
            <v>20617.00279</v>
          </cell>
          <cell r="B2587" t="str">
            <v>COLLIER DE SERRAGE ANTI-ACIDE EN PP</v>
          </cell>
          <cell r="C2587" t="str">
            <v>24-135EE  REP 213-7</v>
          </cell>
          <cell r="D2587" t="str">
            <v>PE</v>
          </cell>
          <cell r="E2587" t="str">
            <v>515.51506</v>
          </cell>
          <cell r="F2587">
            <v>1.9399</v>
          </cell>
          <cell r="G2587">
            <v>0</v>
          </cell>
          <cell r="H2587">
            <v>23000</v>
          </cell>
          <cell r="I2587">
            <v>25000</v>
          </cell>
          <cell r="J2587">
            <v>5000</v>
          </cell>
          <cell r="K2587">
            <v>14000</v>
          </cell>
          <cell r="L2587">
            <v>35000</v>
          </cell>
        </row>
        <row r="2588">
          <cell r="A2588" t="str">
            <v>20617.00280</v>
          </cell>
          <cell r="B2588" t="str">
            <v>TUYAU DE LIAISON POUR FILTRE PRAYON</v>
          </cell>
          <cell r="C2588" t="str">
            <v>24-135 REP 216-1</v>
          </cell>
          <cell r="D2588" t="str">
            <v>PE</v>
          </cell>
          <cell r="E2588" t="str">
            <v>515.51506</v>
          </cell>
          <cell r="F2588">
            <v>22657.8753</v>
          </cell>
          <cell r="G2588">
            <v>0</v>
          </cell>
          <cell r="H2588">
            <v>2</v>
          </cell>
          <cell r="I2588">
            <v>13</v>
          </cell>
          <cell r="J2588">
            <v>37</v>
          </cell>
          <cell r="K2588">
            <v>22</v>
          </cell>
          <cell r="L2588">
            <v>36</v>
          </cell>
        </row>
        <row r="2589">
          <cell r="A2589" t="str">
            <v>20617.00303</v>
          </cell>
          <cell r="B2589" t="str">
            <v>RESSORT EN ACIER RESSORT</v>
          </cell>
          <cell r="C2589" t="str">
            <v>MODELE 30-240 PLAN 2812 N° 240-201 REP 214-11</v>
          </cell>
          <cell r="D2589" t="str">
            <v>PE</v>
          </cell>
          <cell r="E2589" t="str">
            <v>515.51506</v>
          </cell>
          <cell r="F2589">
            <v>3422.3440000000001</v>
          </cell>
          <cell r="G2589">
            <v>0</v>
          </cell>
          <cell r="H2589">
            <v>0</v>
          </cell>
          <cell r="I2589">
            <v>0</v>
          </cell>
          <cell r="J2589">
            <v>0</v>
          </cell>
          <cell r="K2589">
            <v>0</v>
          </cell>
          <cell r="L2589">
            <v>0</v>
          </cell>
        </row>
        <row r="2590">
          <cell r="A2590" t="str">
            <v>20617.00296</v>
          </cell>
          <cell r="B2590" t="str">
            <v>DEMI COUSSINET INTERIEUR EN ST52-3</v>
          </cell>
          <cell r="C2590" t="str">
            <v xml:space="preserve">MODELE 30-240 PLAN 2812 N° 240-202 REP 219-1 </v>
          </cell>
          <cell r="D2590" t="str">
            <v>PE</v>
          </cell>
          <cell r="E2590" t="str">
            <v>515.51506</v>
          </cell>
          <cell r="F2590">
            <v>8968.7955999999995</v>
          </cell>
          <cell r="G2590">
            <v>0</v>
          </cell>
          <cell r="H2590">
            <v>0</v>
          </cell>
          <cell r="I2590">
            <v>0</v>
          </cell>
          <cell r="J2590">
            <v>0</v>
          </cell>
          <cell r="K2590">
            <v>0</v>
          </cell>
          <cell r="L2590">
            <v>0</v>
          </cell>
        </row>
        <row r="2591">
          <cell r="A2591" t="str">
            <v>20700.00353</v>
          </cell>
          <cell r="B2591" t="str">
            <v>TUBE POLYURETHANE SOUPLE</v>
          </cell>
          <cell r="C2591" t="str">
            <v>1025U1201</v>
          </cell>
          <cell r="D2591" t="str">
            <v>M</v>
          </cell>
          <cell r="E2591" t="str">
            <v>515.51511</v>
          </cell>
          <cell r="F2591">
            <v>807</v>
          </cell>
          <cell r="G2591">
            <v>0</v>
          </cell>
          <cell r="H2591">
            <v>0</v>
          </cell>
          <cell r="I2591">
            <v>0</v>
          </cell>
          <cell r="J2591">
            <v>0</v>
          </cell>
          <cell r="K2591">
            <v>0</v>
          </cell>
          <cell r="L2591">
            <v>0</v>
          </cell>
        </row>
        <row r="2592">
          <cell r="A2592" t="str">
            <v>20617.01047</v>
          </cell>
          <cell r="B2592" t="str">
            <v>TUYAU DE LIAISON</v>
          </cell>
          <cell r="C2592" t="str">
            <v xml:space="preserve">PLAN N° 2852-E  160E-202 P/FILTRE TYPE 30-160E  REP 216-1 ET 216-2 </v>
          </cell>
          <cell r="D2592" t="str">
            <v>PE</v>
          </cell>
          <cell r="E2592" t="str">
            <v>515.51506</v>
          </cell>
          <cell r="F2592">
            <v>36518.518300000003</v>
          </cell>
          <cell r="G2592">
            <v>0</v>
          </cell>
          <cell r="H2592">
            <v>2</v>
          </cell>
          <cell r="I2592">
            <v>0</v>
          </cell>
          <cell r="J2592">
            <v>0</v>
          </cell>
          <cell r="K2592">
            <v>0</v>
          </cell>
          <cell r="L2592">
            <v>0</v>
          </cell>
        </row>
        <row r="2593">
          <cell r="A2593" t="str">
            <v>20617.00920</v>
          </cell>
          <cell r="B2593" t="str">
            <v xml:space="preserve">1/2 BAGUE D'USURE EXTERIEURE </v>
          </cell>
          <cell r="C2593" t="str">
            <v>PLAN 2852-P3 160E-202 REP 218-2 P/FILTRE TYPE 30-160E</v>
          </cell>
          <cell r="D2593" t="str">
            <v>PE</v>
          </cell>
          <cell r="E2593" t="str">
            <v>515.51506</v>
          </cell>
          <cell r="F2593">
            <v>2291.663</v>
          </cell>
          <cell r="G2593">
            <v>0</v>
          </cell>
          <cell r="H2593">
            <v>10</v>
          </cell>
          <cell r="I2593">
            <v>0</v>
          </cell>
          <cell r="J2593">
            <v>0</v>
          </cell>
          <cell r="K2593">
            <v>0</v>
          </cell>
          <cell r="L2593">
            <v>0</v>
          </cell>
        </row>
        <row r="2594">
          <cell r="A2594" t="str">
            <v>20617.00049</v>
          </cell>
          <cell r="B2594" t="str">
            <v>RESSORT DE CELLULE   RESCEL02</v>
          </cell>
          <cell r="C2594" t="str">
            <v>PLAN 2721-165EE-201 REP 214-11  P/FILTRE 30-160E</v>
          </cell>
          <cell r="D2594" t="str">
            <v>PE</v>
          </cell>
          <cell r="E2594" t="str">
            <v>515.51506</v>
          </cell>
          <cell r="F2594">
            <v>3120.6913</v>
          </cell>
          <cell r="G2594">
            <v>0</v>
          </cell>
          <cell r="H2594">
            <v>0</v>
          </cell>
          <cell r="I2594">
            <v>20</v>
          </cell>
          <cell r="J2594">
            <v>0</v>
          </cell>
          <cell r="K2594">
            <v>0</v>
          </cell>
          <cell r="L2594">
            <v>0</v>
          </cell>
        </row>
        <row r="2595">
          <cell r="A2595" t="str">
            <v>20617.00569</v>
          </cell>
          <cell r="B2595" t="str">
            <v>TUBE INTERCALAIRE</v>
          </cell>
          <cell r="C2595" t="str">
            <v>24-135EE PLAN 2805-135EE-500 REP 511-5</v>
          </cell>
          <cell r="D2595" t="str">
            <v>PE</v>
          </cell>
          <cell r="E2595" t="str">
            <v>515.51506</v>
          </cell>
          <cell r="F2595">
            <v>9702.4256000000005</v>
          </cell>
          <cell r="G2595">
            <v>0</v>
          </cell>
          <cell r="H2595">
            <v>0</v>
          </cell>
          <cell r="I2595">
            <v>1</v>
          </cell>
          <cell r="J2595">
            <v>0</v>
          </cell>
          <cell r="K2595">
            <v>0</v>
          </cell>
          <cell r="L2595">
            <v>0</v>
          </cell>
        </row>
        <row r="2596">
          <cell r="A2596" t="str">
            <v>20617.00570</v>
          </cell>
          <cell r="B2596" t="str">
            <v>BATI</v>
          </cell>
          <cell r="C2596" t="str">
            <v>24-135EE PLAN 2805135EE-500 REP 511-6</v>
          </cell>
          <cell r="D2596" t="str">
            <v>PE</v>
          </cell>
          <cell r="E2596" t="str">
            <v>515.51506</v>
          </cell>
          <cell r="F2596">
            <v>43209.408000000003</v>
          </cell>
          <cell r="G2596">
            <v>0</v>
          </cell>
          <cell r="H2596">
            <v>0</v>
          </cell>
          <cell r="I2596">
            <v>1</v>
          </cell>
          <cell r="J2596">
            <v>0</v>
          </cell>
          <cell r="K2596">
            <v>0</v>
          </cell>
          <cell r="L2596">
            <v>0</v>
          </cell>
        </row>
        <row r="2597">
          <cell r="A2597" t="str">
            <v>20617.00571</v>
          </cell>
          <cell r="B2597" t="str">
            <v>ENTRETOISE</v>
          </cell>
          <cell r="C2597" t="str">
            <v>24-135EE PLAN 2805-135EE-500 REP 511-7</v>
          </cell>
          <cell r="D2597" t="str">
            <v>PE</v>
          </cell>
          <cell r="E2597" t="str">
            <v>515.51506</v>
          </cell>
          <cell r="F2597">
            <v>4872.87</v>
          </cell>
          <cell r="G2597">
            <v>0</v>
          </cell>
          <cell r="H2597">
            <v>0</v>
          </cell>
          <cell r="I2597">
            <v>1</v>
          </cell>
          <cell r="J2597">
            <v>0</v>
          </cell>
          <cell r="K2597">
            <v>0</v>
          </cell>
          <cell r="L2597">
            <v>0</v>
          </cell>
        </row>
        <row r="2598">
          <cell r="A2598" t="str">
            <v>20617.00572</v>
          </cell>
          <cell r="B2598" t="str">
            <v>BAGUE INTERCALAIRE</v>
          </cell>
          <cell r="C2598" t="str">
            <v>24-135EE PLAN 2805-135EE-500 REP 511-8</v>
          </cell>
          <cell r="D2598" t="str">
            <v>PE</v>
          </cell>
          <cell r="E2598" t="str">
            <v>515.51506</v>
          </cell>
          <cell r="F2598">
            <v>577.98500000000001</v>
          </cell>
          <cell r="G2598">
            <v>0</v>
          </cell>
          <cell r="H2598">
            <v>0</v>
          </cell>
          <cell r="I2598">
            <v>0</v>
          </cell>
          <cell r="J2598">
            <v>0</v>
          </cell>
          <cell r="K2598">
            <v>0</v>
          </cell>
          <cell r="L2598">
            <v>0</v>
          </cell>
        </row>
        <row r="2599">
          <cell r="A2599" t="str">
            <v>20617.00573</v>
          </cell>
          <cell r="B2599" t="str">
            <v>COUVERCLE</v>
          </cell>
          <cell r="C2599" t="str">
            <v>24-135EE PLAN 2805-135EE-500 REP 511-12</v>
          </cell>
          <cell r="D2599" t="str">
            <v>PE</v>
          </cell>
          <cell r="E2599" t="str">
            <v>515.51506</v>
          </cell>
          <cell r="F2599">
            <v>3248.58</v>
          </cell>
          <cell r="G2599">
            <v>0</v>
          </cell>
          <cell r="H2599">
            <v>0</v>
          </cell>
          <cell r="I2599">
            <v>1</v>
          </cell>
          <cell r="J2599">
            <v>0</v>
          </cell>
          <cell r="K2599">
            <v>0</v>
          </cell>
          <cell r="L2599">
            <v>0</v>
          </cell>
        </row>
        <row r="2600">
          <cell r="A2600" t="str">
            <v>20617.00574</v>
          </cell>
          <cell r="B2600" t="str">
            <v>GOUPILLE</v>
          </cell>
          <cell r="C2600" t="str">
            <v>24-135EE PLAN 2805-135EE-500 REP 511-29</v>
          </cell>
          <cell r="D2600" t="str">
            <v>PE</v>
          </cell>
          <cell r="E2600" t="str">
            <v>515.51506</v>
          </cell>
          <cell r="F2600">
            <v>196.51490000000001</v>
          </cell>
          <cell r="G2600">
            <v>0</v>
          </cell>
          <cell r="H2600">
            <v>0</v>
          </cell>
          <cell r="I2600">
            <v>0</v>
          </cell>
          <cell r="J2600">
            <v>0</v>
          </cell>
          <cell r="K2600">
            <v>0</v>
          </cell>
          <cell r="L2600">
            <v>0</v>
          </cell>
        </row>
        <row r="2601">
          <cell r="A2601" t="str">
            <v>20617.00577</v>
          </cell>
          <cell r="B2601" t="str">
            <v>VOYANT</v>
          </cell>
          <cell r="C2601" t="str">
            <v>24-135EE PLAN 2805-135EE 100-2/3 REP 121-4</v>
          </cell>
          <cell r="D2601" t="str">
            <v>PE</v>
          </cell>
          <cell r="E2601" t="str">
            <v>515.51506</v>
          </cell>
          <cell r="F2601">
            <v>2198.5920000000001</v>
          </cell>
          <cell r="G2601">
            <v>0</v>
          </cell>
          <cell r="H2601">
            <v>0</v>
          </cell>
          <cell r="I2601">
            <v>0</v>
          </cell>
          <cell r="J2601">
            <v>0</v>
          </cell>
          <cell r="K2601">
            <v>0</v>
          </cell>
          <cell r="L2601">
            <v>0</v>
          </cell>
        </row>
        <row r="2602">
          <cell r="A2602" t="str">
            <v>20617.00578</v>
          </cell>
          <cell r="B2602" t="str">
            <v>JOINT</v>
          </cell>
          <cell r="C2602" t="str">
            <v>24-135EE PLAN 2805-135EE 100-2/3 REP 121-3</v>
          </cell>
          <cell r="D2602" t="str">
            <v>PE</v>
          </cell>
          <cell r="E2602" t="str">
            <v>515.51506</v>
          </cell>
          <cell r="F2602">
            <v>404.58949999999999</v>
          </cell>
          <cell r="G2602">
            <v>0</v>
          </cell>
          <cell r="H2602">
            <v>0</v>
          </cell>
          <cell r="I2602">
            <v>0</v>
          </cell>
          <cell r="J2602">
            <v>0</v>
          </cell>
          <cell r="K2602">
            <v>0</v>
          </cell>
          <cell r="L2602">
            <v>0</v>
          </cell>
        </row>
        <row r="2603">
          <cell r="A2603" t="str">
            <v>20691.00996</v>
          </cell>
          <cell r="B2603" t="str">
            <v>TONER NOIR</v>
          </cell>
          <cell r="C2603" t="str">
            <v>HEWLETT PACKARD CE285A P/IMPRIMANTE MULTIFONCTION LASERJET PRO M1217NFWN.B : A PRECISER SUR OFFRE ''MARQUE ORIGINE OU ADAPTABLE''</v>
          </cell>
          <cell r="D2603" t="str">
            <v>PE</v>
          </cell>
          <cell r="E2603" t="str">
            <v>222.22206</v>
          </cell>
          <cell r="F2603">
            <v>826.92309999999998</v>
          </cell>
          <cell r="G2603">
            <v>1</v>
          </cell>
          <cell r="H2603">
            <v>3</v>
          </cell>
          <cell r="I2603">
            <v>5</v>
          </cell>
          <cell r="J2603">
            <v>6</v>
          </cell>
          <cell r="K2603">
            <v>10</v>
          </cell>
          <cell r="L2603">
            <v>12</v>
          </cell>
        </row>
        <row r="2604">
          <cell r="A2604" t="str">
            <v>20691.00491</v>
          </cell>
          <cell r="B2604" t="str">
            <v>TONER</v>
          </cell>
          <cell r="C2604" t="str">
            <v>BROTHER TN 1700   POUR IMPRIMANTE HL 8050 N</v>
          </cell>
          <cell r="D2604" t="str">
            <v>PE</v>
          </cell>
          <cell r="E2604" t="str">
            <v>222.22206</v>
          </cell>
          <cell r="F2604">
            <v>2115.2102</v>
          </cell>
          <cell r="G2604">
            <v>0</v>
          </cell>
          <cell r="H2604">
            <v>0</v>
          </cell>
          <cell r="I2604">
            <v>0</v>
          </cell>
          <cell r="J2604">
            <v>0</v>
          </cell>
          <cell r="K2604">
            <v>0</v>
          </cell>
          <cell r="L2604">
            <v>0</v>
          </cell>
        </row>
        <row r="2605">
          <cell r="A2605" t="str">
            <v>20691.00248</v>
          </cell>
          <cell r="B2605" t="str">
            <v>CARTOUCHE TONER IMP</v>
          </cell>
          <cell r="C2605" t="str">
            <v>CANON EP32N.B : A PRECISER SUR OFFRE ''MARQUE ORIGINE OU ADAPTABLE''</v>
          </cell>
          <cell r="D2605" t="str">
            <v>PE</v>
          </cell>
          <cell r="E2605" t="str">
            <v>222.22206</v>
          </cell>
          <cell r="F2605">
            <v>1254</v>
          </cell>
          <cell r="G2605">
            <v>0</v>
          </cell>
          <cell r="H2605">
            <v>0</v>
          </cell>
          <cell r="I2605">
            <v>0</v>
          </cell>
          <cell r="J2605">
            <v>0</v>
          </cell>
          <cell r="K2605">
            <v>0</v>
          </cell>
          <cell r="L2605">
            <v>0</v>
          </cell>
        </row>
        <row r="2606">
          <cell r="A2606" t="str">
            <v>20691.00258</v>
          </cell>
          <cell r="B2606" t="str">
            <v>CARTOUCHE TONER</v>
          </cell>
          <cell r="C2606" t="str">
            <v>HEWLETT PACKARD Q 2612 A P/IMPRIM.  COULEUR JET1022 ET LASER JET 3050N.B : A PRECISER SUR OFFRE ''MARQUE ORIGINE OU ADAPTABLE''</v>
          </cell>
          <cell r="D2606" t="str">
            <v>PE</v>
          </cell>
          <cell r="E2606" t="str">
            <v>222.22206</v>
          </cell>
          <cell r="F2606">
            <v>955</v>
          </cell>
          <cell r="G2606">
            <v>0</v>
          </cell>
          <cell r="H2606">
            <v>3</v>
          </cell>
          <cell r="I2606">
            <v>4</v>
          </cell>
          <cell r="J2606">
            <v>0</v>
          </cell>
          <cell r="K2606">
            <v>6</v>
          </cell>
          <cell r="L2606">
            <v>3</v>
          </cell>
        </row>
        <row r="2607">
          <cell r="A2607" t="str">
            <v>20659.00051</v>
          </cell>
          <cell r="B2607" t="str">
            <v>CARTE 1 BOUTON 376/245</v>
          </cell>
          <cell r="C2607" t="str">
            <v>WK024CBT</v>
          </cell>
          <cell r="D2607" t="str">
            <v>PE</v>
          </cell>
          <cell r="E2607" t="str">
            <v>224.22402</v>
          </cell>
          <cell r="F2607">
            <v>791.50980000000004</v>
          </cell>
          <cell r="G2607">
            <v>0</v>
          </cell>
          <cell r="H2607">
            <v>0</v>
          </cell>
          <cell r="I2607">
            <v>0</v>
          </cell>
          <cell r="J2607">
            <v>0</v>
          </cell>
          <cell r="K2607">
            <v>0</v>
          </cell>
          <cell r="L2607">
            <v>10</v>
          </cell>
        </row>
        <row r="2608">
          <cell r="A2608" t="str">
            <v>20659.00056</v>
          </cell>
          <cell r="B2608" t="str">
            <v>HAUT PARLEUR ALU ETANCHE MURAL 15W AVEC AMPLI 15W ALIM 48VCC</v>
          </cell>
          <cell r="C2608" t="str">
            <v>RED 364E1C1E</v>
          </cell>
          <cell r="D2608" t="str">
            <v>PE</v>
          </cell>
          <cell r="E2608" t="str">
            <v>224.22402</v>
          </cell>
          <cell r="F2608">
            <v>3674.8667</v>
          </cell>
          <cell r="G2608">
            <v>0</v>
          </cell>
          <cell r="H2608">
            <v>0</v>
          </cell>
          <cell r="I2608">
            <v>0</v>
          </cell>
          <cell r="J2608">
            <v>0</v>
          </cell>
          <cell r="K2608">
            <v>0</v>
          </cell>
          <cell r="L2608">
            <v>1</v>
          </cell>
        </row>
        <row r="2609">
          <cell r="A2609" t="str">
            <v>20659.00058</v>
          </cell>
          <cell r="B2609" t="str">
            <v>CABINE ACCOUSTIQUE METAL INOX 680X700X600 GAIN ENVIRON:25DB</v>
          </cell>
          <cell r="C2609" t="str">
            <v>CBA240SV2</v>
          </cell>
          <cell r="D2609" t="str">
            <v>PE</v>
          </cell>
          <cell r="E2609" t="str">
            <v>224.22402</v>
          </cell>
          <cell r="F2609">
            <v>9385.0442999999996</v>
          </cell>
          <cell r="G2609">
            <v>0</v>
          </cell>
          <cell r="H2609">
            <v>0</v>
          </cell>
          <cell r="I2609">
            <v>0</v>
          </cell>
          <cell r="J2609">
            <v>0</v>
          </cell>
          <cell r="K2609">
            <v>0</v>
          </cell>
          <cell r="L2609">
            <v>0</v>
          </cell>
        </row>
        <row r="2610">
          <cell r="A2610" t="str">
            <v>20691.00685</v>
          </cell>
          <cell r="B2610" t="str">
            <v>RUBAN LAMINE NOIR SUR VERT 8MX12MM</v>
          </cell>
          <cell r="C2610" t="str">
            <v>BROTHER TZ 731 POUR APPAREIL D'ETIQUETAGE PT3600 DC 24V</v>
          </cell>
          <cell r="D2610" t="str">
            <v>PE</v>
          </cell>
          <cell r="E2610" t="str">
            <v>222.22206</v>
          </cell>
          <cell r="F2610">
            <v>152</v>
          </cell>
          <cell r="G2610">
            <v>0</v>
          </cell>
          <cell r="H2610">
            <v>0</v>
          </cell>
          <cell r="I2610">
            <v>0</v>
          </cell>
          <cell r="J2610">
            <v>0</v>
          </cell>
          <cell r="K2610">
            <v>0</v>
          </cell>
          <cell r="L2610">
            <v>0</v>
          </cell>
        </row>
        <row r="2611">
          <cell r="A2611" t="str">
            <v>20691.00686</v>
          </cell>
          <cell r="B2611" t="str">
            <v>RUBAN LAMINE NOIR SUR JAUNE 8MX24MM</v>
          </cell>
          <cell r="C2611" t="str">
            <v>BROTHER TZ 651 POUR APPAREIL D'ETIQUETAGE PT3600 DC 24V</v>
          </cell>
          <cell r="D2611" t="str">
            <v>PE</v>
          </cell>
          <cell r="E2611" t="str">
            <v>222.22206</v>
          </cell>
          <cell r="F2611">
            <v>208</v>
          </cell>
          <cell r="G2611">
            <v>0</v>
          </cell>
          <cell r="H2611">
            <v>0</v>
          </cell>
          <cell r="I2611">
            <v>0</v>
          </cell>
          <cell r="J2611">
            <v>0</v>
          </cell>
          <cell r="K2611">
            <v>0</v>
          </cell>
          <cell r="L2611">
            <v>0</v>
          </cell>
        </row>
        <row r="2612">
          <cell r="A2612" t="str">
            <v>20691.00687</v>
          </cell>
          <cell r="B2612" t="str">
            <v>RUBAN LAMINE NOIR SUR BLEU 8MX24MM</v>
          </cell>
          <cell r="C2612" t="str">
            <v>BROTHER TZ 551 POUR APPAREIL D'ETIQUETAGE PT3600 DC 24V</v>
          </cell>
          <cell r="D2612" t="str">
            <v>PE</v>
          </cell>
          <cell r="E2612" t="str">
            <v>222.22206</v>
          </cell>
          <cell r="F2612">
            <v>208</v>
          </cell>
          <cell r="G2612">
            <v>0</v>
          </cell>
          <cell r="H2612">
            <v>0</v>
          </cell>
          <cell r="I2612">
            <v>0</v>
          </cell>
          <cell r="J2612">
            <v>0</v>
          </cell>
          <cell r="K2612">
            <v>0</v>
          </cell>
          <cell r="L2612">
            <v>0</v>
          </cell>
        </row>
        <row r="2613">
          <cell r="A2613" t="str">
            <v>20700.00508</v>
          </cell>
          <cell r="B2613" t="str">
            <v>REDUCTION MALE/FEMELLE NPT</v>
          </cell>
          <cell r="C2613" t="str">
            <v>1872 18 14</v>
          </cell>
          <cell r="D2613" t="str">
            <v>PE</v>
          </cell>
          <cell r="E2613" t="str">
            <v>515.51511</v>
          </cell>
          <cell r="F2613">
            <v>141</v>
          </cell>
          <cell r="G2613">
            <v>0</v>
          </cell>
          <cell r="H2613">
            <v>0</v>
          </cell>
          <cell r="I2613">
            <v>0</v>
          </cell>
          <cell r="J2613">
            <v>0</v>
          </cell>
          <cell r="K2613">
            <v>0</v>
          </cell>
          <cell r="L2613">
            <v>0</v>
          </cell>
        </row>
        <row r="2614">
          <cell r="A2614" t="str">
            <v>20659.00034</v>
          </cell>
          <cell r="B2614" t="str">
            <v>HURLEUR PIEZO</v>
          </cell>
          <cell r="C2614" t="str">
            <v>CE485V5</v>
          </cell>
          <cell r="D2614" t="str">
            <v>PE</v>
          </cell>
          <cell r="E2614" t="str">
            <v>224.22402</v>
          </cell>
          <cell r="F2614">
            <v>180.91650000000001</v>
          </cell>
          <cell r="G2614">
            <v>0</v>
          </cell>
          <cell r="H2614">
            <v>0</v>
          </cell>
          <cell r="I2614">
            <v>0</v>
          </cell>
          <cell r="J2614">
            <v>0</v>
          </cell>
          <cell r="K2614">
            <v>0</v>
          </cell>
          <cell r="L2614">
            <v>20</v>
          </cell>
        </row>
        <row r="2615">
          <cell r="A2615" t="str">
            <v>20700.00517</v>
          </cell>
          <cell r="B2615" t="str">
            <v>ADAPTATEUR MALE NPT-FEMELLE BSP CYL</v>
          </cell>
          <cell r="C2615" t="str">
            <v>1864 22 21</v>
          </cell>
          <cell r="D2615" t="str">
            <v>PE</v>
          </cell>
          <cell r="E2615" t="str">
            <v>515.51511</v>
          </cell>
          <cell r="F2615">
            <v>260</v>
          </cell>
          <cell r="G2615">
            <v>0</v>
          </cell>
          <cell r="H2615">
            <v>0</v>
          </cell>
          <cell r="I2615">
            <v>0</v>
          </cell>
          <cell r="J2615">
            <v>0</v>
          </cell>
          <cell r="K2615">
            <v>0</v>
          </cell>
          <cell r="L2615">
            <v>0</v>
          </cell>
        </row>
        <row r="2616">
          <cell r="A2616" t="str">
            <v>20700.00546</v>
          </cell>
          <cell r="B2616" t="str">
            <v xml:space="preserve">RDUCTION ENDIQUETABLE 6X10MM </v>
          </cell>
          <cell r="C2616" t="str">
            <v>3966 06 10</v>
          </cell>
          <cell r="D2616" t="str">
            <v>PE</v>
          </cell>
          <cell r="E2616" t="str">
            <v>515.51511</v>
          </cell>
          <cell r="F2616">
            <v>224.5</v>
          </cell>
          <cell r="G2616">
            <v>0</v>
          </cell>
          <cell r="H2616">
            <v>0</v>
          </cell>
          <cell r="I2616">
            <v>0</v>
          </cell>
          <cell r="J2616">
            <v>0</v>
          </cell>
          <cell r="K2616">
            <v>0</v>
          </cell>
          <cell r="L2616">
            <v>0</v>
          </cell>
        </row>
        <row r="2617">
          <cell r="A2617" t="str">
            <v>20700.00547</v>
          </cell>
          <cell r="B2617" t="str">
            <v xml:space="preserve">RDUCTION ENDIQUETABLE 8X10MM </v>
          </cell>
          <cell r="C2617" t="str">
            <v>3966 08 10</v>
          </cell>
          <cell r="D2617" t="str">
            <v>PE</v>
          </cell>
          <cell r="E2617" t="str">
            <v>515.51511</v>
          </cell>
          <cell r="F2617">
            <v>202.47499999999999</v>
          </cell>
          <cell r="G2617">
            <v>0</v>
          </cell>
          <cell r="H2617">
            <v>0</v>
          </cell>
          <cell r="I2617">
            <v>0</v>
          </cell>
          <cell r="J2617">
            <v>0</v>
          </cell>
          <cell r="K2617">
            <v>0</v>
          </cell>
          <cell r="L2617">
            <v>0</v>
          </cell>
        </row>
        <row r="2618">
          <cell r="A2618" t="str">
            <v>20700.00548</v>
          </cell>
          <cell r="B2618" t="str">
            <v xml:space="preserve">RDUCTION ENDIQUETABLE 8X12MM </v>
          </cell>
          <cell r="C2618" t="str">
            <v>3966 08 12</v>
          </cell>
          <cell r="D2618" t="str">
            <v>PE</v>
          </cell>
          <cell r="E2618" t="str">
            <v>515.51511</v>
          </cell>
          <cell r="F2618">
            <v>262.63</v>
          </cell>
          <cell r="G2618">
            <v>0</v>
          </cell>
          <cell r="H2618">
            <v>0</v>
          </cell>
          <cell r="I2618">
            <v>0</v>
          </cell>
          <cell r="J2618">
            <v>0</v>
          </cell>
          <cell r="K2618">
            <v>0</v>
          </cell>
          <cell r="L2618">
            <v>0</v>
          </cell>
        </row>
        <row r="2619">
          <cell r="A2619" t="str">
            <v>20700.00549</v>
          </cell>
          <cell r="B2619" t="str">
            <v xml:space="preserve">RDUCTION ENDIQUETABLE 10X12MM </v>
          </cell>
          <cell r="C2619" t="str">
            <v>3966 10 12</v>
          </cell>
          <cell r="D2619" t="str">
            <v>PE</v>
          </cell>
          <cell r="E2619" t="str">
            <v>515.51511</v>
          </cell>
          <cell r="F2619">
            <v>325.94</v>
          </cell>
          <cell r="G2619">
            <v>0</v>
          </cell>
          <cell r="H2619">
            <v>0</v>
          </cell>
          <cell r="I2619">
            <v>0</v>
          </cell>
          <cell r="J2619">
            <v>0</v>
          </cell>
          <cell r="K2619">
            <v>0</v>
          </cell>
          <cell r="L2619">
            <v>0</v>
          </cell>
        </row>
        <row r="2620">
          <cell r="A2620" t="str">
            <v>20700.00550</v>
          </cell>
          <cell r="B2620" t="str">
            <v xml:space="preserve">BOUCHON ENDIQUETABLE </v>
          </cell>
          <cell r="C2620" t="str">
            <v>3826 06 00</v>
          </cell>
          <cell r="D2620" t="str">
            <v>PE</v>
          </cell>
          <cell r="E2620" t="str">
            <v>515.51511</v>
          </cell>
          <cell r="F2620">
            <v>80.34</v>
          </cell>
          <cell r="G2620">
            <v>0</v>
          </cell>
          <cell r="H2620">
            <v>0</v>
          </cell>
          <cell r="I2620">
            <v>0</v>
          </cell>
          <cell r="J2620">
            <v>0</v>
          </cell>
          <cell r="K2620">
            <v>0</v>
          </cell>
          <cell r="L2620">
            <v>0</v>
          </cell>
        </row>
        <row r="2621">
          <cell r="A2621" t="str">
            <v>20700.00543</v>
          </cell>
          <cell r="B2621" t="str">
            <v xml:space="preserve">TE EGAL 10MM </v>
          </cell>
          <cell r="C2621" t="str">
            <v>3904 10 00</v>
          </cell>
          <cell r="D2621" t="str">
            <v>PE</v>
          </cell>
          <cell r="E2621" t="str">
            <v>515.51511</v>
          </cell>
          <cell r="F2621">
            <v>460</v>
          </cell>
          <cell r="G2621">
            <v>0</v>
          </cell>
          <cell r="H2621">
            <v>0</v>
          </cell>
          <cell r="I2621">
            <v>0</v>
          </cell>
          <cell r="J2621">
            <v>0</v>
          </cell>
          <cell r="K2621">
            <v>0</v>
          </cell>
          <cell r="L2621">
            <v>0</v>
          </cell>
        </row>
        <row r="2622">
          <cell r="A2622" t="str">
            <v>20700.00544</v>
          </cell>
          <cell r="B2622" t="str">
            <v xml:space="preserve">TE EGAL 12MM </v>
          </cell>
          <cell r="C2622" t="str">
            <v>3904 12 00</v>
          </cell>
          <cell r="D2622" t="str">
            <v>PE</v>
          </cell>
          <cell r="E2622" t="str">
            <v>515.51511</v>
          </cell>
          <cell r="F2622">
            <v>617.92999999999995</v>
          </cell>
          <cell r="G2622">
            <v>0</v>
          </cell>
          <cell r="H2622">
            <v>0</v>
          </cell>
          <cell r="I2622">
            <v>0</v>
          </cell>
          <cell r="J2622">
            <v>0</v>
          </cell>
          <cell r="K2622">
            <v>0</v>
          </cell>
          <cell r="L2622">
            <v>0</v>
          </cell>
        </row>
        <row r="2623">
          <cell r="A2623" t="str">
            <v>20700.00545</v>
          </cell>
          <cell r="B2623" t="str">
            <v xml:space="preserve">RDUCTION ENDIQUETABLE 6X8MM </v>
          </cell>
          <cell r="C2623" t="str">
            <v>3966 06 08</v>
          </cell>
          <cell r="D2623" t="str">
            <v>PE</v>
          </cell>
          <cell r="E2623" t="str">
            <v>515.51511</v>
          </cell>
          <cell r="F2623">
            <v>223.04</v>
          </cell>
          <cell r="G2623">
            <v>0</v>
          </cell>
          <cell r="H2623">
            <v>0</v>
          </cell>
          <cell r="I2623">
            <v>0</v>
          </cell>
          <cell r="J2623">
            <v>0</v>
          </cell>
          <cell r="K2623">
            <v>0</v>
          </cell>
          <cell r="L2623">
            <v>0</v>
          </cell>
        </row>
        <row r="2624">
          <cell r="A2624" t="str">
            <v>20700.00554</v>
          </cell>
          <cell r="B2624" t="str">
            <v xml:space="preserve">EQUERRE A PIQUAGE MALE </v>
          </cell>
          <cell r="C2624" t="str">
            <v>3909 10 13</v>
          </cell>
          <cell r="D2624" t="str">
            <v>PE</v>
          </cell>
          <cell r="E2624" t="str">
            <v>515.51511</v>
          </cell>
          <cell r="F2624">
            <v>314.887</v>
          </cell>
          <cell r="G2624">
            <v>0</v>
          </cell>
          <cell r="H2624">
            <v>0</v>
          </cell>
          <cell r="I2624">
            <v>0</v>
          </cell>
          <cell r="J2624">
            <v>0</v>
          </cell>
          <cell r="K2624">
            <v>0</v>
          </cell>
          <cell r="L2624">
            <v>0</v>
          </cell>
        </row>
        <row r="2625">
          <cell r="A2625" t="str">
            <v>20700.00555</v>
          </cell>
          <cell r="B2625" t="str">
            <v xml:space="preserve">EQUERRE COMPACTE A PIQUAGE MALE  </v>
          </cell>
          <cell r="C2625" t="str">
            <v>3989 12 13</v>
          </cell>
          <cell r="D2625" t="str">
            <v>PE</v>
          </cell>
          <cell r="E2625" t="str">
            <v>515.51511</v>
          </cell>
          <cell r="F2625">
            <v>544.38</v>
          </cell>
          <cell r="G2625">
            <v>0</v>
          </cell>
          <cell r="H2625">
            <v>0</v>
          </cell>
          <cell r="I2625">
            <v>0</v>
          </cell>
          <cell r="J2625">
            <v>0</v>
          </cell>
          <cell r="K2625">
            <v>0</v>
          </cell>
          <cell r="L2625">
            <v>0</v>
          </cell>
        </row>
        <row r="2626">
          <cell r="A2626" t="str">
            <v>20700.00556</v>
          </cell>
          <cell r="B2626" t="str">
            <v xml:space="preserve">TE A PIQUAGE MALE AU CENTRE </v>
          </cell>
          <cell r="C2626" t="str">
            <v>3908 10 13</v>
          </cell>
          <cell r="D2626" t="str">
            <v>PE</v>
          </cell>
          <cell r="E2626" t="str">
            <v>515.51511</v>
          </cell>
          <cell r="F2626">
            <v>530.625</v>
          </cell>
          <cell r="G2626">
            <v>0</v>
          </cell>
          <cell r="H2626">
            <v>0</v>
          </cell>
          <cell r="I2626">
            <v>0</v>
          </cell>
          <cell r="J2626">
            <v>0</v>
          </cell>
          <cell r="K2626">
            <v>0</v>
          </cell>
          <cell r="L2626">
            <v>0</v>
          </cell>
        </row>
        <row r="2627">
          <cell r="A2627" t="str">
            <v>20700.00557</v>
          </cell>
          <cell r="B2627" t="str">
            <v xml:space="preserve">EQUERRE EGALE </v>
          </cell>
          <cell r="C2627" t="str">
            <v>3902 06 00</v>
          </cell>
          <cell r="D2627" t="str">
            <v>PE</v>
          </cell>
          <cell r="E2627" t="str">
            <v>515.51511</v>
          </cell>
          <cell r="F2627">
            <v>207</v>
          </cell>
          <cell r="G2627">
            <v>0</v>
          </cell>
          <cell r="H2627">
            <v>0</v>
          </cell>
          <cell r="I2627">
            <v>0</v>
          </cell>
          <cell r="J2627">
            <v>0</v>
          </cell>
          <cell r="K2627">
            <v>0</v>
          </cell>
          <cell r="L2627">
            <v>0</v>
          </cell>
        </row>
        <row r="2628">
          <cell r="A2628" t="str">
            <v>20700.00558</v>
          </cell>
          <cell r="B2628" t="str">
            <v xml:space="preserve">EQUERRE EGALE </v>
          </cell>
          <cell r="C2628" t="str">
            <v>3902 08 00</v>
          </cell>
          <cell r="D2628" t="str">
            <v>PE</v>
          </cell>
          <cell r="E2628" t="str">
            <v>515.51511</v>
          </cell>
          <cell r="F2628">
            <v>240</v>
          </cell>
          <cell r="G2628">
            <v>0</v>
          </cell>
          <cell r="H2628">
            <v>0</v>
          </cell>
          <cell r="I2628">
            <v>0</v>
          </cell>
          <cell r="J2628">
            <v>0</v>
          </cell>
          <cell r="K2628">
            <v>0</v>
          </cell>
          <cell r="L2628">
            <v>0</v>
          </cell>
        </row>
        <row r="2629">
          <cell r="A2629" t="str">
            <v>20700.00559</v>
          </cell>
          <cell r="B2629" t="str">
            <v xml:space="preserve">EQUERRE EGALE </v>
          </cell>
          <cell r="C2629" t="str">
            <v>3902 10 00</v>
          </cell>
          <cell r="D2629" t="str">
            <v>PE</v>
          </cell>
          <cell r="E2629" t="str">
            <v>515.51511</v>
          </cell>
          <cell r="F2629">
            <v>330</v>
          </cell>
          <cell r="G2629">
            <v>0</v>
          </cell>
          <cell r="H2629">
            <v>0</v>
          </cell>
          <cell r="I2629">
            <v>0</v>
          </cell>
          <cell r="J2629">
            <v>0</v>
          </cell>
          <cell r="K2629">
            <v>0</v>
          </cell>
          <cell r="L2629">
            <v>0</v>
          </cell>
        </row>
        <row r="2630">
          <cell r="A2630" t="str">
            <v>20700.00560</v>
          </cell>
          <cell r="B2630" t="str">
            <v xml:space="preserve">EQUERRE EGALE </v>
          </cell>
          <cell r="C2630" t="str">
            <v>3902 12 00</v>
          </cell>
          <cell r="D2630" t="str">
            <v>PE</v>
          </cell>
          <cell r="E2630" t="str">
            <v>515.51511</v>
          </cell>
          <cell r="F2630">
            <v>453.82</v>
          </cell>
          <cell r="G2630">
            <v>0</v>
          </cell>
          <cell r="H2630">
            <v>0</v>
          </cell>
          <cell r="I2630">
            <v>0</v>
          </cell>
          <cell r="J2630">
            <v>0</v>
          </cell>
          <cell r="K2630">
            <v>0</v>
          </cell>
          <cell r="L2630">
            <v>0</v>
          </cell>
        </row>
        <row r="2631">
          <cell r="A2631" t="str">
            <v>20700.00551</v>
          </cell>
          <cell r="B2631" t="str">
            <v xml:space="preserve">BOUCHON ENDIQUETABLE </v>
          </cell>
          <cell r="C2631" t="str">
            <v>3826 08 00</v>
          </cell>
          <cell r="D2631" t="str">
            <v>PE</v>
          </cell>
          <cell r="E2631" t="str">
            <v>515.51511</v>
          </cell>
          <cell r="F2631">
            <v>96.01</v>
          </cell>
          <cell r="G2631">
            <v>0</v>
          </cell>
          <cell r="H2631">
            <v>0</v>
          </cell>
          <cell r="I2631">
            <v>0</v>
          </cell>
          <cell r="J2631">
            <v>0</v>
          </cell>
          <cell r="K2631">
            <v>0</v>
          </cell>
          <cell r="L2631">
            <v>0</v>
          </cell>
        </row>
        <row r="2632">
          <cell r="A2632" t="str">
            <v>20700.00552</v>
          </cell>
          <cell r="B2632" t="str">
            <v xml:space="preserve">BOUCHON ENDIQUETABLE </v>
          </cell>
          <cell r="C2632" t="str">
            <v>3826 10 00</v>
          </cell>
          <cell r="D2632" t="str">
            <v>PE</v>
          </cell>
          <cell r="E2632" t="str">
            <v>515.51511</v>
          </cell>
          <cell r="F2632">
            <v>120.03</v>
          </cell>
          <cell r="G2632">
            <v>0</v>
          </cell>
          <cell r="H2632">
            <v>0</v>
          </cell>
          <cell r="I2632">
            <v>0</v>
          </cell>
          <cell r="J2632">
            <v>0</v>
          </cell>
          <cell r="K2632">
            <v>0</v>
          </cell>
          <cell r="L2632">
            <v>0</v>
          </cell>
        </row>
        <row r="2633">
          <cell r="A2633" t="str">
            <v>20700.00553</v>
          </cell>
          <cell r="B2633" t="str">
            <v xml:space="preserve">BOUCHON ENDIQUETABLE </v>
          </cell>
          <cell r="C2633" t="str">
            <v>3826 12 00</v>
          </cell>
          <cell r="D2633" t="str">
            <v>PE</v>
          </cell>
          <cell r="E2633" t="str">
            <v>515.51511</v>
          </cell>
          <cell r="F2633">
            <v>150.12</v>
          </cell>
          <cell r="G2633">
            <v>0</v>
          </cell>
          <cell r="H2633">
            <v>0</v>
          </cell>
          <cell r="I2633">
            <v>0</v>
          </cell>
          <cell r="J2633">
            <v>0</v>
          </cell>
          <cell r="K2633">
            <v>0</v>
          </cell>
          <cell r="L2633">
            <v>0</v>
          </cell>
        </row>
        <row r="2634">
          <cell r="A2634" t="str">
            <v>20700.00564</v>
          </cell>
          <cell r="B2634" t="str">
            <v xml:space="preserve">UNION DOUBLE  </v>
          </cell>
          <cell r="C2634" t="str">
            <v>3906 12 00</v>
          </cell>
          <cell r="D2634" t="str">
            <v>PE</v>
          </cell>
          <cell r="E2634" t="str">
            <v>515.51511</v>
          </cell>
          <cell r="F2634">
            <v>403</v>
          </cell>
          <cell r="G2634">
            <v>0</v>
          </cell>
          <cell r="H2634">
            <v>0</v>
          </cell>
          <cell r="I2634">
            <v>0</v>
          </cell>
          <cell r="J2634">
            <v>0</v>
          </cell>
          <cell r="K2634">
            <v>0</v>
          </cell>
          <cell r="L2634">
            <v>0</v>
          </cell>
        </row>
        <row r="2635">
          <cell r="A2635" t="str">
            <v>20700.00565</v>
          </cell>
          <cell r="B2635" t="str">
            <v xml:space="preserve">TE EGALE 6MM </v>
          </cell>
          <cell r="C2635" t="str">
            <v>3904 06 00</v>
          </cell>
          <cell r="D2635" t="str">
            <v>PE</v>
          </cell>
          <cell r="E2635" t="str">
            <v>515.51511</v>
          </cell>
          <cell r="F2635">
            <v>272.28699999999998</v>
          </cell>
          <cell r="G2635">
            <v>0</v>
          </cell>
          <cell r="H2635">
            <v>0</v>
          </cell>
          <cell r="I2635">
            <v>0</v>
          </cell>
          <cell r="J2635">
            <v>0</v>
          </cell>
          <cell r="K2635">
            <v>0</v>
          </cell>
          <cell r="L2635">
            <v>0</v>
          </cell>
        </row>
        <row r="2636">
          <cell r="A2636" t="str">
            <v>20700.00566</v>
          </cell>
          <cell r="B2636" t="str">
            <v xml:space="preserve">PIQUAGE DROIT MALE </v>
          </cell>
          <cell r="C2636" t="str">
            <v>3905 06 13</v>
          </cell>
          <cell r="D2636" t="str">
            <v>PE</v>
          </cell>
          <cell r="E2636" t="str">
            <v>515.51511</v>
          </cell>
          <cell r="F2636">
            <v>97</v>
          </cell>
          <cell r="G2636">
            <v>0</v>
          </cell>
          <cell r="H2636">
            <v>0</v>
          </cell>
          <cell r="I2636">
            <v>0</v>
          </cell>
          <cell r="J2636">
            <v>0</v>
          </cell>
          <cell r="K2636">
            <v>0</v>
          </cell>
          <cell r="L2636">
            <v>0</v>
          </cell>
        </row>
        <row r="2637">
          <cell r="A2637" t="str">
            <v>20700.00567</v>
          </cell>
          <cell r="B2637" t="str">
            <v xml:space="preserve">PIQUAGE DROIT MALE </v>
          </cell>
          <cell r="C2637" t="str">
            <v>3905 08 13</v>
          </cell>
          <cell r="D2637" t="str">
            <v>PE</v>
          </cell>
          <cell r="E2637" t="str">
            <v>515.51511</v>
          </cell>
          <cell r="F2637">
            <v>106</v>
          </cell>
          <cell r="G2637">
            <v>0</v>
          </cell>
          <cell r="H2637">
            <v>0</v>
          </cell>
          <cell r="I2637">
            <v>0</v>
          </cell>
          <cell r="J2637">
            <v>0</v>
          </cell>
          <cell r="K2637">
            <v>0</v>
          </cell>
          <cell r="L2637">
            <v>0</v>
          </cell>
        </row>
        <row r="2638">
          <cell r="A2638" t="str">
            <v>20700.00568</v>
          </cell>
          <cell r="B2638" t="str">
            <v xml:space="preserve">PIQUAGE DROIT MALE </v>
          </cell>
          <cell r="C2638" t="str">
            <v>3905 10 13</v>
          </cell>
          <cell r="D2638" t="str">
            <v>PE</v>
          </cell>
          <cell r="E2638" t="str">
            <v>515.51511</v>
          </cell>
          <cell r="F2638">
            <v>212.25</v>
          </cell>
          <cell r="G2638">
            <v>0</v>
          </cell>
          <cell r="H2638">
            <v>0</v>
          </cell>
          <cell r="I2638">
            <v>0</v>
          </cell>
          <cell r="J2638">
            <v>0</v>
          </cell>
          <cell r="K2638">
            <v>0</v>
          </cell>
          <cell r="L2638">
            <v>0</v>
          </cell>
        </row>
        <row r="2639">
          <cell r="A2639" t="str">
            <v>20700.00569</v>
          </cell>
          <cell r="B2639" t="str">
            <v xml:space="preserve">PIQUAGE DROIT MALE </v>
          </cell>
          <cell r="C2639" t="str">
            <v>3905 12 13</v>
          </cell>
          <cell r="D2639" t="str">
            <v>PE</v>
          </cell>
          <cell r="E2639" t="str">
            <v>515.51511</v>
          </cell>
          <cell r="F2639">
            <v>383.82</v>
          </cell>
          <cell r="G2639">
            <v>0</v>
          </cell>
          <cell r="H2639">
            <v>0</v>
          </cell>
          <cell r="I2639">
            <v>0</v>
          </cell>
          <cell r="J2639">
            <v>0</v>
          </cell>
          <cell r="K2639">
            <v>0</v>
          </cell>
          <cell r="L2639">
            <v>0</v>
          </cell>
        </row>
        <row r="2640">
          <cell r="A2640" t="str">
            <v>20700.00561</v>
          </cell>
          <cell r="B2640" t="str">
            <v xml:space="preserve">UNION DOUBLE  </v>
          </cell>
          <cell r="C2640" t="str">
            <v>3906 06 00</v>
          </cell>
          <cell r="D2640" t="str">
            <v>PE</v>
          </cell>
          <cell r="E2640" t="str">
            <v>515.51511</v>
          </cell>
          <cell r="F2640">
            <v>147</v>
          </cell>
          <cell r="G2640">
            <v>0</v>
          </cell>
          <cell r="H2640">
            <v>0</v>
          </cell>
          <cell r="I2640">
            <v>0</v>
          </cell>
          <cell r="J2640">
            <v>0</v>
          </cell>
          <cell r="K2640">
            <v>0</v>
          </cell>
          <cell r="L2640">
            <v>0</v>
          </cell>
        </row>
        <row r="2641">
          <cell r="A2641" t="str">
            <v>20700.00562</v>
          </cell>
          <cell r="B2641" t="str">
            <v xml:space="preserve">UNION DOUBLE  </v>
          </cell>
          <cell r="C2641" t="str">
            <v>3906 08 00</v>
          </cell>
          <cell r="D2641" t="str">
            <v>PE</v>
          </cell>
          <cell r="E2641" t="str">
            <v>515.51511</v>
          </cell>
          <cell r="F2641">
            <v>166.17500000000001</v>
          </cell>
          <cell r="G2641">
            <v>0</v>
          </cell>
          <cell r="H2641">
            <v>0</v>
          </cell>
          <cell r="I2641">
            <v>0</v>
          </cell>
          <cell r="J2641">
            <v>0</v>
          </cell>
          <cell r="K2641">
            <v>0</v>
          </cell>
          <cell r="L2641">
            <v>0</v>
          </cell>
        </row>
        <row r="2642">
          <cell r="A2642" t="str">
            <v>20700.00563</v>
          </cell>
          <cell r="B2642" t="str">
            <v xml:space="preserve">UNION DOUBLE  </v>
          </cell>
          <cell r="C2642" t="str">
            <v>3906 10 00</v>
          </cell>
          <cell r="D2642" t="str">
            <v>PE</v>
          </cell>
          <cell r="E2642" t="str">
            <v>515.51511</v>
          </cell>
          <cell r="F2642">
            <v>207</v>
          </cell>
          <cell r="G2642">
            <v>0</v>
          </cell>
          <cell r="H2642">
            <v>0</v>
          </cell>
          <cell r="I2642">
            <v>0</v>
          </cell>
          <cell r="J2642">
            <v>0</v>
          </cell>
          <cell r="K2642">
            <v>0</v>
          </cell>
          <cell r="L2642">
            <v>0</v>
          </cell>
        </row>
        <row r="2643">
          <cell r="A2643" t="str">
            <v>20700.00573</v>
          </cell>
          <cell r="B2643" t="str">
            <v xml:space="preserve">ADAPTEUR D'ORIENTATION ENCLIQUETABLE </v>
          </cell>
          <cell r="C2643" t="str">
            <v>3921 10 13</v>
          </cell>
          <cell r="D2643" t="str">
            <v>PE</v>
          </cell>
          <cell r="E2643" t="str">
            <v>515.51511</v>
          </cell>
          <cell r="F2643">
            <v>110.6713</v>
          </cell>
          <cell r="G2643">
            <v>0</v>
          </cell>
          <cell r="H2643">
            <v>0</v>
          </cell>
          <cell r="I2643">
            <v>0</v>
          </cell>
          <cell r="J2643">
            <v>0</v>
          </cell>
          <cell r="K2643">
            <v>0</v>
          </cell>
          <cell r="L2643">
            <v>0</v>
          </cell>
        </row>
        <row r="2644">
          <cell r="A2644" t="str">
            <v>20700.00574</v>
          </cell>
          <cell r="B2644" t="str">
            <v xml:space="preserve">ADAPTEUR D'ORIENTATION ENCLIQUETABLE </v>
          </cell>
          <cell r="C2644" t="str">
            <v>3921 12 13</v>
          </cell>
          <cell r="D2644" t="str">
            <v>PE</v>
          </cell>
          <cell r="E2644" t="str">
            <v>515.51511</v>
          </cell>
          <cell r="F2644">
            <v>133.3817</v>
          </cell>
          <cell r="G2644">
            <v>0</v>
          </cell>
          <cell r="H2644">
            <v>0</v>
          </cell>
          <cell r="I2644">
            <v>0</v>
          </cell>
          <cell r="J2644">
            <v>0</v>
          </cell>
          <cell r="K2644">
            <v>0</v>
          </cell>
          <cell r="L2644">
            <v>0</v>
          </cell>
        </row>
        <row r="2645">
          <cell r="A2645" t="str">
            <v>20700.00570</v>
          </cell>
          <cell r="B2645" t="str">
            <v xml:space="preserve">PIQUAGE DROIT MALE </v>
          </cell>
          <cell r="C2645" t="str">
            <v>3905 12 21</v>
          </cell>
          <cell r="D2645" t="str">
            <v>PE</v>
          </cell>
          <cell r="E2645" t="str">
            <v>515.51511</v>
          </cell>
          <cell r="F2645">
            <v>349.08699999999999</v>
          </cell>
          <cell r="G2645">
            <v>0</v>
          </cell>
          <cell r="H2645">
            <v>0</v>
          </cell>
          <cell r="I2645">
            <v>0</v>
          </cell>
          <cell r="J2645">
            <v>0</v>
          </cell>
          <cell r="K2645">
            <v>0</v>
          </cell>
          <cell r="L2645">
            <v>0</v>
          </cell>
        </row>
        <row r="2646">
          <cell r="A2646" t="str">
            <v>20700.00571</v>
          </cell>
          <cell r="B2646" t="str">
            <v xml:space="preserve">ADAPTEUR D'ORIENTATION ENCLIQUETABLE </v>
          </cell>
          <cell r="C2646" t="str">
            <v>3921 06 13</v>
          </cell>
          <cell r="D2646" t="str">
            <v>PE</v>
          </cell>
          <cell r="E2646" t="str">
            <v>515.51511</v>
          </cell>
          <cell r="F2646">
            <v>82.311099999999996</v>
          </cell>
          <cell r="G2646">
            <v>0</v>
          </cell>
          <cell r="H2646">
            <v>0</v>
          </cell>
          <cell r="I2646">
            <v>0</v>
          </cell>
          <cell r="J2646">
            <v>0</v>
          </cell>
          <cell r="K2646">
            <v>0</v>
          </cell>
          <cell r="L2646">
            <v>0</v>
          </cell>
        </row>
        <row r="2647">
          <cell r="A2647" t="str">
            <v>20700.00572</v>
          </cell>
          <cell r="B2647" t="str">
            <v xml:space="preserve">ADAPTEUR D'ORIENTATION ENCLIQUETABLE </v>
          </cell>
          <cell r="C2647" t="str">
            <v>3921 08 13</v>
          </cell>
          <cell r="D2647" t="str">
            <v>PE</v>
          </cell>
          <cell r="E2647" t="str">
            <v>515.51511</v>
          </cell>
          <cell r="F2647">
            <v>93.1678</v>
          </cell>
          <cell r="G2647">
            <v>0</v>
          </cell>
          <cell r="H2647">
            <v>0</v>
          </cell>
          <cell r="I2647">
            <v>0</v>
          </cell>
          <cell r="J2647">
            <v>0</v>
          </cell>
          <cell r="K2647">
            <v>0</v>
          </cell>
          <cell r="L2647">
            <v>0</v>
          </cell>
        </row>
        <row r="2648">
          <cell r="A2648" t="str">
            <v>20691.01080</v>
          </cell>
          <cell r="B2648" t="str">
            <v>TONER NOIR</v>
          </cell>
          <cell r="C2648" t="str">
            <v>XEROX 006R01517 POUR IMPRIMANTES WORK CENTRE 7545 ET 7845N.B : A PRECISER SUR OFFRE ''MARQUE ORIGINE OU ADAPTABLE''</v>
          </cell>
          <cell r="D2648" t="str">
            <v>PE</v>
          </cell>
          <cell r="E2648" t="str">
            <v>222.22206</v>
          </cell>
          <cell r="F2648">
            <v>1400</v>
          </cell>
          <cell r="G2648">
            <v>0</v>
          </cell>
          <cell r="H2648">
            <v>0</v>
          </cell>
          <cell r="I2648">
            <v>0</v>
          </cell>
          <cell r="J2648">
            <v>0</v>
          </cell>
          <cell r="K2648">
            <v>0</v>
          </cell>
          <cell r="L2648">
            <v>0</v>
          </cell>
        </row>
        <row r="2649">
          <cell r="A2649" t="str">
            <v>20691.01081</v>
          </cell>
          <cell r="B2649" t="str">
            <v>TONER JAUNE</v>
          </cell>
          <cell r="C2649" t="str">
            <v>XEROX 006R01518 POUR IMPRIMANTES WORK CENTRE 7545 ET 7845N.B : A PRECISER SUR OFFRE ''MARQUE ORIGINE OU ADAPTABLE''</v>
          </cell>
          <cell r="D2649" t="str">
            <v>PE</v>
          </cell>
          <cell r="E2649" t="str">
            <v>222.22206</v>
          </cell>
          <cell r="F2649">
            <v>1450</v>
          </cell>
          <cell r="G2649">
            <v>0</v>
          </cell>
          <cell r="H2649">
            <v>0</v>
          </cell>
          <cell r="I2649">
            <v>0</v>
          </cell>
          <cell r="J2649">
            <v>0</v>
          </cell>
          <cell r="K2649">
            <v>0</v>
          </cell>
          <cell r="L2649">
            <v>0</v>
          </cell>
        </row>
        <row r="2650">
          <cell r="A2650" t="str">
            <v>20691.01082</v>
          </cell>
          <cell r="B2650" t="str">
            <v>TONER MAGENTA</v>
          </cell>
          <cell r="C2650" t="str">
            <v>XEROX 006R01519 POUR IMPRIMANTES WORK CENTRE 7545 ET 7845N.B : A PRECISER SUR OFFRE ''MARQUE ORIGINE OU ADAPTABLE''</v>
          </cell>
          <cell r="D2650" t="str">
            <v>PE</v>
          </cell>
          <cell r="E2650" t="str">
            <v>222.22206</v>
          </cell>
          <cell r="F2650">
            <v>1450</v>
          </cell>
          <cell r="G2650">
            <v>0</v>
          </cell>
          <cell r="H2650">
            <v>0</v>
          </cell>
          <cell r="I2650">
            <v>0</v>
          </cell>
          <cell r="J2650">
            <v>0</v>
          </cell>
          <cell r="K2650">
            <v>0</v>
          </cell>
          <cell r="L2650">
            <v>0</v>
          </cell>
        </row>
        <row r="2651">
          <cell r="A2651" t="str">
            <v>20691.01083</v>
          </cell>
          <cell r="B2651" t="str">
            <v>TONER CYAN</v>
          </cell>
          <cell r="C2651" t="str">
            <v>XEROX 006R01520 POUR IMPRIMANTES WORK CENTRE 7545 ET 7845N.B : A PRECISER SUR OFFRE ''MARQUE ORIGINE OU ADAPTABLE''</v>
          </cell>
          <cell r="D2651" t="str">
            <v>PE</v>
          </cell>
          <cell r="E2651" t="str">
            <v>222.22206</v>
          </cell>
          <cell r="F2651">
            <v>1450</v>
          </cell>
          <cell r="G2651">
            <v>0</v>
          </cell>
          <cell r="H2651">
            <v>0</v>
          </cell>
          <cell r="I2651">
            <v>0</v>
          </cell>
          <cell r="J2651">
            <v>0</v>
          </cell>
          <cell r="K2651">
            <v>0</v>
          </cell>
          <cell r="L2651">
            <v>0</v>
          </cell>
        </row>
        <row r="2652">
          <cell r="A2652" t="str">
            <v>20687.00021</v>
          </cell>
          <cell r="B2652" t="str">
            <v>PRESOSTAT DIFFERENTIEL</v>
          </cell>
          <cell r="C2652" t="str">
            <v>FKA P21 0,5-5 MBAR</v>
          </cell>
          <cell r="D2652" t="str">
            <v>PE</v>
          </cell>
          <cell r="E2652" t="str">
            <v>512.51201</v>
          </cell>
          <cell r="F2652">
            <v>1188.5060000000001</v>
          </cell>
          <cell r="G2652">
            <v>0</v>
          </cell>
          <cell r="H2652">
            <v>0</v>
          </cell>
          <cell r="I2652">
            <v>0</v>
          </cell>
          <cell r="J2652">
            <v>0</v>
          </cell>
          <cell r="K2652">
            <v>0</v>
          </cell>
          <cell r="L2652">
            <v>0</v>
          </cell>
        </row>
        <row r="2653">
          <cell r="A2653" t="str">
            <v>20659.00049</v>
          </cell>
          <cell r="B2653" t="str">
            <v>CARTE MERE INTERPHONE 15W</v>
          </cell>
          <cell r="C2653" t="str">
            <v>WK 234 U2G2</v>
          </cell>
          <cell r="D2653" t="str">
            <v>PE</v>
          </cell>
          <cell r="E2653" t="str">
            <v>224.22402</v>
          </cell>
          <cell r="F2653">
            <v>5201.3498</v>
          </cell>
          <cell r="G2653">
            <v>0</v>
          </cell>
          <cell r="H2653">
            <v>0</v>
          </cell>
          <cell r="I2653">
            <v>0</v>
          </cell>
          <cell r="J2653">
            <v>0</v>
          </cell>
          <cell r="K2653">
            <v>0</v>
          </cell>
          <cell r="L2653">
            <v>10</v>
          </cell>
        </row>
        <row r="2654">
          <cell r="A2654" t="str">
            <v>20659.00038</v>
          </cell>
          <cell r="B2654" t="str">
            <v>HAUT PARLEUR COMPLET</v>
          </cell>
          <cell r="C2654" t="str">
            <v>DEL 108 EN 13</v>
          </cell>
          <cell r="D2654" t="str">
            <v>PE</v>
          </cell>
          <cell r="E2654" t="str">
            <v>224.22402</v>
          </cell>
          <cell r="F2654">
            <v>2795.7255</v>
          </cell>
          <cell r="G2654">
            <v>0</v>
          </cell>
          <cell r="H2654">
            <v>0</v>
          </cell>
          <cell r="I2654">
            <v>0</v>
          </cell>
          <cell r="J2654">
            <v>0</v>
          </cell>
          <cell r="K2654">
            <v>0</v>
          </cell>
          <cell r="L2654">
            <v>2</v>
          </cell>
        </row>
        <row r="2655">
          <cell r="A2655" t="str">
            <v>20659.00045</v>
          </cell>
          <cell r="B2655" t="str">
            <v>HAUT PARLEUR 50 OHMS/5W</v>
          </cell>
          <cell r="C2655" t="str">
            <v>CE124V11</v>
          </cell>
          <cell r="D2655" t="str">
            <v>PE</v>
          </cell>
          <cell r="E2655" t="str">
            <v>224.22402</v>
          </cell>
          <cell r="F2655">
            <v>678.43690000000004</v>
          </cell>
          <cell r="G2655">
            <v>0</v>
          </cell>
          <cell r="H2655">
            <v>0</v>
          </cell>
          <cell r="I2655">
            <v>0</v>
          </cell>
          <cell r="J2655">
            <v>0</v>
          </cell>
          <cell r="K2655">
            <v>0</v>
          </cell>
          <cell r="L2655">
            <v>10</v>
          </cell>
        </row>
        <row r="2656">
          <cell r="A2656" t="str">
            <v>20659.00047</v>
          </cell>
          <cell r="B2656" t="str">
            <v>MICROPHONE SUR FLEXIBLE</v>
          </cell>
          <cell r="C2656" t="str">
            <v>MPH 113P V6</v>
          </cell>
          <cell r="D2656" t="str">
            <v>PE</v>
          </cell>
          <cell r="E2656" t="str">
            <v>224.22402</v>
          </cell>
          <cell r="F2656">
            <v>1469.9467</v>
          </cell>
          <cell r="G2656">
            <v>0</v>
          </cell>
          <cell r="H2656">
            <v>0</v>
          </cell>
          <cell r="I2656">
            <v>0</v>
          </cell>
          <cell r="J2656">
            <v>0</v>
          </cell>
          <cell r="K2656">
            <v>0</v>
          </cell>
          <cell r="L2656">
            <v>2</v>
          </cell>
        </row>
        <row r="2657">
          <cell r="A2657" t="str">
            <v>20659.00048</v>
          </cell>
          <cell r="B2657" t="str">
            <v>CARTE CLAVIER</v>
          </cell>
          <cell r="C2657" t="str">
            <v>WK 153 CLG</v>
          </cell>
          <cell r="D2657" t="str">
            <v>PE</v>
          </cell>
          <cell r="E2657" t="str">
            <v>224.22402</v>
          </cell>
          <cell r="F2657">
            <v>2600.6749</v>
          </cell>
          <cell r="G2657">
            <v>0</v>
          </cell>
          <cell r="H2657">
            <v>0</v>
          </cell>
          <cell r="I2657">
            <v>0</v>
          </cell>
          <cell r="J2657">
            <v>0</v>
          </cell>
          <cell r="K2657">
            <v>0</v>
          </cell>
          <cell r="L2657">
            <v>2</v>
          </cell>
        </row>
        <row r="2658">
          <cell r="A2658" t="str">
            <v>20659.00039</v>
          </cell>
          <cell r="B2658" t="str">
            <v>CARTE MERE UNIVERSAL 5W</v>
          </cell>
          <cell r="C2658" t="str">
            <v>WK 234 U2G</v>
          </cell>
          <cell r="D2658" t="str">
            <v>PE</v>
          </cell>
          <cell r="E2658" t="str">
            <v>224.22402</v>
          </cell>
          <cell r="F2658">
            <v>4862.1314000000002</v>
          </cell>
          <cell r="G2658">
            <v>0</v>
          </cell>
          <cell r="H2658">
            <v>0</v>
          </cell>
          <cell r="I2658">
            <v>0</v>
          </cell>
          <cell r="J2658">
            <v>0</v>
          </cell>
          <cell r="K2658">
            <v>0</v>
          </cell>
          <cell r="L2658">
            <v>10</v>
          </cell>
        </row>
        <row r="2659">
          <cell r="A2659" t="str">
            <v>20659.00032</v>
          </cell>
          <cell r="B2659" t="str">
            <v>COMBINE EN METAL LEGER</v>
          </cell>
          <cell r="C2659" t="str">
            <v>MS436A13</v>
          </cell>
          <cell r="D2659" t="str">
            <v>PE</v>
          </cell>
          <cell r="E2659" t="str">
            <v>224.22402</v>
          </cell>
          <cell r="F2659">
            <v>1922.2380000000001</v>
          </cell>
          <cell r="G2659">
            <v>0</v>
          </cell>
          <cell r="H2659">
            <v>0</v>
          </cell>
          <cell r="I2659">
            <v>0</v>
          </cell>
          <cell r="J2659">
            <v>0</v>
          </cell>
          <cell r="K2659">
            <v>0</v>
          </cell>
          <cell r="L2659">
            <v>10</v>
          </cell>
        </row>
        <row r="2660">
          <cell r="A2660" t="str">
            <v>20691.00846</v>
          </cell>
          <cell r="B2660" t="str">
            <v>CARTOUCHE D'ENCRE CYAN</v>
          </cell>
          <cell r="C2660" t="str">
            <v>HEWLETT PACKARD CD972AE P/IMPRIMANTE OFFICEJET 7500AN.B : A PRECISER SUR OFFRE ''MARQUE ORIGINE OU ADAPTABLE''</v>
          </cell>
          <cell r="D2660" t="str">
            <v>PE</v>
          </cell>
          <cell r="E2660" t="str">
            <v>222.22206</v>
          </cell>
          <cell r="F2660">
            <v>170</v>
          </cell>
          <cell r="G2660">
            <v>0</v>
          </cell>
          <cell r="H2660">
            <v>0</v>
          </cell>
          <cell r="I2660">
            <v>0</v>
          </cell>
          <cell r="J2660">
            <v>0</v>
          </cell>
          <cell r="K2660">
            <v>0</v>
          </cell>
          <cell r="L2660">
            <v>0</v>
          </cell>
        </row>
        <row r="2661">
          <cell r="A2661" t="str">
            <v>20691.00849</v>
          </cell>
          <cell r="B2661" t="str">
            <v>CARTOUCHE D'ENCRE NOIR</v>
          </cell>
          <cell r="C2661" t="str">
            <v>HEWLETT PACKARD CD975AE P/IMPRIMANTE OFFICEJET 7500AN.B : A PRECISER SUR OFFRE ''MARQUE ORIGINE OU ADAPTABLE''</v>
          </cell>
          <cell r="D2661" t="str">
            <v>PE</v>
          </cell>
          <cell r="E2661" t="str">
            <v>222.22206</v>
          </cell>
          <cell r="F2661">
            <v>415</v>
          </cell>
          <cell r="G2661">
            <v>0</v>
          </cell>
          <cell r="H2661">
            <v>0</v>
          </cell>
          <cell r="I2661">
            <v>0</v>
          </cell>
          <cell r="J2661">
            <v>0</v>
          </cell>
          <cell r="K2661">
            <v>0</v>
          </cell>
          <cell r="L2661">
            <v>0</v>
          </cell>
        </row>
        <row r="2662">
          <cell r="A2662" t="str">
            <v>20600.03280</v>
          </cell>
          <cell r="B2662" t="str">
            <v>COUR.TRAPEZOIDALE ETROITE</v>
          </cell>
          <cell r="C2662" t="str">
            <v>COURROIE SPC 2800</v>
          </cell>
          <cell r="D2662" t="str">
            <v>PE</v>
          </cell>
          <cell r="E2662" t="str">
            <v>515.51515</v>
          </cell>
          <cell r="F2662">
            <v>170.316</v>
          </cell>
          <cell r="G2662">
            <v>0</v>
          </cell>
          <cell r="H2662">
            <v>0</v>
          </cell>
          <cell r="I2662">
            <v>0</v>
          </cell>
          <cell r="J2662">
            <v>0</v>
          </cell>
          <cell r="K2662">
            <v>0</v>
          </cell>
          <cell r="L2662">
            <v>0</v>
          </cell>
        </row>
        <row r="2663">
          <cell r="A2663" t="str">
            <v>20617.00801</v>
          </cell>
          <cell r="B2663" t="str">
            <v>GALET DIA150 EN NYLON POLYAMIDE</v>
          </cell>
          <cell r="C2663" t="str">
            <v>PLAN 2852-P3 160E-201 REP 214-21 P/FILTRE TYPE 30-160E</v>
          </cell>
          <cell r="D2663" t="str">
            <v>PE</v>
          </cell>
          <cell r="E2663" t="str">
            <v>515.51506</v>
          </cell>
          <cell r="F2663">
            <v>469.4271</v>
          </cell>
          <cell r="G2663">
            <v>0</v>
          </cell>
          <cell r="H2663">
            <v>0</v>
          </cell>
          <cell r="I2663">
            <v>5</v>
          </cell>
          <cell r="J2663">
            <v>10</v>
          </cell>
          <cell r="K2663">
            <v>0</v>
          </cell>
          <cell r="L2663">
            <v>0</v>
          </cell>
        </row>
        <row r="2664">
          <cell r="A2664" t="str">
            <v>20617.00796</v>
          </cell>
          <cell r="B2664" t="str">
            <v>AXE EN 42CD4</v>
          </cell>
          <cell r="C2664" t="str">
            <v>PLAN 2852-P3 160E-201 REP 214-2P/FILTRE TYPE 30-160E</v>
          </cell>
          <cell r="D2664" t="str">
            <v>PE</v>
          </cell>
          <cell r="E2664" t="str">
            <v>515.51506</v>
          </cell>
          <cell r="F2664">
            <v>1344.5062</v>
          </cell>
          <cell r="G2664">
            <v>0</v>
          </cell>
          <cell r="H2664">
            <v>10</v>
          </cell>
          <cell r="I2664">
            <v>0</v>
          </cell>
          <cell r="J2664">
            <v>0</v>
          </cell>
          <cell r="K2664">
            <v>0</v>
          </cell>
          <cell r="L2664">
            <v>0</v>
          </cell>
        </row>
        <row r="2665">
          <cell r="A2665" t="str">
            <v>20617.00797</v>
          </cell>
          <cell r="B2665" t="str">
            <v>GALET EN FONTEPEU</v>
          </cell>
          <cell r="C2665" t="str">
            <v>PLAN 2852-P3 160E-201 REP 214-10 P/FILTRE TYPE 30-160E</v>
          </cell>
          <cell r="D2665" t="str">
            <v>PE</v>
          </cell>
          <cell r="E2665" t="str">
            <v>515.51506</v>
          </cell>
          <cell r="F2665">
            <v>4457.8599999999997</v>
          </cell>
          <cell r="G2665">
            <v>0</v>
          </cell>
          <cell r="H2665">
            <v>0</v>
          </cell>
          <cell r="I2665">
            <v>10</v>
          </cell>
          <cell r="J2665">
            <v>0</v>
          </cell>
          <cell r="K2665">
            <v>10</v>
          </cell>
          <cell r="L2665">
            <v>0</v>
          </cell>
        </row>
        <row r="2666">
          <cell r="A2666" t="str">
            <v>20600.03305</v>
          </cell>
          <cell r="B2666" t="str">
            <v>COUR.TRAPEZOIDALE ETROITE</v>
          </cell>
          <cell r="C2666" t="str">
            <v>COURROIE SPC 6300</v>
          </cell>
          <cell r="D2666" t="str">
            <v>PE</v>
          </cell>
          <cell r="E2666" t="str">
            <v>515.51515</v>
          </cell>
          <cell r="F2666">
            <v>285.7</v>
          </cell>
          <cell r="G2666">
            <v>0</v>
          </cell>
          <cell r="H2666">
            <v>0</v>
          </cell>
          <cell r="I2666">
            <v>39</v>
          </cell>
          <cell r="J2666">
            <v>0</v>
          </cell>
          <cell r="K2666">
            <v>0</v>
          </cell>
          <cell r="L2666">
            <v>0</v>
          </cell>
        </row>
        <row r="2667">
          <cell r="A2667" t="str">
            <v>20600.03282</v>
          </cell>
          <cell r="B2667" t="str">
            <v>COUR.TRAPEZOIDALE ETROITE</v>
          </cell>
          <cell r="C2667" t="str">
            <v>COURROIE SPC 3000</v>
          </cell>
          <cell r="D2667" t="str">
            <v>PE</v>
          </cell>
          <cell r="E2667" t="str">
            <v>515.51515</v>
          </cell>
          <cell r="F2667">
            <v>167.04</v>
          </cell>
          <cell r="G2667">
            <v>0</v>
          </cell>
          <cell r="H2667">
            <v>0</v>
          </cell>
          <cell r="I2667">
            <v>0</v>
          </cell>
          <cell r="J2667">
            <v>0</v>
          </cell>
          <cell r="K2667">
            <v>0</v>
          </cell>
          <cell r="L2667">
            <v>0</v>
          </cell>
        </row>
        <row r="2668">
          <cell r="A2668" t="str">
            <v>20617.00753</v>
          </cell>
          <cell r="B2668" t="str">
            <v>JOINT</v>
          </cell>
          <cell r="C2668" t="str">
            <v>PLAN 2805-135EE-200 REP 223-2 P/FILTRE 24-135EE</v>
          </cell>
          <cell r="D2668" t="str">
            <v>PE</v>
          </cell>
          <cell r="E2668" t="str">
            <v>515.51506</v>
          </cell>
          <cell r="F2668">
            <v>116.46</v>
          </cell>
          <cell r="G2668">
            <v>0</v>
          </cell>
          <cell r="H2668">
            <v>0</v>
          </cell>
          <cell r="I2668">
            <v>0</v>
          </cell>
          <cell r="J2668">
            <v>0</v>
          </cell>
          <cell r="K2668">
            <v>0</v>
          </cell>
          <cell r="L2668">
            <v>21</v>
          </cell>
        </row>
        <row r="2669">
          <cell r="A2669" t="str">
            <v>20617.00743</v>
          </cell>
          <cell r="B2669" t="str">
            <v>VOYANT</v>
          </cell>
          <cell r="C2669" t="str">
            <v>PLAN 2805-135EE-100 3/3 REP 121-11 P/FILTRE 24-135EE</v>
          </cell>
          <cell r="D2669" t="str">
            <v>PE</v>
          </cell>
          <cell r="E2669" t="str">
            <v>515.51506</v>
          </cell>
          <cell r="F2669">
            <v>655.13599999999997</v>
          </cell>
          <cell r="G2669">
            <v>0</v>
          </cell>
          <cell r="H2669">
            <v>0</v>
          </cell>
          <cell r="I2669">
            <v>0</v>
          </cell>
          <cell r="J2669">
            <v>0</v>
          </cell>
          <cell r="K2669">
            <v>0</v>
          </cell>
          <cell r="L2669">
            <v>0</v>
          </cell>
        </row>
        <row r="2670">
          <cell r="A2670" t="str">
            <v>20617.00763</v>
          </cell>
          <cell r="B2670" t="str">
            <v>LEVIER</v>
          </cell>
          <cell r="C2670" t="str">
            <v>PLAN 2805-135EE-201 REP 214-1 P/FILTRE 24-135EE</v>
          </cell>
          <cell r="D2670" t="str">
            <v>PE</v>
          </cell>
          <cell r="E2670" t="str">
            <v>515.51506</v>
          </cell>
          <cell r="F2670">
            <v>20899.653699999999</v>
          </cell>
          <cell r="G2670">
            <v>0</v>
          </cell>
          <cell r="H2670">
            <v>4</v>
          </cell>
          <cell r="I2670">
            <v>10</v>
          </cell>
          <cell r="J2670">
            <v>0</v>
          </cell>
          <cell r="K2670">
            <v>0</v>
          </cell>
          <cell r="L2670">
            <v>6</v>
          </cell>
        </row>
        <row r="2671">
          <cell r="A2671" t="str">
            <v>20617.00754</v>
          </cell>
          <cell r="B2671" t="str">
            <v>JOINT</v>
          </cell>
          <cell r="C2671" t="str">
            <v>PLAN 2805-135EE-200 REP 223-1 P/FILTRE 24-135EE</v>
          </cell>
          <cell r="D2671" t="str">
            <v>PE</v>
          </cell>
          <cell r="E2671" t="str">
            <v>515.51506</v>
          </cell>
          <cell r="F2671">
            <v>256.74</v>
          </cell>
          <cell r="G2671">
            <v>0</v>
          </cell>
          <cell r="H2671">
            <v>0</v>
          </cell>
          <cell r="I2671">
            <v>0</v>
          </cell>
          <cell r="J2671">
            <v>0</v>
          </cell>
          <cell r="K2671">
            <v>0</v>
          </cell>
          <cell r="L2671">
            <v>21</v>
          </cell>
        </row>
        <row r="2672">
          <cell r="A2672" t="str">
            <v>20617.00894</v>
          </cell>
          <cell r="B2672" t="str">
            <v xml:space="preserve">ANNEAU EXTERIEUR </v>
          </cell>
          <cell r="C2672" t="str">
            <v>PLAN 2805-135EE-100 3/3 REP 123-1</v>
          </cell>
          <cell r="D2672" t="str">
            <v>PE</v>
          </cell>
          <cell r="E2672" t="str">
            <v>515.51506</v>
          </cell>
          <cell r="F2672">
            <v>64687.402800000003</v>
          </cell>
          <cell r="G2672">
            <v>0</v>
          </cell>
          <cell r="H2672">
            <v>0</v>
          </cell>
          <cell r="I2672">
            <v>0</v>
          </cell>
          <cell r="J2672">
            <v>0</v>
          </cell>
          <cell r="K2672">
            <v>0</v>
          </cell>
          <cell r="L2672">
            <v>0</v>
          </cell>
        </row>
        <row r="2673">
          <cell r="A2673" t="str">
            <v>20617.00895</v>
          </cell>
          <cell r="B2673" t="str">
            <v xml:space="preserve">ANNEAU INTERIEUR </v>
          </cell>
          <cell r="C2673" t="str">
            <v>PLAN 2805-135EE-100 3/3 REP 123-2</v>
          </cell>
          <cell r="D2673" t="str">
            <v>PE</v>
          </cell>
          <cell r="E2673" t="str">
            <v>515.51506</v>
          </cell>
          <cell r="F2673">
            <v>50826.620699999999</v>
          </cell>
          <cell r="G2673">
            <v>0</v>
          </cell>
          <cell r="H2673">
            <v>0</v>
          </cell>
          <cell r="I2673">
            <v>0</v>
          </cell>
          <cell r="J2673">
            <v>0</v>
          </cell>
          <cell r="K2673">
            <v>0</v>
          </cell>
          <cell r="L2673">
            <v>0</v>
          </cell>
        </row>
        <row r="2674">
          <cell r="A2674" t="str">
            <v>20617.00896</v>
          </cell>
          <cell r="B2674" t="str">
            <v xml:space="preserve">GOUJON+RONDELLES+ECROUS </v>
          </cell>
          <cell r="C2674" t="str">
            <v xml:space="preserve">PLAN 2805-135EE-300 REP 312-4 +REP 312-5 +REP 312-6   </v>
          </cell>
          <cell r="D2674" t="str">
            <v>PE</v>
          </cell>
          <cell r="E2674" t="str">
            <v>515.51506</v>
          </cell>
          <cell r="F2674">
            <v>840.23019999999997</v>
          </cell>
          <cell r="G2674">
            <v>0</v>
          </cell>
          <cell r="H2674">
            <v>99</v>
          </cell>
          <cell r="I2674">
            <v>81</v>
          </cell>
          <cell r="J2674">
            <v>0</v>
          </cell>
          <cell r="K2674">
            <v>0</v>
          </cell>
          <cell r="L2674">
            <v>84</v>
          </cell>
        </row>
        <row r="2675">
          <cell r="A2675" t="str">
            <v>20630.00877</v>
          </cell>
          <cell r="B2675" t="str">
            <v>JEU DE JOINTS TORIQUE</v>
          </cell>
          <cell r="C2675" t="str">
            <v>FLOWSERVE REF 568251AF TYPE SLM 6200W PLAN C-11148 REP 19 ET 19.1</v>
          </cell>
          <cell r="D2675" t="str">
            <v>PE</v>
          </cell>
          <cell r="E2675" t="str">
            <v>522.52207</v>
          </cell>
          <cell r="F2675">
            <v>153.80840000000001</v>
          </cell>
          <cell r="G2675">
            <v>0</v>
          </cell>
          <cell r="H2675">
            <v>0</v>
          </cell>
          <cell r="I2675">
            <v>0</v>
          </cell>
          <cell r="J2675">
            <v>0</v>
          </cell>
          <cell r="K2675">
            <v>0</v>
          </cell>
          <cell r="L2675">
            <v>5</v>
          </cell>
        </row>
        <row r="2676">
          <cell r="A2676" t="str">
            <v>20630.00878</v>
          </cell>
          <cell r="B2676" t="str">
            <v>JEU DE JOINTS TORIQUE</v>
          </cell>
          <cell r="C2676" t="str">
            <v>FLOWSERVE REF 568261AF TYPE SLM 6200W PLAN C-11148 REP 76 ET 76.1</v>
          </cell>
          <cell r="D2676" t="str">
            <v>PE</v>
          </cell>
          <cell r="E2676" t="str">
            <v>522.52207</v>
          </cell>
          <cell r="F2676">
            <v>520.58230000000003</v>
          </cell>
          <cell r="G2676">
            <v>0</v>
          </cell>
          <cell r="H2676">
            <v>0</v>
          </cell>
          <cell r="I2676">
            <v>0</v>
          </cell>
          <cell r="J2676">
            <v>0</v>
          </cell>
          <cell r="K2676">
            <v>0</v>
          </cell>
          <cell r="L2676">
            <v>5</v>
          </cell>
        </row>
        <row r="2677">
          <cell r="A2677" t="str">
            <v>20617.00251</v>
          </cell>
          <cell r="B2677" t="str">
            <v>CIRCLIPS</v>
          </cell>
          <cell r="C2677" t="str">
            <v>24-135EE REP 741-23</v>
          </cell>
          <cell r="D2677" t="str">
            <v>PE</v>
          </cell>
          <cell r="E2677" t="str">
            <v>515.51506</v>
          </cell>
          <cell r="F2677">
            <v>10.6877</v>
          </cell>
          <cell r="G2677">
            <v>0</v>
          </cell>
          <cell r="H2677">
            <v>0</v>
          </cell>
          <cell r="I2677">
            <v>0</v>
          </cell>
          <cell r="J2677">
            <v>0</v>
          </cell>
          <cell r="K2677">
            <v>2</v>
          </cell>
          <cell r="L2677">
            <v>1</v>
          </cell>
        </row>
        <row r="2678">
          <cell r="A2678" t="str">
            <v>20617.00252</v>
          </cell>
          <cell r="B2678" t="str">
            <v>RONDELLE D'USURE</v>
          </cell>
          <cell r="C2678" t="str">
            <v>24-135EE REP 741-29</v>
          </cell>
          <cell r="D2678" t="str">
            <v>PE</v>
          </cell>
          <cell r="E2678" t="str">
            <v>515.51506</v>
          </cell>
          <cell r="F2678">
            <v>352.69409999999999</v>
          </cell>
          <cell r="G2678">
            <v>0</v>
          </cell>
          <cell r="H2678">
            <v>0</v>
          </cell>
          <cell r="I2678">
            <v>0</v>
          </cell>
          <cell r="J2678">
            <v>0</v>
          </cell>
          <cell r="K2678">
            <v>2</v>
          </cell>
          <cell r="L2678">
            <v>1</v>
          </cell>
        </row>
        <row r="2679">
          <cell r="A2679" t="str">
            <v>20617.00253</v>
          </cell>
          <cell r="B2679" t="str">
            <v>AXE</v>
          </cell>
          <cell r="C2679" t="str">
            <v>24-135EE REP 741-34</v>
          </cell>
          <cell r="D2679" t="str">
            <v>PE</v>
          </cell>
          <cell r="E2679" t="str">
            <v>515.51506</v>
          </cell>
          <cell r="F2679">
            <v>587.82349999999997</v>
          </cell>
          <cell r="G2679">
            <v>0</v>
          </cell>
          <cell r="H2679">
            <v>0</v>
          </cell>
          <cell r="I2679">
            <v>0</v>
          </cell>
          <cell r="J2679">
            <v>0</v>
          </cell>
          <cell r="K2679">
            <v>4</v>
          </cell>
          <cell r="L2679">
            <v>2</v>
          </cell>
        </row>
        <row r="2680">
          <cell r="A2680" t="str">
            <v>20617.00254</v>
          </cell>
          <cell r="B2680" t="str">
            <v>RESSORT</v>
          </cell>
          <cell r="C2680" t="str">
            <v>24-135EE REP 741-40</v>
          </cell>
          <cell r="D2680" t="str">
            <v>PE</v>
          </cell>
          <cell r="E2680" t="str">
            <v>515.51506</v>
          </cell>
          <cell r="F2680">
            <v>1979.6003000000001</v>
          </cell>
          <cell r="G2680">
            <v>0</v>
          </cell>
          <cell r="H2680">
            <v>0</v>
          </cell>
          <cell r="I2680">
            <v>0</v>
          </cell>
          <cell r="J2680">
            <v>0</v>
          </cell>
          <cell r="K2680">
            <v>0</v>
          </cell>
          <cell r="L2680">
            <v>0</v>
          </cell>
        </row>
        <row r="2681">
          <cell r="A2681" t="str">
            <v>20617.00258</v>
          </cell>
          <cell r="B2681" t="str">
            <v>CLAME</v>
          </cell>
          <cell r="C2681" t="str">
            <v>24-135EE REP 812-21</v>
          </cell>
          <cell r="D2681" t="str">
            <v>PE</v>
          </cell>
          <cell r="E2681" t="str">
            <v>515.51506</v>
          </cell>
          <cell r="F2681">
            <v>753.48289999999997</v>
          </cell>
          <cell r="G2681">
            <v>0</v>
          </cell>
          <cell r="H2681">
            <v>0</v>
          </cell>
          <cell r="I2681">
            <v>0</v>
          </cell>
          <cell r="J2681">
            <v>0</v>
          </cell>
          <cell r="K2681">
            <v>5</v>
          </cell>
          <cell r="L2681">
            <v>6</v>
          </cell>
        </row>
        <row r="2682">
          <cell r="A2682" t="str">
            <v>20617.00259</v>
          </cell>
          <cell r="B2682" t="str">
            <v>CLAME</v>
          </cell>
          <cell r="C2682" t="str">
            <v>24-135EE REP 813-6</v>
          </cell>
          <cell r="D2682" t="str">
            <v>PE</v>
          </cell>
          <cell r="E2682" t="str">
            <v>515.51506</v>
          </cell>
          <cell r="F2682">
            <v>331.31869999999998</v>
          </cell>
          <cell r="G2682">
            <v>0</v>
          </cell>
          <cell r="H2682">
            <v>0</v>
          </cell>
          <cell r="I2682">
            <v>0</v>
          </cell>
          <cell r="J2682">
            <v>0</v>
          </cell>
          <cell r="K2682">
            <v>6</v>
          </cell>
          <cell r="L2682">
            <v>6</v>
          </cell>
        </row>
        <row r="2683">
          <cell r="A2683" t="str">
            <v>20617.00260</v>
          </cell>
          <cell r="B2683" t="str">
            <v>CLAME</v>
          </cell>
          <cell r="C2683" t="str">
            <v>24-135EE REP 813-7</v>
          </cell>
          <cell r="D2683" t="str">
            <v>PE</v>
          </cell>
          <cell r="E2683" t="str">
            <v>515.51506</v>
          </cell>
          <cell r="F2683">
            <v>422.16419999999999</v>
          </cell>
          <cell r="G2683">
            <v>0</v>
          </cell>
          <cell r="H2683">
            <v>0</v>
          </cell>
          <cell r="I2683">
            <v>0</v>
          </cell>
          <cell r="J2683">
            <v>0</v>
          </cell>
          <cell r="K2683">
            <v>6</v>
          </cell>
          <cell r="L2683">
            <v>6</v>
          </cell>
        </row>
        <row r="2684">
          <cell r="A2684" t="str">
            <v>20617.00261</v>
          </cell>
          <cell r="B2684" t="str">
            <v>ROUE MONOBLOC MOYEU LISSE</v>
          </cell>
          <cell r="C2684" t="str">
            <v>24-135EE REP 813-17</v>
          </cell>
          <cell r="D2684" t="str">
            <v>PE</v>
          </cell>
          <cell r="E2684" t="str">
            <v>515.51506</v>
          </cell>
          <cell r="F2684">
            <v>571.79200000000003</v>
          </cell>
          <cell r="G2684">
            <v>0</v>
          </cell>
          <cell r="H2684">
            <v>0</v>
          </cell>
          <cell r="I2684">
            <v>0</v>
          </cell>
          <cell r="J2684">
            <v>0</v>
          </cell>
          <cell r="K2684">
            <v>0</v>
          </cell>
          <cell r="L2684">
            <v>12</v>
          </cell>
        </row>
        <row r="2685">
          <cell r="A2685" t="str">
            <v>20617.00262</v>
          </cell>
          <cell r="B2685" t="str">
            <v>CIRCLIPS</v>
          </cell>
          <cell r="C2685" t="str">
            <v>24-135EE REP 813-18</v>
          </cell>
          <cell r="D2685" t="str">
            <v>PE</v>
          </cell>
          <cell r="E2685" t="str">
            <v>515.51506</v>
          </cell>
          <cell r="F2685">
            <v>60.701999999999998</v>
          </cell>
          <cell r="G2685">
            <v>0</v>
          </cell>
          <cell r="H2685">
            <v>0</v>
          </cell>
          <cell r="I2685">
            <v>0</v>
          </cell>
          <cell r="J2685">
            <v>0</v>
          </cell>
          <cell r="K2685">
            <v>5</v>
          </cell>
          <cell r="L2685">
            <v>0</v>
          </cell>
        </row>
        <row r="2686">
          <cell r="A2686" t="str">
            <v>20617.00263</v>
          </cell>
          <cell r="B2686" t="str">
            <v>JOIN 35° sh</v>
          </cell>
          <cell r="C2686" t="str">
            <v>24-135EE REP 411-22</v>
          </cell>
          <cell r="D2686" t="str">
            <v>PE</v>
          </cell>
          <cell r="E2686" t="str">
            <v>515.51506</v>
          </cell>
          <cell r="F2686">
            <v>208.4102</v>
          </cell>
          <cell r="G2686">
            <v>0</v>
          </cell>
          <cell r="H2686">
            <v>0</v>
          </cell>
          <cell r="I2686">
            <v>0</v>
          </cell>
          <cell r="J2686">
            <v>0</v>
          </cell>
          <cell r="K2686">
            <v>0</v>
          </cell>
          <cell r="L2686">
            <v>300</v>
          </cell>
        </row>
        <row r="2687">
          <cell r="A2687" t="str">
            <v>20617.00264</v>
          </cell>
          <cell r="B2687" t="str">
            <v>GALET DE ROULEMENT</v>
          </cell>
          <cell r="C2687" t="str">
            <v>24-135EE REP 412-1</v>
          </cell>
          <cell r="D2687" t="str">
            <v>PE</v>
          </cell>
          <cell r="E2687" t="str">
            <v>515.51506</v>
          </cell>
          <cell r="F2687">
            <v>5651.2677999999996</v>
          </cell>
          <cell r="G2687">
            <v>5</v>
          </cell>
          <cell r="H2687">
            <v>94</v>
          </cell>
          <cell r="I2687">
            <v>49</v>
          </cell>
          <cell r="J2687">
            <v>0</v>
          </cell>
          <cell r="K2687">
            <v>0</v>
          </cell>
          <cell r="L2687">
            <v>20</v>
          </cell>
        </row>
        <row r="2688">
          <cell r="A2688" t="str">
            <v>20617.00214</v>
          </cell>
          <cell r="B2688" t="str">
            <v>JEU DE FLEXIBLE</v>
          </cell>
          <cell r="C2688" t="str">
            <v>24-135EE SANS REP</v>
          </cell>
          <cell r="D2688" t="str">
            <v>JE</v>
          </cell>
          <cell r="E2688" t="str">
            <v>515.51506</v>
          </cell>
          <cell r="F2688">
            <v>39170.662600000003</v>
          </cell>
          <cell r="G2688">
            <v>0</v>
          </cell>
          <cell r="H2688">
            <v>0</v>
          </cell>
          <cell r="I2688">
            <v>0</v>
          </cell>
          <cell r="J2688">
            <v>0</v>
          </cell>
          <cell r="K2688">
            <v>1</v>
          </cell>
          <cell r="L2688">
            <v>0</v>
          </cell>
        </row>
        <row r="2689">
          <cell r="A2689" t="str">
            <v>20630.00842</v>
          </cell>
          <cell r="B2689" t="str">
            <v>KIT DE REVISION P/GARNITURE MECANIQUE</v>
          </cell>
          <cell r="C2689" t="str">
            <v>AESSEAL REF 1AKSSS-5V01 P/GARNITURE DMSF DIAMETRE 5"</v>
          </cell>
          <cell r="D2689" t="str">
            <v>PE</v>
          </cell>
          <cell r="E2689" t="str">
            <v>522.52207</v>
          </cell>
          <cell r="F2689">
            <v>62000</v>
          </cell>
          <cell r="G2689">
            <v>0</v>
          </cell>
          <cell r="H2689">
            <v>1</v>
          </cell>
          <cell r="I2689">
            <v>1</v>
          </cell>
          <cell r="J2689">
            <v>0</v>
          </cell>
          <cell r="K2689">
            <v>0</v>
          </cell>
          <cell r="L2689">
            <v>4</v>
          </cell>
        </row>
        <row r="2690">
          <cell r="A2690" t="str">
            <v>20630.00237</v>
          </cell>
          <cell r="B2690" t="str">
            <v>GARNITURE MECANIQUE.</v>
          </cell>
          <cell r="C2690" t="str">
            <v>JOHN CRANE 87266510 DIA 80mm  36F/89942-02</v>
          </cell>
          <cell r="D2690" t="str">
            <v>PE</v>
          </cell>
          <cell r="E2690" t="str">
            <v>522.52207</v>
          </cell>
          <cell r="F2690">
            <v>7500.5</v>
          </cell>
          <cell r="G2690">
            <v>0</v>
          </cell>
          <cell r="H2690">
            <v>0</v>
          </cell>
          <cell r="I2690">
            <v>0</v>
          </cell>
          <cell r="J2690">
            <v>0</v>
          </cell>
          <cell r="K2690">
            <v>0</v>
          </cell>
          <cell r="L2690">
            <v>4</v>
          </cell>
        </row>
        <row r="2691">
          <cell r="A2691" t="str">
            <v>20630.00173</v>
          </cell>
          <cell r="B2691" t="str">
            <v>GARNITURE MECANIQ COMPLET</v>
          </cell>
          <cell r="C2691" t="str">
            <v>FLEXIBOX TR2SK                FF-ST-0600 F585</v>
          </cell>
          <cell r="D2691" t="str">
            <v>PE</v>
          </cell>
          <cell r="E2691" t="str">
            <v>522.52207</v>
          </cell>
          <cell r="F2691">
            <v>20397.599999999999</v>
          </cell>
          <cell r="G2691">
            <v>0</v>
          </cell>
          <cell r="H2691">
            <v>0</v>
          </cell>
          <cell r="I2691">
            <v>0</v>
          </cell>
          <cell r="J2691">
            <v>0</v>
          </cell>
          <cell r="K2691">
            <v>0</v>
          </cell>
          <cell r="L2691">
            <v>0</v>
          </cell>
        </row>
        <row r="2692">
          <cell r="A2692" t="str">
            <v>20617.00265</v>
          </cell>
          <cell r="B2692" t="str">
            <v>BUSE DE PULVERISATION A MONTER SUR PULVERISATEUR ORIENTABLE</v>
          </cell>
          <cell r="C2692" t="str">
            <v>NF 200 1/2 POUCE 30° INOX 904 L</v>
          </cell>
          <cell r="D2692" t="str">
            <v>PE</v>
          </cell>
          <cell r="E2692" t="str">
            <v>515.51506</v>
          </cell>
          <cell r="F2692">
            <v>3847.4358999999999</v>
          </cell>
          <cell r="G2692">
            <v>0</v>
          </cell>
          <cell r="H2692">
            <v>0</v>
          </cell>
          <cell r="I2692">
            <v>0</v>
          </cell>
          <cell r="J2692">
            <v>0</v>
          </cell>
          <cell r="K2692">
            <v>0</v>
          </cell>
          <cell r="L2692">
            <v>0</v>
          </cell>
        </row>
        <row r="2693">
          <cell r="A2693" t="str">
            <v>20617.00266</v>
          </cell>
          <cell r="B2693" t="str">
            <v>BUSE DE PULVERISATION ET ECROU DE PULVERISATEUR FIXE</v>
          </cell>
          <cell r="C2693" t="str">
            <v>NFD 195 - 30° INOX</v>
          </cell>
          <cell r="D2693" t="str">
            <v>PE</v>
          </cell>
          <cell r="E2693" t="str">
            <v>515.51506</v>
          </cell>
          <cell r="F2693">
            <v>2946.1080999999999</v>
          </cell>
          <cell r="G2693">
            <v>0</v>
          </cell>
          <cell r="H2693">
            <v>0</v>
          </cell>
          <cell r="I2693">
            <v>0</v>
          </cell>
          <cell r="J2693">
            <v>0</v>
          </cell>
          <cell r="K2693">
            <v>0</v>
          </cell>
          <cell r="L2693">
            <v>0</v>
          </cell>
        </row>
        <row r="2694">
          <cell r="A2694" t="str">
            <v>20617.00364</v>
          </cell>
          <cell r="B2694" t="str">
            <v>JOINT LONG=2370MM EN NEOPRENE</v>
          </cell>
          <cell r="C2694" t="str">
            <v>MODELE 30-240 PLAN 2812 N° 240-200 REP 223-1</v>
          </cell>
          <cell r="D2694" t="str">
            <v>PE</v>
          </cell>
          <cell r="E2694" t="str">
            <v>515.51506</v>
          </cell>
          <cell r="F2694">
            <v>710.01459999999997</v>
          </cell>
          <cell r="G2694">
            <v>0</v>
          </cell>
          <cell r="H2694">
            <v>0</v>
          </cell>
          <cell r="I2694">
            <v>0</v>
          </cell>
          <cell r="J2694">
            <v>0</v>
          </cell>
          <cell r="K2694">
            <v>93</v>
          </cell>
          <cell r="L2694">
            <v>0</v>
          </cell>
        </row>
        <row r="2695">
          <cell r="A2695" t="str">
            <v>20617.00365</v>
          </cell>
          <cell r="B2695" t="str">
            <v>JOINT LONG=1280MM EN NEOPRENE</v>
          </cell>
          <cell r="C2695" t="str">
            <v>MODELE 30-240 PLAN 2812 N° 240-200 REP 223-2</v>
          </cell>
          <cell r="D2695" t="str">
            <v>PE</v>
          </cell>
          <cell r="E2695" t="str">
            <v>515.51506</v>
          </cell>
          <cell r="F2695">
            <v>328.05950000000001</v>
          </cell>
          <cell r="G2695">
            <v>0</v>
          </cell>
          <cell r="H2695">
            <v>0</v>
          </cell>
          <cell r="I2695">
            <v>0</v>
          </cell>
          <cell r="J2695">
            <v>0</v>
          </cell>
          <cell r="K2695">
            <v>0</v>
          </cell>
          <cell r="L2695">
            <v>0</v>
          </cell>
        </row>
        <row r="2696">
          <cell r="A2696" t="str">
            <v>20617.00366</v>
          </cell>
          <cell r="B2696" t="str">
            <v>JOINT LONG=5150MM EN NEOPRENE</v>
          </cell>
          <cell r="C2696" t="str">
            <v>MODELE 30-240 PLAN 2812 N° 240-200 REP 223-3/4</v>
          </cell>
          <cell r="D2696" t="str">
            <v>PE</v>
          </cell>
          <cell r="E2696" t="str">
            <v>515.51506</v>
          </cell>
          <cell r="F2696">
            <v>174.63310000000001</v>
          </cell>
          <cell r="G2696">
            <v>0</v>
          </cell>
          <cell r="H2696">
            <v>0</v>
          </cell>
          <cell r="I2696">
            <v>0</v>
          </cell>
          <cell r="J2696">
            <v>0</v>
          </cell>
          <cell r="K2696">
            <v>0</v>
          </cell>
          <cell r="L2696">
            <v>0</v>
          </cell>
        </row>
        <row r="2697">
          <cell r="A2697" t="str">
            <v>20630.00729</v>
          </cell>
          <cell r="B2697" t="str">
            <v>GARNITURE MECANIQUE COMPLETE</v>
          </cell>
          <cell r="C2697" t="str">
            <v xml:space="preserve">LATTY S 060 P/POMPE GLENWED / REINHUTTE RN 100/400 CS </v>
          </cell>
          <cell r="D2697" t="str">
            <v>PE</v>
          </cell>
          <cell r="E2697" t="str">
            <v>522.52207</v>
          </cell>
          <cell r="F2697">
            <v>10566.6667</v>
          </cell>
          <cell r="G2697">
            <v>0</v>
          </cell>
          <cell r="H2697">
            <v>0</v>
          </cell>
          <cell r="I2697">
            <v>2</v>
          </cell>
          <cell r="J2697">
            <v>0</v>
          </cell>
          <cell r="K2697">
            <v>0</v>
          </cell>
          <cell r="L2697">
            <v>4</v>
          </cell>
        </row>
        <row r="2698">
          <cell r="A2698" t="str">
            <v>20630.00730</v>
          </cell>
          <cell r="B2698" t="str">
            <v>GARNITURE MECANIQUE REP: 433, REF:M486253</v>
          </cell>
          <cell r="C2698" t="str">
            <v>BURGMANN  AQ1EMG/BQ1EMG,  P/POMPE APOLLO GLKV-100B/5-827/TN 1275434/01-SZ</v>
          </cell>
          <cell r="D2698" t="str">
            <v>PE</v>
          </cell>
          <cell r="E2698" t="str">
            <v>522.52207</v>
          </cell>
          <cell r="F2698">
            <v>48619.66</v>
          </cell>
          <cell r="G2698">
            <v>0</v>
          </cell>
          <cell r="H2698">
            <v>0</v>
          </cell>
          <cell r="I2698">
            <v>0</v>
          </cell>
          <cell r="J2698">
            <v>0</v>
          </cell>
          <cell r="K2698">
            <v>0</v>
          </cell>
          <cell r="L2698">
            <v>3</v>
          </cell>
        </row>
        <row r="2699">
          <cell r="A2699" t="str">
            <v>20630.00731</v>
          </cell>
          <cell r="B2699" t="str">
            <v>GARNITURE MECANIQUE</v>
          </cell>
          <cell r="C2699" t="str">
            <v>BURGMANN, TYPE: H75F2/65-E3-A1 DIAM: 65MM API 682 CODE AQ1EGG</v>
          </cell>
          <cell r="D2699" t="str">
            <v>PE</v>
          </cell>
          <cell r="E2699" t="str">
            <v>522.52207</v>
          </cell>
          <cell r="F2699">
            <v>62323.5</v>
          </cell>
          <cell r="G2699">
            <v>0</v>
          </cell>
          <cell r="H2699">
            <v>0</v>
          </cell>
          <cell r="I2699">
            <v>0</v>
          </cell>
          <cell r="J2699">
            <v>0</v>
          </cell>
          <cell r="K2699">
            <v>0</v>
          </cell>
          <cell r="L2699">
            <v>2</v>
          </cell>
        </row>
        <row r="2700">
          <cell r="A2700" t="str">
            <v>20617.00079</v>
          </cell>
          <cell r="B2700" t="str">
            <v>GALET DE ROULEMENT</v>
          </cell>
          <cell r="C2700" t="str">
            <v>PLAN 2721-165-EE- 410 REP 412-1  P/FILTRE PRAYON 30-165-EE MATIERE FONTE+POLYURETHANE</v>
          </cell>
          <cell r="D2700" t="str">
            <v>PE</v>
          </cell>
          <cell r="E2700" t="str">
            <v>515.51506</v>
          </cell>
          <cell r="F2700">
            <v>8039.1397999999999</v>
          </cell>
          <cell r="G2700">
            <v>0</v>
          </cell>
          <cell r="H2700">
            <v>0</v>
          </cell>
          <cell r="I2700">
            <v>14</v>
          </cell>
          <cell r="J2700">
            <v>0</v>
          </cell>
          <cell r="K2700">
            <v>0</v>
          </cell>
          <cell r="L2700">
            <v>0</v>
          </cell>
        </row>
        <row r="2701">
          <cell r="A2701" t="str">
            <v>20630.00837</v>
          </cell>
          <cell r="B2701" t="str">
            <v>GARNITURE MECANIQUE DOUBLE TYPE CARTOUCHE</v>
          </cell>
          <cell r="C2701" t="str">
            <v>AESSEAL P/TYPE AGCD PL: 8012558 DIAM 80MM PROTECTION UB6</v>
          </cell>
          <cell r="D2701" t="str">
            <v>PE</v>
          </cell>
          <cell r="E2701" t="str">
            <v>522.52207</v>
          </cell>
          <cell r="F2701">
            <v>39918</v>
          </cell>
          <cell r="G2701">
            <v>0</v>
          </cell>
          <cell r="H2701">
            <v>0</v>
          </cell>
          <cell r="I2701">
            <v>0</v>
          </cell>
          <cell r="J2701">
            <v>0</v>
          </cell>
          <cell r="K2701">
            <v>0</v>
          </cell>
          <cell r="L2701">
            <v>2</v>
          </cell>
        </row>
        <row r="2702">
          <cell r="A2702" t="str">
            <v>20630.00838</v>
          </cell>
          <cell r="B2702" t="str">
            <v>GARNITURE MECANIQUE DOUBLE TYPE CARTOUCHE</v>
          </cell>
          <cell r="C2702" t="str">
            <v>AESSEAL P/TYPE AGCD PL: 8010725 DIAM 40MM PROTECTION UB6</v>
          </cell>
          <cell r="D2702" t="str">
            <v>PE</v>
          </cell>
          <cell r="E2702" t="str">
            <v>522.52207</v>
          </cell>
          <cell r="F2702">
            <v>15371</v>
          </cell>
          <cell r="G2702">
            <v>0</v>
          </cell>
          <cell r="H2702">
            <v>3</v>
          </cell>
          <cell r="I2702">
            <v>2</v>
          </cell>
          <cell r="J2702">
            <v>0</v>
          </cell>
          <cell r="K2702">
            <v>0</v>
          </cell>
          <cell r="L2702">
            <v>1</v>
          </cell>
        </row>
        <row r="2703">
          <cell r="A2703" t="str">
            <v>20630.00839</v>
          </cell>
          <cell r="B2703" t="str">
            <v>GARNITURE MECANIQUE DOUBLE TYPE CARTOUCHE</v>
          </cell>
          <cell r="C2703" t="str">
            <v>AESSEAL P/TYPE DMSF PL: 7109488 DIAM 60MM PROTECTION UB6</v>
          </cell>
          <cell r="D2703" t="str">
            <v>PE</v>
          </cell>
          <cell r="E2703" t="str">
            <v>522.52207</v>
          </cell>
          <cell r="F2703">
            <v>26940</v>
          </cell>
          <cell r="G2703">
            <v>0</v>
          </cell>
          <cell r="H2703">
            <v>0</v>
          </cell>
          <cell r="I2703">
            <v>0</v>
          </cell>
          <cell r="J2703">
            <v>0</v>
          </cell>
          <cell r="K2703">
            <v>0</v>
          </cell>
          <cell r="L2703">
            <v>0</v>
          </cell>
        </row>
        <row r="2704">
          <cell r="A2704" t="str">
            <v>20630.00840</v>
          </cell>
          <cell r="B2704" t="str">
            <v>GARNITURE MECANIQUE DOUBLE TYPE CARTOUCHE</v>
          </cell>
          <cell r="C2704" t="str">
            <v>AESSEAL P/TYPE AGCD PL: 8010725 DIAM 40MM PROTECTION 316L</v>
          </cell>
          <cell r="D2704" t="str">
            <v>PE</v>
          </cell>
          <cell r="E2704" t="str">
            <v>522.52207</v>
          </cell>
          <cell r="F2704">
            <v>23000</v>
          </cell>
          <cell r="G2704">
            <v>0</v>
          </cell>
          <cell r="H2704">
            <v>1</v>
          </cell>
          <cell r="I2704">
            <v>0</v>
          </cell>
          <cell r="J2704">
            <v>0</v>
          </cell>
          <cell r="K2704">
            <v>2</v>
          </cell>
          <cell r="L2704">
            <v>5</v>
          </cell>
        </row>
        <row r="2705">
          <cell r="A2705" t="str">
            <v>20630.00841</v>
          </cell>
          <cell r="B2705" t="str">
            <v>GARNITURE MECANIQUE DOUBLE TYPE CARTOUCHE</v>
          </cell>
          <cell r="C2705" t="str">
            <v>AESSEAL P/TYPE AGCD PL: 8006592 DIAM 60MM PROTECTION UB6</v>
          </cell>
          <cell r="D2705" t="str">
            <v>PE</v>
          </cell>
          <cell r="E2705" t="str">
            <v>522.52207</v>
          </cell>
          <cell r="F2705">
            <v>24640.325000000001</v>
          </cell>
          <cell r="G2705">
            <v>0</v>
          </cell>
          <cell r="H2705">
            <v>1</v>
          </cell>
          <cell r="I2705">
            <v>1</v>
          </cell>
          <cell r="J2705">
            <v>0</v>
          </cell>
          <cell r="K2705">
            <v>0</v>
          </cell>
          <cell r="L2705">
            <v>3</v>
          </cell>
        </row>
        <row r="2706">
          <cell r="A2706" t="str">
            <v>20617.00211</v>
          </cell>
          <cell r="B2706" t="str">
            <v>INJECTEUR SL-1/2</v>
          </cell>
          <cell r="C2706" t="str">
            <v>24-135EE REP 22-25</v>
          </cell>
          <cell r="D2706" t="str">
            <v>PE</v>
          </cell>
          <cell r="E2706" t="str">
            <v>515.51506</v>
          </cell>
          <cell r="F2706">
            <v>2786.9373000000001</v>
          </cell>
          <cell r="G2706">
            <v>0</v>
          </cell>
          <cell r="H2706">
            <v>0</v>
          </cell>
          <cell r="I2706">
            <v>0</v>
          </cell>
          <cell r="J2706">
            <v>0</v>
          </cell>
          <cell r="K2706">
            <v>6</v>
          </cell>
          <cell r="L2706">
            <v>0</v>
          </cell>
        </row>
        <row r="2707">
          <cell r="A2707" t="str">
            <v>20617.00212</v>
          </cell>
          <cell r="B2707" t="str">
            <v>INJECTEUR SL-32/4</v>
          </cell>
          <cell r="C2707" t="str">
            <v>24-135EE REP 22-81</v>
          </cell>
          <cell r="D2707" t="str">
            <v>PE</v>
          </cell>
          <cell r="E2707" t="str">
            <v>515.51506</v>
          </cell>
          <cell r="F2707">
            <v>2178.1316000000002</v>
          </cell>
          <cell r="G2707">
            <v>0</v>
          </cell>
          <cell r="H2707">
            <v>0</v>
          </cell>
          <cell r="I2707">
            <v>0</v>
          </cell>
          <cell r="J2707">
            <v>0</v>
          </cell>
          <cell r="K2707">
            <v>2</v>
          </cell>
          <cell r="L2707">
            <v>0</v>
          </cell>
        </row>
        <row r="2708">
          <cell r="A2708" t="str">
            <v>20617.00575</v>
          </cell>
          <cell r="B2708" t="str">
            <v>VOYANT</v>
          </cell>
          <cell r="C2708" t="str">
            <v>24-135EE PLAN 2805-135EE 100-2/3 REP 121-20</v>
          </cell>
          <cell r="D2708" t="str">
            <v>PE</v>
          </cell>
          <cell r="E2708" t="str">
            <v>515.51506</v>
          </cell>
          <cell r="F2708">
            <v>2220.8000000000002</v>
          </cell>
          <cell r="G2708">
            <v>0</v>
          </cell>
          <cell r="H2708">
            <v>0</v>
          </cell>
          <cell r="I2708">
            <v>0</v>
          </cell>
          <cell r="J2708">
            <v>0</v>
          </cell>
          <cell r="K2708">
            <v>0</v>
          </cell>
          <cell r="L2708">
            <v>0</v>
          </cell>
        </row>
        <row r="2709">
          <cell r="A2709" t="str">
            <v>20617.00576</v>
          </cell>
          <cell r="B2709" t="str">
            <v>JOINT</v>
          </cell>
          <cell r="C2709" t="str">
            <v>24-135EE PLAN 2805-135EE 100-2/3 REP 121-19</v>
          </cell>
          <cell r="D2709" t="str">
            <v>PE</v>
          </cell>
          <cell r="E2709" t="str">
            <v>515.51506</v>
          </cell>
          <cell r="F2709">
            <v>353.19369999999998</v>
          </cell>
          <cell r="G2709">
            <v>0</v>
          </cell>
          <cell r="H2709">
            <v>0</v>
          </cell>
          <cell r="I2709">
            <v>0</v>
          </cell>
          <cell r="J2709">
            <v>0</v>
          </cell>
          <cell r="K2709">
            <v>0</v>
          </cell>
          <cell r="L2709">
            <v>0</v>
          </cell>
        </row>
        <row r="2710">
          <cell r="A2710" t="str">
            <v>20617.00213</v>
          </cell>
          <cell r="B2710" t="str">
            <v>ADAPTATEUR POUR SL 32 DIA-6</v>
          </cell>
          <cell r="C2710" t="str">
            <v>24-135EE SANS REP</v>
          </cell>
          <cell r="D2710" t="str">
            <v>PE</v>
          </cell>
          <cell r="E2710" t="str">
            <v>515.51506</v>
          </cell>
          <cell r="F2710">
            <v>65.462999999999994</v>
          </cell>
          <cell r="G2710">
            <v>0</v>
          </cell>
          <cell r="H2710">
            <v>0</v>
          </cell>
          <cell r="I2710">
            <v>0</v>
          </cell>
          <cell r="J2710">
            <v>0</v>
          </cell>
          <cell r="K2710">
            <v>0</v>
          </cell>
          <cell r="L2710">
            <v>0</v>
          </cell>
        </row>
        <row r="2711">
          <cell r="A2711" t="str">
            <v>20617.00219</v>
          </cell>
          <cell r="B2711" t="str">
            <v>VERIN 4 POUCES COURSE 15 POUCES 3/4</v>
          </cell>
          <cell r="C2711" t="str">
            <v>24-135EE REP 151-7</v>
          </cell>
          <cell r="D2711" t="str">
            <v>PE</v>
          </cell>
          <cell r="E2711" t="str">
            <v>515.51506</v>
          </cell>
          <cell r="F2711">
            <v>35873.709199999998</v>
          </cell>
          <cell r="G2711">
            <v>0</v>
          </cell>
          <cell r="H2711">
            <v>0</v>
          </cell>
          <cell r="I2711">
            <v>0</v>
          </cell>
          <cell r="J2711">
            <v>0</v>
          </cell>
          <cell r="K2711">
            <v>0</v>
          </cell>
          <cell r="L2711">
            <v>0</v>
          </cell>
        </row>
        <row r="2712">
          <cell r="A2712" t="str">
            <v>20617.00220</v>
          </cell>
          <cell r="B2712" t="str">
            <v>SOUFFLET DE PROTECTION</v>
          </cell>
          <cell r="C2712" t="str">
            <v>24-135EE REP 151-8</v>
          </cell>
          <cell r="D2712" t="str">
            <v>PE</v>
          </cell>
          <cell r="E2712" t="str">
            <v>515.51506</v>
          </cell>
          <cell r="F2712">
            <v>1943.2</v>
          </cell>
          <cell r="G2712">
            <v>0</v>
          </cell>
          <cell r="H2712">
            <v>0</v>
          </cell>
          <cell r="I2712">
            <v>0</v>
          </cell>
          <cell r="J2712">
            <v>0</v>
          </cell>
          <cell r="K2712">
            <v>0</v>
          </cell>
          <cell r="L2712">
            <v>2</v>
          </cell>
        </row>
        <row r="2713">
          <cell r="A2713" t="str">
            <v>20617.00221</v>
          </cell>
          <cell r="B2713" t="str">
            <v>SOUFFLET DE  PROTECTION</v>
          </cell>
          <cell r="C2713" t="str">
            <v>24-135EE REP 151-27</v>
          </cell>
          <cell r="D2713" t="str">
            <v>PE</v>
          </cell>
          <cell r="E2713" t="str">
            <v>515.51506</v>
          </cell>
          <cell r="F2713">
            <v>2220.8000000000002</v>
          </cell>
          <cell r="G2713">
            <v>0</v>
          </cell>
          <cell r="H2713">
            <v>0</v>
          </cell>
          <cell r="I2713">
            <v>0</v>
          </cell>
          <cell r="J2713">
            <v>0</v>
          </cell>
          <cell r="K2713">
            <v>0</v>
          </cell>
          <cell r="L2713">
            <v>6</v>
          </cell>
        </row>
        <row r="2714">
          <cell r="A2714" t="str">
            <v>20617.00222</v>
          </cell>
          <cell r="B2714" t="str">
            <v>SOUFFLET  DE  PROTECTION</v>
          </cell>
          <cell r="C2714" t="str">
            <v>24-135EE REP 151-28</v>
          </cell>
          <cell r="D2714" t="str">
            <v>PE</v>
          </cell>
          <cell r="E2714" t="str">
            <v>515.51506</v>
          </cell>
          <cell r="F2714">
            <v>1832.16</v>
          </cell>
          <cell r="G2714">
            <v>0</v>
          </cell>
          <cell r="H2714">
            <v>0</v>
          </cell>
          <cell r="I2714">
            <v>0</v>
          </cell>
          <cell r="J2714">
            <v>0</v>
          </cell>
          <cell r="K2714">
            <v>0</v>
          </cell>
          <cell r="L2714">
            <v>6</v>
          </cell>
        </row>
        <row r="2715">
          <cell r="A2715" t="str">
            <v>20617.00223</v>
          </cell>
          <cell r="B2715" t="str">
            <v>BUSELURE</v>
          </cell>
          <cell r="C2715" t="str">
            <v>24-135EE REP 151-9</v>
          </cell>
          <cell r="D2715" t="str">
            <v>PE</v>
          </cell>
          <cell r="E2715" t="str">
            <v>515.51506</v>
          </cell>
          <cell r="F2715">
            <v>355.32799999999997</v>
          </cell>
          <cell r="G2715">
            <v>0</v>
          </cell>
          <cell r="H2715">
            <v>0</v>
          </cell>
          <cell r="I2715">
            <v>0</v>
          </cell>
          <cell r="J2715">
            <v>0</v>
          </cell>
          <cell r="K2715">
            <v>0</v>
          </cell>
          <cell r="L2715">
            <v>6</v>
          </cell>
        </row>
        <row r="2716">
          <cell r="A2716" t="str">
            <v>20617.00225</v>
          </cell>
          <cell r="B2716" t="str">
            <v>DISQUE</v>
          </cell>
          <cell r="C2716" t="str">
            <v>24-135EE REP 162-2</v>
          </cell>
          <cell r="D2716" t="str">
            <v>PE</v>
          </cell>
          <cell r="E2716" t="str">
            <v>515.51506</v>
          </cell>
          <cell r="F2716">
            <v>2523.3000999999999</v>
          </cell>
          <cell r="G2716">
            <v>0</v>
          </cell>
          <cell r="H2716">
            <v>0</v>
          </cell>
          <cell r="I2716">
            <v>0</v>
          </cell>
          <cell r="J2716">
            <v>0</v>
          </cell>
          <cell r="K2716">
            <v>1</v>
          </cell>
          <cell r="L2716">
            <v>0</v>
          </cell>
        </row>
        <row r="2717">
          <cell r="A2717" t="str">
            <v>20617.00226</v>
          </cell>
          <cell r="B2717" t="str">
            <v>BOUCHON A SIX PANS CREUX G3/4 DE POUCE DIN 906</v>
          </cell>
          <cell r="C2717" t="str">
            <v>24-135EE REP 162-13</v>
          </cell>
          <cell r="D2717" t="str">
            <v>PE</v>
          </cell>
          <cell r="E2717" t="str">
            <v>515.51506</v>
          </cell>
          <cell r="F2717">
            <v>202.34010000000001</v>
          </cell>
          <cell r="G2717">
            <v>0</v>
          </cell>
          <cell r="H2717">
            <v>0</v>
          </cell>
          <cell r="I2717">
            <v>0</v>
          </cell>
          <cell r="J2717">
            <v>0</v>
          </cell>
          <cell r="K2717">
            <v>2</v>
          </cell>
          <cell r="L2717">
            <v>0</v>
          </cell>
        </row>
        <row r="2718">
          <cell r="A2718" t="str">
            <v>20617.00227</v>
          </cell>
          <cell r="B2718" t="str">
            <v>AXE</v>
          </cell>
          <cell r="C2718" t="str">
            <v>24-135EE REP 214-2</v>
          </cell>
          <cell r="D2718" t="str">
            <v>PE</v>
          </cell>
          <cell r="E2718" t="str">
            <v>515.51506</v>
          </cell>
          <cell r="F2718">
            <v>747.17340000000002</v>
          </cell>
          <cell r="G2718">
            <v>0</v>
          </cell>
          <cell r="H2718">
            <v>60</v>
          </cell>
          <cell r="I2718">
            <v>9</v>
          </cell>
          <cell r="J2718">
            <v>0</v>
          </cell>
          <cell r="K2718">
            <v>0</v>
          </cell>
          <cell r="L2718">
            <v>27</v>
          </cell>
        </row>
        <row r="2719">
          <cell r="A2719" t="str">
            <v>20632.00271</v>
          </cell>
          <cell r="B2719" t="str">
            <v>THERMOCOUPLE GAINE CERAMIQUE</v>
          </cell>
          <cell r="C2719" t="str">
            <v>TYPE R L:1122MM D:22 1"NPT L/PUIT:762MM REP:101TT103</v>
          </cell>
          <cell r="D2719" t="str">
            <v>PE</v>
          </cell>
          <cell r="E2719" t="str">
            <v>512.51201</v>
          </cell>
          <cell r="F2719">
            <v>16709.93</v>
          </cell>
          <cell r="G2719">
            <v>0</v>
          </cell>
          <cell r="H2719">
            <v>0</v>
          </cell>
          <cell r="I2719">
            <v>0</v>
          </cell>
          <cell r="J2719">
            <v>0</v>
          </cell>
          <cell r="K2719">
            <v>0</v>
          </cell>
          <cell r="L2719">
            <v>0</v>
          </cell>
        </row>
        <row r="2720">
          <cell r="A2720" t="str">
            <v>20632.00298</v>
          </cell>
          <cell r="B2720" t="str">
            <v>CAPTEUR PYROSONDE PT100</v>
          </cell>
          <cell r="C2720" t="str">
            <v>D037752-005 L=3600MM</v>
          </cell>
          <cell r="D2720" t="str">
            <v>PE</v>
          </cell>
          <cell r="E2720" t="str">
            <v>512.51201</v>
          </cell>
          <cell r="F2720">
            <v>48360.65</v>
          </cell>
          <cell r="G2720">
            <v>4</v>
          </cell>
          <cell r="H2720">
            <v>0</v>
          </cell>
          <cell r="I2720">
            <v>0</v>
          </cell>
          <cell r="J2720">
            <v>0</v>
          </cell>
          <cell r="K2720">
            <v>4</v>
          </cell>
          <cell r="L2720">
            <v>0</v>
          </cell>
        </row>
        <row r="2721">
          <cell r="A2721" t="str">
            <v>20617.00224</v>
          </cell>
          <cell r="B2721" t="str">
            <v>JOINT QUAD RING 170.82X7,0</v>
          </cell>
          <cell r="C2721" t="str">
            <v>24-135EE REP 162-14</v>
          </cell>
          <cell r="D2721" t="str">
            <v>PE</v>
          </cell>
          <cell r="E2721" t="str">
            <v>515.51506</v>
          </cell>
          <cell r="F2721">
            <v>184.48660000000001</v>
          </cell>
          <cell r="G2721">
            <v>0</v>
          </cell>
          <cell r="H2721">
            <v>0</v>
          </cell>
          <cell r="I2721">
            <v>0</v>
          </cell>
          <cell r="J2721">
            <v>0</v>
          </cell>
          <cell r="K2721">
            <v>4</v>
          </cell>
          <cell r="L2721">
            <v>0</v>
          </cell>
        </row>
        <row r="2722">
          <cell r="A2722" t="str">
            <v>20617.00228</v>
          </cell>
          <cell r="B2722" t="str">
            <v>CIRCLIPS</v>
          </cell>
          <cell r="C2722" t="str">
            <v>24-135EE REP 214-8</v>
          </cell>
          <cell r="D2722" t="str">
            <v>PE</v>
          </cell>
          <cell r="E2722" t="str">
            <v>515.51506</v>
          </cell>
          <cell r="F2722">
            <v>37.884</v>
          </cell>
          <cell r="G2722">
            <v>20</v>
          </cell>
          <cell r="H2722">
            <v>60</v>
          </cell>
          <cell r="I2722">
            <v>0</v>
          </cell>
          <cell r="J2722">
            <v>0</v>
          </cell>
          <cell r="K2722">
            <v>0</v>
          </cell>
          <cell r="L2722">
            <v>16</v>
          </cell>
        </row>
        <row r="2723">
          <cell r="A2723" t="str">
            <v>20617.00229</v>
          </cell>
          <cell r="B2723" t="str">
            <v>GALET</v>
          </cell>
          <cell r="C2723" t="str">
            <v>24-135EE REP 214-10</v>
          </cell>
          <cell r="D2723" t="str">
            <v>PE</v>
          </cell>
          <cell r="E2723" t="str">
            <v>515.51506</v>
          </cell>
          <cell r="F2723">
            <v>2922.6968000000002</v>
          </cell>
          <cell r="G2723">
            <v>0</v>
          </cell>
          <cell r="H2723">
            <v>115</v>
          </cell>
          <cell r="I2723">
            <v>28</v>
          </cell>
          <cell r="J2723">
            <v>0</v>
          </cell>
          <cell r="K2723">
            <v>0</v>
          </cell>
          <cell r="L2723">
            <v>49</v>
          </cell>
        </row>
        <row r="2724">
          <cell r="A2724" t="str">
            <v>20617.00230</v>
          </cell>
          <cell r="B2724" t="str">
            <v>BAGUE</v>
          </cell>
          <cell r="C2724" t="str">
            <v>24-135EE REP 214-17</v>
          </cell>
          <cell r="D2724" t="str">
            <v>PE</v>
          </cell>
          <cell r="E2724" t="str">
            <v>515.51506</v>
          </cell>
          <cell r="F2724">
            <v>248.489</v>
          </cell>
          <cell r="G2724">
            <v>30</v>
          </cell>
          <cell r="H2724">
            <v>0</v>
          </cell>
          <cell r="I2724">
            <v>0</v>
          </cell>
          <cell r="J2724">
            <v>0</v>
          </cell>
          <cell r="K2724">
            <v>0</v>
          </cell>
          <cell r="L2724">
            <v>66</v>
          </cell>
        </row>
        <row r="2725">
          <cell r="A2725" t="str">
            <v>20617.00231</v>
          </cell>
          <cell r="B2725" t="str">
            <v>CLAME</v>
          </cell>
          <cell r="C2725" t="str">
            <v>24-135EE REP 213-1</v>
          </cell>
          <cell r="D2725" t="str">
            <v>PE</v>
          </cell>
          <cell r="E2725" t="str">
            <v>515.51506</v>
          </cell>
          <cell r="F2725">
            <v>13563.928</v>
          </cell>
          <cell r="G2725">
            <v>0</v>
          </cell>
          <cell r="H2725">
            <v>0</v>
          </cell>
          <cell r="I2725">
            <v>0</v>
          </cell>
          <cell r="J2725">
            <v>0</v>
          </cell>
          <cell r="K2725">
            <v>6</v>
          </cell>
          <cell r="L2725">
            <v>0</v>
          </cell>
        </row>
        <row r="2726">
          <cell r="A2726" t="str">
            <v>20617.00233</v>
          </cell>
          <cell r="B2726" t="str">
            <v>CLAME</v>
          </cell>
          <cell r="C2726" t="str">
            <v>24-135EE REP 213-3</v>
          </cell>
          <cell r="D2726" t="str">
            <v>PE</v>
          </cell>
          <cell r="E2726" t="str">
            <v>515.51506</v>
          </cell>
          <cell r="F2726">
            <v>13563.928</v>
          </cell>
          <cell r="G2726">
            <v>0</v>
          </cell>
          <cell r="H2726">
            <v>0</v>
          </cell>
          <cell r="I2726">
            <v>0</v>
          </cell>
          <cell r="J2726">
            <v>0</v>
          </cell>
          <cell r="K2726">
            <v>6</v>
          </cell>
          <cell r="L2726">
            <v>0</v>
          </cell>
        </row>
        <row r="2727">
          <cell r="A2727" t="str">
            <v>20617.00297</v>
          </cell>
          <cell r="B2727" t="str">
            <v>DEMI COUSSINET EXTERIEUR EN ST52-3</v>
          </cell>
          <cell r="C2727" t="str">
            <v>MODELE 30-240 PLAN 2812 N° 240-202 REP 219-2</v>
          </cell>
          <cell r="D2727" t="str">
            <v>PE</v>
          </cell>
          <cell r="E2727" t="str">
            <v>515.51506</v>
          </cell>
          <cell r="F2727">
            <v>7497.5998</v>
          </cell>
          <cell r="G2727">
            <v>0</v>
          </cell>
          <cell r="H2727">
            <v>0</v>
          </cell>
          <cell r="I2727">
            <v>0</v>
          </cell>
          <cell r="J2727">
            <v>0</v>
          </cell>
          <cell r="K2727">
            <v>0</v>
          </cell>
          <cell r="L2727">
            <v>0</v>
          </cell>
        </row>
        <row r="2728">
          <cell r="A2728" t="str">
            <v>20617.00234</v>
          </cell>
          <cell r="B2728" t="str">
            <v>CLAME</v>
          </cell>
          <cell r="C2728" t="str">
            <v>24-135EE REP 213-4</v>
          </cell>
          <cell r="D2728" t="str">
            <v>PE</v>
          </cell>
          <cell r="E2728" t="str">
            <v>515.51506</v>
          </cell>
          <cell r="F2728">
            <v>12280.8537</v>
          </cell>
          <cell r="G2728">
            <v>0</v>
          </cell>
          <cell r="H2728">
            <v>0</v>
          </cell>
          <cell r="I2728">
            <v>0</v>
          </cell>
          <cell r="J2728">
            <v>0</v>
          </cell>
          <cell r="K2728">
            <v>6</v>
          </cell>
          <cell r="L2728">
            <v>0</v>
          </cell>
        </row>
        <row r="2729">
          <cell r="A2729" t="str">
            <v>20617.00235</v>
          </cell>
          <cell r="B2729" t="str">
            <v>COINS</v>
          </cell>
          <cell r="C2729" t="str">
            <v>24-135EE REP 213-5</v>
          </cell>
          <cell r="D2729" t="str">
            <v>PE</v>
          </cell>
          <cell r="E2729" t="str">
            <v>515.51506</v>
          </cell>
          <cell r="F2729">
            <v>1178.3335</v>
          </cell>
          <cell r="G2729">
            <v>0</v>
          </cell>
          <cell r="H2729">
            <v>0</v>
          </cell>
          <cell r="I2729">
            <v>0</v>
          </cell>
          <cell r="J2729">
            <v>0</v>
          </cell>
          <cell r="K2729">
            <v>0</v>
          </cell>
          <cell r="L2729">
            <v>0</v>
          </cell>
        </row>
        <row r="2730">
          <cell r="A2730" t="str">
            <v>20617.00242</v>
          </cell>
          <cell r="B2730" t="str">
            <v>AXE</v>
          </cell>
          <cell r="C2730" t="str">
            <v>24-135EE REP 741-7</v>
          </cell>
          <cell r="D2730" t="str">
            <v>PE</v>
          </cell>
          <cell r="E2730" t="str">
            <v>515.51506</v>
          </cell>
          <cell r="F2730">
            <v>2329.9186</v>
          </cell>
          <cell r="G2730">
            <v>0</v>
          </cell>
          <cell r="H2730">
            <v>0</v>
          </cell>
          <cell r="I2730">
            <v>0</v>
          </cell>
          <cell r="J2730">
            <v>0</v>
          </cell>
          <cell r="K2730">
            <v>0</v>
          </cell>
          <cell r="L2730">
            <v>1</v>
          </cell>
        </row>
        <row r="2731">
          <cell r="A2731" t="str">
            <v>20617.00232</v>
          </cell>
          <cell r="B2731" t="str">
            <v>CLAME</v>
          </cell>
          <cell r="C2731" t="str">
            <v>24-135EE REP 213-2</v>
          </cell>
          <cell r="D2731" t="str">
            <v>PE</v>
          </cell>
          <cell r="E2731" t="str">
            <v>515.51506</v>
          </cell>
          <cell r="F2731">
            <v>22728.744200000001</v>
          </cell>
          <cell r="G2731">
            <v>0</v>
          </cell>
          <cell r="H2731">
            <v>0</v>
          </cell>
          <cell r="I2731">
            <v>0</v>
          </cell>
          <cell r="J2731">
            <v>0</v>
          </cell>
          <cell r="K2731">
            <v>5</v>
          </cell>
          <cell r="L2731">
            <v>0</v>
          </cell>
        </row>
        <row r="2732">
          <cell r="A2732" t="str">
            <v>20617.00236</v>
          </cell>
          <cell r="B2732" t="str">
            <v>2 DEMI  BAGUE D'USURE INTERIEUR</v>
          </cell>
          <cell r="C2732" t="str">
            <v>24-135EE REP 218-1</v>
          </cell>
          <cell r="D2732" t="str">
            <v>PE</v>
          </cell>
          <cell r="E2732" t="str">
            <v>515.51506</v>
          </cell>
          <cell r="F2732">
            <v>3313.1869999999999</v>
          </cell>
          <cell r="G2732">
            <v>25</v>
          </cell>
          <cell r="H2732">
            <v>70</v>
          </cell>
          <cell r="I2732">
            <v>0</v>
          </cell>
          <cell r="J2732">
            <v>0</v>
          </cell>
          <cell r="K2732">
            <v>0</v>
          </cell>
          <cell r="L2732">
            <v>1</v>
          </cell>
        </row>
        <row r="2733">
          <cell r="A2733" t="str">
            <v>20617.00243</v>
          </cell>
          <cell r="B2733" t="str">
            <v>BUSELURE</v>
          </cell>
          <cell r="C2733" t="str">
            <v>24-135EE REP 741-9</v>
          </cell>
          <cell r="D2733" t="str">
            <v>PE</v>
          </cell>
          <cell r="E2733" t="str">
            <v>515.51506</v>
          </cell>
          <cell r="F2733">
            <v>780.20209999999997</v>
          </cell>
          <cell r="G2733">
            <v>0</v>
          </cell>
          <cell r="H2733">
            <v>0</v>
          </cell>
          <cell r="I2733">
            <v>0</v>
          </cell>
          <cell r="J2733">
            <v>0</v>
          </cell>
          <cell r="K2733">
            <v>2</v>
          </cell>
          <cell r="L2733">
            <v>1</v>
          </cell>
        </row>
        <row r="2734">
          <cell r="A2734" t="str">
            <v>20617.00237</v>
          </cell>
          <cell r="B2734" t="str">
            <v>2 DEMI BAGUE D'USURE EXTERIEUR</v>
          </cell>
          <cell r="C2734" t="str">
            <v>24-135EE REP 218-2</v>
          </cell>
          <cell r="D2734" t="str">
            <v>PE</v>
          </cell>
          <cell r="E2734" t="str">
            <v>515.51506</v>
          </cell>
          <cell r="F2734">
            <v>3011.1972000000001</v>
          </cell>
          <cell r="G2734">
            <v>0</v>
          </cell>
          <cell r="H2734">
            <v>96</v>
          </cell>
          <cell r="I2734">
            <v>50</v>
          </cell>
          <cell r="J2734">
            <v>0</v>
          </cell>
          <cell r="K2734">
            <v>0</v>
          </cell>
          <cell r="L2734">
            <v>0</v>
          </cell>
        </row>
        <row r="2735">
          <cell r="A2735" t="str">
            <v>20617.00238</v>
          </cell>
          <cell r="B2735" t="str">
            <v>BAGUE D'ETANCHEITE</v>
          </cell>
          <cell r="C2735" t="str">
            <v>24-135EE REP 511-17</v>
          </cell>
          <cell r="D2735" t="str">
            <v>PE</v>
          </cell>
          <cell r="E2735" t="str">
            <v>515.51506</v>
          </cell>
          <cell r="F2735">
            <v>1077.4457</v>
          </cell>
          <cell r="G2735">
            <v>0</v>
          </cell>
          <cell r="H2735">
            <v>0</v>
          </cell>
          <cell r="I2735">
            <v>0</v>
          </cell>
          <cell r="J2735">
            <v>0</v>
          </cell>
          <cell r="K2735">
            <v>0</v>
          </cell>
          <cell r="L2735">
            <v>1</v>
          </cell>
        </row>
        <row r="2736">
          <cell r="A2736" t="str">
            <v>20617.00239</v>
          </cell>
          <cell r="B2736" t="str">
            <v>ACCOUPLEMENT MULTIMONT DEKA M</v>
          </cell>
          <cell r="C2736" t="str">
            <v>24-135EE REP 511-19</v>
          </cell>
          <cell r="D2736" t="str">
            <v>PE</v>
          </cell>
          <cell r="E2736" t="str">
            <v>515.51506</v>
          </cell>
          <cell r="F2736">
            <v>60291.989800000003</v>
          </cell>
          <cell r="G2736">
            <v>0</v>
          </cell>
          <cell r="H2736">
            <v>1</v>
          </cell>
          <cell r="I2736">
            <v>0</v>
          </cell>
          <cell r="J2736">
            <v>0</v>
          </cell>
          <cell r="K2736">
            <v>0</v>
          </cell>
          <cell r="L2736">
            <v>0</v>
          </cell>
        </row>
        <row r="2737">
          <cell r="A2737" t="str">
            <v>20617.00240</v>
          </cell>
          <cell r="B2737" t="str">
            <v>2 DEMI-ACCOUPLEMENT</v>
          </cell>
          <cell r="C2737" t="str">
            <v>24-135EE REP 511-22</v>
          </cell>
          <cell r="D2737" t="str">
            <v>PE</v>
          </cell>
          <cell r="E2737" t="str">
            <v>515.51506</v>
          </cell>
          <cell r="F2737">
            <v>11267.158299999999</v>
          </cell>
          <cell r="G2737">
            <v>0</v>
          </cell>
          <cell r="H2737">
            <v>1</v>
          </cell>
          <cell r="I2737">
            <v>0</v>
          </cell>
          <cell r="J2737">
            <v>0</v>
          </cell>
          <cell r="K2737">
            <v>0</v>
          </cell>
          <cell r="L2737">
            <v>0</v>
          </cell>
        </row>
        <row r="2738">
          <cell r="A2738" t="str">
            <v>20617.00241</v>
          </cell>
          <cell r="B2738" t="str">
            <v>PLATEAU</v>
          </cell>
          <cell r="C2738" t="str">
            <v>24-135EE REP 511-23</v>
          </cell>
          <cell r="D2738" t="str">
            <v>PE</v>
          </cell>
          <cell r="E2738" t="str">
            <v>515.51506</v>
          </cell>
          <cell r="F2738">
            <v>822.9529</v>
          </cell>
          <cell r="G2738">
            <v>0</v>
          </cell>
          <cell r="H2738">
            <v>0</v>
          </cell>
          <cell r="I2738">
            <v>0</v>
          </cell>
          <cell r="J2738">
            <v>0</v>
          </cell>
          <cell r="K2738">
            <v>0</v>
          </cell>
          <cell r="L2738">
            <v>1</v>
          </cell>
        </row>
        <row r="2739">
          <cell r="A2739" t="str">
            <v>20617.00244</v>
          </cell>
          <cell r="B2739" t="str">
            <v>LEVIER</v>
          </cell>
          <cell r="C2739" t="str">
            <v>24-135EE REP 741-12</v>
          </cell>
          <cell r="D2739" t="str">
            <v>PE</v>
          </cell>
          <cell r="E2739" t="str">
            <v>515.51506</v>
          </cell>
          <cell r="F2739">
            <v>6936.3172999999997</v>
          </cell>
          <cell r="G2739">
            <v>0</v>
          </cell>
          <cell r="H2739">
            <v>0</v>
          </cell>
          <cell r="I2739">
            <v>0</v>
          </cell>
          <cell r="J2739">
            <v>0</v>
          </cell>
          <cell r="K2739">
            <v>2</v>
          </cell>
          <cell r="L2739">
            <v>1</v>
          </cell>
        </row>
        <row r="2740">
          <cell r="A2740" t="str">
            <v>20617.00245</v>
          </cell>
          <cell r="B2740" t="str">
            <v>AXE</v>
          </cell>
          <cell r="C2740" t="str">
            <v>24-135EE REP 741-13</v>
          </cell>
          <cell r="D2740" t="str">
            <v>PE</v>
          </cell>
          <cell r="E2740" t="str">
            <v>515.51506</v>
          </cell>
          <cell r="F2740">
            <v>398.01490000000001</v>
          </cell>
          <cell r="G2740">
            <v>0</v>
          </cell>
          <cell r="H2740">
            <v>0</v>
          </cell>
          <cell r="I2740">
            <v>0</v>
          </cell>
          <cell r="J2740">
            <v>0</v>
          </cell>
          <cell r="K2740">
            <v>2</v>
          </cell>
          <cell r="L2740">
            <v>0</v>
          </cell>
        </row>
        <row r="2741">
          <cell r="A2741" t="str">
            <v>20630.00875</v>
          </cell>
          <cell r="B2741" t="str">
            <v>JEU DE RESSORT</v>
          </cell>
          <cell r="C2741" t="str">
            <v>FLOWSERVE REF MIAX8840307 TYPE SLM 6200W PLAN C-11148 REP 16 ET 16.1</v>
          </cell>
          <cell r="D2741" t="str">
            <v>PE</v>
          </cell>
          <cell r="E2741" t="str">
            <v>522.52207</v>
          </cell>
          <cell r="F2741">
            <v>224.79689999999999</v>
          </cell>
          <cell r="G2741">
            <v>0</v>
          </cell>
          <cell r="H2741">
            <v>0</v>
          </cell>
          <cell r="I2741">
            <v>0</v>
          </cell>
          <cell r="J2741">
            <v>0</v>
          </cell>
          <cell r="K2741">
            <v>0</v>
          </cell>
          <cell r="L2741">
            <v>5</v>
          </cell>
        </row>
        <row r="2742">
          <cell r="A2742" t="str">
            <v>20630.00876</v>
          </cell>
          <cell r="B2742" t="str">
            <v>JEU DE JOINTS TORIQUE</v>
          </cell>
          <cell r="C2742" t="str">
            <v>FLOWSERVE REF 568369AF TYPE SLM 6200W PLAN C-11148 REP 18 - 18.1 ET 18.2</v>
          </cell>
          <cell r="D2742" t="str">
            <v>PE</v>
          </cell>
          <cell r="E2742" t="str">
            <v>522.52207</v>
          </cell>
          <cell r="F2742">
            <v>2129.6550000000002</v>
          </cell>
          <cell r="G2742">
            <v>0</v>
          </cell>
          <cell r="H2742">
            <v>0</v>
          </cell>
          <cell r="I2742">
            <v>0</v>
          </cell>
          <cell r="J2742">
            <v>0</v>
          </cell>
          <cell r="K2742">
            <v>0</v>
          </cell>
          <cell r="L2742">
            <v>5</v>
          </cell>
        </row>
        <row r="2743">
          <cell r="A2743" t="str">
            <v>20617.00246</v>
          </cell>
          <cell r="B2743" t="str">
            <v>AXE ROUE</v>
          </cell>
          <cell r="C2743" t="str">
            <v>24-135EE REP 741-14</v>
          </cell>
          <cell r="D2743" t="str">
            <v>PE</v>
          </cell>
          <cell r="E2743" t="str">
            <v>515.51506</v>
          </cell>
          <cell r="F2743">
            <v>1058.0823</v>
          </cell>
          <cell r="G2743">
            <v>0</v>
          </cell>
          <cell r="H2743">
            <v>0</v>
          </cell>
          <cell r="I2743">
            <v>0</v>
          </cell>
          <cell r="J2743">
            <v>0</v>
          </cell>
          <cell r="K2743">
            <v>2</v>
          </cell>
          <cell r="L2743">
            <v>1</v>
          </cell>
        </row>
        <row r="2744">
          <cell r="A2744" t="str">
            <v>20617.00247</v>
          </cell>
          <cell r="B2744" t="str">
            <v>ROUE</v>
          </cell>
          <cell r="C2744" t="str">
            <v>24-135EE REP 741-18</v>
          </cell>
          <cell r="D2744" t="str">
            <v>PE</v>
          </cell>
          <cell r="E2744" t="str">
            <v>515.51506</v>
          </cell>
          <cell r="F2744">
            <v>1556.8285000000001</v>
          </cell>
          <cell r="G2744">
            <v>0</v>
          </cell>
          <cell r="H2744">
            <v>0</v>
          </cell>
          <cell r="I2744">
            <v>0</v>
          </cell>
          <cell r="J2744">
            <v>0</v>
          </cell>
          <cell r="K2744">
            <v>2</v>
          </cell>
          <cell r="L2744">
            <v>0</v>
          </cell>
        </row>
        <row r="2745">
          <cell r="A2745" t="str">
            <v>20617.00249</v>
          </cell>
          <cell r="B2745" t="str">
            <v>ENTRETOISE</v>
          </cell>
          <cell r="C2745" t="str">
            <v>24-135EE REP 741-21</v>
          </cell>
          <cell r="D2745" t="str">
            <v>PE</v>
          </cell>
          <cell r="E2745" t="str">
            <v>515.51506</v>
          </cell>
          <cell r="F2745">
            <v>209.48150000000001</v>
          </cell>
          <cell r="G2745">
            <v>0</v>
          </cell>
          <cell r="H2745">
            <v>0</v>
          </cell>
          <cell r="I2745">
            <v>0</v>
          </cell>
          <cell r="J2745">
            <v>0</v>
          </cell>
          <cell r="K2745">
            <v>2</v>
          </cell>
          <cell r="L2745">
            <v>0</v>
          </cell>
        </row>
        <row r="2746">
          <cell r="A2746" t="str">
            <v>20630.00616</v>
          </cell>
          <cell r="B2746" t="str">
            <v>ACCOUPLEMENT</v>
          </cell>
          <cell r="C2746" t="str">
            <v>BURGMANN RIGIFLEX N140 L=250</v>
          </cell>
          <cell r="D2746" t="str">
            <v>PE</v>
          </cell>
          <cell r="E2746" t="str">
            <v>522.52207</v>
          </cell>
          <cell r="F2746">
            <v>74606.615999999995</v>
          </cell>
          <cell r="G2746">
            <v>0</v>
          </cell>
          <cell r="H2746">
            <v>0</v>
          </cell>
          <cell r="I2746">
            <v>0</v>
          </cell>
          <cell r="J2746">
            <v>0</v>
          </cell>
          <cell r="K2746">
            <v>0</v>
          </cell>
          <cell r="L2746">
            <v>0</v>
          </cell>
        </row>
        <row r="2747">
          <cell r="A2747" t="str">
            <v>20617.00732</v>
          </cell>
          <cell r="B2747" t="str">
            <v>ANNEAU</v>
          </cell>
          <cell r="C2747" t="str">
            <v>PLAN 2805-135EE-100 2/3 REP 125-1 P/FILTRE 24-135EE</v>
          </cell>
          <cell r="D2747" t="str">
            <v>PE</v>
          </cell>
          <cell r="E2747" t="str">
            <v>515.51506</v>
          </cell>
          <cell r="F2747">
            <v>940191.1459</v>
          </cell>
          <cell r="G2747">
            <v>0</v>
          </cell>
          <cell r="H2747">
            <v>0</v>
          </cell>
          <cell r="I2747">
            <v>0</v>
          </cell>
          <cell r="J2747">
            <v>0</v>
          </cell>
          <cell r="K2747">
            <v>0</v>
          </cell>
          <cell r="L2747">
            <v>0</v>
          </cell>
        </row>
        <row r="2748">
          <cell r="A2748" t="str">
            <v>20617.00328</v>
          </cell>
          <cell r="B2748" t="str">
            <v>JOINT 35 SH EN PARA-PUR</v>
          </cell>
          <cell r="C2748" t="str">
            <v>MODELE 30-240 PLAN 2812 N° 240-410 REP 411-22</v>
          </cell>
          <cell r="D2748" t="str">
            <v>PE</v>
          </cell>
          <cell r="E2748" t="str">
            <v>515.51506</v>
          </cell>
          <cell r="F2748">
            <v>193.20169999999999</v>
          </cell>
          <cell r="G2748">
            <v>0</v>
          </cell>
          <cell r="H2748">
            <v>0</v>
          </cell>
          <cell r="I2748">
            <v>30</v>
          </cell>
          <cell r="J2748">
            <v>0</v>
          </cell>
          <cell r="K2748">
            <v>0</v>
          </cell>
          <cell r="L2748">
            <v>0</v>
          </cell>
        </row>
        <row r="2749">
          <cell r="A2749" t="str">
            <v>20617.00329</v>
          </cell>
          <cell r="B2749" t="str">
            <v>JOINT O-RING INTER 291,47X7</v>
          </cell>
          <cell r="C2749" t="str">
            <v>MODELE 30-240 PLAN 2812 N° 240-410 REP 411-23</v>
          </cell>
          <cell r="D2749" t="str">
            <v>PE</v>
          </cell>
          <cell r="E2749" t="str">
            <v>515.51506</v>
          </cell>
          <cell r="F2749">
            <v>115.9209</v>
          </cell>
          <cell r="G2749">
            <v>0</v>
          </cell>
          <cell r="H2749">
            <v>0</v>
          </cell>
          <cell r="I2749">
            <v>30</v>
          </cell>
          <cell r="J2749">
            <v>0</v>
          </cell>
          <cell r="K2749">
            <v>0</v>
          </cell>
          <cell r="L2749">
            <v>0</v>
          </cell>
        </row>
        <row r="2750">
          <cell r="A2750" t="str">
            <v>20499.06926</v>
          </cell>
          <cell r="B2750" t="str">
            <v>SOUPAPE DE SURETE</v>
          </cell>
          <cell r="C2750" t="str">
            <v>SAPAG TYPE 8201D F WCBA  SERIE 340993 1"x2"150RF</v>
          </cell>
          <cell r="D2750" t="str">
            <v>PE</v>
          </cell>
          <cell r="E2750" t="str">
            <v>515.51511</v>
          </cell>
          <cell r="F2750">
            <v>10651.6839</v>
          </cell>
          <cell r="G2750">
            <v>0</v>
          </cell>
          <cell r="H2750">
            <v>0</v>
          </cell>
          <cell r="I2750">
            <v>0</v>
          </cell>
          <cell r="J2750">
            <v>0</v>
          </cell>
          <cell r="K2750">
            <v>0</v>
          </cell>
          <cell r="L2750">
            <v>0</v>
          </cell>
        </row>
        <row r="2751">
          <cell r="A2751" t="str">
            <v>20499.06927</v>
          </cell>
          <cell r="B2751" t="str">
            <v>SOUPAPE DE SURETE</v>
          </cell>
          <cell r="C2751" t="str">
            <v>SAPAG TYPE 8101H C WCBA  SERIE 341000 1,5"x3" 150RF</v>
          </cell>
          <cell r="D2751" t="str">
            <v>PE</v>
          </cell>
          <cell r="E2751" t="str">
            <v>515.51511</v>
          </cell>
          <cell r="F2751">
            <v>12921.5211</v>
          </cell>
          <cell r="G2751">
            <v>0</v>
          </cell>
          <cell r="H2751">
            <v>0</v>
          </cell>
          <cell r="I2751">
            <v>0</v>
          </cell>
          <cell r="J2751">
            <v>0</v>
          </cell>
          <cell r="K2751">
            <v>0</v>
          </cell>
          <cell r="L2751">
            <v>0</v>
          </cell>
        </row>
        <row r="2752">
          <cell r="A2752" t="str">
            <v>20499.06928</v>
          </cell>
          <cell r="B2752" t="str">
            <v>SOUPAPE DE SURETE</v>
          </cell>
          <cell r="C2752" t="str">
            <v>SAPAG TYPE 8101J C WCBA SERIE 340996 2"x3" 150RF</v>
          </cell>
          <cell r="D2752" t="str">
            <v>PE</v>
          </cell>
          <cell r="E2752" t="str">
            <v>515.51511</v>
          </cell>
          <cell r="F2752">
            <v>16290.810600000001</v>
          </cell>
          <cell r="G2752">
            <v>0</v>
          </cell>
          <cell r="H2752">
            <v>0</v>
          </cell>
          <cell r="I2752">
            <v>0</v>
          </cell>
          <cell r="J2752">
            <v>0</v>
          </cell>
          <cell r="K2752">
            <v>0</v>
          </cell>
          <cell r="L2752">
            <v>0</v>
          </cell>
        </row>
        <row r="2753">
          <cell r="A2753" t="str">
            <v>20499.06922</v>
          </cell>
          <cell r="B2753" t="str">
            <v>SOUPAPE DE SURETE</v>
          </cell>
          <cell r="C2753" t="str">
            <v>SAPAG TYPE 8203H A WCB A 2"300RFx3"150RF</v>
          </cell>
          <cell r="D2753" t="str">
            <v>PE</v>
          </cell>
          <cell r="E2753" t="str">
            <v>515.51511</v>
          </cell>
          <cell r="F2753">
            <v>14162.838299999999</v>
          </cell>
          <cell r="G2753">
            <v>0</v>
          </cell>
          <cell r="H2753">
            <v>0</v>
          </cell>
          <cell r="I2753">
            <v>0</v>
          </cell>
          <cell r="J2753">
            <v>0</v>
          </cell>
          <cell r="K2753">
            <v>0</v>
          </cell>
          <cell r="L2753">
            <v>0</v>
          </cell>
        </row>
        <row r="2754">
          <cell r="A2754" t="str">
            <v>20499.06923</v>
          </cell>
          <cell r="B2754" t="str">
            <v>RESSORT</v>
          </cell>
          <cell r="C2754" t="str">
            <v>SAPAG TYPE 8203H A WCB A 2"300RF REP27</v>
          </cell>
          <cell r="D2754" t="str">
            <v>PE</v>
          </cell>
          <cell r="E2754" t="str">
            <v>515.51511</v>
          </cell>
          <cell r="F2754">
            <v>2624.4992000000002</v>
          </cell>
          <cell r="G2754">
            <v>0</v>
          </cell>
          <cell r="H2754">
            <v>0</v>
          </cell>
          <cell r="I2754">
            <v>0</v>
          </cell>
          <cell r="J2754">
            <v>0</v>
          </cell>
          <cell r="K2754">
            <v>0</v>
          </cell>
          <cell r="L2754">
            <v>1</v>
          </cell>
        </row>
        <row r="2755">
          <cell r="A2755" t="str">
            <v>20499.06924</v>
          </cell>
          <cell r="B2755" t="str">
            <v>CLAPET</v>
          </cell>
          <cell r="C2755" t="str">
            <v>SAPAG TYPE 8203H A WCB A 2"300RF REP7</v>
          </cell>
          <cell r="D2755" t="str">
            <v>PE</v>
          </cell>
          <cell r="E2755" t="str">
            <v>515.51511</v>
          </cell>
          <cell r="F2755">
            <v>2506.2786000000001</v>
          </cell>
          <cell r="G2755">
            <v>0</v>
          </cell>
          <cell r="H2755">
            <v>0</v>
          </cell>
          <cell r="I2755">
            <v>0</v>
          </cell>
          <cell r="J2755">
            <v>0</v>
          </cell>
          <cell r="K2755">
            <v>0</v>
          </cell>
          <cell r="L2755">
            <v>1</v>
          </cell>
        </row>
        <row r="2756">
          <cell r="A2756" t="str">
            <v>20499.06925</v>
          </cell>
          <cell r="B2756" t="str">
            <v>JONC</v>
          </cell>
          <cell r="C2756" t="str">
            <v>SAPAG TYPE 8203H A WCB A 2"300RF REP8</v>
          </cell>
          <cell r="D2756" t="str">
            <v>PE</v>
          </cell>
          <cell r="E2756" t="str">
            <v>515.51511</v>
          </cell>
          <cell r="F2756">
            <v>401.95030000000003</v>
          </cell>
          <cell r="G2756">
            <v>0</v>
          </cell>
          <cell r="H2756">
            <v>0</v>
          </cell>
          <cell r="I2756">
            <v>0</v>
          </cell>
          <cell r="J2756">
            <v>0</v>
          </cell>
          <cell r="K2756">
            <v>0</v>
          </cell>
          <cell r="L2756">
            <v>1</v>
          </cell>
        </row>
        <row r="2757">
          <cell r="A2757" t="str">
            <v>20630.01020</v>
          </cell>
          <cell r="B2757" t="str">
            <v>GARNITURE MECANIQUE</v>
          </cell>
          <cell r="C2757" t="str">
            <v>JOHN CRANE TYPE: B-NORMOPAC 34FA ARBRE U45N P/POMPE EMTECH 65-315E-IN</v>
          </cell>
          <cell r="D2757" t="str">
            <v>PE</v>
          </cell>
          <cell r="E2757" t="str">
            <v>522.52207</v>
          </cell>
          <cell r="F2757">
            <v>36000</v>
          </cell>
          <cell r="G2757">
            <v>0</v>
          </cell>
          <cell r="H2757">
            <v>0</v>
          </cell>
          <cell r="I2757">
            <v>0</v>
          </cell>
          <cell r="J2757">
            <v>0</v>
          </cell>
          <cell r="K2757">
            <v>0</v>
          </cell>
          <cell r="L2757">
            <v>2</v>
          </cell>
        </row>
        <row r="2758">
          <cell r="A2758" t="str">
            <v>20499.07027</v>
          </cell>
          <cell r="B2758" t="str">
            <v>ROBINET A BOISSEAU CONIQUE A LEVIER TAG :PV40B DN: 50 PN: 10</v>
          </cell>
          <cell r="C2758" t="str">
            <v>FLUOROSEAL Type FPS-F152-F-DIN,FAF: ANSI B 16.10 S/Plan FPS-152-F-STD-ANSI/DIN-07-13 DN 50 PN 10</v>
          </cell>
          <cell r="D2758" t="str">
            <v>PE</v>
          </cell>
          <cell r="E2758" t="str">
            <v>515.51511</v>
          </cell>
          <cell r="F2758">
            <v>8080.9512000000004</v>
          </cell>
          <cell r="G2758">
            <v>0</v>
          </cell>
          <cell r="H2758">
            <v>0</v>
          </cell>
          <cell r="I2758">
            <v>0</v>
          </cell>
          <cell r="J2758">
            <v>0</v>
          </cell>
          <cell r="K2758">
            <v>0</v>
          </cell>
          <cell r="L2758">
            <v>0</v>
          </cell>
        </row>
        <row r="2759">
          <cell r="A2759" t="str">
            <v>20499.07033</v>
          </cell>
          <cell r="B2759" t="str">
            <v>ROBINET A BOISSEAU CONIQUE A REDUCTEUR TAG :PV40C DN: 200 PN: 16</v>
          </cell>
          <cell r="C2759" t="str">
            <v>FLUOROSEAL Type FPS-F152-F-DIN,FAF: ANSI B 16.10 S/Plan SU-339 DN 200 PN 16</v>
          </cell>
          <cell r="D2759" t="str">
            <v>PE</v>
          </cell>
          <cell r="E2759" t="str">
            <v>515.51511</v>
          </cell>
          <cell r="F2759">
            <v>70986.3</v>
          </cell>
          <cell r="G2759">
            <v>0</v>
          </cell>
          <cell r="H2759">
            <v>1</v>
          </cell>
          <cell r="I2759">
            <v>0</v>
          </cell>
          <cell r="J2759">
            <v>0</v>
          </cell>
          <cell r="K2759">
            <v>0</v>
          </cell>
          <cell r="L2759">
            <v>0</v>
          </cell>
        </row>
        <row r="2760">
          <cell r="A2760" t="str">
            <v>20630.00600</v>
          </cell>
          <cell r="B2760" t="str">
            <v>GARNITURE MECANIQUE</v>
          </cell>
          <cell r="C2760" t="str">
            <v>JOHN CRANE/ROPAC P36 B60/80+U60 FA33 REP:433 POUR POMPE ENSIVAL TYPE:MFR100.65.315</v>
          </cell>
          <cell r="D2760" t="str">
            <v>PE</v>
          </cell>
          <cell r="E2760" t="str">
            <v>522.52207</v>
          </cell>
          <cell r="F2760">
            <v>26561.959699999999</v>
          </cell>
          <cell r="G2760">
            <v>0</v>
          </cell>
          <cell r="H2760">
            <v>0</v>
          </cell>
          <cell r="I2760">
            <v>0</v>
          </cell>
          <cell r="J2760">
            <v>1</v>
          </cell>
          <cell r="K2760">
            <v>0</v>
          </cell>
          <cell r="L2760">
            <v>0</v>
          </cell>
        </row>
        <row r="2761">
          <cell r="A2761" t="str">
            <v>20499.07053</v>
          </cell>
          <cell r="B2761" t="str">
            <v>VANNE</v>
          </cell>
          <cell r="C2761" t="str">
            <v>PACIFIC 950-Z-WE-WC6 DN 3 POUCES CLASSE 900 SIEGE 304SS</v>
          </cell>
          <cell r="D2761" t="str">
            <v>PE</v>
          </cell>
          <cell r="E2761" t="str">
            <v>515.51511</v>
          </cell>
          <cell r="F2761">
            <v>12243</v>
          </cell>
          <cell r="G2761">
            <v>0</v>
          </cell>
          <cell r="H2761">
            <v>0</v>
          </cell>
          <cell r="I2761">
            <v>0</v>
          </cell>
          <cell r="J2761">
            <v>0</v>
          </cell>
          <cell r="K2761">
            <v>0</v>
          </cell>
          <cell r="L2761">
            <v>0</v>
          </cell>
        </row>
        <row r="2762">
          <cell r="A2762" t="str">
            <v>20499.07072</v>
          </cell>
          <cell r="B2762" t="str">
            <v>CLAPET DE NON RETOUR A CIRCULATION AUTOMATIQUE</v>
          </cell>
          <cell r="C2762" t="str">
            <v>SCHROEDER   TYPE SSV10  -  5 POUCES  ANSI  900-5/5/2/0-1  PN : 900Ibs</v>
          </cell>
          <cell r="D2762" t="str">
            <v>PE</v>
          </cell>
          <cell r="E2762" t="str">
            <v>515.51511</v>
          </cell>
          <cell r="F2762">
            <v>139895</v>
          </cell>
          <cell r="G2762">
            <v>0</v>
          </cell>
          <cell r="H2762">
            <v>0</v>
          </cell>
          <cell r="I2762">
            <v>0</v>
          </cell>
          <cell r="J2762">
            <v>0</v>
          </cell>
          <cell r="K2762">
            <v>0</v>
          </cell>
          <cell r="L2762">
            <v>1</v>
          </cell>
        </row>
        <row r="2763">
          <cell r="A2763" t="str">
            <v>20499.07073</v>
          </cell>
          <cell r="B2763" t="str">
            <v>CLAPET DE NON RETOUR A CIRCULATION AUTOMATIQUE</v>
          </cell>
          <cell r="C2763" t="str">
            <v>SCHROEDER   TYPE  SSV18 - 2 POUCES  ANSI  900-2/2/1/0-1  PN : 900Ibs</v>
          </cell>
          <cell r="D2763" t="str">
            <v>PE</v>
          </cell>
          <cell r="E2763" t="str">
            <v>515.51511</v>
          </cell>
          <cell r="F2763">
            <v>81875.806700000001</v>
          </cell>
          <cell r="G2763">
            <v>0</v>
          </cell>
          <cell r="H2763">
            <v>0</v>
          </cell>
          <cell r="I2763">
            <v>0</v>
          </cell>
          <cell r="J2763">
            <v>0</v>
          </cell>
          <cell r="K2763">
            <v>0</v>
          </cell>
          <cell r="L2763">
            <v>1</v>
          </cell>
        </row>
        <row r="2764">
          <cell r="A2764" t="str">
            <v>20499.07067</v>
          </cell>
          <cell r="B2764" t="str">
            <v>SOUPAPE DE SURETE COMPLETE</v>
          </cell>
          <cell r="C2764" t="str">
            <v>ARI ARMATUREN FIGURE 25901 DN25/40 PN40/PN16 ETANCHEITE METALLIQUE</v>
          </cell>
          <cell r="D2764" t="str">
            <v>PE</v>
          </cell>
          <cell r="E2764" t="str">
            <v>515.51511</v>
          </cell>
          <cell r="F2764">
            <v>3950</v>
          </cell>
          <cell r="G2764">
            <v>0</v>
          </cell>
          <cell r="H2764">
            <v>0</v>
          </cell>
          <cell r="I2764">
            <v>0</v>
          </cell>
          <cell r="J2764">
            <v>0</v>
          </cell>
          <cell r="K2764">
            <v>0</v>
          </cell>
          <cell r="L2764">
            <v>1</v>
          </cell>
        </row>
        <row r="2765">
          <cell r="A2765" t="str">
            <v>20630.00228</v>
          </cell>
          <cell r="B2765" t="str">
            <v>GARNITURE MECANIQUE</v>
          </cell>
          <cell r="C2765" t="str">
            <v>BURGMANN HR222 S1/66-G11-TAX 1</v>
          </cell>
          <cell r="D2765" t="str">
            <v>PE</v>
          </cell>
          <cell r="E2765" t="str">
            <v>522.52207</v>
          </cell>
          <cell r="F2765">
            <v>21800</v>
          </cell>
          <cell r="G2765">
            <v>0</v>
          </cell>
          <cell r="H2765">
            <v>0</v>
          </cell>
          <cell r="I2765">
            <v>0</v>
          </cell>
          <cell r="J2765">
            <v>0</v>
          </cell>
          <cell r="K2765">
            <v>1</v>
          </cell>
          <cell r="L2765">
            <v>0</v>
          </cell>
        </row>
        <row r="2766">
          <cell r="A2766" t="str">
            <v>20630.00649</v>
          </cell>
          <cell r="B2766" t="str">
            <v>GARNITURE MECANIQUE</v>
          </cell>
          <cell r="C2766" t="str">
            <v>BURGMANN HRSX122/66-G11 TAX3G    QQMM5G3X/QAVG3X   DIAM ARBRE 50MM</v>
          </cell>
          <cell r="D2766" t="str">
            <v>PE</v>
          </cell>
          <cell r="E2766" t="str">
            <v>522.52207</v>
          </cell>
          <cell r="F2766">
            <v>38950</v>
          </cell>
          <cell r="G2766">
            <v>0</v>
          </cell>
          <cell r="H2766">
            <v>0</v>
          </cell>
          <cell r="I2766">
            <v>0</v>
          </cell>
          <cell r="J2766">
            <v>0</v>
          </cell>
          <cell r="K2766">
            <v>0</v>
          </cell>
          <cell r="L2766">
            <v>0</v>
          </cell>
        </row>
        <row r="2767">
          <cell r="A2767" t="str">
            <v>20617.00939</v>
          </cell>
          <cell r="B2767" t="str">
            <v xml:space="preserve">GALET DE ROULEMENT </v>
          </cell>
          <cell r="C2767" t="str">
            <v>PLAN 2852-P3 160F-410 REP 412-1 P/FILTRE TYPE 30-160E</v>
          </cell>
          <cell r="D2767" t="str">
            <v>PE</v>
          </cell>
          <cell r="E2767" t="str">
            <v>515.51506</v>
          </cell>
          <cell r="F2767">
            <v>10660.1</v>
          </cell>
          <cell r="G2767">
            <v>0</v>
          </cell>
          <cell r="H2767">
            <v>0</v>
          </cell>
          <cell r="I2767">
            <v>20</v>
          </cell>
          <cell r="J2767">
            <v>20</v>
          </cell>
          <cell r="K2767">
            <v>0</v>
          </cell>
          <cell r="L2767">
            <v>0</v>
          </cell>
        </row>
        <row r="2768">
          <cell r="A2768" t="str">
            <v>20617.00215</v>
          </cell>
          <cell r="B2768" t="str">
            <v>CLOISON MOBILE</v>
          </cell>
          <cell r="C2768" t="str">
            <v>24-135EE REP 122-5</v>
          </cell>
          <cell r="D2768" t="str">
            <v>PE</v>
          </cell>
          <cell r="E2768" t="str">
            <v>515.51506</v>
          </cell>
          <cell r="F2768">
            <v>10526.446099999999</v>
          </cell>
          <cell r="G2768">
            <v>0</v>
          </cell>
          <cell r="H2768">
            <v>0</v>
          </cell>
          <cell r="I2768">
            <v>0</v>
          </cell>
          <cell r="J2768">
            <v>0</v>
          </cell>
          <cell r="K2768">
            <v>1</v>
          </cell>
          <cell r="L2768">
            <v>0</v>
          </cell>
        </row>
        <row r="2769">
          <cell r="A2769" t="str">
            <v>20617.00216</v>
          </cell>
          <cell r="B2769" t="str">
            <v>CLOISON  MOBILE</v>
          </cell>
          <cell r="C2769" t="str">
            <v>24-135EE REP 122-6</v>
          </cell>
          <cell r="D2769" t="str">
            <v>PE</v>
          </cell>
          <cell r="E2769" t="str">
            <v>515.51506</v>
          </cell>
          <cell r="F2769">
            <v>10526.446099999999</v>
          </cell>
          <cell r="G2769">
            <v>0</v>
          </cell>
          <cell r="H2769">
            <v>0</v>
          </cell>
          <cell r="I2769">
            <v>0</v>
          </cell>
          <cell r="J2769">
            <v>0</v>
          </cell>
          <cell r="K2769">
            <v>1</v>
          </cell>
          <cell r="L2769">
            <v>0</v>
          </cell>
        </row>
        <row r="2770">
          <cell r="A2770" t="str">
            <v>20617.00217</v>
          </cell>
          <cell r="B2770" t="str">
            <v>CLOISON   MOBILE</v>
          </cell>
          <cell r="C2770" t="str">
            <v>24-135EE REP 122-7</v>
          </cell>
          <cell r="D2770" t="str">
            <v>PE</v>
          </cell>
          <cell r="E2770" t="str">
            <v>515.51506</v>
          </cell>
          <cell r="F2770">
            <v>7698.4456</v>
          </cell>
          <cell r="G2770">
            <v>0</v>
          </cell>
          <cell r="H2770">
            <v>0</v>
          </cell>
          <cell r="I2770">
            <v>0</v>
          </cell>
          <cell r="J2770">
            <v>0</v>
          </cell>
          <cell r="K2770">
            <v>1</v>
          </cell>
          <cell r="L2770">
            <v>0</v>
          </cell>
        </row>
        <row r="2771">
          <cell r="A2771" t="str">
            <v>20617.00218</v>
          </cell>
          <cell r="B2771" t="str">
            <v>CLOISON    MOBILE</v>
          </cell>
          <cell r="C2771" t="str">
            <v>24-135EE REP 122-8</v>
          </cell>
          <cell r="D2771" t="str">
            <v>PE</v>
          </cell>
          <cell r="E2771" t="str">
            <v>515.51506</v>
          </cell>
          <cell r="F2771">
            <v>7698.4456</v>
          </cell>
          <cell r="G2771">
            <v>0</v>
          </cell>
          <cell r="H2771">
            <v>0</v>
          </cell>
          <cell r="I2771">
            <v>0</v>
          </cell>
          <cell r="J2771">
            <v>0</v>
          </cell>
          <cell r="K2771">
            <v>1</v>
          </cell>
          <cell r="L2771">
            <v>0</v>
          </cell>
        </row>
        <row r="2772">
          <cell r="A2772" t="str">
            <v>20630.00874</v>
          </cell>
          <cell r="B2772" t="str">
            <v>JEU DE GRAIN TOURNANT</v>
          </cell>
          <cell r="C2772" t="str">
            <v>FLOWSERVE REF K23D5000JB3 TYPE SLM 6200W PLAN C-11148 REP 15 ET 15.1</v>
          </cell>
          <cell r="D2772" t="str">
            <v>PE</v>
          </cell>
          <cell r="E2772" t="str">
            <v>522.52207</v>
          </cell>
          <cell r="F2772">
            <v>18102.067899999998</v>
          </cell>
          <cell r="G2772">
            <v>0</v>
          </cell>
          <cell r="H2772">
            <v>0</v>
          </cell>
          <cell r="I2772">
            <v>0</v>
          </cell>
          <cell r="J2772">
            <v>0</v>
          </cell>
          <cell r="K2772">
            <v>0</v>
          </cell>
          <cell r="L2772">
            <v>5</v>
          </cell>
        </row>
        <row r="2773">
          <cell r="A2773" t="str">
            <v>20630.00879</v>
          </cell>
          <cell r="B2773" t="str">
            <v>JEU DE GOUPILLES</v>
          </cell>
          <cell r="C2773" t="str">
            <v>FLOWSERVE REF RS550CK ET RS562CK TYPE SLM 6200W PLAN C-11148 REP 111 - 111.1 ET 111.2</v>
          </cell>
          <cell r="D2773" t="str">
            <v>PE</v>
          </cell>
          <cell r="E2773" t="str">
            <v>522.52207</v>
          </cell>
          <cell r="F2773">
            <v>1703.7239999999999</v>
          </cell>
          <cell r="G2773">
            <v>0</v>
          </cell>
          <cell r="H2773">
            <v>0</v>
          </cell>
          <cell r="I2773">
            <v>0</v>
          </cell>
          <cell r="J2773">
            <v>0</v>
          </cell>
          <cell r="K2773">
            <v>0</v>
          </cell>
          <cell r="L2773">
            <v>5</v>
          </cell>
        </row>
        <row r="2774">
          <cell r="A2774" t="str">
            <v>20630.00871</v>
          </cell>
          <cell r="B2774" t="str">
            <v>GARNITURE MECANIQUE 5"</v>
          </cell>
          <cell r="C2774" t="str">
            <v>FLOWSERVE REF MEX060142 TYPE SLM 6200W PLAN C-11148 POUR POMPE LEWIS 30LH N° SERIE 09MEX127016</v>
          </cell>
          <cell r="D2774" t="str">
            <v>PE</v>
          </cell>
          <cell r="E2774" t="str">
            <v>522.52207</v>
          </cell>
          <cell r="F2774">
            <v>69089</v>
          </cell>
          <cell r="G2774">
            <v>0</v>
          </cell>
          <cell r="H2774">
            <v>0</v>
          </cell>
          <cell r="I2774">
            <v>2</v>
          </cell>
          <cell r="J2774">
            <v>0</v>
          </cell>
          <cell r="K2774">
            <v>3</v>
          </cell>
          <cell r="L2774">
            <v>4</v>
          </cell>
        </row>
        <row r="2775">
          <cell r="A2775" t="str">
            <v>20630.00872</v>
          </cell>
          <cell r="B2775" t="str">
            <v>JEU DE JOINTS TORIQUE</v>
          </cell>
          <cell r="C2775" t="str">
            <v>FLOWSERVE REF 568364AF TYPE SLM 6200W PLAN C-11148 REP 13 ET 13.1</v>
          </cell>
          <cell r="D2775" t="str">
            <v>PE</v>
          </cell>
          <cell r="E2775" t="str">
            <v>522.52207</v>
          </cell>
          <cell r="F2775">
            <v>130.1456</v>
          </cell>
          <cell r="G2775">
            <v>0</v>
          </cell>
          <cell r="H2775">
            <v>0</v>
          </cell>
          <cell r="I2775">
            <v>0</v>
          </cell>
          <cell r="J2775">
            <v>0</v>
          </cell>
          <cell r="K2775">
            <v>0</v>
          </cell>
          <cell r="L2775">
            <v>5</v>
          </cell>
        </row>
        <row r="2776">
          <cell r="A2776" t="str">
            <v>20630.00873</v>
          </cell>
          <cell r="B2776" t="str">
            <v>JEU DE GRAIN FIXE</v>
          </cell>
          <cell r="C2776" t="str">
            <v>FLOWSERVE REF K23D5000KB3 TYPE SLM 6200W PLAN C-11148 REP 14 ET 14.1</v>
          </cell>
          <cell r="D2776" t="str">
            <v>PE</v>
          </cell>
          <cell r="E2776" t="str">
            <v>522.52207</v>
          </cell>
          <cell r="F2776">
            <v>14777.439700000001</v>
          </cell>
          <cell r="G2776">
            <v>0</v>
          </cell>
          <cell r="H2776">
            <v>0</v>
          </cell>
          <cell r="I2776">
            <v>0</v>
          </cell>
          <cell r="J2776">
            <v>0</v>
          </cell>
          <cell r="K2776">
            <v>0</v>
          </cell>
          <cell r="L2776">
            <v>5</v>
          </cell>
        </row>
        <row r="2777">
          <cell r="A2777" t="str">
            <v>20630.00735</v>
          </cell>
          <cell r="B2777" t="str">
            <v>GARNITURE MECANIQUE</v>
          </cell>
          <cell r="C2777" t="str">
            <v>JOHN CRANE, TYPE: B-NORMOPAC 34FA B90/95 CSI-C-EP-316 DIAM: 90MM API : BSPXN</v>
          </cell>
          <cell r="D2777" t="str">
            <v>PE</v>
          </cell>
          <cell r="E2777" t="str">
            <v>522.52207</v>
          </cell>
          <cell r="F2777">
            <v>27146</v>
          </cell>
          <cell r="G2777">
            <v>0</v>
          </cell>
          <cell r="H2777">
            <v>0</v>
          </cell>
          <cell r="I2777">
            <v>0</v>
          </cell>
          <cell r="J2777">
            <v>0</v>
          </cell>
          <cell r="K2777">
            <v>0</v>
          </cell>
          <cell r="L2777">
            <v>3</v>
          </cell>
        </row>
        <row r="2778">
          <cell r="A2778" t="str">
            <v>20630.00736</v>
          </cell>
          <cell r="B2778" t="str">
            <v>GARNITURE MECANIQUE</v>
          </cell>
          <cell r="C2778" t="str">
            <v>JOHN CRANE, TYPE: D800/57B//FC3701 DIAM: 80MM API : BSPIN</v>
          </cell>
          <cell r="D2778" t="str">
            <v>PE</v>
          </cell>
          <cell r="E2778" t="str">
            <v>522.52207</v>
          </cell>
          <cell r="F2778">
            <v>38742.857100000001</v>
          </cell>
          <cell r="G2778">
            <v>0</v>
          </cell>
          <cell r="H2778">
            <v>1</v>
          </cell>
          <cell r="I2778">
            <v>0</v>
          </cell>
          <cell r="J2778">
            <v>2</v>
          </cell>
          <cell r="K2778">
            <v>2</v>
          </cell>
          <cell r="L2778">
            <v>5</v>
          </cell>
        </row>
        <row r="2779">
          <cell r="A2779" t="str">
            <v>20630.00734</v>
          </cell>
          <cell r="B2779" t="str">
            <v>GARNITURE MECANIQUE</v>
          </cell>
          <cell r="C2779" t="str">
            <v>JOHN CRANE, TYPE: B-NORMOPAC 34FA B48/53 CSI-C-PTFE-316 DIAM: 48MM API : BSPGN</v>
          </cell>
          <cell r="D2779" t="str">
            <v>PE</v>
          </cell>
          <cell r="E2779" t="str">
            <v>522.52207</v>
          </cell>
          <cell r="F2779">
            <v>11858</v>
          </cell>
          <cell r="G2779">
            <v>0</v>
          </cell>
          <cell r="H2779">
            <v>0</v>
          </cell>
          <cell r="I2779">
            <v>0</v>
          </cell>
          <cell r="J2779">
            <v>0</v>
          </cell>
          <cell r="K2779">
            <v>1</v>
          </cell>
          <cell r="L2779">
            <v>2</v>
          </cell>
        </row>
        <row r="2780">
          <cell r="A2780" t="str">
            <v>20630.00737</v>
          </cell>
          <cell r="B2780" t="str">
            <v>GARNITURE MECANIQUE</v>
          </cell>
          <cell r="C2780" t="str">
            <v>JOHN CRANE, TYPE: SECABLE 3710-0100 FC4352-00 DIAM: 100MM API : USTXN</v>
          </cell>
          <cell r="D2780" t="str">
            <v>PE</v>
          </cell>
          <cell r="E2780" t="str">
            <v>522.52207</v>
          </cell>
          <cell r="F2780">
            <v>85000</v>
          </cell>
          <cell r="G2780">
            <v>0</v>
          </cell>
          <cell r="H2780">
            <v>1</v>
          </cell>
          <cell r="I2780">
            <v>2</v>
          </cell>
          <cell r="J2780">
            <v>1</v>
          </cell>
          <cell r="K2780">
            <v>0</v>
          </cell>
          <cell r="L2780">
            <v>6</v>
          </cell>
        </row>
        <row r="2781">
          <cell r="A2781" t="str">
            <v>20630.00738</v>
          </cell>
          <cell r="B2781" t="str">
            <v>GARNITURE MECANIQUE</v>
          </cell>
          <cell r="C2781" t="str">
            <v>JOHN CRANE, TYPE: U-NORMOPAC 33FA U60  CSI-C-EP-316 DIAM: 60MM API : USPXN</v>
          </cell>
          <cell r="D2781" t="str">
            <v>PE</v>
          </cell>
          <cell r="E2781" t="str">
            <v>522.52207</v>
          </cell>
          <cell r="F2781">
            <v>5867.7767000000003</v>
          </cell>
          <cell r="G2781">
            <v>0</v>
          </cell>
          <cell r="H2781">
            <v>0</v>
          </cell>
          <cell r="I2781">
            <v>0</v>
          </cell>
          <cell r="J2781">
            <v>0</v>
          </cell>
          <cell r="K2781">
            <v>0</v>
          </cell>
          <cell r="L2781">
            <v>3</v>
          </cell>
        </row>
        <row r="2782">
          <cell r="A2782" t="str">
            <v>20630.00740</v>
          </cell>
          <cell r="B2782" t="str">
            <v>GARNITURE MECANIQUE DOUBLE</v>
          </cell>
          <cell r="C2782" t="str">
            <v>JOHN CRANE FFST-600 + R2 SK 0600</v>
          </cell>
          <cell r="D2782" t="str">
            <v>PE</v>
          </cell>
          <cell r="E2782" t="str">
            <v>522.52207</v>
          </cell>
          <cell r="F2782">
            <v>29600</v>
          </cell>
          <cell r="G2782">
            <v>0</v>
          </cell>
          <cell r="H2782">
            <v>6</v>
          </cell>
          <cell r="I2782">
            <v>9</v>
          </cell>
          <cell r="J2782">
            <v>7</v>
          </cell>
          <cell r="K2782">
            <v>10</v>
          </cell>
          <cell r="L2782">
            <v>6</v>
          </cell>
        </row>
        <row r="2783">
          <cell r="A2783" t="str">
            <v>20630.00749</v>
          </cell>
          <cell r="B2783" t="str">
            <v>GARNITURE MECANIQUE</v>
          </cell>
          <cell r="C2783" t="str">
            <v>JOHN CRANE S1F-60-QXMO-4L P/POMPE: SULZER A42-200 100045090/91/116</v>
          </cell>
          <cell r="D2783" t="str">
            <v>PE</v>
          </cell>
          <cell r="E2783" t="str">
            <v>522.52207</v>
          </cell>
          <cell r="F2783">
            <v>45114.3</v>
          </cell>
          <cell r="G2783">
            <v>0</v>
          </cell>
          <cell r="H2783">
            <v>1</v>
          </cell>
          <cell r="I2783">
            <v>0</v>
          </cell>
          <cell r="J2783">
            <v>0</v>
          </cell>
          <cell r="K2783">
            <v>0</v>
          </cell>
          <cell r="L2783">
            <v>0</v>
          </cell>
        </row>
        <row r="2784">
          <cell r="A2784" t="str">
            <v>20630.00758</v>
          </cell>
          <cell r="B2784" t="str">
            <v>GARNITURE MECANIQUE</v>
          </cell>
          <cell r="C2784" t="str">
            <v>JOHN CRANE S1F-60-QXMO-4L P/POMPE: SULZER A44-200 100045079/80</v>
          </cell>
          <cell r="D2784" t="str">
            <v>PE</v>
          </cell>
          <cell r="E2784" t="str">
            <v>522.52207</v>
          </cell>
          <cell r="F2784">
            <v>39708.9</v>
          </cell>
          <cell r="G2784">
            <v>0</v>
          </cell>
          <cell r="H2784">
            <v>1</v>
          </cell>
          <cell r="I2784">
            <v>0</v>
          </cell>
          <cell r="J2784">
            <v>0</v>
          </cell>
          <cell r="K2784">
            <v>0</v>
          </cell>
          <cell r="L2784">
            <v>0</v>
          </cell>
        </row>
        <row r="2785">
          <cell r="A2785" t="str">
            <v>20630.00893</v>
          </cell>
          <cell r="B2785" t="str">
            <v>KIT DE REVISION COMPLET</v>
          </cell>
          <cell r="C2785" t="str">
            <v>AESSEAL REF NA.XK0100SSV01 POUR GARNITURE TYPE RDS DIAMETRE 100MM</v>
          </cell>
          <cell r="D2785" t="str">
            <v>PE</v>
          </cell>
          <cell r="E2785" t="str">
            <v>522.52207</v>
          </cell>
          <cell r="F2785">
            <v>49156</v>
          </cell>
          <cell r="G2785">
            <v>0</v>
          </cell>
          <cell r="H2785">
            <v>0</v>
          </cell>
          <cell r="I2785">
            <v>0</v>
          </cell>
          <cell r="J2785">
            <v>0</v>
          </cell>
          <cell r="K2785">
            <v>0</v>
          </cell>
          <cell r="L2785">
            <v>2</v>
          </cell>
        </row>
        <row r="2786">
          <cell r="A2786" t="str">
            <v>20630.00572</v>
          </cell>
          <cell r="B2786" t="str">
            <v>GARNITURE MACANIQUE</v>
          </cell>
          <cell r="C2786" t="str">
            <v>JOHN CRANE/ROPAC P32-0600 + FA33-0500    P/EMTECH 40-315K</v>
          </cell>
          <cell r="D2786" t="str">
            <v>PE</v>
          </cell>
          <cell r="E2786" t="str">
            <v>522.52207</v>
          </cell>
          <cell r="F2786">
            <v>20533.333299999998</v>
          </cell>
          <cell r="G2786">
            <v>0</v>
          </cell>
          <cell r="H2786">
            <v>2</v>
          </cell>
          <cell r="I2786">
            <v>1</v>
          </cell>
          <cell r="J2786">
            <v>0</v>
          </cell>
          <cell r="K2786">
            <v>2</v>
          </cell>
          <cell r="L2786">
            <v>3</v>
          </cell>
        </row>
        <row r="2787">
          <cell r="A2787" t="str">
            <v>20599.00633</v>
          </cell>
          <cell r="B2787" t="str">
            <v>COURROIE</v>
          </cell>
          <cell r="C2787" t="str">
            <v>COURROIE TRAPEZOIDALE CRANTEE XPB 2240</v>
          </cell>
          <cell r="D2787" t="str">
            <v>PE</v>
          </cell>
          <cell r="E2787" t="str">
            <v>515.51515</v>
          </cell>
          <cell r="F2787">
            <v>131.35409999999999</v>
          </cell>
          <cell r="G2787">
            <v>0</v>
          </cell>
          <cell r="H2787">
            <v>0</v>
          </cell>
          <cell r="I2787">
            <v>0</v>
          </cell>
          <cell r="J2787">
            <v>0</v>
          </cell>
          <cell r="K2787">
            <v>0</v>
          </cell>
          <cell r="L2787">
            <v>37</v>
          </cell>
        </row>
        <row r="2788">
          <cell r="A2788" t="str">
            <v>20599.00634</v>
          </cell>
          <cell r="B2788" t="str">
            <v>COURROIE</v>
          </cell>
          <cell r="C2788" t="str">
            <v>XPB 2280</v>
          </cell>
          <cell r="D2788" t="str">
            <v>PE</v>
          </cell>
          <cell r="E2788" t="str">
            <v>515.51515</v>
          </cell>
          <cell r="F2788">
            <v>153.8682</v>
          </cell>
          <cell r="G2788">
            <v>0</v>
          </cell>
          <cell r="H2788">
            <v>10</v>
          </cell>
          <cell r="I2788">
            <v>0</v>
          </cell>
          <cell r="J2788">
            <v>3</v>
          </cell>
          <cell r="K2788">
            <v>8</v>
          </cell>
          <cell r="L2788">
            <v>33</v>
          </cell>
        </row>
        <row r="2789">
          <cell r="A2789" t="str">
            <v>20600.02851</v>
          </cell>
          <cell r="B2789" t="str">
            <v>COUR.TRAPEZOIDALE CLASSIQ</v>
          </cell>
          <cell r="C2789" t="str">
            <v>COURROIE 25,4X23 5385 LA 8V 2120</v>
          </cell>
          <cell r="D2789" t="str">
            <v>PE</v>
          </cell>
          <cell r="E2789" t="str">
            <v>515.51515</v>
          </cell>
          <cell r="F2789">
            <v>448.51</v>
          </cell>
          <cell r="G2789">
            <v>0</v>
          </cell>
          <cell r="H2789">
            <v>0</v>
          </cell>
          <cell r="I2789">
            <v>0</v>
          </cell>
          <cell r="J2789">
            <v>0</v>
          </cell>
          <cell r="K2789">
            <v>0</v>
          </cell>
          <cell r="L2789">
            <v>0</v>
          </cell>
        </row>
        <row r="2790">
          <cell r="A2790" t="str">
            <v>20600.00028</v>
          </cell>
          <cell r="B2790" t="str">
            <v>SEGMENT D'ARRET  DIN 471</v>
          </cell>
          <cell r="C2790" t="str">
            <v>SEGMENT D ARRET DIN 471 EXTER. STANDARD   30X1,50</v>
          </cell>
          <cell r="D2790" t="str">
            <v>PE</v>
          </cell>
          <cell r="E2790" t="str">
            <v>522.52207</v>
          </cell>
          <cell r="F2790">
            <v>2.08</v>
          </cell>
          <cell r="G2790">
            <v>0</v>
          </cell>
          <cell r="H2790">
            <v>0</v>
          </cell>
          <cell r="I2790">
            <v>0</v>
          </cell>
          <cell r="J2790">
            <v>0</v>
          </cell>
          <cell r="K2790">
            <v>0</v>
          </cell>
          <cell r="L2790">
            <v>0</v>
          </cell>
        </row>
        <row r="2791">
          <cell r="A2791" t="str">
            <v>20599.00409</v>
          </cell>
          <cell r="B2791" t="str">
            <v>COUR.TRAPEZOIDALE ETROITE</v>
          </cell>
          <cell r="C2791" t="str">
            <v>COURROIE SPB 4000</v>
          </cell>
          <cell r="D2791" t="str">
            <v>PE</v>
          </cell>
          <cell r="E2791" t="str">
            <v>515.51515</v>
          </cell>
          <cell r="F2791">
            <v>120.587</v>
          </cell>
          <cell r="G2791">
            <v>0</v>
          </cell>
          <cell r="H2791">
            <v>0</v>
          </cell>
          <cell r="I2791">
            <v>8</v>
          </cell>
          <cell r="J2791">
            <v>0</v>
          </cell>
          <cell r="K2791">
            <v>0</v>
          </cell>
          <cell r="L2791">
            <v>0</v>
          </cell>
        </row>
        <row r="2792">
          <cell r="A2792" t="str">
            <v>20630.00356</v>
          </cell>
          <cell r="B2792" t="str">
            <v>GARNITURE MECANIQUE</v>
          </cell>
          <cell r="C2792" t="str">
            <v>FLEXIBOX DAU1M-1588-9KCY-H100 PLAN HS100873</v>
          </cell>
          <cell r="D2792" t="str">
            <v>PE</v>
          </cell>
          <cell r="E2792" t="str">
            <v>522.52207</v>
          </cell>
          <cell r="F2792">
            <v>83253.774999999994</v>
          </cell>
          <cell r="G2792">
            <v>0</v>
          </cell>
          <cell r="H2792">
            <v>0</v>
          </cell>
          <cell r="I2792">
            <v>0</v>
          </cell>
          <cell r="J2792">
            <v>0</v>
          </cell>
          <cell r="K2792">
            <v>0</v>
          </cell>
          <cell r="L2792">
            <v>1</v>
          </cell>
        </row>
        <row r="2793">
          <cell r="A2793" t="str">
            <v>20617.00205</v>
          </cell>
          <cell r="B2793" t="str">
            <v>ADAPTATEUR LEVIER COMMANDE</v>
          </cell>
          <cell r="C2793" t="str">
            <v>24-135EE REP 22-1</v>
          </cell>
          <cell r="D2793" t="str">
            <v>PE</v>
          </cell>
          <cell r="E2793" t="str">
            <v>515.51506</v>
          </cell>
          <cell r="F2793">
            <v>2337.6233000000002</v>
          </cell>
          <cell r="G2793">
            <v>0</v>
          </cell>
          <cell r="H2793">
            <v>0</v>
          </cell>
          <cell r="I2793">
            <v>0</v>
          </cell>
          <cell r="J2793">
            <v>0</v>
          </cell>
          <cell r="K2793">
            <v>5</v>
          </cell>
          <cell r="L2793">
            <v>0</v>
          </cell>
        </row>
        <row r="2794">
          <cell r="A2794" t="str">
            <v>20617.00206</v>
          </cell>
          <cell r="B2794" t="str">
            <v>ADAPTATEUR RACCORD TOURNANT</v>
          </cell>
          <cell r="C2794" t="str">
            <v>24-135EE REP 22-2</v>
          </cell>
          <cell r="D2794" t="str">
            <v>PE</v>
          </cell>
          <cell r="E2794" t="str">
            <v>515.51506</v>
          </cell>
          <cell r="F2794">
            <v>2062.2026999999998</v>
          </cell>
          <cell r="G2794">
            <v>0</v>
          </cell>
          <cell r="H2794">
            <v>0</v>
          </cell>
          <cell r="I2794">
            <v>0</v>
          </cell>
          <cell r="J2794">
            <v>0</v>
          </cell>
          <cell r="K2794">
            <v>5</v>
          </cell>
          <cell r="L2794">
            <v>0</v>
          </cell>
        </row>
        <row r="2795">
          <cell r="A2795" t="str">
            <v>20617.00207</v>
          </cell>
          <cell r="B2795" t="str">
            <v>SYSTÈME DE GRAISSAGE PNEUMATIQUE</v>
          </cell>
          <cell r="C2795" t="str">
            <v>24-135EE REP 22-21</v>
          </cell>
          <cell r="D2795" t="str">
            <v>PE</v>
          </cell>
          <cell r="E2795" t="str">
            <v>515.51506</v>
          </cell>
          <cell r="F2795">
            <v>115274.3444</v>
          </cell>
          <cell r="G2795">
            <v>0</v>
          </cell>
          <cell r="H2795">
            <v>0</v>
          </cell>
          <cell r="I2795">
            <v>0</v>
          </cell>
          <cell r="J2795">
            <v>0</v>
          </cell>
          <cell r="K2795">
            <v>1</v>
          </cell>
          <cell r="L2795">
            <v>0</v>
          </cell>
        </row>
        <row r="2796">
          <cell r="A2796" t="str">
            <v>20617.00208</v>
          </cell>
          <cell r="B2796" t="str">
            <v>INJECTEUR SL-32/2</v>
          </cell>
          <cell r="C2796" t="str">
            <v>24-135EE REP 22-22</v>
          </cell>
          <cell r="D2796" t="str">
            <v>PE</v>
          </cell>
          <cell r="E2796" t="str">
            <v>515.51506</v>
          </cell>
          <cell r="F2796">
            <v>1197.3773000000001</v>
          </cell>
          <cell r="G2796">
            <v>0</v>
          </cell>
          <cell r="H2796">
            <v>0</v>
          </cell>
          <cell r="I2796">
            <v>0</v>
          </cell>
          <cell r="J2796">
            <v>0</v>
          </cell>
          <cell r="K2796">
            <v>14</v>
          </cell>
          <cell r="L2796">
            <v>0</v>
          </cell>
        </row>
        <row r="2797">
          <cell r="A2797" t="str">
            <v>20617.00209</v>
          </cell>
          <cell r="B2797" t="str">
            <v>INJECTEUR SL-32/3</v>
          </cell>
          <cell r="C2797" t="str">
            <v>24-135EE REP 22-23</v>
          </cell>
          <cell r="D2797" t="str">
            <v>PE</v>
          </cell>
          <cell r="E2797" t="str">
            <v>515.51506</v>
          </cell>
          <cell r="F2797">
            <v>1644.3108999999999</v>
          </cell>
          <cell r="G2797">
            <v>0</v>
          </cell>
          <cell r="H2797">
            <v>0</v>
          </cell>
          <cell r="I2797">
            <v>0</v>
          </cell>
          <cell r="J2797">
            <v>0</v>
          </cell>
          <cell r="K2797">
            <v>17</v>
          </cell>
          <cell r="L2797">
            <v>0</v>
          </cell>
        </row>
        <row r="2798">
          <cell r="A2798" t="str">
            <v>20617.00210</v>
          </cell>
          <cell r="B2798" t="str">
            <v>INJECTEUR SL-1/1</v>
          </cell>
          <cell r="C2798" t="str">
            <v>24-135EE REP 22-24</v>
          </cell>
          <cell r="D2798" t="str">
            <v>PE</v>
          </cell>
          <cell r="E2798" t="str">
            <v>515.51506</v>
          </cell>
          <cell r="F2798">
            <v>1888.3091999999999</v>
          </cell>
          <cell r="G2798">
            <v>0</v>
          </cell>
          <cell r="H2798">
            <v>0</v>
          </cell>
          <cell r="I2798">
            <v>0</v>
          </cell>
          <cell r="J2798">
            <v>0</v>
          </cell>
          <cell r="K2798">
            <v>12</v>
          </cell>
          <cell r="L2798">
            <v>0</v>
          </cell>
        </row>
        <row r="2799">
          <cell r="A2799" t="str">
            <v>20630.00914</v>
          </cell>
          <cell r="B2799" t="str">
            <v>GARNITURE MECANIQUE COMPLETE</v>
          </cell>
          <cell r="C2799" t="str">
            <v>AESSEAL TYPE CDSA DIAMETRE 100 REF AXLVR-STD-AES-623 PLAN 7108880-AXL VR-623</v>
          </cell>
          <cell r="D2799" t="str">
            <v>PE</v>
          </cell>
          <cell r="E2799" t="str">
            <v>522.52207</v>
          </cell>
          <cell r="F2799">
            <v>51778.666700000002</v>
          </cell>
          <cell r="G2799">
            <v>0</v>
          </cell>
          <cell r="H2799">
            <v>0</v>
          </cell>
          <cell r="I2799">
            <v>0</v>
          </cell>
          <cell r="J2799">
            <v>0</v>
          </cell>
          <cell r="K2799">
            <v>1</v>
          </cell>
          <cell r="L2799">
            <v>3</v>
          </cell>
        </row>
        <row r="2800">
          <cell r="A2800" t="str">
            <v>20622.00024</v>
          </cell>
          <cell r="B2800" t="str">
            <v>BOUCHON GRAPHILOR P:ECHAN</v>
          </cell>
          <cell r="C2800" t="str">
            <v>PLAN 4.32763 P:TUBE 51/38</v>
          </cell>
          <cell r="D2800" t="str">
            <v>PE</v>
          </cell>
          <cell r="E2800" t="str">
            <v>515.51509</v>
          </cell>
          <cell r="F2800">
            <v>110.56100000000001</v>
          </cell>
          <cell r="G2800">
            <v>0</v>
          </cell>
          <cell r="H2800">
            <v>0</v>
          </cell>
          <cell r="I2800">
            <v>0</v>
          </cell>
          <cell r="J2800">
            <v>0</v>
          </cell>
          <cell r="K2800">
            <v>0</v>
          </cell>
          <cell r="L2800">
            <v>0</v>
          </cell>
        </row>
        <row r="2801">
          <cell r="A2801" t="str">
            <v>20630.00861</v>
          </cell>
          <cell r="B2801" t="str">
            <v>JEU DE LAMELLES</v>
          </cell>
          <cell r="C2801" t="str">
            <v>JOHN CRANE POUR ACCOUPLEMENT TLK 750</v>
          </cell>
          <cell r="D2801" t="str">
            <v>PE</v>
          </cell>
          <cell r="E2801" t="str">
            <v>522.52207</v>
          </cell>
          <cell r="F2801">
            <v>14400</v>
          </cell>
          <cell r="G2801">
            <v>0</v>
          </cell>
          <cell r="H2801">
            <v>5</v>
          </cell>
          <cell r="I2801">
            <v>2</v>
          </cell>
          <cell r="J2801">
            <v>0</v>
          </cell>
          <cell r="K2801">
            <v>0</v>
          </cell>
          <cell r="L2801">
            <v>3</v>
          </cell>
        </row>
        <row r="2802">
          <cell r="A2802" t="str">
            <v>20630.00863</v>
          </cell>
          <cell r="B2802" t="str">
            <v>JEU DE LAMELLES</v>
          </cell>
          <cell r="C2802" t="str">
            <v>JOHN CRANE POUR ACCOUPLEMENT TLK 500</v>
          </cell>
          <cell r="D2802" t="str">
            <v>PE</v>
          </cell>
          <cell r="E2802" t="str">
            <v>522.52207</v>
          </cell>
          <cell r="F2802">
            <v>9020</v>
          </cell>
          <cell r="G2802">
            <v>1</v>
          </cell>
          <cell r="H2802">
            <v>0</v>
          </cell>
          <cell r="I2802">
            <v>2</v>
          </cell>
          <cell r="J2802">
            <v>0</v>
          </cell>
          <cell r="K2802">
            <v>0</v>
          </cell>
          <cell r="L2802">
            <v>0</v>
          </cell>
        </row>
        <row r="2803">
          <cell r="A2803" t="str">
            <v>20617.00255</v>
          </cell>
          <cell r="B2803" t="str">
            <v>JEU DE VISSERIE DU GALET DE BUTEE</v>
          </cell>
          <cell r="C2803" t="str">
            <v>24-135EE SANS REP</v>
          </cell>
          <cell r="D2803" t="str">
            <v>JE</v>
          </cell>
          <cell r="E2803" t="str">
            <v>515.51506</v>
          </cell>
          <cell r="F2803">
            <v>705.80989999999997</v>
          </cell>
          <cell r="G2803">
            <v>0</v>
          </cell>
          <cell r="H2803">
            <v>0</v>
          </cell>
          <cell r="I2803">
            <v>0</v>
          </cell>
          <cell r="J2803">
            <v>0</v>
          </cell>
          <cell r="K2803">
            <v>0</v>
          </cell>
          <cell r="L2803">
            <v>0</v>
          </cell>
        </row>
        <row r="2804">
          <cell r="A2804" t="str">
            <v>20617.00256</v>
          </cell>
          <cell r="B2804" t="str">
            <v>JEU DE JOINTS POUR LE SEPARATEUR</v>
          </cell>
          <cell r="C2804" t="str">
            <v>24-135EE SANS REP</v>
          </cell>
          <cell r="D2804" t="str">
            <v>JE</v>
          </cell>
          <cell r="E2804" t="str">
            <v>515.51506</v>
          </cell>
          <cell r="F2804">
            <v>3912.9850999999999</v>
          </cell>
          <cell r="G2804">
            <v>0</v>
          </cell>
          <cell r="H2804">
            <v>0</v>
          </cell>
          <cell r="I2804">
            <v>0</v>
          </cell>
          <cell r="J2804">
            <v>0</v>
          </cell>
          <cell r="K2804">
            <v>0</v>
          </cell>
          <cell r="L2804">
            <v>0</v>
          </cell>
        </row>
        <row r="2805">
          <cell r="A2805" t="str">
            <v>20617.00257</v>
          </cell>
          <cell r="B2805" t="str">
            <v>JEU DE JOINTS D'ALIMENTATION</v>
          </cell>
          <cell r="C2805" t="str">
            <v>24-135EE SANS REP</v>
          </cell>
          <cell r="D2805" t="str">
            <v>JE</v>
          </cell>
          <cell r="E2805" t="str">
            <v>515.51506</v>
          </cell>
          <cell r="F2805">
            <v>53393.981299999999</v>
          </cell>
          <cell r="G2805">
            <v>0</v>
          </cell>
          <cell r="H2805">
            <v>0</v>
          </cell>
          <cell r="I2805">
            <v>0</v>
          </cell>
          <cell r="J2805">
            <v>0</v>
          </cell>
          <cell r="K2805">
            <v>0</v>
          </cell>
          <cell r="L2805">
            <v>0</v>
          </cell>
        </row>
        <row r="2806">
          <cell r="A2806" t="str">
            <v>20630.00624</v>
          </cell>
          <cell r="B2806" t="str">
            <v>GARNITURE MECANIQUE</v>
          </cell>
          <cell r="C2806" t="str">
            <v>BURGMANN H7/53 Q1BVG3G3</v>
          </cell>
          <cell r="D2806" t="str">
            <v>PE</v>
          </cell>
          <cell r="E2806" t="str">
            <v>522.52207</v>
          </cell>
          <cell r="F2806">
            <v>1</v>
          </cell>
          <cell r="G2806">
            <v>0</v>
          </cell>
          <cell r="H2806">
            <v>0</v>
          </cell>
          <cell r="I2806">
            <v>0</v>
          </cell>
          <cell r="J2806">
            <v>0</v>
          </cell>
          <cell r="K2806">
            <v>1</v>
          </cell>
          <cell r="L2806">
            <v>1</v>
          </cell>
        </row>
        <row r="2807">
          <cell r="A2807" t="str">
            <v>20622.00152</v>
          </cell>
          <cell r="B2807" t="str">
            <v>MIXING TEE DN16"/6" D'ACIDE SULFURIQUE ET PHOSPHORIQUEa4</v>
          </cell>
          <cell r="C2807" t="str">
            <v>PLAN 2.28606</v>
          </cell>
          <cell r="D2807" t="str">
            <v>PE</v>
          </cell>
          <cell r="E2807" t="str">
            <v>515.51509</v>
          </cell>
          <cell r="F2807">
            <v>223100</v>
          </cell>
          <cell r="G2807">
            <v>0</v>
          </cell>
          <cell r="H2807">
            <v>0</v>
          </cell>
          <cell r="I2807">
            <v>0</v>
          </cell>
          <cell r="J2807">
            <v>0</v>
          </cell>
          <cell r="K2807">
            <v>0</v>
          </cell>
          <cell r="L2807">
            <v>0</v>
          </cell>
        </row>
        <row r="2808">
          <cell r="A2808" t="str">
            <v>20617.00310</v>
          </cell>
          <cell r="B2808" t="str">
            <v>BUSELURE EN 304</v>
          </cell>
          <cell r="C2808" t="str">
            <v>MODELE 30-240 PLAN 2812 N° 240-410 REP 411-3</v>
          </cell>
          <cell r="D2808" t="str">
            <v>PE</v>
          </cell>
          <cell r="E2808" t="str">
            <v>515.51506</v>
          </cell>
          <cell r="F2808">
            <v>710.10879999999997</v>
          </cell>
          <cell r="G2808">
            <v>0</v>
          </cell>
          <cell r="H2808">
            <v>0</v>
          </cell>
          <cell r="I2808">
            <v>0</v>
          </cell>
          <cell r="J2808">
            <v>0</v>
          </cell>
          <cell r="K2808">
            <v>0</v>
          </cell>
          <cell r="L2808">
            <v>0</v>
          </cell>
        </row>
        <row r="2809">
          <cell r="A2809" t="str">
            <v>20630.00625</v>
          </cell>
          <cell r="B2809" t="str">
            <v>GARNITURE MECANIQUE</v>
          </cell>
          <cell r="C2809" t="str">
            <v>BURGMANN H7/21/80 Q1BVG3G3</v>
          </cell>
          <cell r="D2809" t="str">
            <v>PE</v>
          </cell>
          <cell r="E2809" t="str">
            <v>522.52207</v>
          </cell>
          <cell r="F2809">
            <v>1</v>
          </cell>
          <cell r="G2809">
            <v>0</v>
          </cell>
          <cell r="H2809">
            <v>0</v>
          </cell>
          <cell r="I2809">
            <v>0</v>
          </cell>
          <cell r="J2809">
            <v>0</v>
          </cell>
          <cell r="K2809">
            <v>1</v>
          </cell>
          <cell r="L2809">
            <v>1</v>
          </cell>
        </row>
        <row r="2810">
          <cell r="A2810" t="str">
            <v>20630.00627</v>
          </cell>
          <cell r="B2810" t="str">
            <v>GARNITURE MECANIQUE</v>
          </cell>
          <cell r="C2810" t="str">
            <v>BURGMANN M7N21/60 Q1 BVG3G3</v>
          </cell>
          <cell r="D2810" t="str">
            <v>PE</v>
          </cell>
          <cell r="E2810" t="str">
            <v>522.52207</v>
          </cell>
          <cell r="F2810">
            <v>1</v>
          </cell>
          <cell r="G2810">
            <v>0</v>
          </cell>
          <cell r="H2810">
            <v>0</v>
          </cell>
          <cell r="I2810">
            <v>0</v>
          </cell>
          <cell r="J2810">
            <v>0</v>
          </cell>
          <cell r="K2810">
            <v>2</v>
          </cell>
          <cell r="L2810">
            <v>2</v>
          </cell>
        </row>
        <row r="2811">
          <cell r="A2811" t="str">
            <v>20630.00628</v>
          </cell>
          <cell r="B2811" t="str">
            <v>KIT POUR GARNITURE</v>
          </cell>
          <cell r="C2811" t="str">
            <v>BURGMANN H7/53 Q1 BVG3G3 (KIT)</v>
          </cell>
          <cell r="D2811" t="str">
            <v>PE</v>
          </cell>
          <cell r="E2811" t="str">
            <v>522.52207</v>
          </cell>
          <cell r="F2811">
            <v>1</v>
          </cell>
          <cell r="G2811">
            <v>0</v>
          </cell>
          <cell r="H2811">
            <v>0</v>
          </cell>
          <cell r="I2811">
            <v>0</v>
          </cell>
          <cell r="J2811">
            <v>0</v>
          </cell>
          <cell r="K2811">
            <v>2</v>
          </cell>
          <cell r="L2811">
            <v>2</v>
          </cell>
        </row>
        <row r="2812">
          <cell r="A2812" t="str">
            <v>20630.00629</v>
          </cell>
          <cell r="B2812" t="str">
            <v>KIT POUR GARNITURE</v>
          </cell>
          <cell r="C2812" t="str">
            <v>BURGMANN H7/21/80 Q1 BVG3G3 (KIT)</v>
          </cell>
          <cell r="D2812" t="str">
            <v>PE</v>
          </cell>
          <cell r="E2812" t="str">
            <v>522.52207</v>
          </cell>
          <cell r="F2812">
            <v>34133.4</v>
          </cell>
          <cell r="G2812">
            <v>0</v>
          </cell>
          <cell r="H2812">
            <v>0</v>
          </cell>
          <cell r="I2812">
            <v>0</v>
          </cell>
          <cell r="J2812">
            <v>0</v>
          </cell>
          <cell r="K2812">
            <v>0</v>
          </cell>
          <cell r="L2812">
            <v>0</v>
          </cell>
        </row>
        <row r="2813">
          <cell r="A2813" t="str">
            <v>20630.00630</v>
          </cell>
          <cell r="B2813" t="str">
            <v>KIT POUR GARNITURE</v>
          </cell>
          <cell r="C2813" t="str">
            <v>BURGMANN SPLITEX/100 BQ1VG3G3 (KIT)</v>
          </cell>
          <cell r="D2813" t="str">
            <v>PE</v>
          </cell>
          <cell r="E2813" t="str">
            <v>522.52207</v>
          </cell>
          <cell r="F2813">
            <v>59446.8</v>
          </cell>
          <cell r="G2813">
            <v>0</v>
          </cell>
          <cell r="H2813">
            <v>0</v>
          </cell>
          <cell r="I2813">
            <v>0</v>
          </cell>
          <cell r="J2813">
            <v>0</v>
          </cell>
          <cell r="K2813">
            <v>0</v>
          </cell>
          <cell r="L2813">
            <v>0</v>
          </cell>
        </row>
        <row r="2814">
          <cell r="A2814" t="str">
            <v>20630.00631</v>
          </cell>
          <cell r="B2814" t="str">
            <v>KIT POUR GARNITURE</v>
          </cell>
          <cell r="C2814" t="str">
            <v>BURGMANN M7N21/60 Q1 BVG3G3 (KIT)</v>
          </cell>
          <cell r="D2814" t="str">
            <v>PE</v>
          </cell>
          <cell r="E2814" t="str">
            <v>522.52207</v>
          </cell>
          <cell r="F2814">
            <v>1</v>
          </cell>
          <cell r="G2814">
            <v>0</v>
          </cell>
          <cell r="H2814">
            <v>0</v>
          </cell>
          <cell r="I2814">
            <v>0</v>
          </cell>
          <cell r="J2814">
            <v>0</v>
          </cell>
          <cell r="K2814">
            <v>2</v>
          </cell>
          <cell r="L2814">
            <v>2</v>
          </cell>
        </row>
        <row r="2815">
          <cell r="A2815" t="str">
            <v>20630.00626</v>
          </cell>
          <cell r="B2815" t="str">
            <v>GARNITURE MECANIQUE</v>
          </cell>
          <cell r="C2815" t="str">
            <v>BURGMANN SPLITEX/100 BQ1VG3G3</v>
          </cell>
          <cell r="D2815" t="str">
            <v>PE</v>
          </cell>
          <cell r="E2815" t="str">
            <v>522.52207</v>
          </cell>
          <cell r="F2815">
            <v>117541.2</v>
          </cell>
          <cell r="G2815">
            <v>0</v>
          </cell>
          <cell r="H2815">
            <v>0</v>
          </cell>
          <cell r="I2815">
            <v>0</v>
          </cell>
          <cell r="J2815">
            <v>0</v>
          </cell>
          <cell r="K2815">
            <v>0</v>
          </cell>
          <cell r="L2815">
            <v>0</v>
          </cell>
        </row>
        <row r="2816">
          <cell r="A2816" t="str">
            <v>20630.00632</v>
          </cell>
          <cell r="B2816" t="str">
            <v>GARNITURE MECANIQUE</v>
          </cell>
          <cell r="C2816" t="str">
            <v>BURGMANN H75-F2/65-E2-A1-AQ1EGG API 682</v>
          </cell>
          <cell r="D2816" t="str">
            <v>PE</v>
          </cell>
          <cell r="E2816" t="str">
            <v>522.52207</v>
          </cell>
          <cell r="F2816">
            <v>64978.752</v>
          </cell>
          <cell r="G2816">
            <v>0</v>
          </cell>
          <cell r="H2816">
            <v>0</v>
          </cell>
          <cell r="I2816">
            <v>0</v>
          </cell>
          <cell r="J2816">
            <v>0</v>
          </cell>
          <cell r="K2816">
            <v>0</v>
          </cell>
          <cell r="L2816">
            <v>2</v>
          </cell>
        </row>
        <row r="2817">
          <cell r="A2817" t="str">
            <v>20630.00633</v>
          </cell>
          <cell r="B2817" t="str">
            <v>KIT POUR GARNITURE</v>
          </cell>
          <cell r="C2817" t="str">
            <v>BURGMANN H75-F2/65-E2-A1-AQ1EGG API 682 (KIT)</v>
          </cell>
          <cell r="D2817" t="str">
            <v>PE</v>
          </cell>
          <cell r="E2817" t="str">
            <v>522.52207</v>
          </cell>
          <cell r="F2817">
            <v>55000</v>
          </cell>
          <cell r="G2817">
            <v>0</v>
          </cell>
          <cell r="H2817">
            <v>0</v>
          </cell>
          <cell r="I2817">
            <v>0</v>
          </cell>
          <cell r="J2817">
            <v>0</v>
          </cell>
          <cell r="K2817">
            <v>1</v>
          </cell>
          <cell r="L2817">
            <v>2</v>
          </cell>
        </row>
        <row r="2818">
          <cell r="A2818" t="str">
            <v>20630.00634</v>
          </cell>
          <cell r="B2818" t="str">
            <v>ACCOUPLEMENT</v>
          </cell>
          <cell r="C2818" t="str">
            <v>BURGMANN RIGIFLEX N140 L=250</v>
          </cell>
          <cell r="D2818" t="str">
            <v>PE</v>
          </cell>
          <cell r="E2818" t="str">
            <v>522.52207</v>
          </cell>
          <cell r="F2818">
            <v>67970.448000000004</v>
          </cell>
          <cell r="G2818">
            <v>0</v>
          </cell>
          <cell r="H2818">
            <v>0</v>
          </cell>
          <cell r="I2818">
            <v>0</v>
          </cell>
          <cell r="J2818">
            <v>0</v>
          </cell>
          <cell r="K2818">
            <v>0</v>
          </cell>
          <cell r="L2818">
            <v>0</v>
          </cell>
        </row>
        <row r="2819">
          <cell r="A2819" t="str">
            <v>20630.00635</v>
          </cell>
          <cell r="B2819" t="str">
            <v>ACCOUPLEMENT</v>
          </cell>
          <cell r="C2819" t="str">
            <v>BURGMANN RIGIFLEX N120 L=280</v>
          </cell>
          <cell r="D2819" t="str">
            <v>PE</v>
          </cell>
          <cell r="E2819" t="str">
            <v>522.52207</v>
          </cell>
          <cell r="F2819">
            <v>68506.703999999998</v>
          </cell>
          <cell r="G2819">
            <v>0</v>
          </cell>
          <cell r="H2819">
            <v>0</v>
          </cell>
          <cell r="I2819">
            <v>0</v>
          </cell>
          <cell r="J2819">
            <v>0</v>
          </cell>
          <cell r="K2819">
            <v>0</v>
          </cell>
          <cell r="L2819">
            <v>0</v>
          </cell>
        </row>
        <row r="2820">
          <cell r="A2820" t="str">
            <v>20630.00636</v>
          </cell>
          <cell r="B2820" t="str">
            <v>ACCOUPLEMENT</v>
          </cell>
          <cell r="C2820" t="str">
            <v>BURGMANN KTR POLYNORM AR38</v>
          </cell>
          <cell r="D2820" t="str">
            <v>PE</v>
          </cell>
          <cell r="E2820" t="str">
            <v>522.52207</v>
          </cell>
          <cell r="F2820">
            <v>1764</v>
          </cell>
          <cell r="G2820">
            <v>0</v>
          </cell>
          <cell r="H2820">
            <v>0</v>
          </cell>
          <cell r="I2820">
            <v>0</v>
          </cell>
          <cell r="J2820">
            <v>0</v>
          </cell>
          <cell r="K2820">
            <v>1</v>
          </cell>
          <cell r="L2820">
            <v>0</v>
          </cell>
        </row>
        <row r="2821">
          <cell r="A2821" t="str">
            <v>20600.03219</v>
          </cell>
          <cell r="B2821" t="str">
            <v>COUR TRAPEZOIDALE ETROITE</v>
          </cell>
          <cell r="C2821" t="str">
            <v>COURROIE SPB 1750</v>
          </cell>
          <cell r="D2821" t="str">
            <v>PE</v>
          </cell>
          <cell r="E2821" t="str">
            <v>515.51515</v>
          </cell>
          <cell r="F2821">
            <v>49.91</v>
          </cell>
          <cell r="G2821">
            <v>0</v>
          </cell>
          <cell r="H2821">
            <v>32</v>
          </cell>
          <cell r="I2821">
            <v>0</v>
          </cell>
          <cell r="J2821">
            <v>0</v>
          </cell>
          <cell r="K2821">
            <v>0</v>
          </cell>
          <cell r="L2821">
            <v>0</v>
          </cell>
        </row>
        <row r="2822">
          <cell r="A2822" t="str">
            <v>20600.03229</v>
          </cell>
          <cell r="B2822" t="str">
            <v>COUR.TRAPEZOIDALE ETROITE</v>
          </cell>
          <cell r="C2822" t="str">
            <v>COURROIE SPB 2360</v>
          </cell>
          <cell r="D2822" t="str">
            <v>PE</v>
          </cell>
          <cell r="E2822" t="str">
            <v>515.51515</v>
          </cell>
          <cell r="F2822">
            <v>69.760000000000005</v>
          </cell>
          <cell r="G2822">
            <v>0</v>
          </cell>
          <cell r="H2822">
            <v>0</v>
          </cell>
          <cell r="I2822">
            <v>3</v>
          </cell>
          <cell r="J2822">
            <v>0</v>
          </cell>
          <cell r="K2822">
            <v>2</v>
          </cell>
          <cell r="L2822">
            <v>0</v>
          </cell>
        </row>
        <row r="2823">
          <cell r="A2823" t="str">
            <v>20630.10005</v>
          </cell>
          <cell r="B2823" t="str">
            <v>GARNITURE MECANIQUE</v>
          </cell>
          <cell r="C2823" t="str">
            <v>JOHN CRANE 680SFSSLF085</v>
          </cell>
          <cell r="D2823" t="str">
            <v>PE</v>
          </cell>
          <cell r="E2823" t="str">
            <v>522.52207</v>
          </cell>
          <cell r="F2823">
            <v>17800</v>
          </cell>
          <cell r="G2823">
            <v>0</v>
          </cell>
          <cell r="H2823">
            <v>5</v>
          </cell>
          <cell r="I2823">
            <v>2</v>
          </cell>
          <cell r="J2823">
            <v>0</v>
          </cell>
          <cell r="K2823">
            <v>2</v>
          </cell>
          <cell r="L2823">
            <v>1</v>
          </cell>
        </row>
        <row r="2824">
          <cell r="A2824" t="str">
            <v>20630.10000</v>
          </cell>
          <cell r="B2824" t="str">
            <v>GARNITURE MECANIQUE</v>
          </cell>
          <cell r="C2824" t="str">
            <v>JOHN CRANE SE2-AP-80-QXVQ-4U</v>
          </cell>
          <cell r="D2824" t="str">
            <v>PE</v>
          </cell>
          <cell r="E2824" t="str">
            <v>522.52207</v>
          </cell>
          <cell r="F2824">
            <v>45711.360000000001</v>
          </cell>
          <cell r="G2824">
            <v>0</v>
          </cell>
          <cell r="H2824">
            <v>0</v>
          </cell>
          <cell r="I2824">
            <v>1</v>
          </cell>
          <cell r="J2824">
            <v>0</v>
          </cell>
          <cell r="K2824">
            <v>0</v>
          </cell>
          <cell r="L2824">
            <v>2</v>
          </cell>
        </row>
        <row r="2825">
          <cell r="A2825" t="str">
            <v>20630.10001</v>
          </cell>
          <cell r="B2825" t="str">
            <v>GARNITURE MECANIQUE</v>
          </cell>
          <cell r="C2825" t="str">
            <v>JOHN CRANE SE2-AP-80-QXVQ-4L</v>
          </cell>
          <cell r="D2825" t="str">
            <v>PE</v>
          </cell>
          <cell r="E2825" t="str">
            <v>522.52207</v>
          </cell>
          <cell r="F2825">
            <v>45711.360000000001</v>
          </cell>
          <cell r="G2825">
            <v>0</v>
          </cell>
          <cell r="H2825">
            <v>0</v>
          </cell>
          <cell r="I2825">
            <v>0</v>
          </cell>
          <cell r="J2825">
            <v>0</v>
          </cell>
          <cell r="K2825">
            <v>0</v>
          </cell>
          <cell r="L2825">
            <v>4</v>
          </cell>
        </row>
        <row r="2826">
          <cell r="A2826" t="str">
            <v>20630.10002</v>
          </cell>
          <cell r="B2826" t="str">
            <v>GARNITURE MECANIQUE</v>
          </cell>
          <cell r="C2826" t="str">
            <v>JOHN CRANE JCS2-60-QXMQ-4L</v>
          </cell>
          <cell r="D2826" t="str">
            <v>PE</v>
          </cell>
          <cell r="E2826" t="str">
            <v>522.52207</v>
          </cell>
          <cell r="F2826">
            <v>17100</v>
          </cell>
          <cell r="G2826">
            <v>0</v>
          </cell>
          <cell r="H2826">
            <v>2</v>
          </cell>
          <cell r="I2826">
            <v>3</v>
          </cell>
          <cell r="J2826">
            <v>2</v>
          </cell>
          <cell r="K2826">
            <v>2</v>
          </cell>
          <cell r="L2826">
            <v>2</v>
          </cell>
        </row>
        <row r="2827">
          <cell r="A2827" t="str">
            <v>20630.10003</v>
          </cell>
          <cell r="B2827" t="str">
            <v>GARNITURE MECANIQUE</v>
          </cell>
          <cell r="C2827" t="str">
            <v>JOHN CRANE JCS2-50-QXMQ-4L</v>
          </cell>
          <cell r="D2827" t="str">
            <v>PE</v>
          </cell>
          <cell r="E2827" t="str">
            <v>522.52207</v>
          </cell>
          <cell r="F2827">
            <v>16693.272700000001</v>
          </cell>
          <cell r="G2827">
            <v>0</v>
          </cell>
          <cell r="H2827">
            <v>2</v>
          </cell>
          <cell r="I2827">
            <v>0</v>
          </cell>
          <cell r="J2827">
            <v>0</v>
          </cell>
          <cell r="K2827">
            <v>6</v>
          </cell>
          <cell r="L2827">
            <v>8</v>
          </cell>
        </row>
        <row r="2828">
          <cell r="A2828" t="str">
            <v>20630.10004</v>
          </cell>
          <cell r="B2828" t="str">
            <v>GARNITURE MECANIQUE</v>
          </cell>
          <cell r="C2828" t="str">
            <v>JOHN CRANE JCS2-40-QXMQ-4L-309063 P/POMPE SULZER TYPE 22A-65</v>
          </cell>
          <cell r="D2828" t="str">
            <v>PE</v>
          </cell>
          <cell r="E2828" t="str">
            <v>522.52207</v>
          </cell>
          <cell r="F2828">
            <v>14142</v>
          </cell>
          <cell r="G2828">
            <v>0</v>
          </cell>
          <cell r="H2828">
            <v>2</v>
          </cell>
          <cell r="I2828">
            <v>6</v>
          </cell>
          <cell r="J2828">
            <v>0</v>
          </cell>
          <cell r="K2828">
            <v>6</v>
          </cell>
          <cell r="L2828">
            <v>2</v>
          </cell>
        </row>
        <row r="2829">
          <cell r="A2829" t="str">
            <v>20630.00038</v>
          </cell>
          <cell r="B2829" t="str">
            <v>GARNITURE MECANIQUE TYPE CARTOUCHE</v>
          </cell>
          <cell r="C2829" t="str">
            <v xml:space="preserve">AESSEAL REF: DMSF  DIAMETRE 5" </v>
          </cell>
          <cell r="D2829" t="str">
            <v>PE</v>
          </cell>
          <cell r="E2829" t="str">
            <v>522.52207</v>
          </cell>
          <cell r="F2829">
            <v>102854.28569999999</v>
          </cell>
          <cell r="G2829">
            <v>0</v>
          </cell>
          <cell r="H2829">
            <v>2</v>
          </cell>
          <cell r="I2829">
            <v>4</v>
          </cell>
          <cell r="J2829">
            <v>3</v>
          </cell>
          <cell r="K2829">
            <v>3</v>
          </cell>
          <cell r="L2829">
            <v>1</v>
          </cell>
        </row>
        <row r="2830">
          <cell r="A2830" t="str">
            <v>20630.00733</v>
          </cell>
          <cell r="B2830" t="str">
            <v>GARNITURE MECANIQUE</v>
          </cell>
          <cell r="C2830" t="str">
            <v>JOHN CRANE, TYPE: 0500/10R/V/657B DIAM: 50 MMT10R QXS1SX / V</v>
          </cell>
          <cell r="D2830" t="str">
            <v>PE</v>
          </cell>
          <cell r="E2830" t="str">
            <v>522.52207</v>
          </cell>
          <cell r="F2830">
            <v>33516</v>
          </cell>
          <cell r="G2830">
            <v>0</v>
          </cell>
          <cell r="H2830">
            <v>0</v>
          </cell>
          <cell r="I2830">
            <v>0</v>
          </cell>
          <cell r="J2830">
            <v>0</v>
          </cell>
          <cell r="K2830">
            <v>0</v>
          </cell>
          <cell r="L2830">
            <v>2</v>
          </cell>
        </row>
        <row r="2831">
          <cell r="A2831" t="str">
            <v>20617.00457</v>
          </cell>
          <cell r="B2831" t="str">
            <v>LIMITEUR DE COUPLE</v>
          </cell>
          <cell r="C2831" t="str">
            <v>24-135EE REP 512-24</v>
          </cell>
          <cell r="D2831" t="str">
            <v>PE</v>
          </cell>
          <cell r="E2831" t="str">
            <v>515.51506</v>
          </cell>
          <cell r="F2831">
            <v>41362.400000000001</v>
          </cell>
          <cell r="G2831">
            <v>0</v>
          </cell>
          <cell r="H2831">
            <v>1</v>
          </cell>
          <cell r="I2831">
            <v>0</v>
          </cell>
          <cell r="J2831">
            <v>0</v>
          </cell>
          <cell r="K2831">
            <v>0</v>
          </cell>
          <cell r="L2831">
            <v>3</v>
          </cell>
        </row>
        <row r="2832">
          <cell r="A2832" t="str">
            <v>20617.00458</v>
          </cell>
          <cell r="B2832" t="str">
            <v>GALET EN TEFLON</v>
          </cell>
          <cell r="C2832" t="str">
            <v>24-135EE REP 214-21</v>
          </cell>
          <cell r="D2832" t="str">
            <v>PE</v>
          </cell>
          <cell r="E2832" t="str">
            <v>515.51506</v>
          </cell>
          <cell r="F2832">
            <v>464.22629999999998</v>
          </cell>
          <cell r="G2832">
            <v>0</v>
          </cell>
          <cell r="H2832">
            <v>10</v>
          </cell>
          <cell r="I2832">
            <v>24</v>
          </cell>
          <cell r="J2832">
            <v>0</v>
          </cell>
          <cell r="K2832">
            <v>0</v>
          </cell>
          <cell r="L2832">
            <v>38</v>
          </cell>
        </row>
        <row r="2833">
          <cell r="A2833" t="str">
            <v>20617.00459</v>
          </cell>
          <cell r="B2833" t="str">
            <v>RESSORT</v>
          </cell>
          <cell r="C2833" t="str">
            <v>24-135EE REP 214-11</v>
          </cell>
          <cell r="D2833" t="str">
            <v>PE</v>
          </cell>
          <cell r="E2833" t="str">
            <v>515.51506</v>
          </cell>
          <cell r="F2833">
            <v>2591.1477</v>
          </cell>
          <cell r="G2833">
            <v>10</v>
          </cell>
          <cell r="H2833">
            <v>38</v>
          </cell>
          <cell r="I2833">
            <v>17</v>
          </cell>
          <cell r="J2833">
            <v>0</v>
          </cell>
          <cell r="K2833">
            <v>0</v>
          </cell>
          <cell r="L2833">
            <v>31</v>
          </cell>
        </row>
        <row r="2834">
          <cell r="A2834" t="str">
            <v>20617.00462</v>
          </cell>
          <cell r="B2834" t="str">
            <v>GOUPILLE</v>
          </cell>
          <cell r="C2834" t="str">
            <v>24-135EE REP 215-8</v>
          </cell>
          <cell r="D2834" t="str">
            <v>PE</v>
          </cell>
          <cell r="E2834" t="str">
            <v>515.51506</v>
          </cell>
          <cell r="F2834">
            <v>54.12</v>
          </cell>
          <cell r="G2834">
            <v>20</v>
          </cell>
          <cell r="H2834">
            <v>21</v>
          </cell>
          <cell r="I2834">
            <v>36</v>
          </cell>
          <cell r="J2834">
            <v>0</v>
          </cell>
          <cell r="K2834">
            <v>0</v>
          </cell>
          <cell r="L2834">
            <v>73</v>
          </cell>
        </row>
        <row r="2835">
          <cell r="A2835" t="str">
            <v>20617.00460</v>
          </cell>
          <cell r="B2835" t="str">
            <v>ENTRETOISE</v>
          </cell>
          <cell r="C2835" t="str">
            <v>24-135EE REP 214-20</v>
          </cell>
          <cell r="D2835" t="str">
            <v>PE</v>
          </cell>
          <cell r="E2835" t="str">
            <v>515.51506</v>
          </cell>
          <cell r="F2835">
            <v>152.46629999999999</v>
          </cell>
          <cell r="G2835">
            <v>7</v>
          </cell>
          <cell r="H2835">
            <v>41</v>
          </cell>
          <cell r="I2835">
            <v>48</v>
          </cell>
          <cell r="J2835">
            <v>0</v>
          </cell>
          <cell r="K2835">
            <v>0</v>
          </cell>
          <cell r="L2835">
            <v>0</v>
          </cell>
        </row>
        <row r="2836">
          <cell r="A2836" t="str">
            <v>20617.00461</v>
          </cell>
          <cell r="B2836" t="str">
            <v>JEU DE BOULONS</v>
          </cell>
          <cell r="C2836" t="str">
            <v>24-135EE REP 214-13/214-14/214-15</v>
          </cell>
          <cell r="D2836" t="str">
            <v>PE</v>
          </cell>
          <cell r="E2836" t="str">
            <v>515.51506</v>
          </cell>
          <cell r="F2836">
            <v>253.3449</v>
          </cell>
          <cell r="G2836">
            <v>0</v>
          </cell>
          <cell r="H2836">
            <v>0</v>
          </cell>
          <cell r="I2836">
            <v>0</v>
          </cell>
          <cell r="J2836">
            <v>0</v>
          </cell>
          <cell r="K2836">
            <v>0</v>
          </cell>
          <cell r="L2836">
            <v>0</v>
          </cell>
        </row>
        <row r="2837">
          <cell r="A2837" t="str">
            <v>20630.00854</v>
          </cell>
          <cell r="B2837" t="str">
            <v>GARNITURE MECANIQUE A SOUFFLET ELASTOMERE</v>
          </cell>
          <cell r="C2837" t="str">
            <v>JOHN CRANE TYPE 2100 BQ1EGG CAR/SIC/EPR DIAMETRE 53MM</v>
          </cell>
          <cell r="D2837" t="str">
            <v>PE</v>
          </cell>
          <cell r="E2837" t="str">
            <v>522.52207</v>
          </cell>
          <cell r="F2837">
            <v>1729</v>
          </cell>
          <cell r="G2837">
            <v>0</v>
          </cell>
          <cell r="H2837">
            <v>0</v>
          </cell>
          <cell r="I2837">
            <v>1</v>
          </cell>
          <cell r="J2837">
            <v>0</v>
          </cell>
          <cell r="K2837">
            <v>0</v>
          </cell>
          <cell r="L2837">
            <v>2</v>
          </cell>
        </row>
        <row r="2838">
          <cell r="A2838" t="str">
            <v>20630.00855</v>
          </cell>
          <cell r="B2838" t="str">
            <v>GARNITURE MECANIQUE A SOUFFLET ELASTOMERE</v>
          </cell>
          <cell r="C2838" t="str">
            <v>JOHN CRANE TYPE 2100 Q1Q1VGG SIC/SIC/VITON DIAMETRE 43MM</v>
          </cell>
          <cell r="D2838" t="str">
            <v>PE</v>
          </cell>
          <cell r="E2838" t="str">
            <v>522.52207</v>
          </cell>
          <cell r="F2838">
            <v>1697.25</v>
          </cell>
          <cell r="G2838">
            <v>0</v>
          </cell>
          <cell r="H2838">
            <v>0</v>
          </cell>
          <cell r="I2838">
            <v>0</v>
          </cell>
          <cell r="J2838">
            <v>0</v>
          </cell>
          <cell r="K2838">
            <v>1</v>
          </cell>
          <cell r="L2838">
            <v>4</v>
          </cell>
        </row>
        <row r="2839">
          <cell r="A2839" t="str">
            <v>20630.00856</v>
          </cell>
          <cell r="B2839" t="str">
            <v>GARNITURE MECANIQUE A SOUFFLET ELASTOMERE</v>
          </cell>
          <cell r="C2839" t="str">
            <v>JOHN CRANE TYPE 2100 BQ1EGG CAR/SIC/EPR DIAMETRE 43MM</v>
          </cell>
          <cell r="D2839" t="str">
            <v>PE</v>
          </cell>
          <cell r="E2839" t="str">
            <v>522.52207</v>
          </cell>
          <cell r="F2839">
            <v>1337.1667</v>
          </cell>
          <cell r="G2839">
            <v>0</v>
          </cell>
          <cell r="H2839">
            <v>0</v>
          </cell>
          <cell r="I2839">
            <v>0</v>
          </cell>
          <cell r="J2839">
            <v>0</v>
          </cell>
          <cell r="K2839">
            <v>2</v>
          </cell>
          <cell r="L2839">
            <v>4</v>
          </cell>
        </row>
        <row r="2840">
          <cell r="A2840" t="str">
            <v>20630.00858</v>
          </cell>
          <cell r="B2840" t="str">
            <v>ACCOUPLEMENT METASTREAM</v>
          </cell>
          <cell r="C2840" t="str">
            <v>JOHN CRANE TLK 1050 LONGUEUR ENTRETOISE 250</v>
          </cell>
          <cell r="D2840" t="str">
            <v>PE</v>
          </cell>
          <cell r="E2840" t="str">
            <v>522.52207</v>
          </cell>
          <cell r="F2840">
            <v>44750</v>
          </cell>
          <cell r="G2840">
            <v>0</v>
          </cell>
          <cell r="H2840">
            <v>0</v>
          </cell>
          <cell r="I2840">
            <v>0</v>
          </cell>
          <cell r="J2840">
            <v>0</v>
          </cell>
          <cell r="K2840">
            <v>0</v>
          </cell>
          <cell r="L2840">
            <v>0</v>
          </cell>
        </row>
        <row r="2841">
          <cell r="A2841" t="str">
            <v>20630.00859</v>
          </cell>
          <cell r="B2841" t="str">
            <v>JEU DE LAMELLES</v>
          </cell>
          <cell r="C2841" t="str">
            <v>JOHN CRANE POUR ACCOUPLEMENT TLK 1050</v>
          </cell>
          <cell r="D2841" t="str">
            <v>PE</v>
          </cell>
          <cell r="E2841" t="str">
            <v>522.52207</v>
          </cell>
          <cell r="F2841">
            <v>14400</v>
          </cell>
          <cell r="G2841">
            <v>0</v>
          </cell>
          <cell r="H2841">
            <v>1</v>
          </cell>
          <cell r="I2841">
            <v>1</v>
          </cell>
          <cell r="J2841">
            <v>2</v>
          </cell>
          <cell r="K2841">
            <v>1</v>
          </cell>
          <cell r="L2841">
            <v>1</v>
          </cell>
        </row>
        <row r="2842">
          <cell r="A2842" t="str">
            <v>20630.00860</v>
          </cell>
          <cell r="B2842" t="str">
            <v>ACCOUPLEMENT METASTREAM</v>
          </cell>
          <cell r="C2842" t="str">
            <v>JOHN CRANE TLK 750 LONGUEUR ENTRETOISE 250</v>
          </cell>
          <cell r="D2842" t="str">
            <v>PE</v>
          </cell>
          <cell r="E2842" t="str">
            <v>522.52207</v>
          </cell>
          <cell r="F2842">
            <v>32100</v>
          </cell>
          <cell r="G2842">
            <v>0</v>
          </cell>
          <cell r="H2842">
            <v>0</v>
          </cell>
          <cell r="I2842">
            <v>0</v>
          </cell>
          <cell r="J2842">
            <v>0</v>
          </cell>
          <cell r="K2842">
            <v>0</v>
          </cell>
          <cell r="L2842">
            <v>0</v>
          </cell>
        </row>
        <row r="2843">
          <cell r="A2843" t="str">
            <v>20630.00857</v>
          </cell>
          <cell r="B2843" t="str">
            <v>GARNITURE MECANIQUE A SOUFFLET ELASTOMERE</v>
          </cell>
          <cell r="C2843" t="str">
            <v>JOHN CRANE TYPE 2100 BQ1EGG CAR/SIC/EPR DIAMETRE 33MM</v>
          </cell>
          <cell r="D2843" t="str">
            <v>PE</v>
          </cell>
          <cell r="E2843" t="str">
            <v>522.52207</v>
          </cell>
          <cell r="F2843">
            <v>1242.5</v>
          </cell>
          <cell r="G2843">
            <v>0</v>
          </cell>
          <cell r="H2843">
            <v>0</v>
          </cell>
          <cell r="I2843">
            <v>0</v>
          </cell>
          <cell r="J2843">
            <v>1</v>
          </cell>
          <cell r="K2843">
            <v>1</v>
          </cell>
          <cell r="L2843">
            <v>2</v>
          </cell>
        </row>
        <row r="2844">
          <cell r="A2844" t="str">
            <v>20617.00566</v>
          </cell>
          <cell r="B2844" t="str">
            <v>PLAT PERCE ET TARAUDE</v>
          </cell>
          <cell r="C2844" t="str">
            <v>24-135EE PLAN 2805-135EE-200 REP 217-7</v>
          </cell>
          <cell r="D2844" t="str">
            <v>PE</v>
          </cell>
          <cell r="E2844" t="str">
            <v>515.51506</v>
          </cell>
          <cell r="F2844">
            <v>355.32799999999997</v>
          </cell>
          <cell r="G2844">
            <v>0</v>
          </cell>
          <cell r="H2844">
            <v>0</v>
          </cell>
          <cell r="I2844">
            <v>0</v>
          </cell>
          <cell r="J2844">
            <v>0</v>
          </cell>
          <cell r="K2844">
            <v>0</v>
          </cell>
          <cell r="L2844">
            <v>0</v>
          </cell>
        </row>
        <row r="2845">
          <cell r="A2845" t="str">
            <v>20617.00567</v>
          </cell>
          <cell r="B2845" t="str">
            <v>PLAT DE RETETENUE SUP</v>
          </cell>
          <cell r="C2845" t="str">
            <v>24-135EE PLAN 2805-135EE-410 REP 411-17</v>
          </cell>
          <cell r="D2845" t="str">
            <v>PE</v>
          </cell>
          <cell r="E2845" t="str">
            <v>515.51506</v>
          </cell>
          <cell r="F2845">
            <v>92.477599999999995</v>
          </cell>
          <cell r="G2845">
            <v>0</v>
          </cell>
          <cell r="H2845">
            <v>0</v>
          </cell>
          <cell r="I2845">
            <v>0</v>
          </cell>
          <cell r="J2845">
            <v>0</v>
          </cell>
          <cell r="K2845">
            <v>1</v>
          </cell>
          <cell r="L2845">
            <v>0</v>
          </cell>
        </row>
        <row r="2846">
          <cell r="A2846" t="str">
            <v>20617.00568</v>
          </cell>
          <cell r="B2846" t="str">
            <v>PLAT DE RETENUE INF</v>
          </cell>
          <cell r="C2846" t="str">
            <v>24-135EE PLAN 2805-135EE-410 REP 411-18</v>
          </cell>
          <cell r="D2846" t="str">
            <v>PE</v>
          </cell>
          <cell r="E2846" t="str">
            <v>515.51506</v>
          </cell>
          <cell r="F2846">
            <v>83.229799999999997</v>
          </cell>
          <cell r="G2846">
            <v>0</v>
          </cell>
          <cell r="H2846">
            <v>0</v>
          </cell>
          <cell r="I2846">
            <v>0</v>
          </cell>
          <cell r="J2846">
            <v>0</v>
          </cell>
          <cell r="K2846">
            <v>1</v>
          </cell>
          <cell r="L2846">
            <v>0</v>
          </cell>
        </row>
        <row r="2847">
          <cell r="A2847" t="str">
            <v>20600.03283</v>
          </cell>
          <cell r="B2847" t="str">
            <v>COUR.TRAPEZOIDALE ETROITE SPC 3150</v>
          </cell>
          <cell r="C2847" t="str">
            <v>COURROIE SPC 3150</v>
          </cell>
          <cell r="D2847" t="str">
            <v>PE</v>
          </cell>
          <cell r="E2847" t="str">
            <v>515.51515</v>
          </cell>
          <cell r="F2847">
            <v>142.87</v>
          </cell>
          <cell r="G2847">
            <v>0</v>
          </cell>
          <cell r="H2847">
            <v>0</v>
          </cell>
          <cell r="I2847">
            <v>32</v>
          </cell>
          <cell r="J2847">
            <v>0</v>
          </cell>
          <cell r="K2847">
            <v>0</v>
          </cell>
          <cell r="L2847">
            <v>0</v>
          </cell>
        </row>
        <row r="2848">
          <cell r="A2848" t="str">
            <v>20600.03286</v>
          </cell>
          <cell r="B2848" t="str">
            <v>COUR.TRAPEZOIDALE ETROITE</v>
          </cell>
          <cell r="C2848" t="str">
            <v>COURROIE SPC 3550</v>
          </cell>
          <cell r="D2848" t="str">
            <v>PE</v>
          </cell>
          <cell r="E2848" t="str">
            <v>515.51515</v>
          </cell>
          <cell r="F2848">
            <v>129.0984</v>
          </cell>
          <cell r="G2848">
            <v>0</v>
          </cell>
          <cell r="H2848">
            <v>0</v>
          </cell>
          <cell r="I2848">
            <v>0</v>
          </cell>
          <cell r="J2848">
            <v>0</v>
          </cell>
          <cell r="K2848">
            <v>3</v>
          </cell>
          <cell r="L2848">
            <v>0</v>
          </cell>
        </row>
        <row r="2849">
          <cell r="A2849" t="str">
            <v>20600.03154</v>
          </cell>
          <cell r="B2849" t="str">
            <v>COUR.TRAPEZOIDALE ETROITE</v>
          </cell>
          <cell r="C2849" t="str">
            <v>COURROIE SPA 1800</v>
          </cell>
          <cell r="D2849" t="str">
            <v>PE</v>
          </cell>
          <cell r="E2849" t="str">
            <v>515.51515</v>
          </cell>
          <cell r="F2849">
            <v>35.25</v>
          </cell>
          <cell r="G2849">
            <v>0</v>
          </cell>
          <cell r="H2849">
            <v>0</v>
          </cell>
          <cell r="I2849">
            <v>0</v>
          </cell>
          <cell r="J2849">
            <v>0</v>
          </cell>
          <cell r="K2849">
            <v>0</v>
          </cell>
          <cell r="L2849">
            <v>9</v>
          </cell>
        </row>
        <row r="2850">
          <cell r="A2850" t="str">
            <v>20600.03158</v>
          </cell>
          <cell r="B2850" t="str">
            <v>COUR.TRAPEZOIDALE ETROITE</v>
          </cell>
          <cell r="C2850" t="str">
            <v>COURROIE SPA 1900</v>
          </cell>
          <cell r="D2850" t="str">
            <v>PE</v>
          </cell>
          <cell r="E2850" t="str">
            <v>515.51515</v>
          </cell>
          <cell r="F2850">
            <v>55.499400000000001</v>
          </cell>
          <cell r="G2850">
            <v>0</v>
          </cell>
          <cell r="H2850">
            <v>0</v>
          </cell>
          <cell r="I2850">
            <v>0</v>
          </cell>
          <cell r="J2850">
            <v>0</v>
          </cell>
          <cell r="K2850">
            <v>0</v>
          </cell>
          <cell r="L2850">
            <v>0</v>
          </cell>
        </row>
        <row r="2851">
          <cell r="A2851" t="str">
            <v>20600.03162</v>
          </cell>
          <cell r="B2851" t="str">
            <v>COUR.TRAPEZOIDALE ETROITE</v>
          </cell>
          <cell r="C2851" t="str">
            <v>COURROIE SPA 2000</v>
          </cell>
          <cell r="D2851" t="str">
            <v>PE</v>
          </cell>
          <cell r="E2851" t="str">
            <v>515.51515</v>
          </cell>
          <cell r="F2851">
            <v>63.131999999999998</v>
          </cell>
          <cell r="G2851">
            <v>0</v>
          </cell>
          <cell r="H2851">
            <v>0</v>
          </cell>
          <cell r="I2851">
            <v>0</v>
          </cell>
          <cell r="J2851">
            <v>0</v>
          </cell>
          <cell r="K2851">
            <v>0</v>
          </cell>
          <cell r="L2851">
            <v>0</v>
          </cell>
        </row>
        <row r="2852">
          <cell r="A2852" t="str">
            <v>20600.03295</v>
          </cell>
          <cell r="B2852" t="str">
            <v>COUR.TRAPEZOIDALE ETROITE</v>
          </cell>
          <cell r="C2852" t="str">
            <v>COURROIE SPC 4250</v>
          </cell>
          <cell r="D2852" t="str">
            <v>PE</v>
          </cell>
          <cell r="E2852" t="str">
            <v>515.51515</v>
          </cell>
          <cell r="F2852">
            <v>159.696</v>
          </cell>
          <cell r="G2852">
            <v>0</v>
          </cell>
          <cell r="H2852">
            <v>0</v>
          </cell>
          <cell r="I2852">
            <v>0</v>
          </cell>
          <cell r="J2852">
            <v>0</v>
          </cell>
          <cell r="K2852">
            <v>6</v>
          </cell>
          <cell r="L2852">
            <v>0</v>
          </cell>
        </row>
        <row r="2853">
          <cell r="A2853" t="str">
            <v>20616.00278</v>
          </cell>
          <cell r="B2853" t="str">
            <v>JOINT DE PLAQUE</v>
          </cell>
          <cell r="C2853" t="str">
            <v xml:space="preserve">32330 18046   TYPE M15-MFG </v>
          </cell>
          <cell r="D2853" t="str">
            <v>PE</v>
          </cell>
          <cell r="E2853" t="str">
            <v>515.51506</v>
          </cell>
          <cell r="F2853">
            <v>288.40699999999998</v>
          </cell>
          <cell r="G2853">
            <v>0</v>
          </cell>
          <cell r="H2853">
            <v>0</v>
          </cell>
          <cell r="I2853">
            <v>117</v>
          </cell>
          <cell r="J2853">
            <v>0</v>
          </cell>
          <cell r="K2853">
            <v>0</v>
          </cell>
          <cell r="L2853">
            <v>117</v>
          </cell>
        </row>
        <row r="2854">
          <cell r="A2854" t="str">
            <v>20599.00043</v>
          </cell>
          <cell r="B2854" t="str">
            <v>COURROIE TRAPEZ CRANTEE</v>
          </cell>
          <cell r="C2854" t="str">
            <v>COURROIE XPB  3000</v>
          </cell>
          <cell r="D2854" t="str">
            <v>PE</v>
          </cell>
          <cell r="E2854" t="str">
            <v>515.51515</v>
          </cell>
          <cell r="F2854">
            <v>216</v>
          </cell>
          <cell r="G2854">
            <v>3</v>
          </cell>
          <cell r="H2854">
            <v>2</v>
          </cell>
          <cell r="I2854">
            <v>7</v>
          </cell>
          <cell r="J2854">
            <v>3</v>
          </cell>
          <cell r="K2854">
            <v>0</v>
          </cell>
          <cell r="L2854">
            <v>11</v>
          </cell>
        </row>
        <row r="2855">
          <cell r="A2855" t="str">
            <v>20599.00424</v>
          </cell>
          <cell r="B2855" t="str">
            <v>COUR.TRAPEZOIDALE CLASSIQ</v>
          </cell>
          <cell r="C2855" t="str">
            <v>COURROIE 25,4X23 5385 LA 8V 2120</v>
          </cell>
          <cell r="D2855" t="str">
            <v>PE</v>
          </cell>
          <cell r="E2855" t="str">
            <v>515.51515</v>
          </cell>
          <cell r="F2855">
            <v>556.01220000000001</v>
          </cell>
          <cell r="G2855">
            <v>0</v>
          </cell>
          <cell r="H2855">
            <v>30</v>
          </cell>
          <cell r="I2855">
            <v>0</v>
          </cell>
          <cell r="J2855">
            <v>0</v>
          </cell>
          <cell r="K2855">
            <v>40</v>
          </cell>
          <cell r="L2855">
            <v>97</v>
          </cell>
        </row>
        <row r="2856">
          <cell r="A2856" t="str">
            <v>20599.00353</v>
          </cell>
          <cell r="B2856" t="str">
            <v>COUR.TRAPEZOIDALE ETROITE</v>
          </cell>
          <cell r="C2856" t="str">
            <v>COURROIE SPA 2000</v>
          </cell>
          <cell r="D2856" t="str">
            <v>PE</v>
          </cell>
          <cell r="E2856" t="str">
            <v>515.51515</v>
          </cell>
          <cell r="F2856">
            <v>46.3</v>
          </cell>
          <cell r="G2856">
            <v>0</v>
          </cell>
          <cell r="H2856">
            <v>0</v>
          </cell>
          <cell r="I2856">
            <v>2</v>
          </cell>
          <cell r="J2856">
            <v>0</v>
          </cell>
          <cell r="K2856">
            <v>0</v>
          </cell>
          <cell r="L2856">
            <v>12</v>
          </cell>
        </row>
        <row r="2857">
          <cell r="A2857" t="str">
            <v>20497.10443</v>
          </cell>
          <cell r="B2857" t="str">
            <v>ROULEMENT A BILLE REP : 703</v>
          </cell>
          <cell r="C2857" t="str">
            <v>MOUVEX TYPE AK O HP PL : 1003.F01 REF 212312</v>
          </cell>
          <cell r="D2857" t="str">
            <v>PE</v>
          </cell>
          <cell r="E2857" t="str">
            <v>515.51507</v>
          </cell>
          <cell r="F2857">
            <v>259.77839999999998</v>
          </cell>
          <cell r="G2857">
            <v>0</v>
          </cell>
          <cell r="H2857">
            <v>0</v>
          </cell>
          <cell r="I2857">
            <v>0</v>
          </cell>
          <cell r="J2857">
            <v>0</v>
          </cell>
          <cell r="K2857">
            <v>0</v>
          </cell>
          <cell r="L2857">
            <v>4</v>
          </cell>
        </row>
        <row r="2858">
          <cell r="A2858" t="str">
            <v>20497.10444</v>
          </cell>
          <cell r="B2858" t="str">
            <v>JEU DE RONDELLES REP : 797</v>
          </cell>
          <cell r="C2858" t="str">
            <v>MOUVEX TYPE AK O HP PL : 1003.F01 REF 300148</v>
          </cell>
          <cell r="D2858" t="str">
            <v>PE</v>
          </cell>
          <cell r="E2858" t="str">
            <v>515.51507</v>
          </cell>
          <cell r="F2858">
            <v>243.089</v>
          </cell>
          <cell r="G2858">
            <v>0</v>
          </cell>
          <cell r="H2858">
            <v>0</v>
          </cell>
          <cell r="I2858">
            <v>0</v>
          </cell>
          <cell r="J2858">
            <v>0</v>
          </cell>
          <cell r="K2858">
            <v>0</v>
          </cell>
          <cell r="L2858">
            <v>4</v>
          </cell>
        </row>
        <row r="2859">
          <cell r="A2859" t="str">
            <v>20497.10445</v>
          </cell>
          <cell r="B2859" t="str">
            <v>JEU DE JOINTS DE BYPASS REP : 899</v>
          </cell>
          <cell r="C2859" t="str">
            <v>MOUVEX TYPE AK O HP PL : 1003.F01 REF 301631</v>
          </cell>
          <cell r="D2859" t="str">
            <v>PE</v>
          </cell>
          <cell r="E2859" t="str">
            <v>515.51507</v>
          </cell>
          <cell r="F2859">
            <v>246.96</v>
          </cell>
          <cell r="G2859">
            <v>0</v>
          </cell>
          <cell r="H2859">
            <v>0</v>
          </cell>
          <cell r="I2859">
            <v>0</v>
          </cell>
          <cell r="J2859">
            <v>0</v>
          </cell>
          <cell r="K2859">
            <v>0</v>
          </cell>
          <cell r="L2859">
            <v>4</v>
          </cell>
        </row>
        <row r="2860">
          <cell r="A2860" t="str">
            <v>20497.10446</v>
          </cell>
          <cell r="B2860" t="str">
            <v>JEU DE JOINTS EN VITON REP: 99</v>
          </cell>
          <cell r="C2860" t="str">
            <v>MOUVEX TYPE AL O HP PL : 1003.J01 REF 300601.00</v>
          </cell>
          <cell r="D2860" t="str">
            <v>PE</v>
          </cell>
          <cell r="E2860" t="str">
            <v>515.51507</v>
          </cell>
          <cell r="F2860">
            <v>501.76</v>
          </cell>
          <cell r="G2860">
            <v>0</v>
          </cell>
          <cell r="H2860">
            <v>0</v>
          </cell>
          <cell r="I2860">
            <v>0</v>
          </cell>
          <cell r="J2860">
            <v>0</v>
          </cell>
          <cell r="K2860">
            <v>0</v>
          </cell>
          <cell r="L2860">
            <v>2</v>
          </cell>
        </row>
        <row r="2861">
          <cell r="A2861" t="str">
            <v>20497.10448</v>
          </cell>
          <cell r="B2861" t="str">
            <v>JEU DE PLAQUETTTES EN VITON REP : 402</v>
          </cell>
          <cell r="C2861" t="str">
            <v>MOUVEXTYPE AL O HP PL : 1003.J01 REF 300603.00</v>
          </cell>
          <cell r="D2861" t="str">
            <v>PE</v>
          </cell>
          <cell r="E2861" t="str">
            <v>515.51507</v>
          </cell>
          <cell r="F2861">
            <v>901.14919999999995</v>
          </cell>
          <cell r="G2861">
            <v>0</v>
          </cell>
          <cell r="H2861">
            <v>0</v>
          </cell>
          <cell r="I2861">
            <v>0</v>
          </cell>
          <cell r="J2861">
            <v>0</v>
          </cell>
          <cell r="K2861">
            <v>0</v>
          </cell>
          <cell r="L2861">
            <v>1</v>
          </cell>
        </row>
        <row r="2862">
          <cell r="A2862" t="str">
            <v>20497.10449</v>
          </cell>
          <cell r="B2862" t="str">
            <v>BAGUE COUSSINET DE FOND REP : 415</v>
          </cell>
          <cell r="C2862" t="str">
            <v>MOUVEX TYPE AL O HP PL : 1003.J01 REF 211658</v>
          </cell>
          <cell r="D2862" t="str">
            <v>PE</v>
          </cell>
          <cell r="E2862" t="str">
            <v>515.51507</v>
          </cell>
          <cell r="F2862">
            <v>2350</v>
          </cell>
          <cell r="G2862">
            <v>0</v>
          </cell>
          <cell r="H2862">
            <v>0</v>
          </cell>
          <cell r="I2862">
            <v>0</v>
          </cell>
          <cell r="J2862">
            <v>0</v>
          </cell>
          <cell r="K2862">
            <v>0</v>
          </cell>
          <cell r="L2862">
            <v>1</v>
          </cell>
        </row>
        <row r="2863">
          <cell r="A2863" t="str">
            <v>20497.10450</v>
          </cell>
          <cell r="B2863" t="str">
            <v>COUSSINET DE PISTON REP : 503</v>
          </cell>
          <cell r="C2863" t="str">
            <v>MOUVEX TYPE AL O HP PL : 1003.J01 REF 203600</v>
          </cell>
          <cell r="D2863" t="str">
            <v>PE</v>
          </cell>
          <cell r="E2863" t="str">
            <v>515.51507</v>
          </cell>
          <cell r="F2863">
            <v>1781.5616</v>
          </cell>
          <cell r="G2863">
            <v>0</v>
          </cell>
          <cell r="H2863">
            <v>0</v>
          </cell>
          <cell r="I2863">
            <v>0</v>
          </cell>
          <cell r="J2863">
            <v>0</v>
          </cell>
          <cell r="K2863">
            <v>0</v>
          </cell>
          <cell r="L2863">
            <v>1</v>
          </cell>
        </row>
        <row r="2864">
          <cell r="A2864" t="str">
            <v>20497.10451</v>
          </cell>
          <cell r="B2864" t="str">
            <v>JEU DE RESSORTS COMPLET REP : 598</v>
          </cell>
          <cell r="C2864" t="str">
            <v>MOUVEX TYPE AL O HP PL : 1003.J01 REF 300598</v>
          </cell>
          <cell r="D2864" t="str">
            <v>PE</v>
          </cell>
          <cell r="E2864" t="str">
            <v>515.51507</v>
          </cell>
          <cell r="F2864">
            <v>295.81299999999999</v>
          </cell>
          <cell r="G2864">
            <v>0</v>
          </cell>
          <cell r="H2864">
            <v>0</v>
          </cell>
          <cell r="I2864">
            <v>0</v>
          </cell>
          <cell r="J2864">
            <v>0</v>
          </cell>
          <cell r="K2864">
            <v>0</v>
          </cell>
          <cell r="L2864">
            <v>1</v>
          </cell>
        </row>
        <row r="2865">
          <cell r="A2865" t="str">
            <v>20600.00314</v>
          </cell>
          <cell r="B2865" t="str">
            <v>SEGMENT D'ARRET  DIN 472</v>
          </cell>
          <cell r="C2865" t="str">
            <v>SEGMENT D'ARRET  DIN 472 INTER. STANDARD   80X2,50</v>
          </cell>
          <cell r="D2865" t="str">
            <v>PE</v>
          </cell>
          <cell r="E2865" t="str">
            <v>522.52207</v>
          </cell>
          <cell r="F2865">
            <v>5.6</v>
          </cell>
          <cell r="G2865">
            <v>0</v>
          </cell>
          <cell r="H2865">
            <v>0</v>
          </cell>
          <cell r="I2865">
            <v>7</v>
          </cell>
          <cell r="J2865">
            <v>0</v>
          </cell>
          <cell r="K2865">
            <v>0</v>
          </cell>
          <cell r="L2865">
            <v>180</v>
          </cell>
        </row>
        <row r="2866">
          <cell r="A2866" t="str">
            <v>20600.00315</v>
          </cell>
          <cell r="B2866" t="str">
            <v>SEGMENT D'ARRET  DIN 472</v>
          </cell>
          <cell r="C2866" t="str">
            <v>SEGMENT D'ARRET  DIN 472 INTER. STANDARD   81X2,50</v>
          </cell>
          <cell r="D2866" t="str">
            <v>PE</v>
          </cell>
          <cell r="E2866" t="str">
            <v>522.52207</v>
          </cell>
          <cell r="F2866">
            <v>3.96</v>
          </cell>
          <cell r="G2866">
            <v>0</v>
          </cell>
          <cell r="H2866">
            <v>0</v>
          </cell>
          <cell r="I2866">
            <v>0</v>
          </cell>
          <cell r="J2866">
            <v>42</v>
          </cell>
          <cell r="K2866">
            <v>0</v>
          </cell>
          <cell r="L2866">
            <v>0</v>
          </cell>
        </row>
        <row r="2867">
          <cell r="A2867" t="str">
            <v>20497.10815</v>
          </cell>
          <cell r="B2867" t="str">
            <v>COLLIER DE SERRAGE</v>
          </cell>
          <cell r="C2867" t="str">
            <v>SEEPEX TYPE BN1-12 PLAN N°062-002B1 REP406</v>
          </cell>
          <cell r="D2867" t="str">
            <v>PE</v>
          </cell>
          <cell r="E2867" t="str">
            <v>515.51503</v>
          </cell>
          <cell r="F2867">
            <v>133.44030000000001</v>
          </cell>
          <cell r="G2867">
            <v>0</v>
          </cell>
          <cell r="H2867">
            <v>0</v>
          </cell>
          <cell r="I2867">
            <v>0</v>
          </cell>
          <cell r="J2867">
            <v>0</v>
          </cell>
          <cell r="K2867">
            <v>0</v>
          </cell>
          <cell r="L2867">
            <v>12</v>
          </cell>
        </row>
        <row r="2868">
          <cell r="A2868" t="str">
            <v>20497.10816</v>
          </cell>
          <cell r="B2868" t="str">
            <v>COLLIER DE SERRAGE</v>
          </cell>
          <cell r="C2868" t="str">
            <v>SEEPEX TYPE BN1-12 PLAN N°062-002B1 REP407</v>
          </cell>
          <cell r="D2868" t="str">
            <v>PE</v>
          </cell>
          <cell r="E2868" t="str">
            <v>515.51503</v>
          </cell>
          <cell r="F2868">
            <v>100.04900000000001</v>
          </cell>
          <cell r="G2868">
            <v>0</v>
          </cell>
          <cell r="H2868">
            <v>0</v>
          </cell>
          <cell r="I2868">
            <v>1</v>
          </cell>
          <cell r="J2868">
            <v>0</v>
          </cell>
          <cell r="K2868">
            <v>0</v>
          </cell>
          <cell r="L2868">
            <v>11</v>
          </cell>
        </row>
        <row r="2869">
          <cell r="A2869" t="str">
            <v>20497.10817</v>
          </cell>
          <cell r="B2869" t="str">
            <v>CARTER D'ASPIRATION</v>
          </cell>
          <cell r="C2869" t="str">
            <v>SEEPEX TYPE BN1-12 PLAN N°062-002B1 REP500</v>
          </cell>
          <cell r="D2869" t="str">
            <v>PE</v>
          </cell>
          <cell r="E2869" t="str">
            <v>515.51503</v>
          </cell>
          <cell r="F2869">
            <v>4076.9958000000001</v>
          </cell>
          <cell r="G2869">
            <v>0</v>
          </cell>
          <cell r="H2869">
            <v>0</v>
          </cell>
          <cell r="I2869">
            <v>1</v>
          </cell>
          <cell r="J2869">
            <v>0</v>
          </cell>
          <cell r="K2869">
            <v>0</v>
          </cell>
          <cell r="L2869">
            <v>0</v>
          </cell>
        </row>
        <row r="2870">
          <cell r="A2870" t="str">
            <v>20497.10818</v>
          </cell>
          <cell r="B2870" t="str">
            <v>ETANCHEITE DE CARTER D'ASPIRATION</v>
          </cell>
          <cell r="C2870" t="str">
            <v>SEEPEX TYPE BN1-12 PLAN N°062-002B1 REP501</v>
          </cell>
          <cell r="D2870" t="str">
            <v>PE</v>
          </cell>
          <cell r="E2870" t="str">
            <v>515.51503</v>
          </cell>
          <cell r="F2870">
            <v>67.032799999999995</v>
          </cell>
          <cell r="G2870">
            <v>0</v>
          </cell>
          <cell r="H2870">
            <v>0</v>
          </cell>
          <cell r="I2870">
            <v>0</v>
          </cell>
          <cell r="J2870">
            <v>0</v>
          </cell>
          <cell r="K2870">
            <v>1</v>
          </cell>
          <cell r="L2870">
            <v>0</v>
          </cell>
        </row>
        <row r="2871">
          <cell r="A2871" t="str">
            <v>20497.10811</v>
          </cell>
          <cell r="B2871" t="str">
            <v>AXE D'ARTICULATION</v>
          </cell>
          <cell r="C2871" t="str">
            <v>SEEPEX TYPE BN1-12 PLAN N°062-002B1 REP402</v>
          </cell>
          <cell r="D2871" t="str">
            <v>PE</v>
          </cell>
          <cell r="E2871" t="str">
            <v>515.51503</v>
          </cell>
          <cell r="F2871">
            <v>367.17970000000003</v>
          </cell>
          <cell r="G2871">
            <v>0</v>
          </cell>
          <cell r="H2871">
            <v>0</v>
          </cell>
          <cell r="I2871">
            <v>0</v>
          </cell>
          <cell r="J2871">
            <v>0</v>
          </cell>
          <cell r="K2871">
            <v>0</v>
          </cell>
          <cell r="L2871">
            <v>3</v>
          </cell>
        </row>
        <row r="2872">
          <cell r="A2872" t="str">
            <v>20497.10812</v>
          </cell>
          <cell r="B2872" t="str">
            <v>DOUILLE DE GUIDAGE</v>
          </cell>
          <cell r="C2872" t="str">
            <v>SEEPEX TYPE BN1-12 PLAN N°062-002B1 REP403</v>
          </cell>
          <cell r="D2872" t="str">
            <v>PE</v>
          </cell>
          <cell r="E2872" t="str">
            <v>515.51503</v>
          </cell>
          <cell r="F2872">
            <v>333.9135</v>
          </cell>
          <cell r="G2872">
            <v>0</v>
          </cell>
          <cell r="H2872">
            <v>0</v>
          </cell>
          <cell r="I2872">
            <v>0</v>
          </cell>
          <cell r="J2872">
            <v>0</v>
          </cell>
          <cell r="K2872">
            <v>0</v>
          </cell>
          <cell r="L2872">
            <v>10</v>
          </cell>
        </row>
        <row r="2873">
          <cell r="A2873" t="str">
            <v>20497.10813</v>
          </cell>
          <cell r="B2873" t="str">
            <v>CHEMISE D'AXE</v>
          </cell>
          <cell r="C2873" t="str">
            <v>SEEPEX TYPE BN1-12 PLAN N°062-002B1 REP404</v>
          </cell>
          <cell r="D2873" t="str">
            <v>PE</v>
          </cell>
          <cell r="E2873" t="str">
            <v>515.51503</v>
          </cell>
          <cell r="F2873">
            <v>700.84310000000005</v>
          </cell>
          <cell r="G2873">
            <v>0</v>
          </cell>
          <cell r="H2873">
            <v>0</v>
          </cell>
          <cell r="I2873">
            <v>0</v>
          </cell>
          <cell r="J2873">
            <v>0</v>
          </cell>
          <cell r="K2873">
            <v>0</v>
          </cell>
          <cell r="L2873">
            <v>6</v>
          </cell>
        </row>
        <row r="2874">
          <cell r="A2874" t="str">
            <v>20497.10814</v>
          </cell>
          <cell r="B2874" t="str">
            <v>MANCHETTE</v>
          </cell>
          <cell r="C2874" t="str">
            <v>SEEPEX TYPE BN1-12 PLAN N°062-002B1 REP405</v>
          </cell>
          <cell r="D2874" t="str">
            <v>PE</v>
          </cell>
          <cell r="E2874" t="str">
            <v>515.51503</v>
          </cell>
          <cell r="F2874">
            <v>402.32389999999998</v>
          </cell>
          <cell r="G2874">
            <v>0</v>
          </cell>
          <cell r="H2874">
            <v>0</v>
          </cell>
          <cell r="I2874">
            <v>0</v>
          </cell>
          <cell r="J2874">
            <v>0</v>
          </cell>
          <cell r="K2874">
            <v>0</v>
          </cell>
          <cell r="L2874">
            <v>6</v>
          </cell>
        </row>
        <row r="2875">
          <cell r="A2875" t="str">
            <v>20497.10911</v>
          </cell>
          <cell r="B2875" t="str">
            <v>JEU DE JOINT</v>
          </cell>
          <cell r="C2875" t="str">
            <v>MILTON ROY MIXING TYPE G5,220-90/53,6 PLAN 17238-5 REP2100/2190/2300/2410</v>
          </cell>
          <cell r="D2875" t="str">
            <v>PE</v>
          </cell>
          <cell r="E2875" t="str">
            <v>515.51514</v>
          </cell>
          <cell r="F2875">
            <v>644.19619999999998</v>
          </cell>
          <cell r="G2875">
            <v>0</v>
          </cell>
          <cell r="H2875">
            <v>3</v>
          </cell>
          <cell r="I2875">
            <v>0</v>
          </cell>
          <cell r="J2875">
            <v>0</v>
          </cell>
          <cell r="K2875">
            <v>0</v>
          </cell>
          <cell r="L2875">
            <v>0</v>
          </cell>
        </row>
        <row r="2876">
          <cell r="A2876" t="str">
            <v>20497.10912</v>
          </cell>
          <cell r="B2876" t="str">
            <v>SOUPAPE DE COMPRESSION</v>
          </cell>
          <cell r="C2876" t="str">
            <v>MILTON ROY MIXING TYPE G5,240-160/52,8 PLAN 17236-5 REP2110</v>
          </cell>
          <cell r="D2876" t="str">
            <v>PE</v>
          </cell>
          <cell r="E2876" t="str">
            <v>515.51514</v>
          </cell>
          <cell r="F2876">
            <v>60.0593</v>
          </cell>
          <cell r="G2876">
            <v>0</v>
          </cell>
          <cell r="H2876">
            <v>1</v>
          </cell>
          <cell r="I2876">
            <v>4</v>
          </cell>
          <cell r="J2876">
            <v>0</v>
          </cell>
          <cell r="K2876">
            <v>0</v>
          </cell>
          <cell r="L2876">
            <v>2</v>
          </cell>
        </row>
        <row r="2877">
          <cell r="A2877" t="str">
            <v>20497.10914</v>
          </cell>
          <cell r="B2877" t="str">
            <v>CLAPET DE DECHARGE</v>
          </cell>
          <cell r="C2877" t="str">
            <v>MILTON ROY MIXING TYPE G5,260-200/53 PLAN 17235-5 REP2110</v>
          </cell>
          <cell r="D2877" t="str">
            <v>PE</v>
          </cell>
          <cell r="E2877" t="str">
            <v>515.51514</v>
          </cell>
          <cell r="F2877">
            <v>62.497199999999999</v>
          </cell>
          <cell r="G2877">
            <v>0</v>
          </cell>
          <cell r="H2877">
            <v>0</v>
          </cell>
          <cell r="I2877">
            <v>0</v>
          </cell>
          <cell r="J2877">
            <v>0</v>
          </cell>
          <cell r="K2877">
            <v>1</v>
          </cell>
          <cell r="L2877">
            <v>3</v>
          </cell>
        </row>
        <row r="2878">
          <cell r="A2878" t="str">
            <v>20497.10915</v>
          </cell>
          <cell r="B2878" t="str">
            <v>JEU DE VISSERIE</v>
          </cell>
          <cell r="C2878" t="str">
            <v>MILTON ROY MIXING TYPE G5,260-200/53 PLAN 17235-5 REP2200/2205/2210</v>
          </cell>
          <cell r="D2878" t="str">
            <v>PE</v>
          </cell>
          <cell r="E2878" t="str">
            <v>515.51514</v>
          </cell>
          <cell r="F2878">
            <v>263.35500000000002</v>
          </cell>
          <cell r="G2878">
            <v>0</v>
          </cell>
          <cell r="H2878">
            <v>0</v>
          </cell>
          <cell r="I2878">
            <v>0</v>
          </cell>
          <cell r="J2878">
            <v>0</v>
          </cell>
          <cell r="K2878">
            <v>6</v>
          </cell>
          <cell r="L2878">
            <v>6</v>
          </cell>
        </row>
        <row r="2879">
          <cell r="A2879" t="str">
            <v>20497.10819</v>
          </cell>
          <cell r="B2879" t="str">
            <v>BOUCHON DE VIDANGE</v>
          </cell>
          <cell r="C2879" t="str">
            <v>SEEPEX TYPE BN1-12 PLAN N°062-002B1 REP502</v>
          </cell>
          <cell r="D2879" t="str">
            <v>PE</v>
          </cell>
          <cell r="E2879" t="str">
            <v>515.51503</v>
          </cell>
          <cell r="F2879">
            <v>67.032799999999995</v>
          </cell>
          <cell r="G2879">
            <v>0</v>
          </cell>
          <cell r="H2879">
            <v>0</v>
          </cell>
          <cell r="I2879">
            <v>0</v>
          </cell>
          <cell r="J2879">
            <v>0</v>
          </cell>
          <cell r="K2879">
            <v>1</v>
          </cell>
          <cell r="L2879">
            <v>0</v>
          </cell>
        </row>
        <row r="2880">
          <cell r="A2880" t="str">
            <v>20497.10820</v>
          </cell>
          <cell r="B2880" t="str">
            <v>JOINT D'ETANCHEITE</v>
          </cell>
          <cell r="C2880" t="str">
            <v>SEEPEX TYPE BN1-12 PLAN N°062-002B1 REP503</v>
          </cell>
          <cell r="D2880" t="str">
            <v>PE</v>
          </cell>
          <cell r="E2880" t="str">
            <v>515.51503</v>
          </cell>
          <cell r="F2880">
            <v>6.7533000000000003</v>
          </cell>
          <cell r="G2880">
            <v>0</v>
          </cell>
          <cell r="H2880">
            <v>0</v>
          </cell>
          <cell r="I2880">
            <v>0</v>
          </cell>
          <cell r="J2880">
            <v>0</v>
          </cell>
          <cell r="K2880">
            <v>1</v>
          </cell>
          <cell r="L2880">
            <v>0</v>
          </cell>
        </row>
        <row r="2881">
          <cell r="A2881" t="str">
            <v>20497.10910</v>
          </cell>
          <cell r="B2881" t="str">
            <v>JEU DE VISSERIE</v>
          </cell>
          <cell r="C2881" t="str">
            <v>MILTON ROY MIXING TYPE G5,220-90/53,6 PLAN 17238-5 REP2200/2205/2210</v>
          </cell>
          <cell r="D2881" t="str">
            <v>PE</v>
          </cell>
          <cell r="E2881" t="str">
            <v>515.51514</v>
          </cell>
          <cell r="F2881">
            <v>107.3676</v>
          </cell>
          <cell r="G2881">
            <v>0</v>
          </cell>
          <cell r="H2881">
            <v>0</v>
          </cell>
          <cell r="I2881">
            <v>0</v>
          </cell>
          <cell r="J2881">
            <v>0</v>
          </cell>
          <cell r="K2881">
            <v>0</v>
          </cell>
          <cell r="L2881">
            <v>24</v>
          </cell>
        </row>
        <row r="2882">
          <cell r="A2882" t="str">
            <v>20497.10916</v>
          </cell>
          <cell r="B2882" t="str">
            <v>JEU DE VISSERIE</v>
          </cell>
          <cell r="C2882" t="str">
            <v>MILTON ROY MIXING TYPE G5,260-200/53 PLAN 17235-5 REP2470/2480</v>
          </cell>
          <cell r="D2882" t="str">
            <v>PE</v>
          </cell>
          <cell r="E2882" t="str">
            <v>515.51514</v>
          </cell>
          <cell r="F2882">
            <v>263.35500000000002</v>
          </cell>
          <cell r="G2882">
            <v>0</v>
          </cell>
          <cell r="H2882">
            <v>0</v>
          </cell>
          <cell r="I2882">
            <v>0</v>
          </cell>
          <cell r="J2882">
            <v>0</v>
          </cell>
          <cell r="K2882">
            <v>6</v>
          </cell>
          <cell r="L2882">
            <v>6</v>
          </cell>
        </row>
        <row r="2883">
          <cell r="A2883" t="str">
            <v>20497.10917</v>
          </cell>
          <cell r="B2883" t="str">
            <v>JEU DE VISSERIE</v>
          </cell>
          <cell r="C2883" t="str">
            <v>MILTON ROY MIXING TYPE G5,220-110/53,6 PLAN 17237-5 REP2470/2480</v>
          </cell>
          <cell r="D2883" t="str">
            <v>PE</v>
          </cell>
          <cell r="E2883" t="str">
            <v>515.51514</v>
          </cell>
          <cell r="F2883">
            <v>72.906400000000005</v>
          </cell>
          <cell r="G2883">
            <v>0</v>
          </cell>
          <cell r="H2883">
            <v>0</v>
          </cell>
          <cell r="I2883">
            <v>0</v>
          </cell>
          <cell r="J2883">
            <v>0</v>
          </cell>
          <cell r="K2883">
            <v>0</v>
          </cell>
          <cell r="L2883">
            <v>5</v>
          </cell>
        </row>
        <row r="2884">
          <cell r="A2884" t="str">
            <v>20497.10918</v>
          </cell>
          <cell r="B2884" t="str">
            <v>JEU DE VISSERIE</v>
          </cell>
          <cell r="C2884" t="str">
            <v>MILTON ROY MIXING TYPE G5,220-90/53,6 PLAN 17238-5 REP2470/2480</v>
          </cell>
          <cell r="D2884" t="str">
            <v>PE</v>
          </cell>
          <cell r="E2884" t="str">
            <v>515.51514</v>
          </cell>
          <cell r="F2884">
            <v>53.686199999999999</v>
          </cell>
          <cell r="G2884">
            <v>0</v>
          </cell>
          <cell r="H2884">
            <v>0</v>
          </cell>
          <cell r="I2884">
            <v>0</v>
          </cell>
          <cell r="J2884">
            <v>0</v>
          </cell>
          <cell r="K2884">
            <v>0</v>
          </cell>
          <cell r="L2884">
            <v>18</v>
          </cell>
        </row>
        <row r="2885">
          <cell r="A2885" t="str">
            <v>20497.10079</v>
          </cell>
          <cell r="B2885" t="str">
            <v>DEFLECTEUR</v>
          </cell>
          <cell r="C2885" t="str">
            <v>GOULDS PUMPS  IC 125-100-315 P2 VL 1A POMPES  SERIE I 601E18/19   REP : 507</v>
          </cell>
          <cell r="D2885" t="str">
            <v>PE</v>
          </cell>
          <cell r="E2885" t="str">
            <v>515.51517</v>
          </cell>
          <cell r="F2885">
            <v>487.34</v>
          </cell>
          <cell r="G2885">
            <v>0</v>
          </cell>
          <cell r="H2885">
            <v>0</v>
          </cell>
          <cell r="I2885">
            <v>0</v>
          </cell>
          <cell r="J2885">
            <v>0</v>
          </cell>
          <cell r="K2885">
            <v>0</v>
          </cell>
          <cell r="L2885">
            <v>1</v>
          </cell>
        </row>
        <row r="2886">
          <cell r="A2886" t="str">
            <v>20497.10052</v>
          </cell>
          <cell r="B2886" t="str">
            <v>DISTRIBUTEUR COMPLET</v>
          </cell>
          <cell r="C2886" t="str">
            <v>WILDEN 04-2000-20-700</v>
          </cell>
          <cell r="D2886" t="str">
            <v>PE</v>
          </cell>
          <cell r="E2886" t="str">
            <v>515.51517</v>
          </cell>
          <cell r="F2886">
            <v>4192.5600000000004</v>
          </cell>
          <cell r="G2886">
            <v>0</v>
          </cell>
          <cell r="H2886">
            <v>0</v>
          </cell>
          <cell r="I2886">
            <v>2</v>
          </cell>
          <cell r="J2886">
            <v>0</v>
          </cell>
          <cell r="K2886">
            <v>0</v>
          </cell>
          <cell r="L2886">
            <v>1</v>
          </cell>
        </row>
        <row r="2887">
          <cell r="A2887" t="str">
            <v>20497.10101</v>
          </cell>
          <cell r="B2887" t="str">
            <v>DEFLECTEUR</v>
          </cell>
          <cell r="C2887" t="str">
            <v>GOULDS PUMPS IC-80-50-250 POMPES  SERIE I 601E 38   REP: 507</v>
          </cell>
          <cell r="D2887" t="str">
            <v>PE</v>
          </cell>
          <cell r="E2887" t="str">
            <v>515.51517</v>
          </cell>
          <cell r="F2887">
            <v>1709.67</v>
          </cell>
          <cell r="G2887">
            <v>0</v>
          </cell>
          <cell r="H2887">
            <v>0</v>
          </cell>
          <cell r="I2887">
            <v>0</v>
          </cell>
          <cell r="J2887">
            <v>0</v>
          </cell>
          <cell r="K2887">
            <v>0</v>
          </cell>
          <cell r="L2887">
            <v>1</v>
          </cell>
        </row>
        <row r="2888">
          <cell r="A2888" t="str">
            <v>20497.10087</v>
          </cell>
          <cell r="B2888" t="str">
            <v>DEFLECTEUR</v>
          </cell>
          <cell r="C2888" t="str">
            <v>GOULDS PUMPS  IC-125-80-200 POMPES  SERIE I 601E 22/23/24   REP: 507</v>
          </cell>
          <cell r="D2888" t="str">
            <v>PE</v>
          </cell>
          <cell r="E2888" t="str">
            <v>515.51517</v>
          </cell>
          <cell r="F2888">
            <v>487.34</v>
          </cell>
          <cell r="G2888">
            <v>0</v>
          </cell>
          <cell r="H2888">
            <v>0</v>
          </cell>
          <cell r="I2888">
            <v>0</v>
          </cell>
          <cell r="J2888">
            <v>0</v>
          </cell>
          <cell r="K2888">
            <v>0</v>
          </cell>
          <cell r="L2888">
            <v>1</v>
          </cell>
        </row>
        <row r="2889">
          <cell r="A2889" t="str">
            <v>20497.10348</v>
          </cell>
          <cell r="B2889" t="str">
            <v>DOUILLE ENTRETOISE</v>
          </cell>
          <cell r="C2889" t="str">
            <v>MC 50-220/12S  REF:000000104083977013 PLAN: N°:F/1S.4330.220-X REP: 541-01</v>
          </cell>
          <cell r="D2889" t="str">
            <v>JE</v>
          </cell>
          <cell r="E2889" t="str">
            <v>515.51505</v>
          </cell>
          <cell r="F2889">
            <v>4972.5616</v>
          </cell>
          <cell r="G2889">
            <v>0</v>
          </cell>
          <cell r="H2889">
            <v>0</v>
          </cell>
          <cell r="I2889">
            <v>0</v>
          </cell>
          <cell r="J2889">
            <v>0</v>
          </cell>
          <cell r="K2889">
            <v>0</v>
          </cell>
          <cell r="L2889">
            <v>11</v>
          </cell>
        </row>
        <row r="2890">
          <cell r="A2890" t="str">
            <v>20497.10376</v>
          </cell>
          <cell r="B2890" t="str">
            <v>ROUE OB 272,5 B44 Z6 - MAT: (4L) A890 1B</v>
          </cell>
          <cell r="C2890" t="str">
            <v>SULZER A31-125 PL-100045088/89 REP-230-11 REF-916196014L-C</v>
          </cell>
          <cell r="D2890" t="str">
            <v>PE</v>
          </cell>
          <cell r="E2890" t="str">
            <v>515.51505</v>
          </cell>
          <cell r="F2890">
            <v>57063.033000000003</v>
          </cell>
          <cell r="G2890">
            <v>0</v>
          </cell>
          <cell r="H2890">
            <v>0</v>
          </cell>
          <cell r="I2890">
            <v>0</v>
          </cell>
          <cell r="J2890">
            <v>0</v>
          </cell>
          <cell r="K2890">
            <v>0</v>
          </cell>
          <cell r="L2890">
            <v>2</v>
          </cell>
        </row>
        <row r="2891">
          <cell r="A2891" t="str">
            <v>20497.00540</v>
          </cell>
          <cell r="B2891" t="str">
            <v>ROUE</v>
          </cell>
          <cell r="C2891" t="str">
            <v>SULZER A22-80 REF 283874014L-C REP 230.11</v>
          </cell>
          <cell r="D2891" t="str">
            <v>PE</v>
          </cell>
          <cell r="E2891" t="str">
            <v>515.51505</v>
          </cell>
          <cell r="F2891">
            <v>56075.008000000002</v>
          </cell>
          <cell r="G2891">
            <v>0</v>
          </cell>
          <cell r="H2891">
            <v>0</v>
          </cell>
          <cell r="I2891">
            <v>0</v>
          </cell>
          <cell r="J2891">
            <v>0</v>
          </cell>
          <cell r="K2891">
            <v>0</v>
          </cell>
          <cell r="L2891">
            <v>3</v>
          </cell>
        </row>
        <row r="2892">
          <cell r="A2892" t="str">
            <v>20497.00606</v>
          </cell>
          <cell r="B2892" t="str">
            <v>CIRCLIPS</v>
          </cell>
          <cell r="C2892" t="str">
            <v>GOULDS PUMPS IC-100-65-200   SERIE I 601E 25/26/27  REP 932.51</v>
          </cell>
          <cell r="D2892" t="str">
            <v>PE</v>
          </cell>
          <cell r="E2892" t="str">
            <v>515.51517</v>
          </cell>
          <cell r="F2892">
            <v>68.958699999999993</v>
          </cell>
          <cell r="G2892">
            <v>0</v>
          </cell>
          <cell r="H2892">
            <v>0</v>
          </cell>
          <cell r="I2892">
            <v>0</v>
          </cell>
          <cell r="J2892">
            <v>0</v>
          </cell>
          <cell r="K2892">
            <v>1</v>
          </cell>
          <cell r="L2892">
            <v>0</v>
          </cell>
        </row>
        <row r="2893">
          <cell r="A2893" t="str">
            <v>20497.00903</v>
          </cell>
          <cell r="B2893" t="str">
            <v>POMPE DOSEUSE 0,37KW 100BARS</v>
          </cell>
          <cell r="C2893" t="str">
            <v>LEWA TYPE LDB1 K110</v>
          </cell>
          <cell r="D2893" t="str">
            <v>PE</v>
          </cell>
          <cell r="E2893" t="str">
            <v>515.51503</v>
          </cell>
          <cell r="F2893">
            <v>65151.576000000001</v>
          </cell>
          <cell r="G2893">
            <v>0</v>
          </cell>
          <cell r="H2893">
            <v>0</v>
          </cell>
          <cell r="I2893">
            <v>0</v>
          </cell>
          <cell r="J2893">
            <v>0</v>
          </cell>
          <cell r="K2893">
            <v>0</v>
          </cell>
          <cell r="L2893">
            <v>0</v>
          </cell>
        </row>
        <row r="2894">
          <cell r="A2894" t="str">
            <v>20497.10490</v>
          </cell>
          <cell r="B2894" t="str">
            <v>CORPS DE POMPE</v>
          </cell>
          <cell r="C2894" t="str">
            <v>SULZER TYPE A 44-200 SERIE 100038215/100038216/100038217 REP102,11</v>
          </cell>
          <cell r="D2894" t="str">
            <v>PE</v>
          </cell>
          <cell r="E2894" t="str">
            <v>515.51505</v>
          </cell>
          <cell r="F2894">
            <v>195352.29</v>
          </cell>
          <cell r="G2894">
            <v>0</v>
          </cell>
          <cell r="H2894">
            <v>0</v>
          </cell>
          <cell r="I2894">
            <v>0</v>
          </cell>
          <cell r="J2894">
            <v>0</v>
          </cell>
          <cell r="K2894">
            <v>0</v>
          </cell>
          <cell r="L2894">
            <v>2</v>
          </cell>
        </row>
        <row r="2895">
          <cell r="A2895" t="str">
            <v>20497.10491</v>
          </cell>
          <cell r="B2895" t="str">
            <v>PLAQUE LATERALE</v>
          </cell>
          <cell r="C2895" t="str">
            <v>SULZER TYPE A 44-200 SERIE 100038215/100038216/100038217 REP135,11</v>
          </cell>
          <cell r="D2895" t="str">
            <v>PE</v>
          </cell>
          <cell r="E2895" t="str">
            <v>515.51505</v>
          </cell>
          <cell r="F2895">
            <v>58970</v>
          </cell>
          <cell r="G2895">
            <v>0</v>
          </cell>
          <cell r="H2895">
            <v>0</v>
          </cell>
          <cell r="I2895">
            <v>1</v>
          </cell>
          <cell r="J2895">
            <v>0</v>
          </cell>
          <cell r="K2895">
            <v>3</v>
          </cell>
          <cell r="L2895">
            <v>2</v>
          </cell>
        </row>
        <row r="2896">
          <cell r="A2896" t="str">
            <v>20497.10492</v>
          </cell>
          <cell r="B2896" t="str">
            <v>COUVERCLE DE CORPS</v>
          </cell>
          <cell r="C2896" t="str">
            <v>SULZER TYPE A 44-200 SERIE 100038215/100038216/100038217 REP161,21</v>
          </cell>
          <cell r="D2896" t="str">
            <v>PE</v>
          </cell>
          <cell r="E2896" t="str">
            <v>515.51505</v>
          </cell>
          <cell r="F2896">
            <v>47339.338000000003</v>
          </cell>
          <cell r="G2896">
            <v>0</v>
          </cell>
          <cell r="H2896">
            <v>0</v>
          </cell>
          <cell r="I2896">
            <v>1</v>
          </cell>
          <cell r="J2896">
            <v>0</v>
          </cell>
          <cell r="K2896">
            <v>0</v>
          </cell>
          <cell r="L2896">
            <v>4</v>
          </cell>
        </row>
        <row r="2897">
          <cell r="A2897" t="str">
            <v>20497.10493</v>
          </cell>
          <cell r="B2897" t="str">
            <v>ARBRE</v>
          </cell>
          <cell r="C2897" t="str">
            <v>SULZER TYPE A 44-200 SERIE 100038215/100038216/100038217 REP210,31</v>
          </cell>
          <cell r="D2897" t="str">
            <v>PE</v>
          </cell>
          <cell r="E2897" t="str">
            <v>515.51505</v>
          </cell>
          <cell r="F2897">
            <v>21763.850299999998</v>
          </cell>
          <cell r="G2897">
            <v>0</v>
          </cell>
          <cell r="H2897">
            <v>0</v>
          </cell>
          <cell r="I2897">
            <v>1</v>
          </cell>
          <cell r="J2897">
            <v>0</v>
          </cell>
          <cell r="K2897">
            <v>0</v>
          </cell>
          <cell r="L2897">
            <v>1</v>
          </cell>
        </row>
        <row r="2898">
          <cell r="A2898" t="str">
            <v>20497.10494</v>
          </cell>
          <cell r="B2898" t="str">
            <v>JEU DE JOINTS</v>
          </cell>
          <cell r="C2898" t="str">
            <v>SULZER TYPE A 44-200 SERIE 100038215/100038216/100038217 REP400,21/410,21/412,11/412,12/412,14/412,21/412,31</v>
          </cell>
          <cell r="D2898" t="str">
            <v>PE</v>
          </cell>
          <cell r="E2898" t="str">
            <v>515.51505</v>
          </cell>
          <cell r="F2898">
            <v>3410.913</v>
          </cell>
          <cell r="G2898">
            <v>0</v>
          </cell>
          <cell r="H2898">
            <v>0</v>
          </cell>
          <cell r="I2898">
            <v>1</v>
          </cell>
          <cell r="J2898">
            <v>0</v>
          </cell>
          <cell r="K2898">
            <v>2</v>
          </cell>
          <cell r="L2898">
            <v>2</v>
          </cell>
        </row>
        <row r="2899">
          <cell r="A2899" t="str">
            <v>20497.10495</v>
          </cell>
          <cell r="B2899" t="str">
            <v>BAGUE D'ETANCHEITE</v>
          </cell>
          <cell r="C2899" t="str">
            <v>SULZER TYPE A 44-200 SERIE 100038215/100038216/100038217 REP411,21</v>
          </cell>
          <cell r="D2899" t="str">
            <v>PE</v>
          </cell>
          <cell r="E2899" t="str">
            <v>515.51505</v>
          </cell>
          <cell r="F2899">
            <v>552.18020000000001</v>
          </cell>
          <cell r="G2899">
            <v>0</v>
          </cell>
          <cell r="H2899">
            <v>0</v>
          </cell>
          <cell r="I2899">
            <v>0</v>
          </cell>
          <cell r="J2899">
            <v>0</v>
          </cell>
          <cell r="K2899">
            <v>0</v>
          </cell>
          <cell r="L2899">
            <v>5</v>
          </cell>
        </row>
        <row r="2900">
          <cell r="A2900" t="str">
            <v>20497.10496</v>
          </cell>
          <cell r="B2900" t="str">
            <v>BAGUE D'ETANCHEITE</v>
          </cell>
          <cell r="C2900" t="str">
            <v>SULZER TYPE A 44-200 SERIE 100038215/100038216/100038217 REP411,31</v>
          </cell>
          <cell r="D2900" t="str">
            <v>PE</v>
          </cell>
          <cell r="E2900" t="str">
            <v>515.51505</v>
          </cell>
          <cell r="F2900">
            <v>86.8249</v>
          </cell>
          <cell r="G2900">
            <v>0</v>
          </cell>
          <cell r="H2900">
            <v>0</v>
          </cell>
          <cell r="I2900">
            <v>0</v>
          </cell>
          <cell r="J2900">
            <v>0</v>
          </cell>
          <cell r="K2900">
            <v>0</v>
          </cell>
          <cell r="L2900">
            <v>6</v>
          </cell>
        </row>
        <row r="2901">
          <cell r="A2901" t="str">
            <v>20497.10497</v>
          </cell>
          <cell r="B2901" t="str">
            <v>BAGUE LABYRINTHE</v>
          </cell>
          <cell r="C2901" t="str">
            <v>SULZER TYPE A 44-200 SERIE 100038215/100038216/100038217 REP423,31</v>
          </cell>
          <cell r="D2901" t="str">
            <v>PE</v>
          </cell>
          <cell r="E2901" t="str">
            <v>515.51505</v>
          </cell>
          <cell r="F2901">
            <v>4227.3670000000002</v>
          </cell>
          <cell r="G2901">
            <v>0</v>
          </cell>
          <cell r="H2901">
            <v>1</v>
          </cell>
          <cell r="I2901">
            <v>1</v>
          </cell>
          <cell r="J2901">
            <v>0</v>
          </cell>
          <cell r="K2901">
            <v>1</v>
          </cell>
          <cell r="L2901">
            <v>4</v>
          </cell>
        </row>
        <row r="2902">
          <cell r="A2902" t="str">
            <v>20497.10498</v>
          </cell>
          <cell r="B2902" t="str">
            <v>BAGUE LABYRINTHE</v>
          </cell>
          <cell r="C2902" t="str">
            <v>SULZER TYPE A 44-200 SERIE 100038215/100038216/100038217 REP423,32</v>
          </cell>
          <cell r="D2902" t="str">
            <v>PE</v>
          </cell>
          <cell r="E2902" t="str">
            <v>515.51505</v>
          </cell>
          <cell r="F2902">
            <v>1178.3154</v>
          </cell>
          <cell r="G2902">
            <v>0</v>
          </cell>
          <cell r="H2902">
            <v>0</v>
          </cell>
          <cell r="I2902">
            <v>1</v>
          </cell>
          <cell r="J2902">
            <v>0</v>
          </cell>
          <cell r="K2902">
            <v>1</v>
          </cell>
          <cell r="L2902">
            <v>1</v>
          </cell>
        </row>
        <row r="2903">
          <cell r="A2903" t="str">
            <v>20497.10499</v>
          </cell>
          <cell r="B2903" t="str">
            <v>HUILEUR A NIVEAU CONSTANT</v>
          </cell>
          <cell r="C2903" t="str">
            <v>SULZER TYPE A 44-200 SERIE 100038215/100038216/100038217 REP638,31</v>
          </cell>
          <cell r="D2903" t="str">
            <v>PE</v>
          </cell>
          <cell r="E2903" t="str">
            <v>515.51505</v>
          </cell>
          <cell r="F2903">
            <v>336.7885</v>
          </cell>
          <cell r="G2903">
            <v>0</v>
          </cell>
          <cell r="H2903">
            <v>0</v>
          </cell>
          <cell r="I2903">
            <v>0</v>
          </cell>
          <cell r="J2903">
            <v>0</v>
          </cell>
          <cell r="K2903">
            <v>0</v>
          </cell>
          <cell r="L2903">
            <v>4</v>
          </cell>
        </row>
        <row r="2904">
          <cell r="A2904" t="str">
            <v>20497.10500</v>
          </cell>
          <cell r="B2904" t="str">
            <v>COUVERCLE DE PALIER</v>
          </cell>
          <cell r="C2904" t="str">
            <v>SULZER TYPE A 44-200 SERIE 100038215/100038216/100038217 REP360,31</v>
          </cell>
          <cell r="D2904" t="str">
            <v>PE</v>
          </cell>
          <cell r="E2904" t="str">
            <v>515.51505</v>
          </cell>
          <cell r="F2904">
            <v>4688.5069000000003</v>
          </cell>
          <cell r="G2904">
            <v>0</v>
          </cell>
          <cell r="H2904">
            <v>0</v>
          </cell>
          <cell r="I2904">
            <v>0</v>
          </cell>
          <cell r="J2904">
            <v>0</v>
          </cell>
          <cell r="K2904">
            <v>0</v>
          </cell>
          <cell r="L2904">
            <v>2</v>
          </cell>
        </row>
        <row r="2905">
          <cell r="A2905" t="str">
            <v>20497.10501</v>
          </cell>
          <cell r="B2905" t="str">
            <v>ECROU DE ROULEMENT</v>
          </cell>
          <cell r="C2905" t="str">
            <v>SULZER TYPE A 44-200 SERIE 100038215/100038216/100038217 REP923,31</v>
          </cell>
          <cell r="D2905" t="str">
            <v>PE</v>
          </cell>
          <cell r="E2905" t="str">
            <v>515.51505</v>
          </cell>
          <cell r="F2905">
            <v>271.36540000000002</v>
          </cell>
          <cell r="G2905">
            <v>0</v>
          </cell>
          <cell r="H2905">
            <v>0</v>
          </cell>
          <cell r="I2905">
            <v>1</v>
          </cell>
          <cell r="J2905">
            <v>0</v>
          </cell>
          <cell r="K2905">
            <v>0</v>
          </cell>
          <cell r="L2905">
            <v>4</v>
          </cell>
        </row>
        <row r="2906">
          <cell r="A2906" t="str">
            <v>20497.10502</v>
          </cell>
          <cell r="B2906" t="str">
            <v>RONDELLE DE SECURITE</v>
          </cell>
          <cell r="C2906" t="str">
            <v>SULZER TYPE A 44-200 SERIE 100038215/100038216/100038217 REP931,31</v>
          </cell>
          <cell r="D2906" t="str">
            <v>PE</v>
          </cell>
          <cell r="E2906" t="str">
            <v>515.51505</v>
          </cell>
          <cell r="F2906">
            <v>113.0689</v>
          </cell>
          <cell r="G2906">
            <v>0</v>
          </cell>
          <cell r="H2906">
            <v>0</v>
          </cell>
          <cell r="I2906">
            <v>1</v>
          </cell>
          <cell r="J2906">
            <v>0</v>
          </cell>
          <cell r="K2906">
            <v>0</v>
          </cell>
          <cell r="L2906">
            <v>4</v>
          </cell>
        </row>
        <row r="2907">
          <cell r="A2907" t="str">
            <v>20497.10503</v>
          </cell>
          <cell r="B2907" t="str">
            <v>CLAVETTE</v>
          </cell>
          <cell r="C2907" t="str">
            <v>SULZER TYPE A 44-200 SERIE 100038215/100038216/100038217 REP940,31</v>
          </cell>
          <cell r="D2907" t="str">
            <v>PE</v>
          </cell>
          <cell r="E2907" t="str">
            <v>515.51505</v>
          </cell>
          <cell r="F2907">
            <v>113.0111</v>
          </cell>
          <cell r="G2907">
            <v>0</v>
          </cell>
          <cell r="H2907">
            <v>0</v>
          </cell>
          <cell r="I2907">
            <v>0</v>
          </cell>
          <cell r="J2907">
            <v>0</v>
          </cell>
          <cell r="K2907">
            <v>0</v>
          </cell>
          <cell r="L2907">
            <v>4</v>
          </cell>
        </row>
        <row r="2908">
          <cell r="A2908" t="str">
            <v>20497.10504</v>
          </cell>
          <cell r="B2908" t="str">
            <v>JEU DE VISSERIE VIS DE ROUEVIS DE REGLAGE</v>
          </cell>
          <cell r="C2908" t="str">
            <v>SULZER TYPE A 44-200 SERIE 100038215/100038216/100038217 REPSANS</v>
          </cell>
          <cell r="D2908" t="str">
            <v>PE</v>
          </cell>
          <cell r="E2908" t="str">
            <v>515.51505</v>
          </cell>
          <cell r="F2908">
            <v>17640</v>
          </cell>
          <cell r="G2908">
            <v>0</v>
          </cell>
          <cell r="H2908">
            <v>0</v>
          </cell>
          <cell r="I2908">
            <v>1</v>
          </cell>
          <cell r="J2908">
            <v>0</v>
          </cell>
          <cell r="K2908">
            <v>0</v>
          </cell>
          <cell r="L2908">
            <v>1</v>
          </cell>
        </row>
        <row r="2909">
          <cell r="A2909" t="str">
            <v>20497.10505</v>
          </cell>
          <cell r="B2909" t="str">
            <v>VOYANT D'HUILE</v>
          </cell>
          <cell r="C2909" t="str">
            <v>SULZER TYPE A 44-200 SERIE 100038215/100038216/100038217 REP642,31</v>
          </cell>
          <cell r="D2909" t="str">
            <v>PE</v>
          </cell>
          <cell r="E2909" t="str">
            <v>515.51505</v>
          </cell>
          <cell r="F2909">
            <v>144.34209999999999</v>
          </cell>
          <cell r="G2909">
            <v>0</v>
          </cell>
          <cell r="H2909">
            <v>0</v>
          </cell>
          <cell r="I2909">
            <v>0</v>
          </cell>
          <cell r="J2909">
            <v>0</v>
          </cell>
          <cell r="K2909">
            <v>0</v>
          </cell>
          <cell r="L2909">
            <v>4</v>
          </cell>
        </row>
        <row r="2910">
          <cell r="A2910" t="str">
            <v>20497.10506</v>
          </cell>
          <cell r="B2910" t="str">
            <v>CORPS DE POMPE</v>
          </cell>
          <cell r="C2910" t="str">
            <v>SULZER TYPE A 21-100 SERIE 100038218/100038219/100038222 REP102,11</v>
          </cell>
          <cell r="D2910" t="str">
            <v>PE</v>
          </cell>
          <cell r="E2910" t="str">
            <v>515.51505</v>
          </cell>
          <cell r="F2910">
            <v>93260.768800000005</v>
          </cell>
          <cell r="G2910">
            <v>0</v>
          </cell>
          <cell r="H2910">
            <v>1</v>
          </cell>
          <cell r="I2910">
            <v>0</v>
          </cell>
          <cell r="J2910">
            <v>0</v>
          </cell>
          <cell r="K2910">
            <v>0</v>
          </cell>
          <cell r="L2910">
            <v>1</v>
          </cell>
        </row>
        <row r="2911">
          <cell r="A2911" t="str">
            <v>20497.10507</v>
          </cell>
          <cell r="B2911" t="str">
            <v>PLAQUE LATERALE</v>
          </cell>
          <cell r="C2911" t="str">
            <v>SULZER TYPE A 21-100 SERIE 100038218/100038219/100038222 REP135,11</v>
          </cell>
          <cell r="D2911" t="str">
            <v>PE</v>
          </cell>
          <cell r="E2911" t="str">
            <v>515.51505</v>
          </cell>
          <cell r="F2911">
            <v>21124.802500000002</v>
          </cell>
          <cell r="G2911">
            <v>0</v>
          </cell>
          <cell r="H2911">
            <v>0</v>
          </cell>
          <cell r="I2911">
            <v>0</v>
          </cell>
          <cell r="J2911">
            <v>0</v>
          </cell>
          <cell r="K2911">
            <v>0</v>
          </cell>
          <cell r="L2911">
            <v>3</v>
          </cell>
        </row>
        <row r="2912">
          <cell r="A2912" t="str">
            <v>20497.10508</v>
          </cell>
          <cell r="B2912" t="str">
            <v>COUVERCLE DE CORPS</v>
          </cell>
          <cell r="C2912" t="str">
            <v>SULZER TYPE A 21-100 SERIE 100038218/100038219/100038222 REP161,21</v>
          </cell>
          <cell r="D2912" t="str">
            <v>PE</v>
          </cell>
          <cell r="E2912" t="str">
            <v>515.51505</v>
          </cell>
          <cell r="F2912">
            <v>31326.3177</v>
          </cell>
          <cell r="G2912">
            <v>0</v>
          </cell>
          <cell r="H2912">
            <v>1</v>
          </cell>
          <cell r="I2912">
            <v>0</v>
          </cell>
          <cell r="J2912">
            <v>0</v>
          </cell>
          <cell r="K2912">
            <v>0</v>
          </cell>
          <cell r="L2912">
            <v>1</v>
          </cell>
        </row>
        <row r="2913">
          <cell r="A2913" t="str">
            <v>20497.10509</v>
          </cell>
          <cell r="B2913" t="str">
            <v>ARBRE</v>
          </cell>
          <cell r="C2913" t="str">
            <v>SULZER TYPE A 21-100 SERIE 100038218/100038219/100038222 REP210,31</v>
          </cell>
          <cell r="D2913" t="str">
            <v>PE</v>
          </cell>
          <cell r="E2913" t="str">
            <v>515.51505</v>
          </cell>
          <cell r="F2913">
            <v>10558.996499999999</v>
          </cell>
          <cell r="G2913">
            <v>0</v>
          </cell>
          <cell r="H2913">
            <v>1</v>
          </cell>
          <cell r="I2913">
            <v>0</v>
          </cell>
          <cell r="J2913">
            <v>0</v>
          </cell>
          <cell r="K2913">
            <v>0</v>
          </cell>
          <cell r="L2913">
            <v>1</v>
          </cell>
        </row>
        <row r="2914">
          <cell r="A2914" t="str">
            <v>20497.10510</v>
          </cell>
          <cell r="B2914" t="str">
            <v>ROUE</v>
          </cell>
          <cell r="C2914" t="str">
            <v>SULZER TYPE A 21-100 SERIE 100038218/100038219/100038222 REP230,11</v>
          </cell>
          <cell r="D2914" t="str">
            <v>PE</v>
          </cell>
          <cell r="E2914" t="str">
            <v>515.51505</v>
          </cell>
          <cell r="F2914">
            <v>43842.381600000001</v>
          </cell>
          <cell r="G2914">
            <v>0</v>
          </cell>
          <cell r="H2914">
            <v>0</v>
          </cell>
          <cell r="I2914">
            <v>0</v>
          </cell>
          <cell r="J2914">
            <v>0</v>
          </cell>
          <cell r="K2914">
            <v>0</v>
          </cell>
          <cell r="L2914">
            <v>2</v>
          </cell>
        </row>
        <row r="2915">
          <cell r="A2915" t="str">
            <v>20497.10511</v>
          </cell>
          <cell r="B2915" t="str">
            <v>JEU DE JOINTS</v>
          </cell>
          <cell r="C2915" t="str">
            <v>SULZER TYPE A 21-100 SERIE 100038218/100038219/100038222 REP400,21/410,21/412,11/412,12/412,14/412,21/412,31</v>
          </cell>
          <cell r="D2915" t="str">
            <v>PE</v>
          </cell>
          <cell r="E2915" t="str">
            <v>515.51505</v>
          </cell>
          <cell r="F2915">
            <v>3003.09</v>
          </cell>
          <cell r="G2915">
            <v>0</v>
          </cell>
          <cell r="H2915">
            <v>0</v>
          </cell>
          <cell r="I2915">
            <v>0</v>
          </cell>
          <cell r="J2915">
            <v>0</v>
          </cell>
          <cell r="K2915">
            <v>0</v>
          </cell>
          <cell r="L2915">
            <v>4</v>
          </cell>
        </row>
        <row r="2916">
          <cell r="A2916" t="str">
            <v>20497.10512</v>
          </cell>
          <cell r="B2916" t="str">
            <v>BAGUE D'ETANCHEITE</v>
          </cell>
          <cell r="C2916" t="str">
            <v>SULZER TYPE A 21-100 SERIE 100038218/100038219/100038222 REP411,21</v>
          </cell>
          <cell r="D2916" t="str">
            <v>PE</v>
          </cell>
          <cell r="E2916" t="str">
            <v>515.51505</v>
          </cell>
          <cell r="F2916">
            <v>548.6001</v>
          </cell>
          <cell r="G2916">
            <v>0</v>
          </cell>
          <cell r="H2916">
            <v>0</v>
          </cell>
          <cell r="I2916">
            <v>0</v>
          </cell>
          <cell r="J2916">
            <v>0</v>
          </cell>
          <cell r="K2916">
            <v>0</v>
          </cell>
          <cell r="L2916">
            <v>4</v>
          </cell>
        </row>
        <row r="2917">
          <cell r="A2917" t="str">
            <v>20497.10513</v>
          </cell>
          <cell r="B2917" t="str">
            <v>BAGUE D'ETANCHEITE</v>
          </cell>
          <cell r="C2917" t="str">
            <v>SULZER TYPE A 21-100 SERIE 100038218/100038219/100038222 REP411,31</v>
          </cell>
          <cell r="D2917" t="str">
            <v>PE</v>
          </cell>
          <cell r="E2917" t="str">
            <v>515.51505</v>
          </cell>
          <cell r="F2917">
            <v>81.529899999999998</v>
          </cell>
          <cell r="G2917">
            <v>0</v>
          </cell>
          <cell r="H2917">
            <v>0</v>
          </cell>
          <cell r="I2917">
            <v>0</v>
          </cell>
          <cell r="J2917">
            <v>0</v>
          </cell>
          <cell r="K2917">
            <v>0</v>
          </cell>
          <cell r="L2917">
            <v>5</v>
          </cell>
        </row>
        <row r="2918">
          <cell r="A2918" t="str">
            <v>20497.10514</v>
          </cell>
          <cell r="B2918" t="str">
            <v>BAGUE LABYRINTHE</v>
          </cell>
          <cell r="C2918" t="str">
            <v>SULZER TYPE A 21-100 SERIE 100038218/100038219/100038222 REP423,31</v>
          </cell>
          <cell r="D2918" t="str">
            <v>PE</v>
          </cell>
          <cell r="E2918" t="str">
            <v>515.51505</v>
          </cell>
          <cell r="F2918">
            <v>8254.9673000000003</v>
          </cell>
          <cell r="G2918">
            <v>0</v>
          </cell>
          <cell r="H2918">
            <v>1</v>
          </cell>
          <cell r="I2918">
            <v>2</v>
          </cell>
          <cell r="J2918">
            <v>0</v>
          </cell>
          <cell r="K2918">
            <v>0</v>
          </cell>
          <cell r="L2918">
            <v>0</v>
          </cell>
        </row>
        <row r="2919">
          <cell r="A2919" t="str">
            <v>20497.10515</v>
          </cell>
          <cell r="B2919" t="str">
            <v>BAGUE LABYRINTHE</v>
          </cell>
          <cell r="C2919" t="str">
            <v>SULZER TYPE A 21-100 SERIE 100038218/100038219/100038222 REP423,32</v>
          </cell>
          <cell r="D2919" t="str">
            <v>PE</v>
          </cell>
          <cell r="E2919" t="str">
            <v>515.51505</v>
          </cell>
          <cell r="F2919">
            <v>8451.1735000000008</v>
          </cell>
          <cell r="G2919">
            <v>0</v>
          </cell>
          <cell r="H2919">
            <v>1</v>
          </cell>
          <cell r="I2919">
            <v>0</v>
          </cell>
          <cell r="J2919">
            <v>0</v>
          </cell>
          <cell r="K2919">
            <v>0</v>
          </cell>
          <cell r="L2919">
            <v>1</v>
          </cell>
        </row>
        <row r="2920">
          <cell r="A2920" t="str">
            <v>20497.10516</v>
          </cell>
          <cell r="B2920" t="str">
            <v>HUILEUR A NIVEAU CONSTANT</v>
          </cell>
          <cell r="C2920" t="str">
            <v>SULZER TYPE A 21-100 SERIE 100038218/100038219/100038222 REP638,31</v>
          </cell>
          <cell r="D2920" t="str">
            <v>PE</v>
          </cell>
          <cell r="E2920" t="str">
            <v>515.51505</v>
          </cell>
          <cell r="F2920">
            <v>425.39429999999999</v>
          </cell>
          <cell r="G2920">
            <v>0</v>
          </cell>
          <cell r="H2920">
            <v>0</v>
          </cell>
          <cell r="I2920">
            <v>0</v>
          </cell>
          <cell r="J2920">
            <v>0</v>
          </cell>
          <cell r="K2920">
            <v>3</v>
          </cell>
          <cell r="L2920">
            <v>2</v>
          </cell>
        </row>
        <row r="2921">
          <cell r="A2921" t="str">
            <v>20497.04080</v>
          </cell>
          <cell r="B2921" t="str">
            <v>GARNITURE MECA R25M 1600A</v>
          </cell>
          <cell r="C2921" t="str">
            <v>HIBON C600204490                TYPE:AL70</v>
          </cell>
          <cell r="D2921" t="str">
            <v>PE</v>
          </cell>
          <cell r="E2921" t="str">
            <v>515.51503</v>
          </cell>
          <cell r="F2921">
            <v>30339.227299999999</v>
          </cell>
          <cell r="G2921">
            <v>0</v>
          </cell>
          <cell r="H2921">
            <v>0</v>
          </cell>
          <cell r="I2921">
            <v>0</v>
          </cell>
          <cell r="J2921">
            <v>0</v>
          </cell>
          <cell r="K2921">
            <v>0</v>
          </cell>
          <cell r="L2921">
            <v>2</v>
          </cell>
        </row>
        <row r="2922">
          <cell r="A2922" t="str">
            <v>20497.11216</v>
          </cell>
          <cell r="B2922" t="str">
            <v>TRESSE</v>
          </cell>
          <cell r="C2922" t="str">
            <v>WARMAN E111Q21</v>
          </cell>
          <cell r="D2922" t="str">
            <v>PE</v>
          </cell>
          <cell r="E2922" t="str">
            <v>515.51517</v>
          </cell>
          <cell r="F2922">
            <v>237.75</v>
          </cell>
          <cell r="G2922">
            <v>0</v>
          </cell>
          <cell r="H2922">
            <v>0</v>
          </cell>
          <cell r="I2922">
            <v>0</v>
          </cell>
          <cell r="J2922">
            <v>0</v>
          </cell>
          <cell r="K2922">
            <v>0</v>
          </cell>
          <cell r="L2922">
            <v>16</v>
          </cell>
        </row>
        <row r="2923">
          <cell r="A2923" t="str">
            <v>20497.11217</v>
          </cell>
          <cell r="B2923" t="str">
            <v>FOULOIR</v>
          </cell>
          <cell r="C2923" t="str">
            <v>WARMAN E044HS1C23</v>
          </cell>
          <cell r="D2923" t="str">
            <v>PE</v>
          </cell>
          <cell r="E2923" t="str">
            <v>515.51517</v>
          </cell>
          <cell r="F2923">
            <v>2269.5533</v>
          </cell>
          <cell r="G2923">
            <v>2</v>
          </cell>
          <cell r="H2923">
            <v>0</v>
          </cell>
          <cell r="I2923">
            <v>0</v>
          </cell>
          <cell r="J2923">
            <v>0</v>
          </cell>
          <cell r="K2923">
            <v>0</v>
          </cell>
          <cell r="L2923">
            <v>4</v>
          </cell>
        </row>
        <row r="2924">
          <cell r="A2924" t="str">
            <v>20497.11218</v>
          </cell>
          <cell r="B2924" t="str">
            <v>JOINT DE ROULEMENT</v>
          </cell>
          <cell r="C2924" t="str">
            <v>WARMAN EE089-10S10</v>
          </cell>
          <cell r="D2924" t="str">
            <v>PE</v>
          </cell>
          <cell r="E2924" t="str">
            <v>515.51517</v>
          </cell>
          <cell r="F2924">
            <v>176.21799999999999</v>
          </cell>
          <cell r="G2924">
            <v>0</v>
          </cell>
          <cell r="H2924">
            <v>0</v>
          </cell>
          <cell r="I2924">
            <v>0</v>
          </cell>
          <cell r="J2924">
            <v>0</v>
          </cell>
          <cell r="K2924">
            <v>0</v>
          </cell>
          <cell r="L2924">
            <v>6</v>
          </cell>
        </row>
        <row r="2925">
          <cell r="A2925" t="str">
            <v>20497.10675</v>
          </cell>
          <cell r="B2925" t="str">
            <v>DOUILLE D'ARTICULATION</v>
          </cell>
          <cell r="C2925" t="str">
            <v>SEEPEX TYPE BN 5-6L PLAN N°062-002B1 REP 401</v>
          </cell>
          <cell r="D2925" t="str">
            <v>PE</v>
          </cell>
          <cell r="E2925" t="str">
            <v>515.51503</v>
          </cell>
          <cell r="F2925">
            <v>300.52210000000002</v>
          </cell>
          <cell r="G2925">
            <v>0</v>
          </cell>
          <cell r="H2925">
            <v>0</v>
          </cell>
          <cell r="I2925">
            <v>0</v>
          </cell>
          <cell r="J2925">
            <v>0</v>
          </cell>
          <cell r="K2925">
            <v>0</v>
          </cell>
          <cell r="L2925">
            <v>0</v>
          </cell>
        </row>
        <row r="2926">
          <cell r="A2926" t="str">
            <v>20497.10676</v>
          </cell>
          <cell r="B2926" t="str">
            <v>AXE D'ARTICULATION</v>
          </cell>
          <cell r="C2926" t="str">
            <v>SEEPEX TYPE BN 5-6L PLAN N°062-002B1 REP 402</v>
          </cell>
          <cell r="D2926" t="str">
            <v>PE</v>
          </cell>
          <cell r="E2926" t="str">
            <v>515.51503</v>
          </cell>
          <cell r="F2926">
            <v>367.17970000000003</v>
          </cell>
          <cell r="G2926">
            <v>0</v>
          </cell>
          <cell r="H2926">
            <v>0</v>
          </cell>
          <cell r="I2926">
            <v>0</v>
          </cell>
          <cell r="J2926">
            <v>0</v>
          </cell>
          <cell r="K2926">
            <v>0</v>
          </cell>
          <cell r="L2926">
            <v>0</v>
          </cell>
        </row>
        <row r="2927">
          <cell r="A2927" t="str">
            <v>20497.10681</v>
          </cell>
          <cell r="B2927" t="str">
            <v>COLLIER DE SERRAGE</v>
          </cell>
          <cell r="C2927" t="str">
            <v>SEEPEX TYPE BN 5-6L PLAN N°062-002B1 REP 407</v>
          </cell>
          <cell r="D2927" t="str">
            <v>PE</v>
          </cell>
          <cell r="E2927" t="str">
            <v>515.51503</v>
          </cell>
          <cell r="F2927">
            <v>100.04900000000001</v>
          </cell>
          <cell r="G2927">
            <v>0</v>
          </cell>
          <cell r="H2927">
            <v>0</v>
          </cell>
          <cell r="I2927">
            <v>0</v>
          </cell>
          <cell r="J2927">
            <v>0</v>
          </cell>
          <cell r="K2927">
            <v>0</v>
          </cell>
          <cell r="L2927">
            <v>0</v>
          </cell>
        </row>
        <row r="2928">
          <cell r="A2928" t="str">
            <v>20497.10682</v>
          </cell>
          <cell r="B2928" t="str">
            <v>CARTER D'ASPIRATION</v>
          </cell>
          <cell r="C2928" t="str">
            <v>SEEPEX TYPE BN 5-6L PLAN N°062-002B1 REP 500</v>
          </cell>
          <cell r="D2928" t="str">
            <v>PE</v>
          </cell>
          <cell r="E2928" t="str">
            <v>515.51503</v>
          </cell>
          <cell r="F2928">
            <v>5402.6446999999998</v>
          </cell>
          <cell r="G2928">
            <v>0</v>
          </cell>
          <cell r="H2928">
            <v>0</v>
          </cell>
          <cell r="I2928">
            <v>0</v>
          </cell>
          <cell r="J2928">
            <v>0</v>
          </cell>
          <cell r="K2928">
            <v>0</v>
          </cell>
          <cell r="L2928">
            <v>1</v>
          </cell>
        </row>
        <row r="2929">
          <cell r="A2929" t="str">
            <v>20497.10683</v>
          </cell>
          <cell r="B2929" t="str">
            <v>ETANCHEITE DE CARTER D'ASPIRATION</v>
          </cell>
          <cell r="C2929" t="str">
            <v>SEEPEX TYPE BN 5-6L PLAN N°062-002B1 REP 501</v>
          </cell>
          <cell r="D2929" t="str">
            <v>PE</v>
          </cell>
          <cell r="E2929" t="str">
            <v>515.51503</v>
          </cell>
          <cell r="F2929">
            <v>67.032799999999995</v>
          </cell>
          <cell r="G2929">
            <v>0</v>
          </cell>
          <cell r="H2929">
            <v>0</v>
          </cell>
          <cell r="I2929">
            <v>0</v>
          </cell>
          <cell r="J2929">
            <v>0</v>
          </cell>
          <cell r="K2929">
            <v>1</v>
          </cell>
          <cell r="L2929">
            <v>0</v>
          </cell>
        </row>
        <row r="2930">
          <cell r="A2930" t="str">
            <v>20497.10684</v>
          </cell>
          <cell r="B2930" t="str">
            <v>BOUCHON DE VIDANGE</v>
          </cell>
          <cell r="C2930" t="str">
            <v>SEEPEX TYPE BN 5-6L PLAN N°062-002B1 REP 502</v>
          </cell>
          <cell r="D2930" t="str">
            <v>PE</v>
          </cell>
          <cell r="E2930" t="str">
            <v>515.51503</v>
          </cell>
          <cell r="F2930">
            <v>67.032799999999995</v>
          </cell>
          <cell r="G2930">
            <v>0</v>
          </cell>
          <cell r="H2930">
            <v>0</v>
          </cell>
          <cell r="I2930">
            <v>0</v>
          </cell>
          <cell r="J2930">
            <v>0</v>
          </cell>
          <cell r="K2930">
            <v>1</v>
          </cell>
          <cell r="L2930">
            <v>0</v>
          </cell>
        </row>
        <row r="2931">
          <cell r="A2931" t="str">
            <v>20497.10685</v>
          </cell>
          <cell r="B2931" t="str">
            <v>JOINT</v>
          </cell>
          <cell r="C2931" t="str">
            <v>SEEPEX TYPE BN 5-6L PLAN N°062-002B1 REP 503</v>
          </cell>
          <cell r="D2931" t="str">
            <v>PE</v>
          </cell>
          <cell r="E2931" t="str">
            <v>515.51503</v>
          </cell>
          <cell r="F2931">
            <v>6.7533000000000003</v>
          </cell>
          <cell r="G2931">
            <v>0</v>
          </cell>
          <cell r="H2931">
            <v>0</v>
          </cell>
          <cell r="I2931">
            <v>0</v>
          </cell>
          <cell r="J2931">
            <v>0</v>
          </cell>
          <cell r="K2931">
            <v>2</v>
          </cell>
          <cell r="L2931">
            <v>0</v>
          </cell>
        </row>
        <row r="2932">
          <cell r="A2932" t="str">
            <v>20497.10677</v>
          </cell>
          <cell r="B2932" t="str">
            <v>DOUILLE DE GUIDAGE</v>
          </cell>
          <cell r="C2932" t="str">
            <v>SEEPEX TYPE BN 5-6L PLAN N°062-002B1 REP 403</v>
          </cell>
          <cell r="D2932" t="str">
            <v>PE</v>
          </cell>
          <cell r="E2932" t="str">
            <v>515.51503</v>
          </cell>
          <cell r="F2932">
            <v>333.9135</v>
          </cell>
          <cell r="G2932">
            <v>0</v>
          </cell>
          <cell r="H2932">
            <v>0</v>
          </cell>
          <cell r="I2932">
            <v>0</v>
          </cell>
          <cell r="J2932">
            <v>0</v>
          </cell>
          <cell r="K2932">
            <v>0</v>
          </cell>
          <cell r="L2932">
            <v>0</v>
          </cell>
        </row>
        <row r="2933">
          <cell r="A2933" t="str">
            <v>20497.10678</v>
          </cell>
          <cell r="B2933" t="str">
            <v>CHEMISE D'AXE</v>
          </cell>
          <cell r="C2933" t="str">
            <v>SEEPEX TYPE BN 5-6L PLAN N°062-002B1 REP 404</v>
          </cell>
          <cell r="D2933" t="str">
            <v>PE</v>
          </cell>
          <cell r="E2933" t="str">
            <v>515.51503</v>
          </cell>
          <cell r="F2933">
            <v>700.84310000000005</v>
          </cell>
          <cell r="G2933">
            <v>0</v>
          </cell>
          <cell r="H2933">
            <v>0</v>
          </cell>
          <cell r="I2933">
            <v>0</v>
          </cell>
          <cell r="J2933">
            <v>0</v>
          </cell>
          <cell r="K2933">
            <v>0</v>
          </cell>
          <cell r="L2933">
            <v>2</v>
          </cell>
        </row>
        <row r="2934">
          <cell r="A2934" t="str">
            <v>20497.10679</v>
          </cell>
          <cell r="B2934" t="str">
            <v>MANCHETTE</v>
          </cell>
          <cell r="C2934" t="str">
            <v>SEEPEX TYPE BN 5-6L PLAN N°062-002B1 REP 405</v>
          </cell>
          <cell r="D2934" t="str">
            <v>PE</v>
          </cell>
          <cell r="E2934" t="str">
            <v>515.51503</v>
          </cell>
          <cell r="F2934">
            <v>434.08749999999998</v>
          </cell>
          <cell r="G2934">
            <v>0</v>
          </cell>
          <cell r="H2934">
            <v>0</v>
          </cell>
          <cell r="I2934">
            <v>0</v>
          </cell>
          <cell r="J2934">
            <v>0</v>
          </cell>
          <cell r="K2934">
            <v>0</v>
          </cell>
          <cell r="L2934">
            <v>0</v>
          </cell>
        </row>
        <row r="2935">
          <cell r="A2935" t="str">
            <v>20497.10680</v>
          </cell>
          <cell r="B2935" t="str">
            <v>COLLIER DE SERRAGE</v>
          </cell>
          <cell r="C2935" t="str">
            <v>SEEPEX TYPE BN 5-6L PLAN N°062-002B1 REP 406</v>
          </cell>
          <cell r="D2935" t="str">
            <v>PE</v>
          </cell>
          <cell r="E2935" t="str">
            <v>515.51503</v>
          </cell>
          <cell r="F2935">
            <v>133.44030000000001</v>
          </cell>
          <cell r="G2935">
            <v>0</v>
          </cell>
          <cell r="H2935">
            <v>0</v>
          </cell>
          <cell r="I2935">
            <v>0</v>
          </cell>
          <cell r="J2935">
            <v>0</v>
          </cell>
          <cell r="K2935">
            <v>0</v>
          </cell>
          <cell r="L2935">
            <v>0</v>
          </cell>
        </row>
        <row r="2936">
          <cell r="A2936" t="str">
            <v>20497.10517</v>
          </cell>
          <cell r="B2936" t="str">
            <v>COUVERCLE DE PALIER</v>
          </cell>
          <cell r="C2936" t="str">
            <v>SULZER TYPE A 21-100 SERIE 100038218/100038219/100038222 REP360,31</v>
          </cell>
          <cell r="D2936" t="str">
            <v>PE</v>
          </cell>
          <cell r="E2936" t="str">
            <v>515.51505</v>
          </cell>
          <cell r="F2936">
            <v>4275.6165000000001</v>
          </cell>
          <cell r="G2936">
            <v>0</v>
          </cell>
          <cell r="H2936">
            <v>0</v>
          </cell>
          <cell r="I2936">
            <v>0</v>
          </cell>
          <cell r="J2936">
            <v>0</v>
          </cell>
          <cell r="K2936">
            <v>0</v>
          </cell>
          <cell r="L2936">
            <v>2</v>
          </cell>
        </row>
        <row r="2937">
          <cell r="A2937" t="str">
            <v>20497.10518</v>
          </cell>
          <cell r="B2937" t="str">
            <v>ECROU DE ROULEMENT</v>
          </cell>
          <cell r="C2937" t="str">
            <v>SULZER TYPE A 21-100 SERIE 100038218/100038219/100038222 REP923,31</v>
          </cell>
          <cell r="D2937" t="str">
            <v>PE</v>
          </cell>
          <cell r="E2937" t="str">
            <v>515.51505</v>
          </cell>
          <cell r="F2937">
            <v>180.91030000000001</v>
          </cell>
          <cell r="G2937">
            <v>0</v>
          </cell>
          <cell r="H2937">
            <v>0</v>
          </cell>
          <cell r="I2937">
            <v>0</v>
          </cell>
          <cell r="J2937">
            <v>0</v>
          </cell>
          <cell r="K2937">
            <v>0</v>
          </cell>
          <cell r="L2937">
            <v>5</v>
          </cell>
        </row>
        <row r="2938">
          <cell r="A2938" t="str">
            <v>20497.10519</v>
          </cell>
          <cell r="B2938" t="str">
            <v>RONDELLE DE SECURITE</v>
          </cell>
          <cell r="C2938" t="str">
            <v>SULZER TYPE A 21-100 SERIE 100038218/100038219/100038222 REP931,31</v>
          </cell>
          <cell r="D2938" t="str">
            <v>PE</v>
          </cell>
          <cell r="E2938" t="str">
            <v>515.51505</v>
          </cell>
          <cell r="F2938">
            <v>113.0689</v>
          </cell>
          <cell r="G2938">
            <v>0</v>
          </cell>
          <cell r="H2938">
            <v>0</v>
          </cell>
          <cell r="I2938">
            <v>0</v>
          </cell>
          <cell r="J2938">
            <v>0</v>
          </cell>
          <cell r="K2938">
            <v>0</v>
          </cell>
          <cell r="L2938">
            <v>5</v>
          </cell>
        </row>
        <row r="2939">
          <cell r="A2939" t="str">
            <v>20497.10520</v>
          </cell>
          <cell r="B2939" t="str">
            <v>CLAVETTE</v>
          </cell>
          <cell r="C2939" t="str">
            <v>SULZER TYPE A 21-100 SERIE 100038218/100038219/100038222 REP940,31</v>
          </cell>
          <cell r="D2939" t="str">
            <v>PE</v>
          </cell>
          <cell r="E2939" t="str">
            <v>515.51505</v>
          </cell>
          <cell r="F2939">
            <v>104.5425</v>
          </cell>
          <cell r="G2939">
            <v>0</v>
          </cell>
          <cell r="H2939">
            <v>0</v>
          </cell>
          <cell r="I2939">
            <v>0</v>
          </cell>
          <cell r="J2939">
            <v>0</v>
          </cell>
          <cell r="K2939">
            <v>0</v>
          </cell>
          <cell r="L2939">
            <v>4</v>
          </cell>
        </row>
        <row r="2940">
          <cell r="A2940" t="str">
            <v>20497.10521</v>
          </cell>
          <cell r="B2940" t="str">
            <v>JEU DE VISSERIE VIS DE ROUEVIS DE REGLAGE</v>
          </cell>
          <cell r="C2940" t="str">
            <v>SULZER TYPE A 21-100 SERIE 100038218/100038219/100038222 REPSANS</v>
          </cell>
          <cell r="D2940" t="str">
            <v>PE</v>
          </cell>
          <cell r="E2940" t="str">
            <v>515.51505</v>
          </cell>
          <cell r="F2940">
            <v>10140.479600000001</v>
          </cell>
          <cell r="G2940">
            <v>0</v>
          </cell>
          <cell r="H2940">
            <v>0</v>
          </cell>
          <cell r="I2940">
            <v>0</v>
          </cell>
          <cell r="J2940">
            <v>0</v>
          </cell>
          <cell r="K2940">
            <v>0</v>
          </cell>
          <cell r="L2940">
            <v>2</v>
          </cell>
        </row>
        <row r="2941">
          <cell r="A2941" t="str">
            <v>20497.10522</v>
          </cell>
          <cell r="B2941" t="str">
            <v>VOYANT D'HUILE</v>
          </cell>
          <cell r="C2941" t="str">
            <v>SULZER TYPE A 21-100 SERIE 100038218/100038219/100038222 REP642,31</v>
          </cell>
          <cell r="D2941" t="str">
            <v>PE</v>
          </cell>
          <cell r="E2941" t="str">
            <v>515.51505</v>
          </cell>
          <cell r="F2941">
            <v>143.35939999999999</v>
          </cell>
          <cell r="G2941">
            <v>0</v>
          </cell>
          <cell r="H2941">
            <v>0</v>
          </cell>
          <cell r="I2941">
            <v>0</v>
          </cell>
          <cell r="J2941">
            <v>0</v>
          </cell>
          <cell r="K2941">
            <v>0</v>
          </cell>
          <cell r="L2941">
            <v>3</v>
          </cell>
        </row>
        <row r="2942">
          <cell r="A2942" t="str">
            <v>20497.10523</v>
          </cell>
          <cell r="B2942" t="str">
            <v>CORPS DE POMPE</v>
          </cell>
          <cell r="C2942" t="str">
            <v>SULZER TYPE A 31-100 SERIE 100038236/100038237/100038238/100038240/100038241/100038242 REP102,11</v>
          </cell>
          <cell r="D2942" t="str">
            <v>PE</v>
          </cell>
          <cell r="E2942" t="str">
            <v>515.51505</v>
          </cell>
          <cell r="F2942">
            <v>101250.7031</v>
          </cell>
          <cell r="G2942">
            <v>0</v>
          </cell>
          <cell r="H2942">
            <v>0</v>
          </cell>
          <cell r="I2942">
            <v>0</v>
          </cell>
          <cell r="J2942">
            <v>0</v>
          </cell>
          <cell r="K2942">
            <v>0</v>
          </cell>
          <cell r="L2942">
            <v>2</v>
          </cell>
        </row>
        <row r="2943">
          <cell r="A2943" t="str">
            <v>20497.10524</v>
          </cell>
          <cell r="B2943" t="str">
            <v>PLAQUE LATERALE</v>
          </cell>
          <cell r="C2943" t="str">
            <v>SULZER TYPE A 31-100 SERIE 100038236/100038237/100038238/100038240/100038241/100038242 REP135,11</v>
          </cell>
          <cell r="D2943" t="str">
            <v>PE</v>
          </cell>
          <cell r="E2943" t="str">
            <v>515.51505</v>
          </cell>
          <cell r="F2943">
            <v>22869.496500000001</v>
          </cell>
          <cell r="G2943">
            <v>0</v>
          </cell>
          <cell r="H2943">
            <v>1</v>
          </cell>
          <cell r="I2943">
            <v>0</v>
          </cell>
          <cell r="J2943">
            <v>0</v>
          </cell>
          <cell r="K2943">
            <v>0</v>
          </cell>
          <cell r="L2943">
            <v>2</v>
          </cell>
        </row>
        <row r="2944">
          <cell r="A2944" t="str">
            <v>20497.10525</v>
          </cell>
          <cell r="B2944" t="str">
            <v>COUVERCLE DE CORPS</v>
          </cell>
          <cell r="C2944" t="str">
            <v>SULZER TYPE A 31-100 SERIE 100038236/100038237/100038238/100038240/100038241/100038242 REP161,21</v>
          </cell>
          <cell r="D2944" t="str">
            <v>PE</v>
          </cell>
          <cell r="E2944" t="str">
            <v>515.51505</v>
          </cell>
          <cell r="F2944">
            <v>51892.271000000001</v>
          </cell>
          <cell r="G2944">
            <v>0</v>
          </cell>
          <cell r="H2944">
            <v>0</v>
          </cell>
          <cell r="I2944">
            <v>0</v>
          </cell>
          <cell r="J2944">
            <v>0</v>
          </cell>
          <cell r="K2944">
            <v>0</v>
          </cell>
          <cell r="L2944">
            <v>3</v>
          </cell>
        </row>
        <row r="2945">
          <cell r="A2945" t="str">
            <v>20497.10526</v>
          </cell>
          <cell r="B2945" t="str">
            <v>ARBRE</v>
          </cell>
          <cell r="C2945" t="str">
            <v>SULZER TYPE A 31-100 SERIE 100038236/100038237/100038238/100038240/100038241/100038242 REP210,31</v>
          </cell>
          <cell r="D2945" t="str">
            <v>PE</v>
          </cell>
          <cell r="E2945" t="str">
            <v>515.51505</v>
          </cell>
          <cell r="F2945">
            <v>13185.055899999999</v>
          </cell>
          <cell r="G2945">
            <v>0</v>
          </cell>
          <cell r="H2945">
            <v>0</v>
          </cell>
          <cell r="I2945">
            <v>0</v>
          </cell>
          <cell r="J2945">
            <v>0</v>
          </cell>
          <cell r="K2945">
            <v>0</v>
          </cell>
          <cell r="L2945">
            <v>3</v>
          </cell>
        </row>
        <row r="2946">
          <cell r="A2946" t="str">
            <v>20497.10527</v>
          </cell>
          <cell r="B2946" t="str">
            <v>ROUE</v>
          </cell>
          <cell r="C2946" t="str">
            <v>SULZER TYPE A 31-100 SERIE 100038236/100038237/100038238/100038240/100038241/100038242 REP230,11</v>
          </cell>
          <cell r="D2946" t="str">
            <v>PE</v>
          </cell>
          <cell r="E2946" t="str">
            <v>515.51505</v>
          </cell>
          <cell r="F2946">
            <v>44928.729899999998</v>
          </cell>
          <cell r="G2946">
            <v>0</v>
          </cell>
          <cell r="H2946">
            <v>0</v>
          </cell>
          <cell r="I2946">
            <v>0</v>
          </cell>
          <cell r="J2946">
            <v>0</v>
          </cell>
          <cell r="K2946">
            <v>0</v>
          </cell>
          <cell r="L2946">
            <v>3</v>
          </cell>
        </row>
        <row r="2947">
          <cell r="A2947" t="str">
            <v>20497.10528</v>
          </cell>
          <cell r="B2947" t="str">
            <v>JEU DE JOINTS</v>
          </cell>
          <cell r="C2947" t="str">
            <v>SULZER TYPE A 31-100 SERIE 100038236/100038237/100038238/100038240/100038241/100038242 REP400,21/410,21/412,11/412,12/412,14/412,21</v>
          </cell>
          <cell r="D2947" t="str">
            <v>PE</v>
          </cell>
          <cell r="E2947" t="str">
            <v>515.51505</v>
          </cell>
          <cell r="F2947">
            <v>3392.2067999999999</v>
          </cell>
          <cell r="G2947">
            <v>0</v>
          </cell>
          <cell r="H2947">
            <v>0</v>
          </cell>
          <cell r="I2947">
            <v>1</v>
          </cell>
          <cell r="J2947">
            <v>0</v>
          </cell>
          <cell r="K2947">
            <v>0</v>
          </cell>
          <cell r="L2947">
            <v>6</v>
          </cell>
        </row>
        <row r="2948">
          <cell r="A2948" t="str">
            <v>20497.10605</v>
          </cell>
          <cell r="B2948" t="str">
            <v>HUILEUR A NIVEAU CONSTANT</v>
          </cell>
          <cell r="C2948" t="str">
            <v>SULZER TYPE A 23-40 SERIE 100038256 REP638,31</v>
          </cell>
          <cell r="D2948" t="str">
            <v>PE</v>
          </cell>
          <cell r="E2948" t="str">
            <v>515.51505</v>
          </cell>
          <cell r="F2948">
            <v>514</v>
          </cell>
          <cell r="G2948">
            <v>0</v>
          </cell>
          <cell r="H2948">
            <v>0</v>
          </cell>
          <cell r="I2948">
            <v>0</v>
          </cell>
          <cell r="J2948">
            <v>0</v>
          </cell>
          <cell r="K2948">
            <v>2</v>
          </cell>
          <cell r="L2948">
            <v>1</v>
          </cell>
        </row>
        <row r="2949">
          <cell r="A2949" t="str">
            <v>20497.10606</v>
          </cell>
          <cell r="B2949" t="str">
            <v>ECROU DE ROULEMENT</v>
          </cell>
          <cell r="C2949" t="str">
            <v>SULZER TYPE A 23-40 SERIE 100038256 REP923,31</v>
          </cell>
          <cell r="D2949" t="str">
            <v>PE</v>
          </cell>
          <cell r="E2949" t="str">
            <v>515.51505</v>
          </cell>
          <cell r="F2949">
            <v>180.97200000000001</v>
          </cell>
          <cell r="G2949">
            <v>0</v>
          </cell>
          <cell r="H2949">
            <v>0</v>
          </cell>
          <cell r="I2949">
            <v>1</v>
          </cell>
          <cell r="J2949">
            <v>0</v>
          </cell>
          <cell r="K2949">
            <v>0</v>
          </cell>
          <cell r="L2949">
            <v>1</v>
          </cell>
        </row>
        <row r="2950">
          <cell r="A2950" t="str">
            <v>20497.10607</v>
          </cell>
          <cell r="B2950" t="str">
            <v>RONDELLE DE SECURITE</v>
          </cell>
          <cell r="C2950" t="str">
            <v>SULZER TYPE A 23-40 SERIE 100038256 REP931,31</v>
          </cell>
          <cell r="D2950" t="str">
            <v>PE</v>
          </cell>
          <cell r="E2950" t="str">
            <v>515.51505</v>
          </cell>
          <cell r="F2950">
            <v>113.1075</v>
          </cell>
          <cell r="G2950">
            <v>0</v>
          </cell>
          <cell r="H2950">
            <v>0</v>
          </cell>
          <cell r="I2950">
            <v>2</v>
          </cell>
          <cell r="J2950">
            <v>0</v>
          </cell>
          <cell r="K2950">
            <v>0</v>
          </cell>
          <cell r="L2950">
            <v>0</v>
          </cell>
        </row>
        <row r="2951">
          <cell r="A2951" t="str">
            <v>20497.10608</v>
          </cell>
          <cell r="B2951" t="str">
            <v>COUVERCLE DE PALIER</v>
          </cell>
          <cell r="C2951" t="str">
            <v>SULZER TYPE A 23-40 SERIE 100038256 REP360,31</v>
          </cell>
          <cell r="D2951" t="str">
            <v>PE</v>
          </cell>
          <cell r="E2951" t="str">
            <v>515.51505</v>
          </cell>
          <cell r="F2951">
            <v>4275.6165000000001</v>
          </cell>
          <cell r="G2951">
            <v>0</v>
          </cell>
          <cell r="H2951">
            <v>0</v>
          </cell>
          <cell r="I2951">
            <v>0</v>
          </cell>
          <cell r="J2951">
            <v>0</v>
          </cell>
          <cell r="K2951">
            <v>0</v>
          </cell>
          <cell r="L2951">
            <v>2</v>
          </cell>
        </row>
        <row r="2952">
          <cell r="A2952" t="str">
            <v>20497.10609</v>
          </cell>
          <cell r="B2952" t="str">
            <v>CLAVETTE</v>
          </cell>
          <cell r="C2952" t="str">
            <v>SULZER TYPE A 23-40 SERIE 100038256 REP940,31</v>
          </cell>
          <cell r="D2952" t="str">
            <v>PE</v>
          </cell>
          <cell r="E2952" t="str">
            <v>515.51505</v>
          </cell>
          <cell r="F2952">
            <v>107.46169999999999</v>
          </cell>
          <cell r="G2952">
            <v>0</v>
          </cell>
          <cell r="H2952">
            <v>0</v>
          </cell>
          <cell r="I2952">
            <v>0</v>
          </cell>
          <cell r="J2952">
            <v>0</v>
          </cell>
          <cell r="K2952">
            <v>0</v>
          </cell>
          <cell r="L2952">
            <v>2</v>
          </cell>
        </row>
        <row r="2953">
          <cell r="A2953" t="str">
            <v>20497.10610</v>
          </cell>
          <cell r="B2953" t="str">
            <v>JEU DE VISSERIE VIS DE ROUEVIS DE REGLAGE</v>
          </cell>
          <cell r="C2953" t="str">
            <v>SULZER TYPE A 23-40 SERIE 100038256 REPSANS</v>
          </cell>
          <cell r="D2953" t="str">
            <v>PE</v>
          </cell>
          <cell r="E2953" t="str">
            <v>515.51505</v>
          </cell>
          <cell r="F2953">
            <v>9869.0216</v>
          </cell>
          <cell r="G2953">
            <v>0</v>
          </cell>
          <cell r="H2953">
            <v>0</v>
          </cell>
          <cell r="I2953">
            <v>0</v>
          </cell>
          <cell r="J2953">
            <v>0</v>
          </cell>
          <cell r="K2953">
            <v>0</v>
          </cell>
          <cell r="L2953">
            <v>2</v>
          </cell>
        </row>
        <row r="2954">
          <cell r="A2954" t="str">
            <v>20497.10611</v>
          </cell>
          <cell r="B2954" t="str">
            <v>VOYANT D'HUILE</v>
          </cell>
          <cell r="C2954" t="str">
            <v>SULZER TYPE A 23-40 SERIE 100038256 REP642,31</v>
          </cell>
          <cell r="D2954" t="str">
            <v>PE</v>
          </cell>
          <cell r="E2954" t="str">
            <v>515.51505</v>
          </cell>
          <cell r="F2954">
            <v>141.39400000000001</v>
          </cell>
          <cell r="G2954">
            <v>0</v>
          </cell>
          <cell r="H2954">
            <v>0</v>
          </cell>
          <cell r="I2954">
            <v>1</v>
          </cell>
          <cell r="J2954">
            <v>0</v>
          </cell>
          <cell r="K2954">
            <v>0</v>
          </cell>
          <cell r="L2954">
            <v>1</v>
          </cell>
        </row>
        <row r="2955">
          <cell r="A2955" t="str">
            <v>20497.10612</v>
          </cell>
          <cell r="B2955" t="str">
            <v>CORPS DE POMPE</v>
          </cell>
          <cell r="C2955" t="str">
            <v>SULZER TYPE APP 53-100 SERIE 100038225/100038259/100038260/100038261 REP102,11</v>
          </cell>
          <cell r="D2955" t="str">
            <v>PE</v>
          </cell>
          <cell r="E2955" t="str">
            <v>515.51505</v>
          </cell>
          <cell r="F2955">
            <v>241544.15900000001</v>
          </cell>
          <cell r="G2955">
            <v>0</v>
          </cell>
          <cell r="H2955">
            <v>0</v>
          </cell>
          <cell r="I2955">
            <v>0</v>
          </cell>
          <cell r="J2955">
            <v>0</v>
          </cell>
          <cell r="K2955">
            <v>0</v>
          </cell>
          <cell r="L2955">
            <v>1</v>
          </cell>
        </row>
        <row r="2956">
          <cell r="A2956" t="str">
            <v>20497.10613</v>
          </cell>
          <cell r="B2956" t="str">
            <v>PLAQUE LATERALE</v>
          </cell>
          <cell r="C2956" t="str">
            <v>SULZER TYPE APP 53-100 SERIE 100038225/100038259/100038260/100038261 REP135,11</v>
          </cell>
          <cell r="D2956" t="str">
            <v>PE</v>
          </cell>
          <cell r="E2956" t="str">
            <v>515.51505</v>
          </cell>
          <cell r="F2956">
            <v>67764.107999999993</v>
          </cell>
          <cell r="G2956">
            <v>0</v>
          </cell>
          <cell r="H2956">
            <v>0</v>
          </cell>
          <cell r="I2956">
            <v>0</v>
          </cell>
          <cell r="J2956">
            <v>0</v>
          </cell>
          <cell r="K2956">
            <v>0</v>
          </cell>
          <cell r="L2956">
            <v>3</v>
          </cell>
        </row>
        <row r="2957">
          <cell r="A2957" t="str">
            <v>20497.10631</v>
          </cell>
          <cell r="B2957" t="str">
            <v>BAGUE LABYRINTHE</v>
          </cell>
          <cell r="C2957" t="str">
            <v>SULZER TYPE A 22-80 SERIE 100038226/100038227/100038228/100038246/100038247/100038248 REP423,32</v>
          </cell>
          <cell r="D2957" t="str">
            <v>PE</v>
          </cell>
          <cell r="E2957" t="str">
            <v>515.51505</v>
          </cell>
          <cell r="F2957">
            <v>620.16600000000005</v>
          </cell>
          <cell r="G2957">
            <v>0</v>
          </cell>
          <cell r="H2957">
            <v>0</v>
          </cell>
          <cell r="I2957">
            <v>1</v>
          </cell>
          <cell r="J2957">
            <v>0</v>
          </cell>
          <cell r="K2957">
            <v>1</v>
          </cell>
          <cell r="L2957">
            <v>2</v>
          </cell>
        </row>
        <row r="2958">
          <cell r="A2958" t="str">
            <v>20497.10632</v>
          </cell>
          <cell r="B2958" t="str">
            <v>HUILEUR A NIVEAU CONSTANT</v>
          </cell>
          <cell r="C2958" t="str">
            <v>SULZER TYPE A 22-80 SERIE 100038226/100038227/100038228/100038246/100038247/100038248 REP638,31</v>
          </cell>
          <cell r="D2958" t="str">
            <v>PE</v>
          </cell>
          <cell r="E2958" t="str">
            <v>515.51505</v>
          </cell>
          <cell r="F2958">
            <v>333.67669999999998</v>
          </cell>
          <cell r="G2958">
            <v>0</v>
          </cell>
          <cell r="H2958">
            <v>0</v>
          </cell>
          <cell r="I2958">
            <v>0</v>
          </cell>
          <cell r="J2958">
            <v>0</v>
          </cell>
          <cell r="K2958">
            <v>0</v>
          </cell>
          <cell r="L2958">
            <v>2</v>
          </cell>
        </row>
        <row r="2959">
          <cell r="A2959" t="str">
            <v>20497.10633</v>
          </cell>
          <cell r="B2959" t="str">
            <v>ECROU DE ROULEMENT</v>
          </cell>
          <cell r="C2959" t="str">
            <v>SULZER TYPE A 22-80 SERIE 100038226/100038227/100038228/100038246/100038247/100038248 REP923,31</v>
          </cell>
          <cell r="D2959" t="str">
            <v>PE</v>
          </cell>
          <cell r="E2959" t="str">
            <v>515.51505</v>
          </cell>
          <cell r="F2959">
            <v>180.92789999999999</v>
          </cell>
          <cell r="G2959">
            <v>0</v>
          </cell>
          <cell r="H2959">
            <v>0</v>
          </cell>
          <cell r="I2959">
            <v>0</v>
          </cell>
          <cell r="J2959">
            <v>0</v>
          </cell>
          <cell r="K2959">
            <v>0</v>
          </cell>
          <cell r="L2959">
            <v>6</v>
          </cell>
        </row>
        <row r="2960">
          <cell r="A2960" t="str">
            <v>20497.10614</v>
          </cell>
          <cell r="B2960" t="str">
            <v>COUVERCLE DE CORPS</v>
          </cell>
          <cell r="C2960" t="str">
            <v>SULZER TYPE APP 53-100 SERIE 100038225/100038259/100038260/100038261 REP161,21</v>
          </cell>
          <cell r="D2960" t="str">
            <v>PE</v>
          </cell>
          <cell r="E2960" t="str">
            <v>515.51505</v>
          </cell>
          <cell r="F2960">
            <v>126860.48880000001</v>
          </cell>
          <cell r="G2960">
            <v>0</v>
          </cell>
          <cell r="H2960">
            <v>0</v>
          </cell>
          <cell r="I2960">
            <v>0</v>
          </cell>
          <cell r="J2960">
            <v>0</v>
          </cell>
          <cell r="K2960">
            <v>0</v>
          </cell>
          <cell r="L2960">
            <v>2</v>
          </cell>
        </row>
        <row r="2961">
          <cell r="A2961" t="str">
            <v>20497.10615</v>
          </cell>
          <cell r="B2961" t="str">
            <v>ARBRE</v>
          </cell>
          <cell r="C2961" t="str">
            <v>SULZER TYPE APP 53-100 SERIE 100038225/100038259/100038260/100038261 REP210,31</v>
          </cell>
          <cell r="D2961" t="str">
            <v>PE</v>
          </cell>
          <cell r="E2961" t="str">
            <v>515.51505</v>
          </cell>
          <cell r="F2961">
            <v>25780</v>
          </cell>
          <cell r="G2961">
            <v>0</v>
          </cell>
          <cell r="H2961">
            <v>0</v>
          </cell>
          <cell r="I2961">
            <v>1</v>
          </cell>
          <cell r="J2961">
            <v>1</v>
          </cell>
          <cell r="K2961">
            <v>0</v>
          </cell>
          <cell r="L2961">
            <v>1</v>
          </cell>
        </row>
        <row r="2962">
          <cell r="A2962" t="str">
            <v>20497.10616</v>
          </cell>
          <cell r="B2962" t="str">
            <v>ROUE</v>
          </cell>
          <cell r="C2962" t="str">
            <v>SULZER TYPE APP 53-100 SERIE 100038225/100038259/100038260/100038261 REP230,11</v>
          </cell>
          <cell r="D2962" t="str">
            <v>PE</v>
          </cell>
          <cell r="E2962" t="str">
            <v>515.51505</v>
          </cell>
          <cell r="F2962">
            <v>99009.596099999995</v>
          </cell>
          <cell r="G2962">
            <v>0</v>
          </cell>
          <cell r="H2962">
            <v>0</v>
          </cell>
          <cell r="I2962">
            <v>0</v>
          </cell>
          <cell r="J2962">
            <v>0</v>
          </cell>
          <cell r="K2962">
            <v>0</v>
          </cell>
          <cell r="L2962">
            <v>2</v>
          </cell>
        </row>
        <row r="2963">
          <cell r="A2963" t="str">
            <v>20497.10617</v>
          </cell>
          <cell r="B2963" t="str">
            <v>LANTERNE</v>
          </cell>
          <cell r="C2963" t="str">
            <v>SULZER TYPE APP 53-100 SERIE 100038225/100038259/100038260/100038261 REP344</v>
          </cell>
          <cell r="D2963" t="str">
            <v>PE</v>
          </cell>
          <cell r="E2963" t="str">
            <v>515.51505</v>
          </cell>
          <cell r="F2963">
            <v>27164.8001</v>
          </cell>
          <cell r="G2963">
            <v>0</v>
          </cell>
          <cell r="H2963">
            <v>0</v>
          </cell>
          <cell r="I2963">
            <v>0</v>
          </cell>
          <cell r="J2963">
            <v>0</v>
          </cell>
          <cell r="K2963">
            <v>0</v>
          </cell>
          <cell r="L2963">
            <v>5</v>
          </cell>
        </row>
        <row r="2964">
          <cell r="A2964" t="str">
            <v>20497.10618</v>
          </cell>
          <cell r="B2964" t="str">
            <v>JEU DE JOINTS</v>
          </cell>
          <cell r="C2964" t="str">
            <v>SULZER TYPE APP 53-100 SERIE 100038225/100038259/100038260/100038261 REP400,1/410,2/412,1/412,2/412,3/412,4/412,5</v>
          </cell>
          <cell r="D2964" t="str">
            <v>PE</v>
          </cell>
          <cell r="E2964" t="str">
            <v>515.51505</v>
          </cell>
          <cell r="F2964">
            <v>3827.09</v>
          </cell>
          <cell r="G2964">
            <v>0</v>
          </cell>
          <cell r="H2964">
            <v>0</v>
          </cell>
          <cell r="I2964">
            <v>1</v>
          </cell>
          <cell r="J2964">
            <v>1</v>
          </cell>
          <cell r="K2964">
            <v>0</v>
          </cell>
          <cell r="L2964">
            <v>5</v>
          </cell>
        </row>
        <row r="2965">
          <cell r="A2965" t="str">
            <v>20497.10619</v>
          </cell>
          <cell r="B2965" t="str">
            <v>BAGUE LABYRINTHE</v>
          </cell>
          <cell r="C2965" t="str">
            <v>SULZER TYPE APP 53-100 SERIE 100038225/100038259/100038260/100038261 REP423,31</v>
          </cell>
          <cell r="D2965" t="str">
            <v>PE</v>
          </cell>
          <cell r="E2965" t="str">
            <v>515.51505</v>
          </cell>
          <cell r="F2965">
            <v>1979.4577999999999</v>
          </cell>
          <cell r="G2965">
            <v>0</v>
          </cell>
          <cell r="H2965">
            <v>0</v>
          </cell>
          <cell r="I2965">
            <v>0</v>
          </cell>
          <cell r="J2965">
            <v>0</v>
          </cell>
          <cell r="K2965">
            <v>0</v>
          </cell>
          <cell r="L2965">
            <v>4</v>
          </cell>
        </row>
        <row r="2966">
          <cell r="A2966" t="str">
            <v>20497.10620</v>
          </cell>
          <cell r="B2966" t="str">
            <v>BAGUE LABYRINTHE</v>
          </cell>
          <cell r="C2966" t="str">
            <v>SULZER TYPE APP 53-100 SERIE 100038225/100038259/100038260/100038261 REP423,32</v>
          </cell>
          <cell r="D2966" t="str">
            <v>PE</v>
          </cell>
          <cell r="E2966" t="str">
            <v>515.51505</v>
          </cell>
          <cell r="F2966">
            <v>1979.4577999999999</v>
          </cell>
          <cell r="G2966">
            <v>0</v>
          </cell>
          <cell r="H2966">
            <v>0</v>
          </cell>
          <cell r="I2966">
            <v>0</v>
          </cell>
          <cell r="J2966">
            <v>0</v>
          </cell>
          <cell r="K2966">
            <v>0</v>
          </cell>
          <cell r="L2966">
            <v>4</v>
          </cell>
        </row>
        <row r="2967">
          <cell r="A2967" t="str">
            <v>20497.10621</v>
          </cell>
          <cell r="B2967" t="str">
            <v>DEFLECTEUR</v>
          </cell>
          <cell r="C2967" t="str">
            <v>SULZER TYPE APP 53-100 SERIE 100038225/100038259/100038260/100038261 REP507</v>
          </cell>
          <cell r="D2967" t="str">
            <v>PE</v>
          </cell>
          <cell r="E2967" t="str">
            <v>515.51505</v>
          </cell>
          <cell r="F2967">
            <v>1239.7503999999999</v>
          </cell>
          <cell r="G2967">
            <v>0</v>
          </cell>
          <cell r="H2967">
            <v>0</v>
          </cell>
          <cell r="I2967">
            <v>0</v>
          </cell>
          <cell r="J2967">
            <v>0</v>
          </cell>
          <cell r="K2967">
            <v>0</v>
          </cell>
          <cell r="L2967">
            <v>5</v>
          </cell>
        </row>
        <row r="2968">
          <cell r="A2968" t="str">
            <v>20497.10622</v>
          </cell>
          <cell r="B2968" t="str">
            <v>ECROU DE ROULEMENT</v>
          </cell>
          <cell r="C2968" t="str">
            <v>SULZER TYPE APP 53-100 SERIE 100038225/100038259/100038260/100038261 REP923,31</v>
          </cell>
          <cell r="D2968" t="str">
            <v>PE</v>
          </cell>
          <cell r="E2968" t="str">
            <v>515.51505</v>
          </cell>
          <cell r="F2968">
            <v>545.02</v>
          </cell>
          <cell r="G2968">
            <v>0</v>
          </cell>
          <cell r="H2968">
            <v>0</v>
          </cell>
          <cell r="I2968">
            <v>0</v>
          </cell>
          <cell r="J2968">
            <v>0</v>
          </cell>
          <cell r="K2968">
            <v>0</v>
          </cell>
          <cell r="L2968">
            <v>5</v>
          </cell>
        </row>
        <row r="2969">
          <cell r="A2969" t="str">
            <v>20497.10634</v>
          </cell>
          <cell r="B2969" t="str">
            <v>RONDELLE DE SECURITE</v>
          </cell>
          <cell r="C2969" t="str">
            <v>SULZER TYPE A 22-80 SERIE 100038226/100038227/100038228/100038246/100038247/100038248 REP931,31</v>
          </cell>
          <cell r="D2969" t="str">
            <v>PE</v>
          </cell>
          <cell r="E2969" t="str">
            <v>515.51505</v>
          </cell>
          <cell r="F2969">
            <v>113.0111</v>
          </cell>
          <cell r="G2969">
            <v>0</v>
          </cell>
          <cell r="H2969">
            <v>0</v>
          </cell>
          <cell r="I2969">
            <v>0</v>
          </cell>
          <cell r="J2969">
            <v>0</v>
          </cell>
          <cell r="K2969">
            <v>0</v>
          </cell>
          <cell r="L2969">
            <v>6</v>
          </cell>
        </row>
        <row r="2970">
          <cell r="A2970" t="str">
            <v>20497.10635</v>
          </cell>
          <cell r="B2970" t="str">
            <v>COUVERCLE DE PALIER</v>
          </cell>
          <cell r="C2970" t="str">
            <v>SULZER TYPE A 22-80 SERIE 100038226/100038227/100038228/100038246/100038247/100038248 REP360,31</v>
          </cell>
          <cell r="D2970" t="str">
            <v>PE</v>
          </cell>
          <cell r="E2970" t="str">
            <v>515.51505</v>
          </cell>
          <cell r="F2970">
            <v>4295.1701999999996</v>
          </cell>
          <cell r="G2970">
            <v>0</v>
          </cell>
          <cell r="H2970">
            <v>0</v>
          </cell>
          <cell r="I2970">
            <v>0</v>
          </cell>
          <cell r="J2970">
            <v>0</v>
          </cell>
          <cell r="K2970">
            <v>0</v>
          </cell>
          <cell r="L2970">
            <v>5</v>
          </cell>
        </row>
        <row r="2971">
          <cell r="A2971" t="str">
            <v>20497.10636</v>
          </cell>
          <cell r="B2971" t="str">
            <v>CLAVETTE</v>
          </cell>
          <cell r="C2971" t="str">
            <v>SULZER TYPE A 22-80 SERIE 100038226/100038227/100038228/100038246/100038247/100038248 REP940,31</v>
          </cell>
          <cell r="D2971" t="str">
            <v>PE</v>
          </cell>
          <cell r="E2971" t="str">
            <v>515.51505</v>
          </cell>
          <cell r="F2971">
            <v>103.2914</v>
          </cell>
          <cell r="G2971">
            <v>0</v>
          </cell>
          <cell r="H2971">
            <v>0</v>
          </cell>
          <cell r="I2971">
            <v>0</v>
          </cell>
          <cell r="J2971">
            <v>0</v>
          </cell>
          <cell r="K2971">
            <v>0</v>
          </cell>
          <cell r="L2971">
            <v>7</v>
          </cell>
        </row>
        <row r="2972">
          <cell r="A2972" t="str">
            <v>20497.10637</v>
          </cell>
          <cell r="B2972" t="str">
            <v>JEU DE VISSERIE VIS DE ROUEVIS DE REGLAGE</v>
          </cell>
          <cell r="C2972" t="str">
            <v>SULZER TYPE A 22-80 SERIE 100038226/100038227/100038228/100038246/100038247/100038248 REPSANS</v>
          </cell>
          <cell r="D2972" t="str">
            <v>PE</v>
          </cell>
          <cell r="E2972" t="str">
            <v>515.51505</v>
          </cell>
          <cell r="F2972">
            <v>10140.479600000001</v>
          </cell>
          <cell r="G2972">
            <v>0</v>
          </cell>
          <cell r="H2972">
            <v>0</v>
          </cell>
          <cell r="I2972">
            <v>0</v>
          </cell>
          <cell r="J2972">
            <v>0</v>
          </cell>
          <cell r="K2972">
            <v>0</v>
          </cell>
          <cell r="L2972">
            <v>2</v>
          </cell>
        </row>
        <row r="2973">
          <cell r="A2973" t="str">
            <v>20497.10638</v>
          </cell>
          <cell r="B2973" t="str">
            <v>VOYANT D'HUILE</v>
          </cell>
          <cell r="C2973" t="str">
            <v>SULZER TYPE A 22-80 SERIE 100038226/100038227/100038228/100038246/100038247/100038248 REP642,31</v>
          </cell>
          <cell r="D2973" t="str">
            <v>PE</v>
          </cell>
          <cell r="E2973" t="str">
            <v>515.51505</v>
          </cell>
          <cell r="F2973">
            <v>142.57320000000001</v>
          </cell>
          <cell r="G2973">
            <v>0</v>
          </cell>
          <cell r="H2973">
            <v>0</v>
          </cell>
          <cell r="I2973">
            <v>0</v>
          </cell>
          <cell r="J2973">
            <v>0</v>
          </cell>
          <cell r="K2973">
            <v>0</v>
          </cell>
          <cell r="L2973">
            <v>4</v>
          </cell>
        </row>
        <row r="2974">
          <cell r="A2974" t="str">
            <v>20497.10639</v>
          </cell>
          <cell r="B2974" t="str">
            <v>JEU DE JOINTS</v>
          </cell>
          <cell r="C2974" t="str">
            <v>SULZER TYPE A 22-65 SERIE 100038257/100038258 REP400,21/410,21/412,11/412,12/412,14/412,17/412,21/412,31</v>
          </cell>
          <cell r="D2974" t="str">
            <v>PE</v>
          </cell>
          <cell r="E2974" t="str">
            <v>515.51505</v>
          </cell>
          <cell r="F2974">
            <v>3517.7772</v>
          </cell>
          <cell r="G2974">
            <v>0</v>
          </cell>
          <cell r="H2974">
            <v>0</v>
          </cell>
          <cell r="I2974">
            <v>0</v>
          </cell>
          <cell r="J2974">
            <v>0</v>
          </cell>
          <cell r="K2974">
            <v>0</v>
          </cell>
          <cell r="L2974">
            <v>4</v>
          </cell>
        </row>
        <row r="2975">
          <cell r="A2975" t="str">
            <v>20497.10647</v>
          </cell>
          <cell r="B2975" t="str">
            <v>CLAVETTE</v>
          </cell>
          <cell r="C2975" t="str">
            <v>SULZER TYPE A 22-65 SERIE 100038257/100038258 REP940,31</v>
          </cell>
          <cell r="D2975" t="str">
            <v>PE</v>
          </cell>
          <cell r="E2975" t="str">
            <v>515.51505</v>
          </cell>
          <cell r="F2975">
            <v>105.51560000000001</v>
          </cell>
          <cell r="G2975">
            <v>0</v>
          </cell>
          <cell r="H2975">
            <v>0</v>
          </cell>
          <cell r="I2975">
            <v>0</v>
          </cell>
          <cell r="J2975">
            <v>0</v>
          </cell>
          <cell r="K2975">
            <v>0</v>
          </cell>
          <cell r="L2975">
            <v>3</v>
          </cell>
        </row>
        <row r="2976">
          <cell r="A2976" t="str">
            <v>20497.10648</v>
          </cell>
          <cell r="B2976" t="str">
            <v>JEU DE VISSERIE VIS DE ROUEVIS DE REGLAGE</v>
          </cell>
          <cell r="C2976" t="str">
            <v>SULZER TYPE A 22-65 SERIE 100038257/100038258 REPSANS</v>
          </cell>
          <cell r="D2976" t="str">
            <v>PE</v>
          </cell>
          <cell r="E2976" t="str">
            <v>515.51505</v>
          </cell>
          <cell r="F2976">
            <v>10057.4319</v>
          </cell>
          <cell r="G2976">
            <v>0</v>
          </cell>
          <cell r="H2976">
            <v>0</v>
          </cell>
          <cell r="I2976">
            <v>0</v>
          </cell>
          <cell r="J2976">
            <v>0</v>
          </cell>
          <cell r="K2976">
            <v>0</v>
          </cell>
          <cell r="L2976">
            <v>3</v>
          </cell>
        </row>
        <row r="2977">
          <cell r="A2977" t="str">
            <v>20497.10649</v>
          </cell>
          <cell r="B2977" t="str">
            <v>VOYANT D'HUILE</v>
          </cell>
          <cell r="C2977" t="str">
            <v>SULZER TYPE A 22-65 SERIE 100038257/100038258 REP642,31</v>
          </cell>
          <cell r="D2977" t="str">
            <v>PE</v>
          </cell>
          <cell r="E2977" t="str">
            <v>515.51505</v>
          </cell>
          <cell r="F2977">
            <v>141.39400000000001</v>
          </cell>
          <cell r="G2977">
            <v>0</v>
          </cell>
          <cell r="H2977">
            <v>0</v>
          </cell>
          <cell r="I2977">
            <v>0</v>
          </cell>
          <cell r="J2977">
            <v>0</v>
          </cell>
          <cell r="K2977">
            <v>0</v>
          </cell>
          <cell r="L2977">
            <v>4</v>
          </cell>
        </row>
        <row r="2978">
          <cell r="A2978" t="str">
            <v>20599.00414</v>
          </cell>
          <cell r="B2978" t="str">
            <v>COUR.TRAPEZOIDALE ETROITE</v>
          </cell>
          <cell r="C2978" t="str">
            <v>COURROIE SPB 1700</v>
          </cell>
          <cell r="D2978" t="str">
            <v>PE</v>
          </cell>
          <cell r="E2978" t="str">
            <v>515.51515</v>
          </cell>
          <cell r="F2978">
            <v>57.84</v>
          </cell>
          <cell r="G2978">
            <v>0</v>
          </cell>
          <cell r="H2978">
            <v>0</v>
          </cell>
          <cell r="I2978">
            <v>18</v>
          </cell>
          <cell r="J2978">
            <v>0</v>
          </cell>
          <cell r="K2978">
            <v>0</v>
          </cell>
          <cell r="L2978">
            <v>16</v>
          </cell>
        </row>
        <row r="2979">
          <cell r="A2979" t="str">
            <v>20497.11015</v>
          </cell>
          <cell r="B2979" t="str">
            <v>CALE</v>
          </cell>
          <cell r="C2979" t="str">
            <v>APOLLO PLAN 1275434/01-SZ   TYPE GLKV-100B/5-827/TN  REP 551</v>
          </cell>
          <cell r="D2979" t="str">
            <v>PE</v>
          </cell>
          <cell r="E2979" t="str">
            <v>515.51511</v>
          </cell>
          <cell r="F2979">
            <v>54</v>
          </cell>
          <cell r="G2979">
            <v>0</v>
          </cell>
          <cell r="H2979">
            <v>0</v>
          </cell>
          <cell r="I2979">
            <v>0</v>
          </cell>
          <cell r="J2979">
            <v>0</v>
          </cell>
          <cell r="K2979">
            <v>1</v>
          </cell>
          <cell r="L2979">
            <v>2</v>
          </cell>
        </row>
        <row r="2980">
          <cell r="A2980" t="str">
            <v>20497.11016</v>
          </cell>
          <cell r="B2980" t="str">
            <v>ACCOUPLEMENT COMPLET</v>
          </cell>
          <cell r="C2980" t="str">
            <v>APOLLO PLAN 1275434/01-SZ   TYPE GLKV-100B/5-827/TN  REP 841</v>
          </cell>
          <cell r="D2980" t="str">
            <v>PE</v>
          </cell>
          <cell r="E2980" t="str">
            <v>515.51511</v>
          </cell>
          <cell r="F2980">
            <v>4442.5079999999998</v>
          </cell>
          <cell r="G2980">
            <v>0</v>
          </cell>
          <cell r="H2980">
            <v>0</v>
          </cell>
          <cell r="I2980">
            <v>0</v>
          </cell>
          <cell r="J2980">
            <v>0</v>
          </cell>
          <cell r="K2980">
            <v>0</v>
          </cell>
          <cell r="L2980">
            <v>2</v>
          </cell>
        </row>
        <row r="2981">
          <cell r="A2981" t="str">
            <v>20497.11017</v>
          </cell>
          <cell r="B2981" t="str">
            <v>JEU DE BOULONS</v>
          </cell>
          <cell r="C2981" t="str">
            <v>APOLLO PLAN 1275434/01-SZ   TYPE GLKV-100B/5-827/TN  REP914/932</v>
          </cell>
          <cell r="D2981" t="str">
            <v>PE</v>
          </cell>
          <cell r="E2981" t="str">
            <v>515.51511</v>
          </cell>
          <cell r="F2981">
            <v>23.3203</v>
          </cell>
          <cell r="G2981">
            <v>0</v>
          </cell>
          <cell r="H2981">
            <v>0</v>
          </cell>
          <cell r="I2981">
            <v>0</v>
          </cell>
          <cell r="J2981">
            <v>0</v>
          </cell>
          <cell r="K2981">
            <v>0</v>
          </cell>
          <cell r="L2981">
            <v>10</v>
          </cell>
        </row>
        <row r="2982">
          <cell r="A2982" t="str">
            <v>20497.11018</v>
          </cell>
          <cell r="B2982" t="str">
            <v>ECROU D'UMPULSEUR</v>
          </cell>
          <cell r="C2982" t="str">
            <v>APOLLO PLAN 1275434/01-SZ   TYPE GLKV-100B/5-827/TN REP 922</v>
          </cell>
          <cell r="D2982" t="str">
            <v>PE</v>
          </cell>
          <cell r="E2982" t="str">
            <v>515.51511</v>
          </cell>
          <cell r="F2982">
            <v>1224.3132000000001</v>
          </cell>
          <cell r="G2982">
            <v>0</v>
          </cell>
          <cell r="H2982">
            <v>0</v>
          </cell>
          <cell r="I2982">
            <v>0</v>
          </cell>
          <cell r="J2982">
            <v>0</v>
          </cell>
          <cell r="K2982">
            <v>0</v>
          </cell>
          <cell r="L2982">
            <v>3</v>
          </cell>
        </row>
        <row r="2983">
          <cell r="A2983" t="str">
            <v>20497.11019</v>
          </cell>
          <cell r="B2983" t="str">
            <v>ECROU ET RONDELLE REIN DE ROULEMENT</v>
          </cell>
          <cell r="C2983" t="str">
            <v>APOLLO PLAN 1275434/01-SZ   TYPE GLKV-100B/5-827/TN  REP 924</v>
          </cell>
          <cell r="D2983" t="str">
            <v>PE</v>
          </cell>
          <cell r="E2983" t="str">
            <v>515.51511</v>
          </cell>
          <cell r="F2983">
            <v>851.18920000000003</v>
          </cell>
          <cell r="G2983">
            <v>0</v>
          </cell>
          <cell r="H2983">
            <v>0</v>
          </cell>
          <cell r="I2983">
            <v>0</v>
          </cell>
          <cell r="J2983">
            <v>0</v>
          </cell>
          <cell r="K2983">
            <v>0</v>
          </cell>
          <cell r="L2983">
            <v>3</v>
          </cell>
        </row>
        <row r="2984">
          <cell r="A2984" t="str">
            <v>20497.11013</v>
          </cell>
          <cell r="B2984" t="str">
            <v>GRAISSEUR</v>
          </cell>
          <cell r="C2984" t="str">
            <v>APOLLO PLAN 1275434/01-SZ   TYPE GLKV-100B/5-827/TN  REP 635</v>
          </cell>
          <cell r="D2984" t="str">
            <v>PE</v>
          </cell>
          <cell r="E2984" t="str">
            <v>515.51511</v>
          </cell>
          <cell r="F2984">
            <v>174.90190000000001</v>
          </cell>
          <cell r="G2984">
            <v>0</v>
          </cell>
          <cell r="H2984">
            <v>0</v>
          </cell>
          <cell r="I2984">
            <v>0</v>
          </cell>
          <cell r="J2984">
            <v>0</v>
          </cell>
          <cell r="K2984">
            <v>0</v>
          </cell>
          <cell r="L2984">
            <v>2</v>
          </cell>
        </row>
        <row r="2985">
          <cell r="A2985" t="str">
            <v>20497.11014</v>
          </cell>
          <cell r="B2985" t="str">
            <v>ENTRETOISE</v>
          </cell>
          <cell r="C2985" t="str">
            <v>APOLLO PLAN 1275434/01-SZ  TYPE GLKV-100B/5-827/TN  REP 525</v>
          </cell>
          <cell r="D2985" t="str">
            <v>PE</v>
          </cell>
          <cell r="E2985" t="str">
            <v>515.51511</v>
          </cell>
          <cell r="F2985">
            <v>1305.9340999999999</v>
          </cell>
          <cell r="G2985">
            <v>0</v>
          </cell>
          <cell r="H2985">
            <v>0</v>
          </cell>
          <cell r="I2985">
            <v>0</v>
          </cell>
          <cell r="J2985">
            <v>0</v>
          </cell>
          <cell r="K2985">
            <v>0</v>
          </cell>
          <cell r="L2985">
            <v>1</v>
          </cell>
        </row>
        <row r="2986">
          <cell r="A2986" t="str">
            <v>20497.11024</v>
          </cell>
          <cell r="B2986" t="str">
            <v>COUVERCLE DE ROULEMENT</v>
          </cell>
          <cell r="C2986" t="str">
            <v>APOLLO PLAN 1275434/01-SZ   TYPE GLKV-100B/5-827/TN  REP  360</v>
          </cell>
          <cell r="D2986" t="str">
            <v>PE</v>
          </cell>
          <cell r="E2986" t="str">
            <v>515.51511</v>
          </cell>
          <cell r="F2986">
            <v>2238.7442000000001</v>
          </cell>
          <cell r="G2986">
            <v>0</v>
          </cell>
          <cell r="H2986">
            <v>0</v>
          </cell>
          <cell r="I2986">
            <v>0</v>
          </cell>
          <cell r="J2986">
            <v>0</v>
          </cell>
          <cell r="K2986">
            <v>0</v>
          </cell>
          <cell r="L2986">
            <v>1</v>
          </cell>
        </row>
        <row r="2987">
          <cell r="A2987" t="str">
            <v>20497.11025</v>
          </cell>
          <cell r="B2987" t="str">
            <v>CORPS DE PALIER</v>
          </cell>
          <cell r="C2987" t="str">
            <v>APOLLO PLAN 1275434/01-SZ   TYPE GLKV-100B/5-827/TN  REP  341</v>
          </cell>
          <cell r="D2987" t="str">
            <v>PE</v>
          </cell>
          <cell r="E2987" t="str">
            <v>515.51511</v>
          </cell>
          <cell r="F2987">
            <v>8173.7483000000002</v>
          </cell>
          <cell r="G2987">
            <v>0</v>
          </cell>
          <cell r="H2987">
            <v>0</v>
          </cell>
          <cell r="I2987">
            <v>0</v>
          </cell>
          <cell r="J2987">
            <v>0</v>
          </cell>
          <cell r="K2987">
            <v>0</v>
          </cell>
          <cell r="L2987">
            <v>1</v>
          </cell>
        </row>
        <row r="2988">
          <cell r="A2988" t="str">
            <v>20497.11020</v>
          </cell>
          <cell r="B2988" t="str">
            <v>CORPS D'ETAGE</v>
          </cell>
          <cell r="C2988" t="str">
            <v>APOLLO PLAN 1275434/01-SZ   TYPE GLKV-100B/5-827/TN  REP 108</v>
          </cell>
          <cell r="D2988" t="str">
            <v>PE</v>
          </cell>
          <cell r="E2988" t="str">
            <v>515.51511</v>
          </cell>
          <cell r="F2988">
            <v>20323.5995</v>
          </cell>
          <cell r="G2988">
            <v>0</v>
          </cell>
          <cell r="H2988">
            <v>0</v>
          </cell>
          <cell r="I2988">
            <v>0</v>
          </cell>
          <cell r="J2988">
            <v>0</v>
          </cell>
          <cell r="K2988">
            <v>0</v>
          </cell>
          <cell r="L2988">
            <v>4</v>
          </cell>
        </row>
        <row r="2989">
          <cell r="A2989" t="str">
            <v>20497.11021</v>
          </cell>
          <cell r="B2989" t="str">
            <v>CORPS D'ASPIRATION</v>
          </cell>
          <cell r="C2989" t="str">
            <v>APOLLO PLAN 1275434/01-SZ   TYPE GLKV-100B/5-827/TN  REP 106</v>
          </cell>
          <cell r="D2989" t="str">
            <v>PE</v>
          </cell>
          <cell r="E2989" t="str">
            <v>515.51511</v>
          </cell>
          <cell r="F2989">
            <v>35155.279799999997</v>
          </cell>
          <cell r="G2989">
            <v>0</v>
          </cell>
          <cell r="H2989">
            <v>0</v>
          </cell>
          <cell r="I2989">
            <v>0</v>
          </cell>
          <cell r="J2989">
            <v>0</v>
          </cell>
          <cell r="K2989">
            <v>0</v>
          </cell>
          <cell r="L2989">
            <v>1</v>
          </cell>
        </row>
        <row r="2990">
          <cell r="A2990" t="str">
            <v>20497.11022</v>
          </cell>
          <cell r="B2990" t="str">
            <v>JEU DE CLAVETTES</v>
          </cell>
          <cell r="C2990" t="str">
            <v>APOLLO PLAN 1275434/01-SZ   TYPE GLKV-100B/5-827/TN  REP 940-1/940-2</v>
          </cell>
          <cell r="D2990" t="str">
            <v>PE</v>
          </cell>
          <cell r="E2990" t="str">
            <v>515.51511</v>
          </cell>
          <cell r="F2990">
            <v>209.88229999999999</v>
          </cell>
          <cell r="G2990">
            <v>0</v>
          </cell>
          <cell r="H2990">
            <v>0</v>
          </cell>
          <cell r="I2990">
            <v>0</v>
          </cell>
          <cell r="J2990">
            <v>0</v>
          </cell>
          <cell r="K2990">
            <v>0</v>
          </cell>
          <cell r="L2990">
            <v>1</v>
          </cell>
        </row>
        <row r="2991">
          <cell r="A2991" t="str">
            <v>20497.11023</v>
          </cell>
          <cell r="B2991" t="str">
            <v>CORPS DE ROULEMENT</v>
          </cell>
          <cell r="C2991" t="str">
            <v>APOLLO PLAN 1275434/01-SZ   TYPE GLKV-100B/5-827/TN  REP 115</v>
          </cell>
          <cell r="D2991" t="str">
            <v>PE</v>
          </cell>
          <cell r="E2991" t="str">
            <v>515.51511</v>
          </cell>
          <cell r="F2991">
            <v>54930.8534</v>
          </cell>
          <cell r="G2991">
            <v>0</v>
          </cell>
          <cell r="H2991">
            <v>0</v>
          </cell>
          <cell r="I2991">
            <v>0</v>
          </cell>
          <cell r="J2991">
            <v>0</v>
          </cell>
          <cell r="K2991">
            <v>0</v>
          </cell>
          <cell r="L2991">
            <v>2</v>
          </cell>
        </row>
        <row r="2992">
          <cell r="A2992" t="str">
            <v>20497.10687</v>
          </cell>
          <cell r="B2992" t="str">
            <v>ETANCHEITE</v>
          </cell>
          <cell r="C2992" t="str">
            <v>SEEPEX TYPE BN 5-6L PLAN N°062-002B1 REP 511</v>
          </cell>
          <cell r="D2992" t="str">
            <v>PE</v>
          </cell>
          <cell r="E2992" t="str">
            <v>515.51503</v>
          </cell>
          <cell r="F2992">
            <v>100.04900000000001</v>
          </cell>
          <cell r="G2992">
            <v>0</v>
          </cell>
          <cell r="H2992">
            <v>0</v>
          </cell>
          <cell r="I2992">
            <v>0</v>
          </cell>
          <cell r="J2992">
            <v>0</v>
          </cell>
          <cell r="K2992">
            <v>0</v>
          </cell>
          <cell r="L2992">
            <v>2</v>
          </cell>
        </row>
        <row r="2993">
          <cell r="A2993" t="str">
            <v>20599.00614</v>
          </cell>
          <cell r="B2993" t="str">
            <v>COURROIE TRAPEZOIDALE</v>
          </cell>
          <cell r="C2993" t="str">
            <v>SPA 1272</v>
          </cell>
          <cell r="D2993" t="str">
            <v>PE</v>
          </cell>
          <cell r="E2993" t="str">
            <v>515.51515</v>
          </cell>
          <cell r="F2993">
            <v>24.19</v>
          </cell>
          <cell r="G2993">
            <v>0</v>
          </cell>
          <cell r="H2993">
            <v>0</v>
          </cell>
          <cell r="I2993">
            <v>0</v>
          </cell>
          <cell r="J2993">
            <v>0</v>
          </cell>
          <cell r="K2993">
            <v>0</v>
          </cell>
          <cell r="L2993">
            <v>4</v>
          </cell>
        </row>
        <row r="2994">
          <cell r="A2994" t="str">
            <v>20497.10688</v>
          </cell>
          <cell r="B2994" t="str">
            <v>BOUCHON DE VIDANGE</v>
          </cell>
          <cell r="C2994" t="str">
            <v>SEEPEX TYPE BN 5-6L PLAN N°062-002B1 REP 516</v>
          </cell>
          <cell r="D2994" t="str">
            <v>PE</v>
          </cell>
          <cell r="E2994" t="str">
            <v>515.51503</v>
          </cell>
          <cell r="F2994">
            <v>67.032799999999995</v>
          </cell>
          <cell r="G2994">
            <v>0</v>
          </cell>
          <cell r="H2994">
            <v>0</v>
          </cell>
          <cell r="I2994">
            <v>0</v>
          </cell>
          <cell r="J2994">
            <v>0</v>
          </cell>
          <cell r="K2994">
            <v>2</v>
          </cell>
          <cell r="L2994">
            <v>0</v>
          </cell>
        </row>
        <row r="2995">
          <cell r="A2995" t="str">
            <v>20497.10689</v>
          </cell>
          <cell r="B2995" t="str">
            <v>JOINT</v>
          </cell>
          <cell r="C2995" t="str">
            <v>SEEPEX TYPE BN 5-6L PLAN N°062-002B1 REP 517</v>
          </cell>
          <cell r="D2995" t="str">
            <v>PE</v>
          </cell>
          <cell r="E2995" t="str">
            <v>515.51503</v>
          </cell>
          <cell r="F2995">
            <v>6.7533000000000003</v>
          </cell>
          <cell r="G2995">
            <v>0</v>
          </cell>
          <cell r="H2995">
            <v>0</v>
          </cell>
          <cell r="I2995">
            <v>0</v>
          </cell>
          <cell r="J2995">
            <v>0</v>
          </cell>
          <cell r="K2995">
            <v>1</v>
          </cell>
          <cell r="L2995">
            <v>0</v>
          </cell>
        </row>
        <row r="2996">
          <cell r="A2996" t="str">
            <v>20599.00435</v>
          </cell>
          <cell r="B2996" t="str">
            <v>COUR.TRAPEZOIDALE ETROITE</v>
          </cell>
          <cell r="C2996" t="str">
            <v>COURROIE SPC 3750</v>
          </cell>
          <cell r="D2996" t="str">
            <v>PE</v>
          </cell>
          <cell r="E2996" t="str">
            <v>515.51515</v>
          </cell>
          <cell r="F2996">
            <v>177.13550000000001</v>
          </cell>
          <cell r="G2996">
            <v>0</v>
          </cell>
          <cell r="H2996">
            <v>0</v>
          </cell>
          <cell r="I2996">
            <v>5</v>
          </cell>
          <cell r="J2996">
            <v>0</v>
          </cell>
          <cell r="K2996">
            <v>0</v>
          </cell>
          <cell r="L2996">
            <v>0</v>
          </cell>
        </row>
        <row r="2997">
          <cell r="A2997" t="str">
            <v>20497.10672</v>
          </cell>
          <cell r="B2997" t="str">
            <v>CHEVILLE</v>
          </cell>
          <cell r="C2997" t="str">
            <v>SEEPEX TYPE BN 5-6L PLAN N°062-002B1 REP 309</v>
          </cell>
          <cell r="D2997" t="str">
            <v>PE</v>
          </cell>
          <cell r="E2997" t="str">
            <v>515.51503</v>
          </cell>
          <cell r="F2997">
            <v>379.18560000000002</v>
          </cell>
          <cell r="G2997">
            <v>0</v>
          </cell>
          <cell r="H2997">
            <v>0</v>
          </cell>
          <cell r="I2997">
            <v>0</v>
          </cell>
          <cell r="J2997">
            <v>0</v>
          </cell>
          <cell r="K2997">
            <v>0</v>
          </cell>
          <cell r="L2997">
            <v>0</v>
          </cell>
        </row>
        <row r="2998">
          <cell r="A2998" t="str">
            <v>20497.10673</v>
          </cell>
          <cell r="B2998" t="str">
            <v>BAGUE DE PROJECTION</v>
          </cell>
          <cell r="C2998" t="str">
            <v>SEEPEX TYPE BN 5-6L PLAN N°062-002B1 REP 310</v>
          </cell>
          <cell r="D2998" t="str">
            <v>PE</v>
          </cell>
          <cell r="E2998" t="str">
            <v>515.51503</v>
          </cell>
          <cell r="F2998">
            <v>552.14530000000002</v>
          </cell>
          <cell r="G2998">
            <v>0</v>
          </cell>
          <cell r="H2998">
            <v>0</v>
          </cell>
          <cell r="I2998">
            <v>0</v>
          </cell>
          <cell r="J2998">
            <v>0</v>
          </cell>
          <cell r="K2998">
            <v>0</v>
          </cell>
          <cell r="L2998">
            <v>0</v>
          </cell>
        </row>
        <row r="2999">
          <cell r="A2999" t="str">
            <v>20497.10674</v>
          </cell>
          <cell r="B2999" t="str">
            <v>BARRE D'ACCOUPLEMENT</v>
          </cell>
          <cell r="C2999" t="str">
            <v>SEEPEX TYPE BN 5-6L PLAN N°062-002B1 REP 400</v>
          </cell>
          <cell r="D2999" t="str">
            <v>PE</v>
          </cell>
          <cell r="E2999" t="str">
            <v>515.51503</v>
          </cell>
          <cell r="F2999">
            <v>3976.9468000000002</v>
          </cell>
          <cell r="G2999">
            <v>0</v>
          </cell>
          <cell r="H2999">
            <v>0</v>
          </cell>
          <cell r="I2999">
            <v>0</v>
          </cell>
          <cell r="J2999">
            <v>0</v>
          </cell>
          <cell r="K2999">
            <v>0</v>
          </cell>
          <cell r="L2999">
            <v>0</v>
          </cell>
        </row>
        <row r="3000">
          <cell r="A3000" t="str">
            <v>20497.10623</v>
          </cell>
          <cell r="B3000" t="str">
            <v>RONDELLE DE SECURITE</v>
          </cell>
          <cell r="C3000" t="str">
            <v>SULZER TYPE APP 53-100 SERIE 100038225/100038259/100038260/100038261 REP931,31</v>
          </cell>
          <cell r="D3000" t="str">
            <v>PE</v>
          </cell>
          <cell r="E3000" t="str">
            <v>515.51505</v>
          </cell>
          <cell r="F3000">
            <v>116.8199</v>
          </cell>
          <cell r="G3000">
            <v>0</v>
          </cell>
          <cell r="H3000">
            <v>0</v>
          </cell>
          <cell r="I3000">
            <v>0</v>
          </cell>
          <cell r="J3000">
            <v>0</v>
          </cell>
          <cell r="K3000">
            <v>0</v>
          </cell>
          <cell r="L3000">
            <v>6</v>
          </cell>
        </row>
        <row r="3001">
          <cell r="A3001" t="str">
            <v>20497.10624</v>
          </cell>
          <cell r="B3001" t="str">
            <v>CLAVETTE</v>
          </cell>
          <cell r="C3001" t="str">
            <v>SULZER TYPE APP 53-100 SERIE 100038225/100038259/100038260/100038261 REP940,31</v>
          </cell>
          <cell r="D3001" t="str">
            <v>PE</v>
          </cell>
          <cell r="E3001" t="str">
            <v>515.51505</v>
          </cell>
          <cell r="F3001">
            <v>113.0432</v>
          </cell>
          <cell r="G3001">
            <v>0</v>
          </cell>
          <cell r="H3001">
            <v>0</v>
          </cell>
          <cell r="I3001">
            <v>0</v>
          </cell>
          <cell r="J3001">
            <v>0</v>
          </cell>
          <cell r="K3001">
            <v>0</v>
          </cell>
          <cell r="L3001">
            <v>6</v>
          </cell>
        </row>
        <row r="3002">
          <cell r="A3002" t="str">
            <v>20497.10625</v>
          </cell>
          <cell r="B3002" t="str">
            <v>JEU DE VISSERIE VIS DE ROUEVIS DE REGLAGE</v>
          </cell>
          <cell r="C3002" t="str">
            <v>SULZER TYPE APP 53-100 SERIE 100038225/100038259/100038260/100038261 REPSANS</v>
          </cell>
          <cell r="D3002" t="str">
            <v>PE</v>
          </cell>
          <cell r="E3002" t="str">
            <v>515.51505</v>
          </cell>
          <cell r="F3002">
            <v>16254.2176</v>
          </cell>
          <cell r="G3002">
            <v>0</v>
          </cell>
          <cell r="H3002">
            <v>0</v>
          </cell>
          <cell r="I3002">
            <v>0</v>
          </cell>
          <cell r="J3002">
            <v>0</v>
          </cell>
          <cell r="K3002">
            <v>0</v>
          </cell>
          <cell r="L3002">
            <v>3</v>
          </cell>
        </row>
        <row r="3003">
          <cell r="A3003" t="str">
            <v>20497.10626</v>
          </cell>
          <cell r="B3003" t="str">
            <v>VOYANT D'HUILE</v>
          </cell>
          <cell r="C3003" t="str">
            <v>SULZER TYPE APP 53-100 SERIE 100038225/100038259/100038260/100038261 REP642,31</v>
          </cell>
          <cell r="D3003" t="str">
            <v>PE</v>
          </cell>
          <cell r="E3003" t="str">
            <v>515.51505</v>
          </cell>
          <cell r="F3003">
            <v>2098.9304999999999</v>
          </cell>
          <cell r="G3003">
            <v>0</v>
          </cell>
          <cell r="H3003">
            <v>0</v>
          </cell>
          <cell r="I3003">
            <v>0</v>
          </cell>
          <cell r="J3003">
            <v>0</v>
          </cell>
          <cell r="K3003">
            <v>0</v>
          </cell>
          <cell r="L3003">
            <v>6</v>
          </cell>
        </row>
        <row r="3004">
          <cell r="A3004" t="str">
            <v>20497.10627</v>
          </cell>
          <cell r="B3004" t="str">
            <v>JEU DE JOINTS</v>
          </cell>
          <cell r="C3004" t="str">
            <v>SULZER TYPE A 22-80 SERIE 100038226/100038227/100038228/100038246/100038247/100038248 REP400,21/410,21/412,11/412,12/412,14/412,21</v>
          </cell>
          <cell r="D3004" t="str">
            <v>PE</v>
          </cell>
          <cell r="E3004" t="str">
            <v>515.51505</v>
          </cell>
          <cell r="F3004">
            <v>3505.6104</v>
          </cell>
          <cell r="G3004">
            <v>0</v>
          </cell>
          <cell r="H3004">
            <v>0</v>
          </cell>
          <cell r="I3004">
            <v>0</v>
          </cell>
          <cell r="J3004">
            <v>0</v>
          </cell>
          <cell r="K3004">
            <v>0</v>
          </cell>
          <cell r="L3004">
            <v>3</v>
          </cell>
        </row>
        <row r="3005">
          <cell r="A3005" t="str">
            <v>20497.10628</v>
          </cell>
          <cell r="B3005" t="str">
            <v>BAGUE D'ETANCHEITE</v>
          </cell>
          <cell r="C3005" t="str">
            <v>SULZER TYPE A 22-80 SERIE 100038226/100038227/100038228/100038246/100038247/100038248 REP411,21</v>
          </cell>
          <cell r="D3005" t="str">
            <v>PE</v>
          </cell>
          <cell r="E3005" t="str">
            <v>515.51505</v>
          </cell>
          <cell r="F3005">
            <v>552.18020000000001</v>
          </cell>
          <cell r="G3005">
            <v>0</v>
          </cell>
          <cell r="H3005">
            <v>0</v>
          </cell>
          <cell r="I3005">
            <v>0</v>
          </cell>
          <cell r="J3005">
            <v>0</v>
          </cell>
          <cell r="K3005">
            <v>0</v>
          </cell>
          <cell r="L3005">
            <v>3</v>
          </cell>
        </row>
        <row r="3006">
          <cell r="A3006" t="str">
            <v>20497.10629</v>
          </cell>
          <cell r="B3006" t="str">
            <v>BAGUE D'ETANCHEITE</v>
          </cell>
          <cell r="C3006" t="str">
            <v>SULZER TYPE A 22-80 SERIE 100038226/100038227/100038228/100038246/100038247/100038248 REP411,31</v>
          </cell>
          <cell r="D3006" t="str">
            <v>PE</v>
          </cell>
          <cell r="E3006" t="str">
            <v>515.51505</v>
          </cell>
          <cell r="F3006">
            <v>67.914000000000001</v>
          </cell>
          <cell r="G3006">
            <v>0</v>
          </cell>
          <cell r="H3006">
            <v>0</v>
          </cell>
          <cell r="I3006">
            <v>0</v>
          </cell>
          <cell r="J3006">
            <v>0</v>
          </cell>
          <cell r="K3006">
            <v>0</v>
          </cell>
          <cell r="L3006">
            <v>5</v>
          </cell>
        </row>
        <row r="3007">
          <cell r="A3007" t="str">
            <v>20497.10630</v>
          </cell>
          <cell r="B3007" t="str">
            <v>BAGUE</v>
          </cell>
          <cell r="C3007" t="str">
            <v>SULZER TYPE A 22-80 SERIE 100038226/100038227/100038228/100038246/100038247/100038248 REP423,31</v>
          </cell>
          <cell r="D3007" t="str">
            <v>PE</v>
          </cell>
          <cell r="E3007" t="str">
            <v>515.51505</v>
          </cell>
          <cell r="F3007">
            <v>3135.1300999999999</v>
          </cell>
          <cell r="G3007">
            <v>0</v>
          </cell>
          <cell r="H3007">
            <v>2</v>
          </cell>
          <cell r="I3007">
            <v>1</v>
          </cell>
          <cell r="J3007">
            <v>0</v>
          </cell>
          <cell r="K3007">
            <v>2</v>
          </cell>
          <cell r="L3007">
            <v>2</v>
          </cell>
        </row>
        <row r="3008">
          <cell r="A3008" t="str">
            <v>20497.10650</v>
          </cell>
          <cell r="B3008" t="str">
            <v>CORPS DE POMPE</v>
          </cell>
          <cell r="C3008" t="str">
            <v>SULZER TYPE A 31-125 SERIE 100038229/1000382230/100038235/100038249 REP102,11</v>
          </cell>
          <cell r="D3008" t="str">
            <v>PE</v>
          </cell>
          <cell r="E3008" t="str">
            <v>515.51505</v>
          </cell>
          <cell r="F3008">
            <v>113406.21090000001</v>
          </cell>
          <cell r="G3008">
            <v>0</v>
          </cell>
          <cell r="H3008">
            <v>0</v>
          </cell>
          <cell r="I3008">
            <v>0</v>
          </cell>
          <cell r="J3008">
            <v>0</v>
          </cell>
          <cell r="K3008">
            <v>0</v>
          </cell>
          <cell r="L3008">
            <v>1</v>
          </cell>
        </row>
        <row r="3009">
          <cell r="A3009" t="str">
            <v>20497.10651</v>
          </cell>
          <cell r="B3009" t="str">
            <v>PLAQUE LATERALE</v>
          </cell>
          <cell r="C3009" t="str">
            <v>SULZER TYPE A 31-125 SERIE 100038229/1000382230/100038235/100038249 REP135,11</v>
          </cell>
          <cell r="D3009" t="str">
            <v>PE</v>
          </cell>
          <cell r="E3009" t="str">
            <v>515.51505</v>
          </cell>
          <cell r="F3009">
            <v>28540.934399999998</v>
          </cell>
          <cell r="G3009">
            <v>0</v>
          </cell>
          <cell r="H3009">
            <v>0</v>
          </cell>
          <cell r="I3009">
            <v>0</v>
          </cell>
          <cell r="J3009">
            <v>0</v>
          </cell>
          <cell r="K3009">
            <v>0</v>
          </cell>
          <cell r="L3009">
            <v>4</v>
          </cell>
        </row>
        <row r="3010">
          <cell r="A3010" t="str">
            <v>20497.10652</v>
          </cell>
          <cell r="B3010" t="str">
            <v>COUVERCLE DE CORPS</v>
          </cell>
          <cell r="C3010" t="str">
            <v>SULZER TYPE A 31-125 SERIE 100038229/1000382230/100038235/100038249 REP161,21</v>
          </cell>
          <cell r="D3010" t="str">
            <v>PE</v>
          </cell>
          <cell r="E3010" t="str">
            <v>515.51505</v>
          </cell>
          <cell r="F3010">
            <v>52285.786699999997</v>
          </cell>
          <cell r="G3010">
            <v>0</v>
          </cell>
          <cell r="H3010">
            <v>0</v>
          </cell>
          <cell r="I3010">
            <v>0</v>
          </cell>
          <cell r="J3010">
            <v>0</v>
          </cell>
          <cell r="K3010">
            <v>0</v>
          </cell>
          <cell r="L3010">
            <v>2</v>
          </cell>
        </row>
        <row r="3011">
          <cell r="A3011" t="str">
            <v>20497.10653</v>
          </cell>
          <cell r="B3011" t="str">
            <v>ARBRE</v>
          </cell>
          <cell r="C3011" t="str">
            <v>SULZER TYPE A 31-125 SERIE 100038229/1000382230/100038235/100038249 REP210,31</v>
          </cell>
          <cell r="D3011" t="str">
            <v>PE</v>
          </cell>
          <cell r="E3011" t="str">
            <v>515.51505</v>
          </cell>
          <cell r="F3011">
            <v>13290.628500000001</v>
          </cell>
          <cell r="G3011">
            <v>0</v>
          </cell>
          <cell r="H3011">
            <v>0</v>
          </cell>
          <cell r="I3011">
            <v>0</v>
          </cell>
          <cell r="J3011">
            <v>0</v>
          </cell>
          <cell r="K3011">
            <v>1</v>
          </cell>
          <cell r="L3011">
            <v>1</v>
          </cell>
        </row>
        <row r="3012">
          <cell r="A3012" t="str">
            <v>20497.10654</v>
          </cell>
          <cell r="B3012" t="str">
            <v>JEU DE JOINTS</v>
          </cell>
          <cell r="C3012" t="str">
            <v>SULZER TYPE A 31-125 SERIE 100038229/1000382230/100038235/100038249 REP400,21/410,21/412,11/412,12/412,14/412,21</v>
          </cell>
          <cell r="D3012" t="str">
            <v>PE</v>
          </cell>
          <cell r="E3012" t="str">
            <v>515.51505</v>
          </cell>
          <cell r="F3012">
            <v>3607.0378000000001</v>
          </cell>
          <cell r="G3012">
            <v>0</v>
          </cell>
          <cell r="H3012">
            <v>1</v>
          </cell>
          <cell r="I3012">
            <v>0</v>
          </cell>
          <cell r="J3012">
            <v>0</v>
          </cell>
          <cell r="K3012">
            <v>1</v>
          </cell>
          <cell r="L3012">
            <v>5</v>
          </cell>
        </row>
        <row r="3013">
          <cell r="A3013" t="str">
            <v>20497.10655</v>
          </cell>
          <cell r="B3013" t="str">
            <v>BAGUE D'ETANCHEITE</v>
          </cell>
          <cell r="C3013" t="str">
            <v>SULZER TYPE A 31-125 SERIE 100038229/1000382230/100038235/100038249 REP411,21</v>
          </cell>
          <cell r="D3013" t="str">
            <v>PE</v>
          </cell>
          <cell r="E3013" t="str">
            <v>515.51505</v>
          </cell>
          <cell r="F3013">
            <v>552.18020000000001</v>
          </cell>
          <cell r="G3013">
            <v>0</v>
          </cell>
          <cell r="H3013">
            <v>0</v>
          </cell>
          <cell r="I3013">
            <v>0</v>
          </cell>
          <cell r="J3013">
            <v>0</v>
          </cell>
          <cell r="K3013">
            <v>0</v>
          </cell>
          <cell r="L3013">
            <v>5</v>
          </cell>
        </row>
        <row r="3014">
          <cell r="A3014" t="str">
            <v>20497.10656</v>
          </cell>
          <cell r="B3014" t="str">
            <v>BAGUE D'ETANCHEITE</v>
          </cell>
          <cell r="C3014" t="str">
            <v>SULZER TYPE A 31-125 SERIE 100038229/1000382230/100038235/100038249 REP411,31</v>
          </cell>
          <cell r="D3014" t="str">
            <v>PE</v>
          </cell>
          <cell r="E3014" t="str">
            <v>515.51505</v>
          </cell>
          <cell r="F3014">
            <v>67.914000000000001</v>
          </cell>
          <cell r="G3014">
            <v>0</v>
          </cell>
          <cell r="H3014">
            <v>0</v>
          </cell>
          <cell r="I3014">
            <v>0</v>
          </cell>
          <cell r="J3014">
            <v>0</v>
          </cell>
          <cell r="K3014">
            <v>0</v>
          </cell>
          <cell r="L3014">
            <v>7</v>
          </cell>
        </row>
        <row r="3015">
          <cell r="A3015" t="str">
            <v>20497.10657</v>
          </cell>
          <cell r="B3015" t="str">
            <v>BAGUE LABYRINTHE</v>
          </cell>
          <cell r="C3015" t="str">
            <v>SULZER TYPE A 31-125 SERIE 100038229/1000382230/100038235/100038249 REP423,31</v>
          </cell>
          <cell r="D3015" t="str">
            <v>PE</v>
          </cell>
          <cell r="E3015" t="str">
            <v>515.51505</v>
          </cell>
          <cell r="F3015">
            <v>3783.9454999999998</v>
          </cell>
          <cell r="G3015">
            <v>0</v>
          </cell>
          <cell r="H3015">
            <v>0</v>
          </cell>
          <cell r="I3015">
            <v>0</v>
          </cell>
          <cell r="J3015">
            <v>0</v>
          </cell>
          <cell r="K3015">
            <v>2</v>
          </cell>
          <cell r="L3015">
            <v>5</v>
          </cell>
        </row>
        <row r="3016">
          <cell r="A3016" t="str">
            <v>20497.10658</v>
          </cell>
          <cell r="B3016" t="str">
            <v>BAGUE LABYRINTHE</v>
          </cell>
          <cell r="C3016" t="str">
            <v>SULZER TYPE A 31-125 SERIE 100038229/1000382230/100038235/100038249 REP423,32</v>
          </cell>
          <cell r="D3016" t="str">
            <v>PE</v>
          </cell>
          <cell r="E3016" t="str">
            <v>515.51505</v>
          </cell>
          <cell r="F3016">
            <v>826.88800000000003</v>
          </cell>
          <cell r="G3016">
            <v>0</v>
          </cell>
          <cell r="H3016">
            <v>0</v>
          </cell>
          <cell r="I3016">
            <v>0</v>
          </cell>
          <cell r="J3016">
            <v>0</v>
          </cell>
          <cell r="K3016">
            <v>2</v>
          </cell>
          <cell r="L3016">
            <v>3</v>
          </cell>
        </row>
        <row r="3017">
          <cell r="A3017" t="str">
            <v>20497.10659</v>
          </cell>
          <cell r="B3017" t="str">
            <v>HUILEUR A NIVEAU CONSTANT</v>
          </cell>
          <cell r="C3017" t="str">
            <v>SULZER TYPE A 31-125 SERIE 100038229/1000382230/100038235/100038249 REP638,31</v>
          </cell>
          <cell r="D3017" t="str">
            <v>PE</v>
          </cell>
          <cell r="E3017" t="str">
            <v>515.51505</v>
          </cell>
          <cell r="F3017">
            <v>333.67669999999998</v>
          </cell>
          <cell r="G3017">
            <v>0</v>
          </cell>
          <cell r="H3017">
            <v>0</v>
          </cell>
          <cell r="I3017">
            <v>0</v>
          </cell>
          <cell r="J3017">
            <v>0</v>
          </cell>
          <cell r="K3017">
            <v>0</v>
          </cell>
          <cell r="L3017">
            <v>4</v>
          </cell>
        </row>
        <row r="3018">
          <cell r="A3018" t="str">
            <v>20497.10660</v>
          </cell>
          <cell r="B3018" t="str">
            <v>ECROU DE ROULEMENT</v>
          </cell>
          <cell r="C3018" t="str">
            <v>SULZER TYPE A 31-125 SERIE 100038229/1000382230/100038235/100038249 REP923,31</v>
          </cell>
          <cell r="D3018" t="str">
            <v>PE</v>
          </cell>
          <cell r="E3018" t="str">
            <v>515.51505</v>
          </cell>
          <cell r="F3018">
            <v>203.42</v>
          </cell>
          <cell r="G3018">
            <v>0</v>
          </cell>
          <cell r="H3018">
            <v>0</v>
          </cell>
          <cell r="I3018">
            <v>0</v>
          </cell>
          <cell r="J3018">
            <v>0</v>
          </cell>
          <cell r="K3018">
            <v>1</v>
          </cell>
          <cell r="L3018">
            <v>7</v>
          </cell>
        </row>
        <row r="3019">
          <cell r="A3019" t="str">
            <v>20497.10661</v>
          </cell>
          <cell r="B3019" t="str">
            <v>RONDELLE DE SECURITE</v>
          </cell>
          <cell r="C3019" t="str">
            <v>SULZER TYPE A 31-125 SERIE 100038229/1000382230/100038235/100038249 REP931,31</v>
          </cell>
          <cell r="D3019" t="str">
            <v>PE</v>
          </cell>
          <cell r="E3019" t="str">
            <v>515.51505</v>
          </cell>
          <cell r="F3019">
            <v>113.0111</v>
          </cell>
          <cell r="G3019">
            <v>0</v>
          </cell>
          <cell r="H3019">
            <v>0</v>
          </cell>
          <cell r="I3019">
            <v>0</v>
          </cell>
          <cell r="J3019">
            <v>0</v>
          </cell>
          <cell r="K3019">
            <v>1</v>
          </cell>
          <cell r="L3019">
            <v>6</v>
          </cell>
        </row>
        <row r="3020">
          <cell r="A3020" t="str">
            <v>20497.10662</v>
          </cell>
          <cell r="B3020" t="str">
            <v>COUVERCLE DE PALIER</v>
          </cell>
          <cell r="C3020" t="str">
            <v>SULZER TYPE A 31-125 SERIE 100038229/1000382230/100038235/100038249 REP360,31</v>
          </cell>
          <cell r="D3020" t="str">
            <v>PE</v>
          </cell>
          <cell r="E3020" t="str">
            <v>515.51505</v>
          </cell>
          <cell r="F3020">
            <v>4275.6165000000001</v>
          </cell>
          <cell r="G3020">
            <v>0</v>
          </cell>
          <cell r="H3020">
            <v>0</v>
          </cell>
          <cell r="I3020">
            <v>0</v>
          </cell>
          <cell r="J3020">
            <v>0</v>
          </cell>
          <cell r="K3020">
            <v>0</v>
          </cell>
          <cell r="L3020">
            <v>4</v>
          </cell>
        </row>
        <row r="3021">
          <cell r="A3021" t="str">
            <v>20497.10663</v>
          </cell>
          <cell r="B3021" t="str">
            <v>CLAVETTE</v>
          </cell>
          <cell r="C3021" t="str">
            <v>SULZER TYPE A 31-125 SERIE 100038229/1000382230/100038235/100038249 REP940,31</v>
          </cell>
          <cell r="D3021" t="str">
            <v>PE</v>
          </cell>
          <cell r="E3021" t="str">
            <v>515.51505</v>
          </cell>
          <cell r="F3021">
            <v>113.0111</v>
          </cell>
          <cell r="G3021">
            <v>0</v>
          </cell>
          <cell r="H3021">
            <v>0</v>
          </cell>
          <cell r="I3021">
            <v>0</v>
          </cell>
          <cell r="J3021">
            <v>0</v>
          </cell>
          <cell r="K3021">
            <v>0</v>
          </cell>
          <cell r="L3021">
            <v>8</v>
          </cell>
        </row>
        <row r="3022">
          <cell r="A3022" t="str">
            <v>20497.10664</v>
          </cell>
          <cell r="B3022" t="str">
            <v>JEU DE VISSERIE VIS DE ROUEVIS DE REGLAGE</v>
          </cell>
          <cell r="C3022" t="str">
            <v>SULZER TYPE A 31-125 SERIE 100038229/1000382230/100038235/100038249 REPSANS</v>
          </cell>
          <cell r="D3022" t="str">
            <v>PE</v>
          </cell>
          <cell r="E3022" t="str">
            <v>515.51505</v>
          </cell>
          <cell r="F3022">
            <v>11938.9846</v>
          </cell>
          <cell r="G3022">
            <v>0</v>
          </cell>
          <cell r="H3022">
            <v>0</v>
          </cell>
          <cell r="I3022">
            <v>0</v>
          </cell>
          <cell r="J3022">
            <v>0</v>
          </cell>
          <cell r="K3022">
            <v>0</v>
          </cell>
          <cell r="L3022">
            <v>4</v>
          </cell>
        </row>
        <row r="3023">
          <cell r="A3023" t="str">
            <v>20497.10665</v>
          </cell>
          <cell r="B3023" t="str">
            <v>VOYANT D'HUILE</v>
          </cell>
          <cell r="C3023" t="str">
            <v>SULZER TYPE A 31-125 SERIE 100038229/1000382230/100038235/100038249 REP642,31</v>
          </cell>
          <cell r="D3023" t="str">
            <v>PE</v>
          </cell>
          <cell r="E3023" t="str">
            <v>515.51505</v>
          </cell>
          <cell r="F3023">
            <v>124.03319999999999</v>
          </cell>
          <cell r="G3023">
            <v>0</v>
          </cell>
          <cell r="H3023">
            <v>0</v>
          </cell>
          <cell r="I3023">
            <v>0</v>
          </cell>
          <cell r="J3023">
            <v>0</v>
          </cell>
          <cell r="K3023">
            <v>5</v>
          </cell>
          <cell r="L3023">
            <v>2</v>
          </cell>
        </row>
        <row r="3024">
          <cell r="A3024" t="str">
            <v>20497.10666</v>
          </cell>
          <cell r="B3024" t="str">
            <v>COUVERCLE DE PALIER</v>
          </cell>
          <cell r="C3024" t="str">
            <v>SULZER TYPE A 22-50 SERIE 100038250/100038251/100038252/100038253/100038254 REP360,31</v>
          </cell>
          <cell r="D3024" t="str">
            <v>PE</v>
          </cell>
          <cell r="E3024" t="str">
            <v>515.51505</v>
          </cell>
          <cell r="F3024">
            <v>4275.6165000000001</v>
          </cell>
          <cell r="G3024">
            <v>0</v>
          </cell>
          <cell r="H3024">
            <v>0</v>
          </cell>
          <cell r="I3024">
            <v>0</v>
          </cell>
          <cell r="J3024">
            <v>0</v>
          </cell>
          <cell r="K3024">
            <v>0</v>
          </cell>
          <cell r="L3024">
            <v>3</v>
          </cell>
        </row>
        <row r="3025">
          <cell r="A3025" t="str">
            <v>20497.10667</v>
          </cell>
          <cell r="B3025" t="str">
            <v>ROUE</v>
          </cell>
          <cell r="C3025" t="str">
            <v>SULZER TYPE A 44-200 SERIE 100038215/100038216/100038217 REP230,11</v>
          </cell>
          <cell r="D3025" t="str">
            <v>PE</v>
          </cell>
          <cell r="E3025" t="str">
            <v>515.51505</v>
          </cell>
          <cell r="F3025">
            <v>50388.487500000003</v>
          </cell>
          <cell r="G3025">
            <v>0</v>
          </cell>
          <cell r="H3025">
            <v>3</v>
          </cell>
          <cell r="I3025">
            <v>0</v>
          </cell>
          <cell r="J3025">
            <v>0</v>
          </cell>
          <cell r="K3025">
            <v>2</v>
          </cell>
          <cell r="L3025">
            <v>0</v>
          </cell>
        </row>
        <row r="3026">
          <cell r="A3026" t="str">
            <v>20497.10671</v>
          </cell>
          <cell r="B3026" t="str">
            <v>ARBRE A BROCHE</v>
          </cell>
          <cell r="C3026" t="str">
            <v>SEEPEX TYPE BN 5-6L PLAN N°062-002B1 REP 307</v>
          </cell>
          <cell r="D3026" t="str">
            <v>PE</v>
          </cell>
          <cell r="E3026" t="str">
            <v>515.51503</v>
          </cell>
          <cell r="F3026">
            <v>5665.2732999999998</v>
          </cell>
          <cell r="G3026">
            <v>0</v>
          </cell>
          <cell r="H3026">
            <v>0</v>
          </cell>
          <cell r="I3026">
            <v>0</v>
          </cell>
          <cell r="J3026">
            <v>0</v>
          </cell>
          <cell r="K3026">
            <v>0</v>
          </cell>
          <cell r="L3026">
            <v>0</v>
          </cell>
        </row>
        <row r="3027">
          <cell r="A3027" t="str">
            <v>20599.00440</v>
          </cell>
          <cell r="B3027" t="str">
            <v>COUR.TRAPEZOIDALE ETROITE</v>
          </cell>
          <cell r="C3027" t="str">
            <v>COURROIE SPC 4250</v>
          </cell>
          <cell r="D3027" t="str">
            <v>PE</v>
          </cell>
          <cell r="E3027" t="str">
            <v>515.51515</v>
          </cell>
          <cell r="F3027">
            <v>268.70499999999998</v>
          </cell>
          <cell r="G3027">
            <v>0</v>
          </cell>
          <cell r="H3027">
            <v>0</v>
          </cell>
          <cell r="I3027">
            <v>0</v>
          </cell>
          <cell r="J3027">
            <v>0</v>
          </cell>
          <cell r="K3027">
            <v>0</v>
          </cell>
          <cell r="L3027">
            <v>12</v>
          </cell>
        </row>
        <row r="3028">
          <cell r="A3028" t="str">
            <v>20599.00442</v>
          </cell>
          <cell r="B3028" t="str">
            <v>COUR.TRAPEZOIDALE ETROITE</v>
          </cell>
          <cell r="C3028" t="str">
            <v>COURROIE SPC 4750</v>
          </cell>
          <cell r="D3028" t="str">
            <v>PE</v>
          </cell>
          <cell r="E3028" t="str">
            <v>515.51515</v>
          </cell>
          <cell r="F3028">
            <v>320.85000000000002</v>
          </cell>
          <cell r="G3028">
            <v>0</v>
          </cell>
          <cell r="H3028">
            <v>11</v>
          </cell>
          <cell r="I3028">
            <v>6</v>
          </cell>
          <cell r="J3028">
            <v>0</v>
          </cell>
          <cell r="K3028">
            <v>0</v>
          </cell>
          <cell r="L3028">
            <v>12</v>
          </cell>
        </row>
        <row r="3029">
          <cell r="A3029" t="str">
            <v>20497.04954</v>
          </cell>
          <cell r="B3029" t="str">
            <v>GRAISSEUR</v>
          </cell>
          <cell r="C3029" t="str">
            <v>WARMAN WP4L70-Z</v>
          </cell>
          <cell r="D3029" t="str">
            <v>PE</v>
          </cell>
          <cell r="E3029" t="str">
            <v>515.51517</v>
          </cell>
          <cell r="F3029">
            <v>23.501999999999999</v>
          </cell>
          <cell r="G3029">
            <v>0</v>
          </cell>
          <cell r="H3029">
            <v>0</v>
          </cell>
          <cell r="I3029">
            <v>0</v>
          </cell>
          <cell r="J3029">
            <v>0</v>
          </cell>
          <cell r="K3029">
            <v>1</v>
          </cell>
          <cell r="L3029">
            <v>0</v>
          </cell>
        </row>
        <row r="3030">
          <cell r="A3030" t="str">
            <v>20497.04958</v>
          </cell>
          <cell r="B3030" t="str">
            <v>VOLUTE INTERIEUR</v>
          </cell>
          <cell r="C3030" t="str">
            <v>WARMAN F8110-A05A</v>
          </cell>
          <cell r="D3030" t="str">
            <v>PE</v>
          </cell>
          <cell r="E3030" t="str">
            <v>515.51517</v>
          </cell>
          <cell r="F3030">
            <v>76781.931700000001</v>
          </cell>
          <cell r="G3030">
            <v>0</v>
          </cell>
          <cell r="H3030">
            <v>0</v>
          </cell>
          <cell r="I3030">
            <v>0</v>
          </cell>
          <cell r="J3030">
            <v>0</v>
          </cell>
          <cell r="K3030">
            <v>1</v>
          </cell>
          <cell r="L3030">
            <v>0</v>
          </cell>
        </row>
        <row r="3031">
          <cell r="A3031" t="str">
            <v>20497.04962</v>
          </cell>
          <cell r="B3031" t="str">
            <v>SEGMENT</v>
          </cell>
          <cell r="C3031" t="str">
            <v>WARMAN D108-G01</v>
          </cell>
          <cell r="D3031" t="str">
            <v>PE</v>
          </cell>
          <cell r="E3031" t="str">
            <v>515.51517</v>
          </cell>
          <cell r="F3031">
            <v>129.2611</v>
          </cell>
          <cell r="G3031">
            <v>0</v>
          </cell>
          <cell r="H3031">
            <v>0</v>
          </cell>
          <cell r="I3031">
            <v>0</v>
          </cell>
          <cell r="J3031">
            <v>0</v>
          </cell>
          <cell r="K3031">
            <v>0</v>
          </cell>
          <cell r="L3031">
            <v>8</v>
          </cell>
        </row>
        <row r="3032">
          <cell r="A3032" t="str">
            <v>20497.10806</v>
          </cell>
          <cell r="B3032" t="str">
            <v>ARBRE A BROCHE</v>
          </cell>
          <cell r="C3032" t="str">
            <v>SEEPEX TYPE BN1-12 PLAN N°062-002B1 REP307</v>
          </cell>
          <cell r="D3032" t="str">
            <v>PE</v>
          </cell>
          <cell r="E3032" t="str">
            <v>515.51503</v>
          </cell>
          <cell r="F3032">
            <v>4570.5658000000003</v>
          </cell>
          <cell r="G3032">
            <v>0</v>
          </cell>
          <cell r="H3032">
            <v>0</v>
          </cell>
          <cell r="I3032">
            <v>0</v>
          </cell>
          <cell r="J3032">
            <v>0</v>
          </cell>
          <cell r="K3032">
            <v>0</v>
          </cell>
          <cell r="L3032">
            <v>3</v>
          </cell>
        </row>
        <row r="3033">
          <cell r="A3033" t="str">
            <v>20497.10807</v>
          </cell>
          <cell r="B3033" t="str">
            <v>CHEVILLE POUR ARBRE A BROCHE</v>
          </cell>
          <cell r="C3033" t="str">
            <v>SEEPEX TYPE BN1-12 PLAN N°062-002B1 REP309</v>
          </cell>
          <cell r="D3033" t="str">
            <v>PE</v>
          </cell>
          <cell r="E3033" t="str">
            <v>515.51503</v>
          </cell>
          <cell r="F3033">
            <v>316.96839999999997</v>
          </cell>
          <cell r="G3033">
            <v>0</v>
          </cell>
          <cell r="H3033">
            <v>0</v>
          </cell>
          <cell r="I3033">
            <v>0</v>
          </cell>
          <cell r="J3033">
            <v>0</v>
          </cell>
          <cell r="K3033">
            <v>0</v>
          </cell>
          <cell r="L3033">
            <v>3</v>
          </cell>
        </row>
        <row r="3034">
          <cell r="A3034" t="str">
            <v>20497.10808</v>
          </cell>
          <cell r="B3034" t="str">
            <v>BAGUE DE PROJECTION</v>
          </cell>
          <cell r="C3034" t="str">
            <v>SEEPEX TYPE BN1-12 PLAN N°062-002B1 REP310</v>
          </cell>
          <cell r="D3034" t="str">
            <v>PE</v>
          </cell>
          <cell r="E3034" t="str">
            <v>515.51503</v>
          </cell>
          <cell r="F3034">
            <v>381.14640000000003</v>
          </cell>
          <cell r="G3034">
            <v>0</v>
          </cell>
          <cell r="H3034">
            <v>0</v>
          </cell>
          <cell r="I3034">
            <v>0</v>
          </cell>
          <cell r="J3034">
            <v>0</v>
          </cell>
          <cell r="K3034">
            <v>0</v>
          </cell>
          <cell r="L3034">
            <v>6</v>
          </cell>
        </row>
        <row r="3035">
          <cell r="A3035" t="str">
            <v>20497.10809</v>
          </cell>
          <cell r="B3035" t="str">
            <v>BARRE D'ACCOUPLEMENT</v>
          </cell>
          <cell r="C3035" t="str">
            <v>SEEPEX TYPE BN1-12 PLAN N°062-002B1 REP400</v>
          </cell>
          <cell r="D3035" t="str">
            <v>PE</v>
          </cell>
          <cell r="E3035" t="str">
            <v>515.51503</v>
          </cell>
          <cell r="F3035">
            <v>3160.7982999999999</v>
          </cell>
          <cell r="G3035">
            <v>0</v>
          </cell>
          <cell r="H3035">
            <v>0</v>
          </cell>
          <cell r="I3035">
            <v>0</v>
          </cell>
          <cell r="J3035">
            <v>0</v>
          </cell>
          <cell r="K3035">
            <v>0</v>
          </cell>
          <cell r="L3035">
            <v>3</v>
          </cell>
        </row>
        <row r="3036">
          <cell r="A3036" t="str">
            <v>20497.10810</v>
          </cell>
          <cell r="B3036" t="str">
            <v>DOUILLE D'ARTICULATION</v>
          </cell>
          <cell r="C3036" t="str">
            <v>SEEPEX TYPE BN1-12 PLAN N°062-002B1 REP401</v>
          </cell>
          <cell r="D3036" t="str">
            <v>PE</v>
          </cell>
          <cell r="E3036" t="str">
            <v>515.51503</v>
          </cell>
          <cell r="F3036">
            <v>241.33940000000001</v>
          </cell>
          <cell r="G3036">
            <v>0</v>
          </cell>
          <cell r="H3036">
            <v>0</v>
          </cell>
          <cell r="I3036">
            <v>0</v>
          </cell>
          <cell r="J3036">
            <v>0</v>
          </cell>
          <cell r="K3036">
            <v>0</v>
          </cell>
          <cell r="L3036">
            <v>3</v>
          </cell>
        </row>
        <row r="3037">
          <cell r="A3037" t="str">
            <v>20497.10805</v>
          </cell>
          <cell r="B3037" t="str">
            <v>JEU DE TRESSE</v>
          </cell>
          <cell r="C3037" t="str">
            <v>SEEPEX TYPE BN1-12 PLAN N°062-002B1 REP301</v>
          </cell>
          <cell r="D3037" t="str">
            <v>PE</v>
          </cell>
          <cell r="E3037" t="str">
            <v>515.51503</v>
          </cell>
          <cell r="F3037">
            <v>317.62200000000001</v>
          </cell>
          <cell r="G3037">
            <v>0</v>
          </cell>
          <cell r="H3037">
            <v>0</v>
          </cell>
          <cell r="I3037">
            <v>0</v>
          </cell>
          <cell r="J3037">
            <v>0</v>
          </cell>
          <cell r="K3037">
            <v>0</v>
          </cell>
          <cell r="L3037">
            <v>6</v>
          </cell>
        </row>
        <row r="3038">
          <cell r="A3038" t="str">
            <v>20599.00447</v>
          </cell>
          <cell r="B3038" t="str">
            <v>COUR.TRAPEZOIDALE ETROITE</v>
          </cell>
          <cell r="C3038" t="str">
            <v>COURROIE SPC 6300</v>
          </cell>
          <cell r="D3038" t="str">
            <v>PE</v>
          </cell>
          <cell r="E3038" t="str">
            <v>515.51515</v>
          </cell>
          <cell r="F3038">
            <v>316.48</v>
          </cell>
          <cell r="G3038">
            <v>0</v>
          </cell>
          <cell r="H3038">
            <v>0</v>
          </cell>
          <cell r="I3038">
            <v>0</v>
          </cell>
          <cell r="J3038">
            <v>10</v>
          </cell>
          <cell r="K3038">
            <v>34</v>
          </cell>
          <cell r="L3038">
            <v>40</v>
          </cell>
        </row>
        <row r="3039">
          <cell r="A3039" t="str">
            <v>20599.00580</v>
          </cell>
          <cell r="B3039" t="str">
            <v>COURROIE TRAPEZOIDALE</v>
          </cell>
          <cell r="C3039" t="str">
            <v>COURROIE SPB 2020</v>
          </cell>
          <cell r="D3039" t="str">
            <v>PE</v>
          </cell>
          <cell r="E3039" t="str">
            <v>515.51515</v>
          </cell>
          <cell r="F3039">
            <v>76</v>
          </cell>
          <cell r="G3039">
            <v>0</v>
          </cell>
          <cell r="H3039">
            <v>0</v>
          </cell>
          <cell r="I3039">
            <v>0</v>
          </cell>
          <cell r="J3039">
            <v>0</v>
          </cell>
          <cell r="K3039">
            <v>0</v>
          </cell>
          <cell r="L3039">
            <v>20</v>
          </cell>
        </row>
        <row r="3040">
          <cell r="A3040" t="str">
            <v>20599.00333</v>
          </cell>
          <cell r="B3040" t="str">
            <v>COUR.TRAPEZOIDALE ETROITE SPA 1250</v>
          </cell>
          <cell r="C3040" t="str">
            <v>COURROIE SPA 1250</v>
          </cell>
          <cell r="D3040" t="str">
            <v>PE</v>
          </cell>
          <cell r="E3040" t="str">
            <v>515.51515</v>
          </cell>
          <cell r="F3040">
            <v>140</v>
          </cell>
          <cell r="G3040">
            <v>0</v>
          </cell>
          <cell r="H3040">
            <v>0</v>
          </cell>
          <cell r="I3040">
            <v>0</v>
          </cell>
          <cell r="J3040">
            <v>0</v>
          </cell>
          <cell r="K3040">
            <v>0</v>
          </cell>
          <cell r="L3040">
            <v>8</v>
          </cell>
        </row>
        <row r="3041">
          <cell r="A3041" t="str">
            <v>20599.00340</v>
          </cell>
          <cell r="B3041" t="str">
            <v>COUR.TRAPEZOIDALE ETROITE</v>
          </cell>
          <cell r="C3041" t="str">
            <v>COURROIE SPA 1500</v>
          </cell>
          <cell r="D3041" t="str">
            <v>PE</v>
          </cell>
          <cell r="E3041" t="str">
            <v>515.51515</v>
          </cell>
          <cell r="F3041">
            <v>30.184000000000001</v>
          </cell>
          <cell r="G3041">
            <v>0</v>
          </cell>
          <cell r="H3041">
            <v>0</v>
          </cell>
          <cell r="I3041">
            <v>0</v>
          </cell>
          <cell r="J3041">
            <v>0</v>
          </cell>
          <cell r="K3041">
            <v>6</v>
          </cell>
          <cell r="L3041">
            <v>0</v>
          </cell>
        </row>
        <row r="3042">
          <cell r="A3042" t="str">
            <v>20599.00336</v>
          </cell>
          <cell r="B3042" t="str">
            <v>COUR.TRAPEZOIDALE ETROITE</v>
          </cell>
          <cell r="C3042" t="str">
            <v>COURROIE SPA 1320</v>
          </cell>
          <cell r="D3042" t="str">
            <v>PE</v>
          </cell>
          <cell r="E3042" t="str">
            <v>515.51515</v>
          </cell>
          <cell r="F3042">
            <v>34.695</v>
          </cell>
          <cell r="G3042">
            <v>0</v>
          </cell>
          <cell r="H3042">
            <v>3</v>
          </cell>
          <cell r="I3042">
            <v>0</v>
          </cell>
          <cell r="J3042">
            <v>0</v>
          </cell>
          <cell r="K3042">
            <v>0</v>
          </cell>
          <cell r="L3042">
            <v>5</v>
          </cell>
        </row>
        <row r="3043">
          <cell r="A3043" t="str">
            <v>20599.00337</v>
          </cell>
          <cell r="B3043" t="str">
            <v>COUR.TRAPEZOIDALE ETROITE</v>
          </cell>
          <cell r="C3043" t="str">
            <v>COURROIE SPA 1400</v>
          </cell>
          <cell r="D3043" t="str">
            <v>PE</v>
          </cell>
          <cell r="E3043" t="str">
            <v>515.51515</v>
          </cell>
          <cell r="F3043">
            <v>43</v>
          </cell>
          <cell r="G3043">
            <v>0</v>
          </cell>
          <cell r="H3043">
            <v>0</v>
          </cell>
          <cell r="I3043">
            <v>0</v>
          </cell>
          <cell r="J3043">
            <v>0</v>
          </cell>
          <cell r="K3043">
            <v>0</v>
          </cell>
          <cell r="L3043">
            <v>0</v>
          </cell>
        </row>
        <row r="3044">
          <cell r="A3044" t="str">
            <v>20599.00349</v>
          </cell>
          <cell r="B3044" t="str">
            <v>COUR.TRAPEZOIDALE ETROITE</v>
          </cell>
          <cell r="C3044" t="str">
            <v>COURROIE SPA 1800</v>
          </cell>
          <cell r="D3044" t="str">
            <v>PE</v>
          </cell>
          <cell r="E3044" t="str">
            <v>515.51515</v>
          </cell>
          <cell r="F3044">
            <v>37.65</v>
          </cell>
          <cell r="G3044">
            <v>0</v>
          </cell>
          <cell r="H3044">
            <v>0</v>
          </cell>
          <cell r="I3044">
            <v>0</v>
          </cell>
          <cell r="J3044">
            <v>0</v>
          </cell>
          <cell r="K3044">
            <v>0</v>
          </cell>
          <cell r="L3044">
            <v>3</v>
          </cell>
        </row>
        <row r="3045">
          <cell r="A3045" t="str">
            <v>20599.00385</v>
          </cell>
          <cell r="B3045" t="str">
            <v>COUR TRAPEZOIDALE ETROITE</v>
          </cell>
          <cell r="C3045" t="str">
            <v>COURROIE SPB 1750</v>
          </cell>
          <cell r="D3045" t="str">
            <v>PE</v>
          </cell>
          <cell r="E3045" t="str">
            <v>515.51515</v>
          </cell>
          <cell r="F3045">
            <v>55.29</v>
          </cell>
          <cell r="G3045">
            <v>0</v>
          </cell>
          <cell r="H3045">
            <v>0</v>
          </cell>
          <cell r="I3045">
            <v>0</v>
          </cell>
          <cell r="J3045">
            <v>0</v>
          </cell>
          <cell r="K3045">
            <v>0</v>
          </cell>
          <cell r="L3045">
            <v>1</v>
          </cell>
        </row>
        <row r="3046">
          <cell r="A3046" t="str">
            <v>20599.00390</v>
          </cell>
          <cell r="B3046" t="str">
            <v>COUR.TRAPEZOIDALE ETROITE</v>
          </cell>
          <cell r="C3046" t="str">
            <v>COURROIE SPB 2000</v>
          </cell>
          <cell r="D3046" t="str">
            <v>PE</v>
          </cell>
          <cell r="E3046" t="str">
            <v>515.51515</v>
          </cell>
          <cell r="F3046">
            <v>86.4</v>
          </cell>
          <cell r="G3046">
            <v>0</v>
          </cell>
          <cell r="H3046">
            <v>0</v>
          </cell>
          <cell r="I3046">
            <v>10</v>
          </cell>
          <cell r="J3046">
            <v>0</v>
          </cell>
          <cell r="K3046">
            <v>0</v>
          </cell>
          <cell r="L3046">
            <v>2</v>
          </cell>
        </row>
        <row r="3047">
          <cell r="A3047" t="str">
            <v>20599.00391</v>
          </cell>
          <cell r="B3047" t="str">
            <v>COUR.TRAPEZOIDALE ETROITE</v>
          </cell>
          <cell r="C3047" t="str">
            <v>COURROIE SPB 2060</v>
          </cell>
          <cell r="D3047" t="str">
            <v>PE</v>
          </cell>
          <cell r="E3047" t="str">
            <v>515.51515</v>
          </cell>
          <cell r="F3047">
            <v>70.09</v>
          </cell>
          <cell r="G3047">
            <v>0</v>
          </cell>
          <cell r="H3047">
            <v>5</v>
          </cell>
          <cell r="I3047">
            <v>0</v>
          </cell>
          <cell r="J3047">
            <v>0</v>
          </cell>
          <cell r="K3047">
            <v>0</v>
          </cell>
          <cell r="L3047">
            <v>30</v>
          </cell>
        </row>
        <row r="3048">
          <cell r="A3048" t="str">
            <v>20599.00392</v>
          </cell>
          <cell r="B3048" t="str">
            <v>COUR.TRAPEZOIDALE ETROITE</v>
          </cell>
          <cell r="C3048" t="str">
            <v>COURROIE SPB 2120</v>
          </cell>
          <cell r="D3048" t="str">
            <v>PE</v>
          </cell>
          <cell r="E3048" t="str">
            <v>515.51515</v>
          </cell>
          <cell r="F3048">
            <v>66.94</v>
          </cell>
          <cell r="G3048">
            <v>0</v>
          </cell>
          <cell r="H3048">
            <v>10</v>
          </cell>
          <cell r="I3048">
            <v>50</v>
          </cell>
          <cell r="J3048">
            <v>28</v>
          </cell>
          <cell r="K3048">
            <v>0</v>
          </cell>
          <cell r="L3048">
            <v>20</v>
          </cell>
        </row>
        <row r="3049">
          <cell r="A3049" t="str">
            <v>20599.00395</v>
          </cell>
          <cell r="B3049" t="str">
            <v>COUR.TRAPEZOIDALE ETROITE</v>
          </cell>
          <cell r="C3049" t="str">
            <v>COURROIE SPB 2360</v>
          </cell>
          <cell r="D3049" t="str">
            <v>PE</v>
          </cell>
          <cell r="E3049" t="str">
            <v>515.51515</v>
          </cell>
          <cell r="F3049">
            <v>69.760000000000005</v>
          </cell>
          <cell r="G3049">
            <v>0</v>
          </cell>
          <cell r="H3049">
            <v>10</v>
          </cell>
          <cell r="I3049">
            <v>0</v>
          </cell>
          <cell r="J3049">
            <v>0</v>
          </cell>
          <cell r="K3049">
            <v>0</v>
          </cell>
          <cell r="L3049">
            <v>2</v>
          </cell>
        </row>
        <row r="3050">
          <cell r="A3050" t="str">
            <v>20599.00402</v>
          </cell>
          <cell r="B3050" t="str">
            <v>COUR.TRAPEZOIDALE ETROITE</v>
          </cell>
          <cell r="C3050" t="str">
            <v>COURROIE SPB 3000</v>
          </cell>
          <cell r="D3050" t="str">
            <v>PE</v>
          </cell>
          <cell r="E3050" t="str">
            <v>515.51515</v>
          </cell>
          <cell r="F3050">
            <v>93.72</v>
          </cell>
          <cell r="G3050">
            <v>0</v>
          </cell>
          <cell r="H3050">
            <v>6</v>
          </cell>
          <cell r="I3050">
            <v>0</v>
          </cell>
          <cell r="J3050">
            <v>0</v>
          </cell>
          <cell r="K3050">
            <v>0</v>
          </cell>
          <cell r="L3050">
            <v>0</v>
          </cell>
        </row>
        <row r="3051">
          <cell r="A3051" t="str">
            <v>20599.00433</v>
          </cell>
          <cell r="B3051" t="str">
            <v>COUR.TRAPEZOIDALE ETROITE</v>
          </cell>
          <cell r="C3051" t="str">
            <v>COURROIE SPC 3550</v>
          </cell>
          <cell r="D3051" t="str">
            <v>PE</v>
          </cell>
          <cell r="E3051" t="str">
            <v>515.51515</v>
          </cell>
          <cell r="F3051">
            <v>210</v>
          </cell>
          <cell r="G3051">
            <v>0</v>
          </cell>
          <cell r="H3051">
            <v>0</v>
          </cell>
          <cell r="I3051">
            <v>0</v>
          </cell>
          <cell r="J3051">
            <v>0</v>
          </cell>
          <cell r="K3051">
            <v>0</v>
          </cell>
          <cell r="L3051">
            <v>34</v>
          </cell>
        </row>
        <row r="3052">
          <cell r="A3052" t="str">
            <v>20599.00551</v>
          </cell>
          <cell r="B3052" t="str">
            <v>COURROIE</v>
          </cell>
          <cell r="C3052" t="str">
            <v>COURROIE 8 V 2120</v>
          </cell>
          <cell r="D3052" t="str">
            <v>PE</v>
          </cell>
          <cell r="E3052" t="str">
            <v>515.51515</v>
          </cell>
          <cell r="F3052">
            <v>295.25139999999999</v>
          </cell>
          <cell r="G3052">
            <v>0</v>
          </cell>
          <cell r="H3052">
            <v>0</v>
          </cell>
          <cell r="I3052">
            <v>0</v>
          </cell>
          <cell r="J3052">
            <v>0</v>
          </cell>
          <cell r="K3052">
            <v>0</v>
          </cell>
          <cell r="L3052">
            <v>0</v>
          </cell>
        </row>
        <row r="3053">
          <cell r="A3053" t="str">
            <v>20599.00560</v>
          </cell>
          <cell r="B3053" t="str">
            <v>COURROIE TRAPEZOIDALE</v>
          </cell>
          <cell r="C3053" t="str">
            <v>COURROIE XPB 2120</v>
          </cell>
          <cell r="D3053" t="str">
            <v>PE</v>
          </cell>
          <cell r="E3053" t="str">
            <v>515.51515</v>
          </cell>
          <cell r="F3053">
            <v>147</v>
          </cell>
          <cell r="G3053">
            <v>0</v>
          </cell>
          <cell r="H3053">
            <v>0</v>
          </cell>
          <cell r="I3053">
            <v>0</v>
          </cell>
          <cell r="J3053">
            <v>0</v>
          </cell>
          <cell r="K3053">
            <v>0</v>
          </cell>
          <cell r="L3053">
            <v>20</v>
          </cell>
        </row>
        <row r="3054">
          <cell r="A3054" t="str">
            <v>20599.00093</v>
          </cell>
          <cell r="B3054" t="str">
            <v>COUR.TRAPEZOIDALE CLASSIQ</v>
          </cell>
          <cell r="C3054" t="str">
            <v>COURROIE 13X8 1250 A48</v>
          </cell>
          <cell r="D3054" t="str">
            <v>PE</v>
          </cell>
          <cell r="E3054" t="str">
            <v>515.51515</v>
          </cell>
          <cell r="F3054">
            <v>85</v>
          </cell>
          <cell r="G3054">
            <v>0</v>
          </cell>
          <cell r="H3054">
            <v>0</v>
          </cell>
          <cell r="I3054">
            <v>0</v>
          </cell>
          <cell r="J3054">
            <v>0</v>
          </cell>
          <cell r="K3054">
            <v>0</v>
          </cell>
          <cell r="L3054">
            <v>4</v>
          </cell>
        </row>
        <row r="3055">
          <cell r="A3055" t="str">
            <v>20599.00094</v>
          </cell>
          <cell r="B3055" t="str">
            <v>COUR-TRAPEZOIDALE CLASSIQ A49</v>
          </cell>
          <cell r="C3055" t="str">
            <v>COURROIE 13X8 1280 A49</v>
          </cell>
          <cell r="D3055" t="str">
            <v>PE</v>
          </cell>
          <cell r="E3055" t="str">
            <v>515.51515</v>
          </cell>
          <cell r="F3055">
            <v>26.44</v>
          </cell>
          <cell r="G3055">
            <v>0</v>
          </cell>
          <cell r="H3055">
            <v>0</v>
          </cell>
          <cell r="I3055">
            <v>2</v>
          </cell>
          <cell r="J3055">
            <v>0</v>
          </cell>
          <cell r="K3055">
            <v>4</v>
          </cell>
          <cell r="L3055">
            <v>0</v>
          </cell>
        </row>
        <row r="3056">
          <cell r="A3056" t="str">
            <v>20499.06340</v>
          </cell>
          <cell r="B3056" t="str">
            <v>CHEMISE EN EPDM POUR VANNE 10"</v>
          </cell>
          <cell r="C3056" t="str">
            <v>CLARKSON TYPE KGA REF. 03233.57 POUR VANNE 10"</v>
          </cell>
          <cell r="D3056" t="str">
            <v>PE</v>
          </cell>
          <cell r="E3056" t="str">
            <v>515.51511</v>
          </cell>
          <cell r="F3056">
            <v>12716.9458</v>
          </cell>
          <cell r="G3056">
            <v>0</v>
          </cell>
          <cell r="H3056">
            <v>0</v>
          </cell>
          <cell r="I3056">
            <v>0</v>
          </cell>
          <cell r="J3056">
            <v>0</v>
          </cell>
          <cell r="K3056">
            <v>0</v>
          </cell>
          <cell r="L3056">
            <v>0</v>
          </cell>
        </row>
        <row r="3057">
          <cell r="A3057" t="str">
            <v>20499.06341</v>
          </cell>
          <cell r="B3057" t="str">
            <v>JEU DE JOINT EN EPDM ( 2  PAR VANNE )</v>
          </cell>
          <cell r="C3057" t="str">
            <v>CLARKSON TYPE KGA  JEU DE JOINT POUR VANNE 10"</v>
          </cell>
          <cell r="D3057" t="str">
            <v>PE</v>
          </cell>
          <cell r="E3057" t="str">
            <v>515.51511</v>
          </cell>
          <cell r="F3057">
            <v>3019.3786</v>
          </cell>
          <cell r="G3057">
            <v>0</v>
          </cell>
          <cell r="H3057">
            <v>0</v>
          </cell>
          <cell r="I3057">
            <v>0</v>
          </cell>
          <cell r="J3057">
            <v>0</v>
          </cell>
          <cell r="K3057">
            <v>0</v>
          </cell>
          <cell r="L3057">
            <v>0</v>
          </cell>
        </row>
        <row r="3058">
          <cell r="A3058" t="str">
            <v>20499.06842</v>
          </cell>
          <cell r="B3058" t="str">
            <v>JOINT CORPS SIEGE</v>
          </cell>
          <cell r="C3058" t="str">
            <v>IMTECH-KIEKENS PLAN 2C-20049 REP 20.1</v>
          </cell>
          <cell r="D3058" t="str">
            <v>PE</v>
          </cell>
          <cell r="E3058" t="str">
            <v>512.51202</v>
          </cell>
          <cell r="F3058">
            <v>1919.8765000000001</v>
          </cell>
          <cell r="G3058">
            <v>0</v>
          </cell>
          <cell r="H3058">
            <v>2</v>
          </cell>
          <cell r="I3058">
            <v>0</v>
          </cell>
          <cell r="J3058">
            <v>0</v>
          </cell>
          <cell r="K3058">
            <v>0</v>
          </cell>
          <cell r="L3058">
            <v>4</v>
          </cell>
        </row>
        <row r="3059">
          <cell r="A3059" t="str">
            <v>20499.06843</v>
          </cell>
          <cell r="B3059" t="str">
            <v>BAGUE DE SIEGE</v>
          </cell>
          <cell r="C3059" t="str">
            <v>IMTECH-KIEKENS PLAN 2C-20049 REP 22</v>
          </cell>
          <cell r="D3059" t="str">
            <v>PE</v>
          </cell>
          <cell r="E3059" t="str">
            <v>512.51202</v>
          </cell>
          <cell r="F3059">
            <v>49583.573199999999</v>
          </cell>
          <cell r="G3059">
            <v>0</v>
          </cell>
          <cell r="H3059">
            <v>1</v>
          </cell>
          <cell r="I3059">
            <v>0</v>
          </cell>
          <cell r="J3059">
            <v>0</v>
          </cell>
          <cell r="K3059">
            <v>0</v>
          </cell>
          <cell r="L3059">
            <v>1</v>
          </cell>
        </row>
        <row r="3060">
          <cell r="A3060" t="str">
            <v>20499.06844</v>
          </cell>
          <cell r="B3060" t="str">
            <v>BAGUE D'ARRET</v>
          </cell>
          <cell r="C3060" t="str">
            <v>IMTECH-KIEKENS  PLAN 2C-20049 REP 28</v>
          </cell>
          <cell r="D3060" t="str">
            <v>PE</v>
          </cell>
          <cell r="E3060" t="str">
            <v>512.51202</v>
          </cell>
          <cell r="F3060">
            <v>22126.812900000001</v>
          </cell>
          <cell r="G3060">
            <v>0</v>
          </cell>
          <cell r="H3060">
            <v>1</v>
          </cell>
          <cell r="I3060">
            <v>0</v>
          </cell>
          <cell r="J3060">
            <v>0</v>
          </cell>
          <cell r="K3060">
            <v>0</v>
          </cell>
          <cell r="L3060">
            <v>1</v>
          </cell>
        </row>
        <row r="3061">
          <cell r="A3061" t="str">
            <v>20499.06849</v>
          </cell>
          <cell r="B3061" t="str">
            <v>JEU DE JOINT</v>
          </cell>
          <cell r="C3061" t="str">
            <v>IMTECH-KIEKENS PLAN 2C-20048 REP 8</v>
          </cell>
          <cell r="D3061" t="str">
            <v>PE</v>
          </cell>
          <cell r="E3061" t="str">
            <v>512.51202</v>
          </cell>
          <cell r="F3061">
            <v>1189.6576</v>
          </cell>
          <cell r="G3061">
            <v>0</v>
          </cell>
          <cell r="H3061">
            <v>2</v>
          </cell>
          <cell r="I3061">
            <v>0</v>
          </cell>
          <cell r="J3061">
            <v>0</v>
          </cell>
          <cell r="K3061">
            <v>0</v>
          </cell>
          <cell r="L3061">
            <v>4</v>
          </cell>
        </row>
        <row r="3062">
          <cell r="A3062" t="str">
            <v>20499.06850</v>
          </cell>
          <cell r="B3062" t="str">
            <v>JOINT DE SIEGE</v>
          </cell>
          <cell r="C3062" t="str">
            <v>IMTECH-KIEKENS PLAN 2C-20048 REP 20</v>
          </cell>
          <cell r="D3062" t="str">
            <v>PE</v>
          </cell>
          <cell r="E3062" t="str">
            <v>512.51202</v>
          </cell>
          <cell r="F3062">
            <v>1169.7683999999999</v>
          </cell>
          <cell r="G3062">
            <v>0</v>
          </cell>
          <cell r="H3062">
            <v>4</v>
          </cell>
          <cell r="I3062">
            <v>0</v>
          </cell>
          <cell r="J3062">
            <v>0</v>
          </cell>
          <cell r="K3062">
            <v>0</v>
          </cell>
          <cell r="L3062">
            <v>2</v>
          </cell>
        </row>
        <row r="3063">
          <cell r="A3063" t="str">
            <v>20499.06845</v>
          </cell>
          <cell r="B3063" t="str">
            <v>BOUCHON</v>
          </cell>
          <cell r="C3063" t="str">
            <v>IMTECH-KIEKENS PLAN 2C-20049 REP 29</v>
          </cell>
          <cell r="D3063" t="str">
            <v>PE</v>
          </cell>
          <cell r="E3063" t="str">
            <v>512.51202</v>
          </cell>
          <cell r="F3063">
            <v>128528</v>
          </cell>
          <cell r="G3063">
            <v>0</v>
          </cell>
          <cell r="H3063">
            <v>0</v>
          </cell>
          <cell r="I3063">
            <v>0</v>
          </cell>
          <cell r="J3063">
            <v>0</v>
          </cell>
          <cell r="K3063">
            <v>1</v>
          </cell>
          <cell r="L3063">
            <v>0</v>
          </cell>
        </row>
        <row r="3064">
          <cell r="A3064" t="str">
            <v>20499.06846</v>
          </cell>
          <cell r="B3064" t="str">
            <v>TIGE</v>
          </cell>
          <cell r="C3064" t="str">
            <v>IMTECH-KIEKENS PLAN 2C-20049 REP 30</v>
          </cell>
          <cell r="D3064" t="str">
            <v>PE</v>
          </cell>
          <cell r="E3064" t="str">
            <v>512.51202</v>
          </cell>
          <cell r="F3064">
            <v>11106</v>
          </cell>
          <cell r="G3064">
            <v>0</v>
          </cell>
          <cell r="H3064">
            <v>0</v>
          </cell>
          <cell r="I3064">
            <v>0</v>
          </cell>
          <cell r="J3064">
            <v>0</v>
          </cell>
          <cell r="K3064">
            <v>1</v>
          </cell>
          <cell r="L3064">
            <v>0</v>
          </cell>
        </row>
        <row r="3065">
          <cell r="A3065" t="str">
            <v>20499.06847</v>
          </cell>
          <cell r="B3065" t="str">
            <v>GOUPILLE</v>
          </cell>
          <cell r="C3065" t="str">
            <v>IMTECH-KIEKENS PLAN 2C-20049 REP 31</v>
          </cell>
          <cell r="D3065" t="str">
            <v>PE</v>
          </cell>
          <cell r="E3065" t="str">
            <v>512.51202</v>
          </cell>
          <cell r="F3065">
            <v>193.44280000000001</v>
          </cell>
          <cell r="G3065">
            <v>0</v>
          </cell>
          <cell r="H3065">
            <v>0</v>
          </cell>
          <cell r="I3065">
            <v>0</v>
          </cell>
          <cell r="J3065">
            <v>0</v>
          </cell>
          <cell r="K3065">
            <v>6</v>
          </cell>
          <cell r="L3065">
            <v>0</v>
          </cell>
        </row>
        <row r="3066">
          <cell r="A3066" t="str">
            <v>20499.06848</v>
          </cell>
          <cell r="B3066" t="str">
            <v>JOINT DE CORPS</v>
          </cell>
          <cell r="C3066" t="str">
            <v>IMTECH-KIEKENS PLAN 2C-20048 REP 4</v>
          </cell>
          <cell r="D3066" t="str">
            <v>PE</v>
          </cell>
          <cell r="E3066" t="str">
            <v>512.51202</v>
          </cell>
          <cell r="F3066">
            <v>1091.2126000000001</v>
          </cell>
          <cell r="G3066">
            <v>0</v>
          </cell>
          <cell r="H3066">
            <v>4</v>
          </cell>
          <cell r="I3066">
            <v>0</v>
          </cell>
          <cell r="J3066">
            <v>0</v>
          </cell>
          <cell r="K3066">
            <v>0</v>
          </cell>
          <cell r="L3066">
            <v>2</v>
          </cell>
        </row>
        <row r="3067">
          <cell r="A3067" t="str">
            <v>20499.06930</v>
          </cell>
          <cell r="B3067" t="str">
            <v>SOUPAPE DE SURETE</v>
          </cell>
          <cell r="C3067" t="str">
            <v>SAPAG TYPE 8103T C  WCBA SERIE 340995 8"300RF</v>
          </cell>
          <cell r="D3067" t="str">
            <v>PE</v>
          </cell>
          <cell r="E3067" t="str">
            <v>515.51511</v>
          </cell>
          <cell r="F3067">
            <v>70033.934800000003</v>
          </cell>
          <cell r="G3067">
            <v>0</v>
          </cell>
          <cell r="H3067">
            <v>0</v>
          </cell>
          <cell r="I3067">
            <v>0</v>
          </cell>
          <cell r="J3067">
            <v>0</v>
          </cell>
          <cell r="K3067">
            <v>0</v>
          </cell>
          <cell r="L3067">
            <v>0</v>
          </cell>
        </row>
        <row r="3068">
          <cell r="A3068" t="str">
            <v>20499.06931</v>
          </cell>
          <cell r="B3068" t="str">
            <v>RESSORT</v>
          </cell>
          <cell r="C3068" t="str">
            <v>SAPAG TYPE 8103T C  WCBA SERIE 340995 8"300RFx10"150RF REP27</v>
          </cell>
          <cell r="D3068" t="str">
            <v>PE</v>
          </cell>
          <cell r="E3068" t="str">
            <v>515.51511</v>
          </cell>
          <cell r="F3068">
            <v>17969.544399999999</v>
          </cell>
          <cell r="G3068">
            <v>0</v>
          </cell>
          <cell r="H3068">
            <v>0</v>
          </cell>
          <cell r="I3068">
            <v>0</v>
          </cell>
          <cell r="J3068">
            <v>0</v>
          </cell>
          <cell r="K3068">
            <v>0</v>
          </cell>
          <cell r="L3068">
            <v>1</v>
          </cell>
        </row>
        <row r="3069">
          <cell r="A3069" t="str">
            <v>20499.06935</v>
          </cell>
          <cell r="B3069" t="str">
            <v>SOUPAPE DE SURETE</v>
          </cell>
          <cell r="C3069" t="str">
            <v>SAPAG TYPE 8123V E WC6A SERIE 340999 10"300RFx14"150RF</v>
          </cell>
          <cell r="D3069" t="str">
            <v>PE</v>
          </cell>
          <cell r="E3069" t="str">
            <v>515.51511</v>
          </cell>
          <cell r="F3069">
            <v>150825.95209999999</v>
          </cell>
          <cell r="G3069">
            <v>0</v>
          </cell>
          <cell r="H3069">
            <v>0</v>
          </cell>
          <cell r="I3069">
            <v>0</v>
          </cell>
          <cell r="J3069">
            <v>0</v>
          </cell>
          <cell r="K3069">
            <v>0</v>
          </cell>
          <cell r="L3069">
            <v>0</v>
          </cell>
        </row>
        <row r="3070">
          <cell r="A3070" t="str">
            <v>20499.06936</v>
          </cell>
          <cell r="B3070" t="str">
            <v>SOUPAPE DE SURETE</v>
          </cell>
          <cell r="C3070" t="str">
            <v xml:space="preserve">SAPAG TYPE 8123V E WC6A SERIE 340998 10"300RFx14"150RF </v>
          </cell>
          <cell r="D3070" t="str">
            <v>PE</v>
          </cell>
          <cell r="E3070" t="str">
            <v>515.51511</v>
          </cell>
          <cell r="F3070">
            <v>150825.95209999999</v>
          </cell>
          <cell r="G3070">
            <v>0</v>
          </cell>
          <cell r="H3070">
            <v>0</v>
          </cell>
          <cell r="I3070">
            <v>0</v>
          </cell>
          <cell r="J3070">
            <v>0</v>
          </cell>
          <cell r="K3070">
            <v>0</v>
          </cell>
          <cell r="L3070">
            <v>0</v>
          </cell>
        </row>
        <row r="3071">
          <cell r="A3071" t="str">
            <v>20499.06933</v>
          </cell>
          <cell r="B3071" t="str">
            <v>CLAPET</v>
          </cell>
          <cell r="C3071" t="str">
            <v>SAPAG TYPE 8103T C  WCBA  SERIE 340995 8"300RFx10"150RF REP7</v>
          </cell>
          <cell r="D3071" t="str">
            <v>PE</v>
          </cell>
          <cell r="E3071" t="str">
            <v>515.51511</v>
          </cell>
          <cell r="F3071">
            <v>8606.4660000000003</v>
          </cell>
          <cell r="G3071">
            <v>0</v>
          </cell>
          <cell r="H3071">
            <v>0</v>
          </cell>
          <cell r="I3071">
            <v>0</v>
          </cell>
          <cell r="J3071">
            <v>0</v>
          </cell>
          <cell r="K3071">
            <v>0</v>
          </cell>
          <cell r="L3071">
            <v>1</v>
          </cell>
        </row>
        <row r="3072">
          <cell r="A3072" t="str">
            <v>20499.07082</v>
          </cell>
          <cell r="B3072" t="str">
            <v>CLAPET DE NON RETOUR A CIRCULATION AUTOMATIQUE</v>
          </cell>
          <cell r="C3072" t="str">
            <v>SCHROEDER TYPE SSV 12-  50/40-50/50/25/0-1 PN40 PLAN 100-0398</v>
          </cell>
          <cell r="D3072" t="str">
            <v>PE</v>
          </cell>
          <cell r="E3072" t="str">
            <v>515.51511</v>
          </cell>
          <cell r="F3072">
            <v>63740</v>
          </cell>
          <cell r="G3072">
            <v>0</v>
          </cell>
          <cell r="H3072">
            <v>0</v>
          </cell>
          <cell r="I3072">
            <v>0</v>
          </cell>
          <cell r="J3072">
            <v>0</v>
          </cell>
          <cell r="K3072">
            <v>0</v>
          </cell>
          <cell r="L3072">
            <v>1</v>
          </cell>
        </row>
        <row r="3073">
          <cell r="A3073" t="str">
            <v>20599.00429</v>
          </cell>
          <cell r="B3073" t="str">
            <v>COUR.TRAPEZOIDALE ETROITE</v>
          </cell>
          <cell r="C3073" t="str">
            <v>COURROIE SPC 2820</v>
          </cell>
          <cell r="D3073" t="str">
            <v>PE</v>
          </cell>
          <cell r="E3073" t="str">
            <v>515.51515</v>
          </cell>
          <cell r="F3073">
            <v>131.99</v>
          </cell>
          <cell r="G3073">
            <v>0</v>
          </cell>
          <cell r="H3073">
            <v>0</v>
          </cell>
          <cell r="I3073">
            <v>0</v>
          </cell>
          <cell r="J3073">
            <v>0</v>
          </cell>
          <cell r="K3073">
            <v>0</v>
          </cell>
          <cell r="L3073">
            <v>37</v>
          </cell>
        </row>
        <row r="3074">
          <cell r="A3074" t="str">
            <v>20599.00430</v>
          </cell>
          <cell r="B3074" t="str">
            <v>COUR.TRAPEZOIDALE ETROITE</v>
          </cell>
          <cell r="C3074" t="str">
            <v>COURROIE SPC 3000</v>
          </cell>
          <cell r="D3074" t="str">
            <v>PE</v>
          </cell>
          <cell r="E3074" t="str">
            <v>515.51515</v>
          </cell>
          <cell r="F3074">
            <v>195</v>
          </cell>
          <cell r="G3074">
            <v>0</v>
          </cell>
          <cell r="H3074">
            <v>0</v>
          </cell>
          <cell r="I3074">
            <v>0</v>
          </cell>
          <cell r="J3074">
            <v>0</v>
          </cell>
          <cell r="K3074">
            <v>0</v>
          </cell>
          <cell r="L3074">
            <v>3</v>
          </cell>
        </row>
        <row r="3075">
          <cell r="A3075" t="str">
            <v>20599.00431</v>
          </cell>
          <cell r="B3075" t="str">
            <v>COUR.TRAPEZOIDALE ETROITE</v>
          </cell>
          <cell r="C3075" t="str">
            <v>COURROIE SPC 3150</v>
          </cell>
          <cell r="D3075" t="str">
            <v>PE</v>
          </cell>
          <cell r="E3075" t="str">
            <v>515.51515</v>
          </cell>
          <cell r="F3075">
            <v>158.26</v>
          </cell>
          <cell r="G3075">
            <v>0</v>
          </cell>
          <cell r="H3075">
            <v>19</v>
          </cell>
          <cell r="I3075">
            <v>0</v>
          </cell>
          <cell r="J3075">
            <v>20</v>
          </cell>
          <cell r="K3075">
            <v>36</v>
          </cell>
          <cell r="L3075">
            <v>0</v>
          </cell>
        </row>
        <row r="3076">
          <cell r="A3076" t="str">
            <v>20498.00247</v>
          </cell>
          <cell r="B3076" t="str">
            <v>CONTACT D'ALARME</v>
          </cell>
          <cell r="C3076" t="str">
            <v>MOBREY   60190301   TYPE S1 SERIE 1 155150</v>
          </cell>
          <cell r="D3076" t="str">
            <v>PE</v>
          </cell>
          <cell r="E3076" t="str">
            <v>512.51201</v>
          </cell>
          <cell r="F3076">
            <v>5012</v>
          </cell>
          <cell r="G3076">
            <v>0</v>
          </cell>
          <cell r="H3076">
            <v>3</v>
          </cell>
          <cell r="I3076">
            <v>0</v>
          </cell>
          <cell r="J3076">
            <v>0</v>
          </cell>
          <cell r="K3076">
            <v>0</v>
          </cell>
          <cell r="L3076">
            <v>2</v>
          </cell>
        </row>
        <row r="3077">
          <cell r="A3077" t="str">
            <v>20498.00248</v>
          </cell>
          <cell r="B3077" t="str">
            <v>CONTACT D'ALARME</v>
          </cell>
          <cell r="C3077" t="str">
            <v>MOBREY   60190302   TYPE S3 SERIE 1 155150</v>
          </cell>
          <cell r="D3077" t="str">
            <v>PE</v>
          </cell>
          <cell r="E3077" t="str">
            <v>512.51201</v>
          </cell>
          <cell r="F3077">
            <v>4263</v>
          </cell>
          <cell r="G3077">
            <v>0</v>
          </cell>
          <cell r="H3077">
            <v>2</v>
          </cell>
          <cell r="I3077">
            <v>0</v>
          </cell>
          <cell r="J3077">
            <v>0</v>
          </cell>
          <cell r="K3077">
            <v>2</v>
          </cell>
          <cell r="L3077">
            <v>3</v>
          </cell>
        </row>
        <row r="3078">
          <cell r="A3078" t="str">
            <v>20498.00249</v>
          </cell>
          <cell r="B3078" t="str">
            <v>TRANSMETTEUR DE NIVEAU A TUBE DE TORSION</v>
          </cell>
          <cell r="C3078" t="str">
            <v>MAGNETROL  XE65-BQ4A-ESJ</v>
          </cell>
          <cell r="D3078" t="str">
            <v>PE</v>
          </cell>
          <cell r="E3078" t="str">
            <v>512.51201</v>
          </cell>
          <cell r="F3078">
            <v>82200</v>
          </cell>
          <cell r="G3078">
            <v>0</v>
          </cell>
          <cell r="H3078">
            <v>0</v>
          </cell>
          <cell r="I3078">
            <v>0</v>
          </cell>
          <cell r="J3078">
            <v>0</v>
          </cell>
          <cell r="K3078">
            <v>0</v>
          </cell>
          <cell r="L3078">
            <v>1</v>
          </cell>
        </row>
        <row r="3079">
          <cell r="A3079" t="str">
            <v>20498.00250</v>
          </cell>
          <cell r="B3079" t="str">
            <v>TRANSMETTEUR DE NIVEAU A TUBE DE TORSION</v>
          </cell>
          <cell r="C3079" t="str">
            <v>MAGNETROL  XE65-KQ4A-ESJ</v>
          </cell>
          <cell r="D3079" t="str">
            <v>PE</v>
          </cell>
          <cell r="E3079" t="str">
            <v>512.51201</v>
          </cell>
          <cell r="F3079">
            <v>82200</v>
          </cell>
          <cell r="G3079">
            <v>0</v>
          </cell>
          <cell r="H3079">
            <v>0</v>
          </cell>
          <cell r="I3079">
            <v>0</v>
          </cell>
          <cell r="J3079">
            <v>0</v>
          </cell>
          <cell r="K3079">
            <v>0</v>
          </cell>
          <cell r="L3079">
            <v>1</v>
          </cell>
        </row>
        <row r="3080">
          <cell r="A3080" t="str">
            <v>20525.00166</v>
          </cell>
          <cell r="B3080" t="str">
            <v>ROULEMENT A BILLES A CONTACT OBLIQUE</v>
          </cell>
          <cell r="C3080" t="str">
            <v>FAG 3311-B-TVH-C3</v>
          </cell>
          <cell r="D3080" t="str">
            <v>PE</v>
          </cell>
          <cell r="E3080" t="str">
            <v>515.51515</v>
          </cell>
          <cell r="F3080">
            <v>481.58</v>
          </cell>
          <cell r="G3080">
            <v>0</v>
          </cell>
          <cell r="H3080">
            <v>0</v>
          </cell>
          <cell r="I3080">
            <v>0</v>
          </cell>
          <cell r="J3080">
            <v>0</v>
          </cell>
          <cell r="K3080">
            <v>0</v>
          </cell>
          <cell r="L3080">
            <v>0</v>
          </cell>
        </row>
        <row r="3081">
          <cell r="A3081" t="str">
            <v>20600.02159</v>
          </cell>
          <cell r="B3081" t="str">
            <v>COUR.TRAPEZOIDALE CLASSIQ</v>
          </cell>
          <cell r="C3081" t="str">
            <v>COURROIE 13X8 1250 A48</v>
          </cell>
          <cell r="D3081" t="str">
            <v>PE</v>
          </cell>
          <cell r="E3081" t="str">
            <v>515.51515</v>
          </cell>
          <cell r="F3081">
            <v>26.37</v>
          </cell>
          <cell r="G3081">
            <v>4</v>
          </cell>
          <cell r="H3081">
            <v>0</v>
          </cell>
          <cell r="I3081">
            <v>0</v>
          </cell>
          <cell r="J3081">
            <v>2</v>
          </cell>
          <cell r="K3081">
            <v>0</v>
          </cell>
          <cell r="L3081">
            <v>4</v>
          </cell>
        </row>
        <row r="3082">
          <cell r="A3082" t="str">
            <v>20499.07189</v>
          </cell>
          <cell r="B3082" t="str">
            <v>ROBINET A SOUPAPE</v>
          </cell>
          <cell r="C3082" t="str">
            <v>SACCAP PLAN AR5312W1Q3KE DN3/4" CLASSE 800 RACCORDEMENT SW</v>
          </cell>
          <cell r="D3082" t="str">
            <v>PE</v>
          </cell>
          <cell r="E3082" t="str">
            <v>515.51511</v>
          </cell>
          <cell r="F3082">
            <v>1050</v>
          </cell>
          <cell r="G3082">
            <v>0</v>
          </cell>
          <cell r="H3082">
            <v>5</v>
          </cell>
          <cell r="I3082">
            <v>0</v>
          </cell>
          <cell r="J3082">
            <v>0</v>
          </cell>
          <cell r="K3082">
            <v>0</v>
          </cell>
          <cell r="L3082">
            <v>0</v>
          </cell>
        </row>
        <row r="3083">
          <cell r="A3083" t="str">
            <v>20499.07190</v>
          </cell>
          <cell r="B3083" t="str">
            <v>ROBINET A PASSAGE DIRECT</v>
          </cell>
          <cell r="C3083" t="str">
            <v>SACCAP PLAN AV5111W1A1KE DN3/4" CLASSE 800 RACCORDEMENT SW</v>
          </cell>
          <cell r="D3083" t="str">
            <v>PE</v>
          </cell>
          <cell r="E3083" t="str">
            <v>515.51511</v>
          </cell>
          <cell r="F3083">
            <v>355</v>
          </cell>
          <cell r="G3083">
            <v>0</v>
          </cell>
          <cell r="H3083">
            <v>0</v>
          </cell>
          <cell r="I3083">
            <v>0</v>
          </cell>
          <cell r="J3083">
            <v>0</v>
          </cell>
          <cell r="K3083">
            <v>0</v>
          </cell>
          <cell r="L3083">
            <v>1</v>
          </cell>
        </row>
        <row r="3084">
          <cell r="A3084" t="str">
            <v>20499.07191</v>
          </cell>
          <cell r="B3084" t="str">
            <v>ROBINET A PASSAGE DIRECT</v>
          </cell>
          <cell r="C3084" t="str">
            <v>SACCAP PLAN AV5111W1A1KE DN1"1/2 CLASSE 800 RACCORDEMENT SW</v>
          </cell>
          <cell r="D3084" t="str">
            <v>PE</v>
          </cell>
          <cell r="E3084" t="str">
            <v>515.51511</v>
          </cell>
          <cell r="F3084">
            <v>850</v>
          </cell>
          <cell r="G3084">
            <v>0</v>
          </cell>
          <cell r="H3084">
            <v>0</v>
          </cell>
          <cell r="I3084">
            <v>0</v>
          </cell>
          <cell r="J3084">
            <v>0</v>
          </cell>
          <cell r="K3084">
            <v>0</v>
          </cell>
          <cell r="L3084">
            <v>1</v>
          </cell>
        </row>
        <row r="3085">
          <cell r="A3085" t="str">
            <v>20499.07187</v>
          </cell>
          <cell r="B3085" t="str">
            <v>ROBINET A SOUPAPE</v>
          </cell>
          <cell r="C3085" t="str">
            <v>SACCAP PLAN AR5312W1A1KE DN1"1/2 CLASSE 800 RACCORDEMENT SW</v>
          </cell>
          <cell r="D3085" t="str">
            <v>PE</v>
          </cell>
          <cell r="E3085" t="str">
            <v>515.51511</v>
          </cell>
          <cell r="F3085">
            <v>1004</v>
          </cell>
          <cell r="G3085">
            <v>0</v>
          </cell>
          <cell r="H3085">
            <v>0</v>
          </cell>
          <cell r="I3085">
            <v>0</v>
          </cell>
          <cell r="J3085">
            <v>0</v>
          </cell>
          <cell r="K3085">
            <v>0</v>
          </cell>
          <cell r="L3085">
            <v>1</v>
          </cell>
        </row>
        <row r="3086">
          <cell r="A3086" t="str">
            <v>20499.07188</v>
          </cell>
          <cell r="B3086" t="str">
            <v>ROBINET A SOUPAPE</v>
          </cell>
          <cell r="C3086" t="str">
            <v>SACCAP PLAN AR5312W1Q3KE DN1/2" CLASSE 800 RACCORDEMENT SW</v>
          </cell>
          <cell r="D3086" t="str">
            <v>PE</v>
          </cell>
          <cell r="E3086" t="str">
            <v>515.51511</v>
          </cell>
          <cell r="F3086">
            <v>1260</v>
          </cell>
          <cell r="G3086">
            <v>0</v>
          </cell>
          <cell r="H3086">
            <v>0</v>
          </cell>
          <cell r="I3086">
            <v>0</v>
          </cell>
          <cell r="J3086">
            <v>0</v>
          </cell>
          <cell r="K3086">
            <v>0</v>
          </cell>
          <cell r="L3086">
            <v>0</v>
          </cell>
        </row>
        <row r="3087">
          <cell r="A3087" t="str">
            <v>20499.00666</v>
          </cell>
          <cell r="B3087" t="str">
            <v>BOOSTER</v>
          </cell>
          <cell r="C3087" t="str">
            <v>ARCA REGLER PLAN 2513813-400 REP 3 P/VANNE  6H8-L2-LS2 SERIE 1024666</v>
          </cell>
          <cell r="D3087" t="str">
            <v>PE</v>
          </cell>
          <cell r="E3087" t="str">
            <v>512.51202</v>
          </cell>
          <cell r="F3087">
            <v>31342</v>
          </cell>
          <cell r="G3087">
            <v>0</v>
          </cell>
          <cell r="H3087">
            <v>0</v>
          </cell>
          <cell r="I3087">
            <v>2</v>
          </cell>
          <cell r="J3087">
            <v>0</v>
          </cell>
          <cell r="K3087">
            <v>0</v>
          </cell>
          <cell r="L3087">
            <v>1</v>
          </cell>
        </row>
        <row r="3088">
          <cell r="A3088" t="str">
            <v>20499.00066</v>
          </cell>
          <cell r="B3088" t="str">
            <v>PURGEUR DE CONDENSAT FLOTTEUR INVERSE OUVERT EN ACIER</v>
          </cell>
          <cell r="C3088" t="str">
            <v>ARMSTRONG MODELE 401 SH -5/64" RACCORDEMENT 1/2" SW PRESSION DE SERVICE MAXI 69 BAR DEBIT MAXI 350 KG/H</v>
          </cell>
          <cell r="D3088" t="str">
            <v>PE</v>
          </cell>
          <cell r="E3088" t="str">
            <v>515.51511</v>
          </cell>
          <cell r="F3088">
            <v>10150.41</v>
          </cell>
          <cell r="G3088">
            <v>0</v>
          </cell>
          <cell r="H3088">
            <v>2</v>
          </cell>
          <cell r="I3088">
            <v>9</v>
          </cell>
          <cell r="J3088">
            <v>1</v>
          </cell>
          <cell r="K3088">
            <v>1</v>
          </cell>
          <cell r="L3088">
            <v>5</v>
          </cell>
        </row>
        <row r="3089">
          <cell r="A3089" t="str">
            <v>20499.00068</v>
          </cell>
          <cell r="B3089" t="str">
            <v>PURGEUR DE CONDENSAT FLOTTEUR INVERSE OUVERT EN ACIER ASTM A1 82 F22 CI 3</v>
          </cell>
          <cell r="C3089" t="str">
            <v>ARMSTRONG  MODELE 6155G-1/8" RACCORDEMENT 1" SW PRESSION DE SERVICE MAXI 172 BAR DEBIT MAXI 2300 KG/H</v>
          </cell>
          <cell r="D3089" t="str">
            <v>PE</v>
          </cell>
          <cell r="E3089" t="str">
            <v>515.51511</v>
          </cell>
          <cell r="F3089">
            <v>98980.2</v>
          </cell>
          <cell r="G3089">
            <v>0</v>
          </cell>
          <cell r="H3089">
            <v>4</v>
          </cell>
          <cell r="I3089">
            <v>0</v>
          </cell>
          <cell r="J3089">
            <v>0</v>
          </cell>
          <cell r="K3089">
            <v>0</v>
          </cell>
          <cell r="L3089">
            <v>0</v>
          </cell>
        </row>
        <row r="3090">
          <cell r="A3090" t="str">
            <v>20499.00069</v>
          </cell>
          <cell r="B3090" t="str">
            <v>PURGEUR DE CONDENSAT FLOTTEUR INVERSE OUVERT EN ACIER INOX 316L</v>
          </cell>
          <cell r="C3090" t="str">
            <v>ARMSTRONG  MODELE 501 SH-5/64" RACCORDEMENT 1/2" SW PRESSION DE SERVICE MAXI 105 BAR DEBIT MAXI 420 KG/H</v>
          </cell>
          <cell r="D3090" t="str">
            <v>PE</v>
          </cell>
          <cell r="E3090" t="str">
            <v>515.51511</v>
          </cell>
          <cell r="F3090">
            <v>34390.68</v>
          </cell>
          <cell r="G3090">
            <v>0</v>
          </cell>
          <cell r="H3090">
            <v>14</v>
          </cell>
          <cell r="I3090">
            <v>0</v>
          </cell>
          <cell r="J3090">
            <v>0</v>
          </cell>
          <cell r="K3090">
            <v>0</v>
          </cell>
          <cell r="L3090">
            <v>6</v>
          </cell>
        </row>
        <row r="3091">
          <cell r="A3091" t="str">
            <v>20499.00665</v>
          </cell>
          <cell r="B3091" t="str">
            <v>ELEMENT D'ETANCHEITE</v>
          </cell>
          <cell r="C3091" t="str">
            <v>ARCA REGLER PLAN 6H-HH-CI-PAA-OMB-2B-XN-12 REP 180 P/VANNE 6H8-L2-LS2 SERIE 1024666</v>
          </cell>
          <cell r="D3091" t="str">
            <v>PE</v>
          </cell>
          <cell r="E3091" t="str">
            <v>512.51202</v>
          </cell>
          <cell r="F3091">
            <v>2278</v>
          </cell>
          <cell r="G3091">
            <v>0</v>
          </cell>
          <cell r="H3091">
            <v>1</v>
          </cell>
          <cell r="I3091">
            <v>0</v>
          </cell>
          <cell r="J3091">
            <v>1</v>
          </cell>
          <cell r="K3091">
            <v>0</v>
          </cell>
          <cell r="L3091">
            <v>0</v>
          </cell>
        </row>
        <row r="3092">
          <cell r="A3092" t="str">
            <v>20499.07193</v>
          </cell>
          <cell r="B3092" t="str">
            <v>ROBINET A PASSAGE DIRECT</v>
          </cell>
          <cell r="C3092" t="str">
            <v>SACCAP PLAN AV5111W1A1KA DN1/2" CLASSE 800 RACCORDEMENT SW</v>
          </cell>
          <cell r="D3092" t="str">
            <v>PE</v>
          </cell>
          <cell r="E3092" t="str">
            <v>515.51511</v>
          </cell>
          <cell r="F3092">
            <v>280</v>
          </cell>
          <cell r="G3092">
            <v>0</v>
          </cell>
          <cell r="H3092">
            <v>0</v>
          </cell>
          <cell r="I3092">
            <v>0</v>
          </cell>
          <cell r="J3092">
            <v>0</v>
          </cell>
          <cell r="K3092">
            <v>0</v>
          </cell>
          <cell r="L3092">
            <v>0</v>
          </cell>
        </row>
        <row r="3093">
          <cell r="A3093" t="str">
            <v>20499.07194</v>
          </cell>
          <cell r="B3093" t="str">
            <v>ROBINET A PASSAGE DIRECT</v>
          </cell>
          <cell r="C3093" t="str">
            <v>SACCAP PLAN AV5111W1A1KA DN3/4" CLASSE 800 RACCORDEMENT SW</v>
          </cell>
          <cell r="D3093" t="str">
            <v>PE</v>
          </cell>
          <cell r="E3093" t="str">
            <v>515.51511</v>
          </cell>
          <cell r="F3093">
            <v>280</v>
          </cell>
          <cell r="G3093">
            <v>0</v>
          </cell>
          <cell r="H3093">
            <v>0</v>
          </cell>
          <cell r="I3093">
            <v>0</v>
          </cell>
          <cell r="J3093">
            <v>0</v>
          </cell>
          <cell r="K3093">
            <v>0</v>
          </cell>
          <cell r="L3093">
            <v>1</v>
          </cell>
        </row>
        <row r="3094">
          <cell r="A3094" t="str">
            <v>20499.07195</v>
          </cell>
          <cell r="B3094" t="str">
            <v>ROBINET A SOUPAPE</v>
          </cell>
          <cell r="C3094" t="str">
            <v>SACCAP PLAN AR5312W1XXFA DN3/4" CLASSE 800 RACCORDEMENT SW</v>
          </cell>
          <cell r="D3094" t="str">
            <v>PE</v>
          </cell>
          <cell r="E3094" t="str">
            <v>515.51511</v>
          </cell>
          <cell r="F3094">
            <v>2076</v>
          </cell>
          <cell r="G3094">
            <v>0</v>
          </cell>
          <cell r="H3094">
            <v>2</v>
          </cell>
          <cell r="I3094">
            <v>0</v>
          </cell>
          <cell r="J3094">
            <v>0</v>
          </cell>
          <cell r="K3094">
            <v>0</v>
          </cell>
          <cell r="L3094">
            <v>0</v>
          </cell>
        </row>
        <row r="3095">
          <cell r="A3095" t="str">
            <v>20499.07196</v>
          </cell>
          <cell r="B3095" t="str">
            <v>ROBINET A SOUPAPE</v>
          </cell>
          <cell r="C3095" t="str">
            <v>SACCAP PLAN AR5312W1XXFA DN1" CLASSE 800 RACCORDEMENT SW</v>
          </cell>
          <cell r="D3095" t="str">
            <v>PE</v>
          </cell>
          <cell r="E3095" t="str">
            <v>515.51511</v>
          </cell>
          <cell r="F3095">
            <v>2490</v>
          </cell>
          <cell r="G3095">
            <v>0</v>
          </cell>
          <cell r="H3095">
            <v>2</v>
          </cell>
          <cell r="I3095">
            <v>0</v>
          </cell>
          <cell r="J3095">
            <v>0</v>
          </cell>
          <cell r="K3095">
            <v>0</v>
          </cell>
          <cell r="L3095">
            <v>0</v>
          </cell>
        </row>
        <row r="3096">
          <cell r="A3096" t="str">
            <v>20499.00073</v>
          </cell>
          <cell r="B3096" t="str">
            <v>TAMIS STANDARD EN ACIER INOX 304 PERFORE A 0,045"</v>
          </cell>
          <cell r="C3096" t="str">
            <v>ARMSTRONG  POUR  FILTRE Y MODELE B1SW RACCORDEMENT 1" SW</v>
          </cell>
          <cell r="D3096" t="str">
            <v>PE</v>
          </cell>
          <cell r="E3096" t="str">
            <v>515.51511</v>
          </cell>
          <cell r="F3096">
            <v>150</v>
          </cell>
          <cell r="G3096">
            <v>0</v>
          </cell>
          <cell r="H3096">
            <v>0</v>
          </cell>
          <cell r="I3096">
            <v>0</v>
          </cell>
          <cell r="J3096">
            <v>0</v>
          </cell>
          <cell r="K3096">
            <v>0</v>
          </cell>
          <cell r="L3096">
            <v>1</v>
          </cell>
        </row>
        <row r="3097">
          <cell r="A3097" t="str">
            <v>20499.00074</v>
          </cell>
          <cell r="B3097" t="str">
            <v>FILTRE Y EN ACIER AU CHROME MOLTBDENE WC6</v>
          </cell>
          <cell r="C3097" t="str">
            <v>ARMSTRONG  MODELE C1SW RACCORDEMENT 1/2" SW</v>
          </cell>
          <cell r="D3097" t="str">
            <v>PE</v>
          </cell>
          <cell r="E3097" t="str">
            <v>515.51511</v>
          </cell>
          <cell r="F3097">
            <v>3350</v>
          </cell>
          <cell r="G3097">
            <v>2</v>
          </cell>
          <cell r="H3097">
            <v>0</v>
          </cell>
          <cell r="I3097">
            <v>0</v>
          </cell>
          <cell r="J3097">
            <v>0</v>
          </cell>
          <cell r="K3097">
            <v>0</v>
          </cell>
          <cell r="L3097">
            <v>4</v>
          </cell>
        </row>
        <row r="3098">
          <cell r="A3098" t="str">
            <v>20499.00075</v>
          </cell>
          <cell r="B3098" t="str">
            <v>TAMIS STANDARD EN ACIER INOX 304 PERFORE A 0,045"</v>
          </cell>
          <cell r="C3098" t="str">
            <v>ARMSTRONG  POUR  FILTRE Y MODELE C1SW RACCORDEMENT 1/2" SW</v>
          </cell>
          <cell r="D3098" t="str">
            <v>PE</v>
          </cell>
          <cell r="E3098" t="str">
            <v>515.51511</v>
          </cell>
          <cell r="F3098">
            <v>112</v>
          </cell>
          <cell r="G3098">
            <v>0</v>
          </cell>
          <cell r="H3098">
            <v>0</v>
          </cell>
          <cell r="I3098">
            <v>0</v>
          </cell>
          <cell r="J3098">
            <v>0</v>
          </cell>
          <cell r="K3098">
            <v>0</v>
          </cell>
          <cell r="L3098">
            <v>30</v>
          </cell>
        </row>
        <row r="3099">
          <cell r="A3099" t="str">
            <v>20499.00076</v>
          </cell>
          <cell r="B3099" t="str">
            <v>FILTRE Y EN ACIER AU CHROME MOLTBDENE WC6</v>
          </cell>
          <cell r="C3099" t="str">
            <v>ARMSTRONG  MODELE C1SW RACCORDEMENT 1" SW</v>
          </cell>
          <cell r="D3099" t="str">
            <v>PE</v>
          </cell>
          <cell r="E3099" t="str">
            <v>515.51511</v>
          </cell>
          <cell r="F3099">
            <v>3780</v>
          </cell>
          <cell r="G3099">
            <v>0</v>
          </cell>
          <cell r="H3099">
            <v>0</v>
          </cell>
          <cell r="I3099">
            <v>1</v>
          </cell>
          <cell r="J3099">
            <v>0</v>
          </cell>
          <cell r="K3099">
            <v>0</v>
          </cell>
          <cell r="L3099">
            <v>0</v>
          </cell>
        </row>
        <row r="3100">
          <cell r="A3100" t="str">
            <v>20499.00077</v>
          </cell>
          <cell r="B3100" t="str">
            <v>TAMIS STANDARD EN ACIER INOX 304 PERFORE A 0,045"</v>
          </cell>
          <cell r="C3100" t="str">
            <v>ARMSTRONG  POUR  FILTRE Y MODELE C1SW RACCORDEMENT 1" SW</v>
          </cell>
          <cell r="D3100" t="str">
            <v>PE</v>
          </cell>
          <cell r="E3100" t="str">
            <v>515.51511</v>
          </cell>
          <cell r="F3100">
            <v>148</v>
          </cell>
          <cell r="G3100">
            <v>0</v>
          </cell>
          <cell r="H3100">
            <v>0</v>
          </cell>
          <cell r="I3100">
            <v>0</v>
          </cell>
          <cell r="J3100">
            <v>0</v>
          </cell>
          <cell r="K3100">
            <v>0</v>
          </cell>
          <cell r="L3100">
            <v>1</v>
          </cell>
        </row>
        <row r="3101">
          <cell r="A3101" t="str">
            <v>20499.00070</v>
          </cell>
          <cell r="B3101" t="str">
            <v>FILTRE Y EN ACIER ASTM A216 GR WCB</v>
          </cell>
          <cell r="C3101" t="str">
            <v>ARMSTRONG  MODELE B1SW RACCORDEMENT 1/2"SW</v>
          </cell>
          <cell r="D3101" t="str">
            <v>PE</v>
          </cell>
          <cell r="E3101" t="str">
            <v>515.51511</v>
          </cell>
          <cell r="F3101">
            <v>2253</v>
          </cell>
          <cell r="G3101">
            <v>1</v>
          </cell>
          <cell r="H3101">
            <v>0</v>
          </cell>
          <cell r="I3101">
            <v>0</v>
          </cell>
          <cell r="J3101">
            <v>0</v>
          </cell>
          <cell r="K3101">
            <v>0</v>
          </cell>
          <cell r="L3101">
            <v>2</v>
          </cell>
        </row>
        <row r="3102">
          <cell r="A3102" t="str">
            <v>20499.00071</v>
          </cell>
          <cell r="B3102" t="str">
            <v>TAMIS STANDARD EN ACIER INOX 304 PERFORE A 0,045"</v>
          </cell>
          <cell r="C3102" t="str">
            <v>ARMSTRONG  POUR  FILTRE Y MODELE B1SW RACCORDEMENT 1/2" SW</v>
          </cell>
          <cell r="D3102" t="str">
            <v>PE</v>
          </cell>
          <cell r="E3102" t="str">
            <v>515.51511</v>
          </cell>
          <cell r="F3102">
            <v>100</v>
          </cell>
          <cell r="G3102">
            <v>0</v>
          </cell>
          <cell r="H3102">
            <v>0</v>
          </cell>
          <cell r="I3102">
            <v>0</v>
          </cell>
          <cell r="J3102">
            <v>0</v>
          </cell>
          <cell r="K3102">
            <v>2</v>
          </cell>
          <cell r="L3102">
            <v>10</v>
          </cell>
        </row>
        <row r="3103">
          <cell r="A3103" t="str">
            <v>20499.00072</v>
          </cell>
          <cell r="B3103" t="str">
            <v>FILTRE Y EN ACIER ASTM A216 GR WCB</v>
          </cell>
          <cell r="C3103" t="str">
            <v>ARMSTRONG  MODELE B1SW RACCORDEMENT 1"SW</v>
          </cell>
          <cell r="D3103" t="str">
            <v>PE</v>
          </cell>
          <cell r="E3103" t="str">
            <v>515.51511</v>
          </cell>
          <cell r="F3103">
            <v>2960.59</v>
          </cell>
          <cell r="G3103">
            <v>0</v>
          </cell>
          <cell r="H3103">
            <v>0</v>
          </cell>
          <cell r="I3103">
            <v>0</v>
          </cell>
          <cell r="J3103">
            <v>0</v>
          </cell>
          <cell r="K3103">
            <v>0</v>
          </cell>
          <cell r="L3103">
            <v>2</v>
          </cell>
        </row>
        <row r="3104">
          <cell r="A3104" t="str">
            <v>20499.00078</v>
          </cell>
          <cell r="B3104" t="str">
            <v>VANNE A BOISSEAU A ENVELOPPE DE RECHAUFFAGE A 2 VOIES</v>
          </cell>
          <cell r="C3104" t="str">
            <v xml:space="preserve">FLUOROSEAL FPS-152-F-FJ-05-13 DN 4"x3"x4"  CLASSE 150 </v>
          </cell>
          <cell r="D3104" t="str">
            <v>PE</v>
          </cell>
          <cell r="E3104" t="str">
            <v>515.51511</v>
          </cell>
          <cell r="F3104">
            <v>27541.832699999999</v>
          </cell>
          <cell r="G3104">
            <v>0</v>
          </cell>
          <cell r="H3104">
            <v>0</v>
          </cell>
          <cell r="I3104">
            <v>0</v>
          </cell>
          <cell r="J3104">
            <v>0</v>
          </cell>
          <cell r="K3104">
            <v>0</v>
          </cell>
          <cell r="L3104">
            <v>1</v>
          </cell>
        </row>
        <row r="3105">
          <cell r="A3105" t="str">
            <v>20499.00079</v>
          </cell>
          <cell r="B3105" t="str">
            <v>VANNE A BOISSEAU A ENVELOPPE DE RECHAUFFAGE A 2 VOIES</v>
          </cell>
          <cell r="C3105" t="str">
            <v xml:space="preserve">FLUOROSEAL FPS-152-F-FJ-STD-L-13-18 DN 6"x4"x6"  CLASSE 150 </v>
          </cell>
          <cell r="D3105" t="str">
            <v>PE</v>
          </cell>
          <cell r="E3105" t="str">
            <v>515.51511</v>
          </cell>
          <cell r="F3105">
            <v>8232</v>
          </cell>
          <cell r="G3105">
            <v>0</v>
          </cell>
          <cell r="H3105">
            <v>0</v>
          </cell>
          <cell r="I3105">
            <v>0</v>
          </cell>
          <cell r="J3105">
            <v>0</v>
          </cell>
          <cell r="K3105">
            <v>0</v>
          </cell>
          <cell r="L3105">
            <v>4</v>
          </cell>
        </row>
        <row r="3106">
          <cell r="A3106" t="str">
            <v>20499.00080</v>
          </cell>
          <cell r="B3106" t="str">
            <v>VANNE A BOISSEAU A ENVELOPPE DE RECHAUFFAGE A 2 VOIES</v>
          </cell>
          <cell r="C3106" t="str">
            <v xml:space="preserve">FLUOROSEAL FPS-152-F-FJ-STD-L-13-18 DN 8"x6"x8"   CLASSE 150 </v>
          </cell>
          <cell r="D3106" t="str">
            <v>PE</v>
          </cell>
          <cell r="E3106" t="str">
            <v>515.51511</v>
          </cell>
          <cell r="F3106">
            <v>17405</v>
          </cell>
          <cell r="G3106">
            <v>0</v>
          </cell>
          <cell r="H3106">
            <v>0</v>
          </cell>
          <cell r="I3106">
            <v>0</v>
          </cell>
          <cell r="J3106">
            <v>0</v>
          </cell>
          <cell r="K3106">
            <v>0</v>
          </cell>
          <cell r="L3106">
            <v>3</v>
          </cell>
        </row>
        <row r="3107">
          <cell r="A3107" t="str">
            <v>20499.00081</v>
          </cell>
          <cell r="B3107" t="str">
            <v>VANNE A BOISSEAU A ENVELOPPE DE RECHAUFFAGE A 2 VOIES</v>
          </cell>
          <cell r="C3107" t="str">
            <v xml:space="preserve">FLUOROSEAL FPS-152-F-FJ-STD-L-13-18 DN 12"x10"x12"   CLASSE 150 </v>
          </cell>
          <cell r="D3107" t="str">
            <v>PE</v>
          </cell>
          <cell r="E3107" t="str">
            <v>515.51511</v>
          </cell>
          <cell r="F3107">
            <v>34809</v>
          </cell>
          <cell r="G3107">
            <v>0</v>
          </cell>
          <cell r="H3107">
            <v>0</v>
          </cell>
          <cell r="I3107">
            <v>0</v>
          </cell>
          <cell r="J3107">
            <v>0</v>
          </cell>
          <cell r="K3107">
            <v>0</v>
          </cell>
          <cell r="L3107">
            <v>1</v>
          </cell>
        </row>
        <row r="3108">
          <cell r="A3108" t="str">
            <v>20499.07801</v>
          </cell>
          <cell r="B3108" t="str">
            <v>PURGEUR</v>
          </cell>
          <cell r="C3108" t="str">
            <v>GESTRA   UNA26V DUPLEX AO 13 PN40</v>
          </cell>
          <cell r="D3108" t="str">
            <v>PE</v>
          </cell>
          <cell r="E3108" t="str">
            <v>515.51511</v>
          </cell>
          <cell r="F3108">
            <v>10892.241</v>
          </cell>
          <cell r="G3108">
            <v>0</v>
          </cell>
          <cell r="H3108">
            <v>0</v>
          </cell>
          <cell r="I3108">
            <v>0</v>
          </cell>
          <cell r="J3108">
            <v>0</v>
          </cell>
          <cell r="K3108">
            <v>0</v>
          </cell>
          <cell r="L3108">
            <v>0</v>
          </cell>
        </row>
        <row r="3109">
          <cell r="A3109" t="str">
            <v>20499.07802</v>
          </cell>
          <cell r="B3109" t="str">
            <v>PURGEUR</v>
          </cell>
          <cell r="C3109" t="str">
            <v>GESTRA   UNA25H SIMPLEX AO 2 PN40</v>
          </cell>
          <cell r="D3109" t="str">
            <v>PE</v>
          </cell>
          <cell r="E3109" t="str">
            <v>515.51511</v>
          </cell>
          <cell r="F3109">
            <v>5775.7541000000001</v>
          </cell>
          <cell r="G3109">
            <v>0</v>
          </cell>
          <cell r="H3109">
            <v>0</v>
          </cell>
          <cell r="I3109">
            <v>0</v>
          </cell>
          <cell r="J3109">
            <v>0</v>
          </cell>
          <cell r="K3109">
            <v>0</v>
          </cell>
          <cell r="L3109">
            <v>0</v>
          </cell>
        </row>
        <row r="3110">
          <cell r="A3110" t="str">
            <v>20499.07803</v>
          </cell>
          <cell r="B3110" t="str">
            <v>PURGEUR</v>
          </cell>
          <cell r="C3110" t="str">
            <v>GESTRA  UNA26V DUPLEX AO 32 PN40</v>
          </cell>
          <cell r="D3110" t="str">
            <v>PE</v>
          </cell>
          <cell r="E3110" t="str">
            <v>515.51511</v>
          </cell>
          <cell r="F3110">
            <v>20580.602800000001</v>
          </cell>
          <cell r="G3110">
            <v>0</v>
          </cell>
          <cell r="H3110">
            <v>0</v>
          </cell>
          <cell r="I3110">
            <v>0</v>
          </cell>
          <cell r="J3110">
            <v>0</v>
          </cell>
          <cell r="K3110">
            <v>0</v>
          </cell>
          <cell r="L3110">
            <v>0</v>
          </cell>
        </row>
        <row r="3111">
          <cell r="A3111" t="str">
            <v>20616.00228</v>
          </cell>
          <cell r="B3111" t="str">
            <v>PLAQUE D'EXTREMITE</v>
          </cell>
          <cell r="C3111" t="str">
            <v xml:space="preserve">381117 3000  TYPE M15-MFG </v>
          </cell>
          <cell r="D3111" t="str">
            <v>PE</v>
          </cell>
          <cell r="E3111" t="str">
            <v>515.51506</v>
          </cell>
          <cell r="F3111">
            <v>1152.0377000000001</v>
          </cell>
          <cell r="G3111">
            <v>0</v>
          </cell>
          <cell r="H3111">
            <v>0</v>
          </cell>
          <cell r="I3111">
            <v>1</v>
          </cell>
          <cell r="J3111">
            <v>0</v>
          </cell>
          <cell r="K3111">
            <v>0</v>
          </cell>
          <cell r="L3111">
            <v>1</v>
          </cell>
        </row>
        <row r="3112">
          <cell r="A3112" t="str">
            <v>20617.00500</v>
          </cell>
          <cell r="B3112" t="str">
            <v>CORPS DE PALIER INTERIEUR</v>
          </cell>
          <cell r="C3112" t="str">
            <v>24-135EE   PLAN 2805-135EE-20  REP 215-1</v>
          </cell>
          <cell r="D3112" t="str">
            <v>PE</v>
          </cell>
          <cell r="E3112" t="str">
            <v>515.51506</v>
          </cell>
          <cell r="F3112">
            <v>6745.0745999999999</v>
          </cell>
          <cell r="G3112">
            <v>0</v>
          </cell>
          <cell r="H3112">
            <v>25</v>
          </cell>
          <cell r="I3112">
            <v>5</v>
          </cell>
          <cell r="J3112">
            <v>0</v>
          </cell>
          <cell r="K3112">
            <v>0</v>
          </cell>
          <cell r="L3112">
            <v>0</v>
          </cell>
        </row>
        <row r="3113">
          <cell r="A3113" t="str">
            <v>20617.00501</v>
          </cell>
          <cell r="B3113" t="str">
            <v>COUVERCLE DE PALIER INTERIEUR</v>
          </cell>
          <cell r="C3113" t="str">
            <v>24-135EE  PLAN 2805-135EE-202  REP 215-2</v>
          </cell>
          <cell r="D3113" t="str">
            <v>PE</v>
          </cell>
          <cell r="E3113" t="str">
            <v>515.51506</v>
          </cell>
          <cell r="F3113">
            <v>6753.3008</v>
          </cell>
          <cell r="G3113">
            <v>0</v>
          </cell>
          <cell r="H3113">
            <v>25</v>
          </cell>
          <cell r="I3113">
            <v>5</v>
          </cell>
          <cell r="J3113">
            <v>0</v>
          </cell>
          <cell r="K3113">
            <v>0</v>
          </cell>
          <cell r="L3113">
            <v>0</v>
          </cell>
        </row>
        <row r="3114">
          <cell r="A3114" t="str">
            <v>20617.00502</v>
          </cell>
          <cell r="B3114" t="str">
            <v>CORPS DE PALIER EXTERIEUR</v>
          </cell>
          <cell r="C3114" t="str">
            <v>24-135EE   PLAN 2805-135EE-202  REP 215-3</v>
          </cell>
          <cell r="D3114" t="str">
            <v>PE</v>
          </cell>
          <cell r="E3114" t="str">
            <v>515.51506</v>
          </cell>
          <cell r="F3114">
            <v>7248.4462999999996</v>
          </cell>
          <cell r="G3114">
            <v>0</v>
          </cell>
          <cell r="H3114">
            <v>9</v>
          </cell>
          <cell r="I3114">
            <v>21</v>
          </cell>
          <cell r="J3114">
            <v>0</v>
          </cell>
          <cell r="K3114">
            <v>0</v>
          </cell>
          <cell r="L3114">
            <v>0</v>
          </cell>
        </row>
        <row r="3115">
          <cell r="A3115" t="str">
            <v>20617.00503</v>
          </cell>
          <cell r="B3115" t="str">
            <v>COUVERCLE DE PALIER EXTERIEUR</v>
          </cell>
          <cell r="C3115" t="str">
            <v>24-135EE   PLAN 2805-135EE-202  REP 215-4</v>
          </cell>
          <cell r="D3115" t="str">
            <v>PE</v>
          </cell>
          <cell r="E3115" t="str">
            <v>515.51506</v>
          </cell>
          <cell r="F3115">
            <v>7641.7055</v>
          </cell>
          <cell r="G3115">
            <v>0</v>
          </cell>
          <cell r="H3115">
            <v>5</v>
          </cell>
          <cell r="I3115">
            <v>24</v>
          </cell>
          <cell r="J3115">
            <v>0</v>
          </cell>
          <cell r="K3115">
            <v>0</v>
          </cell>
          <cell r="L3115">
            <v>1</v>
          </cell>
        </row>
        <row r="3116">
          <cell r="A3116" t="str">
            <v>20617.00497</v>
          </cell>
          <cell r="B3116" t="str">
            <v>GRILLE</v>
          </cell>
          <cell r="C3116" t="str">
            <v>24-135EE  PLAN 2805-135EE-20 REP 217-1</v>
          </cell>
          <cell r="D3116" t="str">
            <v>PE</v>
          </cell>
          <cell r="E3116" t="str">
            <v>515.51506</v>
          </cell>
          <cell r="F3116">
            <v>43175.001100000001</v>
          </cell>
          <cell r="G3116">
            <v>0</v>
          </cell>
          <cell r="H3116">
            <v>21</v>
          </cell>
          <cell r="I3116">
            <v>3</v>
          </cell>
          <cell r="J3116">
            <v>0</v>
          </cell>
          <cell r="K3116">
            <v>0</v>
          </cell>
          <cell r="L3116">
            <v>0</v>
          </cell>
        </row>
        <row r="3117">
          <cell r="A3117" t="str">
            <v>20617.00498</v>
          </cell>
          <cell r="B3117" t="str">
            <v>GRILLE</v>
          </cell>
          <cell r="C3117" t="str">
            <v>24-135EE  PLAN 2805-135EE-20  REP 217-2</v>
          </cell>
          <cell r="D3117" t="str">
            <v>PE</v>
          </cell>
          <cell r="E3117" t="str">
            <v>515.51506</v>
          </cell>
          <cell r="F3117">
            <v>42304.9303</v>
          </cell>
          <cell r="G3117">
            <v>0</v>
          </cell>
          <cell r="H3117">
            <v>24</v>
          </cell>
          <cell r="I3117">
            <v>0</v>
          </cell>
          <cell r="J3117">
            <v>0</v>
          </cell>
          <cell r="K3117">
            <v>0</v>
          </cell>
          <cell r="L3117">
            <v>0</v>
          </cell>
        </row>
        <row r="3118">
          <cell r="A3118" t="str">
            <v>20617.00499</v>
          </cell>
          <cell r="B3118" t="str">
            <v>GRILLE</v>
          </cell>
          <cell r="C3118" t="str">
            <v>24-135EE  PLAN 2805-135EE-20  REP 217-3</v>
          </cell>
          <cell r="D3118" t="str">
            <v>PE</v>
          </cell>
          <cell r="E3118" t="str">
            <v>515.51506</v>
          </cell>
          <cell r="F3118">
            <v>47709.570299999999</v>
          </cell>
          <cell r="G3118">
            <v>0</v>
          </cell>
          <cell r="H3118">
            <v>24</v>
          </cell>
          <cell r="I3118">
            <v>0</v>
          </cell>
          <cell r="J3118">
            <v>0</v>
          </cell>
          <cell r="K3118">
            <v>0</v>
          </cell>
          <cell r="L3118">
            <v>0</v>
          </cell>
        </row>
        <row r="3119">
          <cell r="A3119" t="str">
            <v>20525.00153</v>
          </cell>
          <cell r="B3119" t="str">
            <v>ROULEMENT A ROULEAUX CYLINDRIQUES</v>
          </cell>
          <cell r="C3119" t="str">
            <v>FAG SL182964</v>
          </cell>
          <cell r="D3119" t="str">
            <v>PE</v>
          </cell>
          <cell r="E3119" t="str">
            <v>515.51515</v>
          </cell>
          <cell r="F3119">
            <v>12630.7047</v>
          </cell>
          <cell r="G3119">
            <v>0</v>
          </cell>
          <cell r="H3119">
            <v>0</v>
          </cell>
          <cell r="I3119">
            <v>0</v>
          </cell>
          <cell r="J3119">
            <v>0</v>
          </cell>
          <cell r="K3119">
            <v>0</v>
          </cell>
          <cell r="L3119">
            <v>3</v>
          </cell>
        </row>
        <row r="3120">
          <cell r="A3120" t="str">
            <v>20617.00508</v>
          </cell>
          <cell r="B3120" t="str">
            <v>JOINT A LEVRES</v>
          </cell>
          <cell r="C3120" t="str">
            <v>24-135EE   PLAN 2805-135EE-410  REP 411-8</v>
          </cell>
          <cell r="D3120" t="str">
            <v>PE</v>
          </cell>
          <cell r="E3120" t="str">
            <v>515.51506</v>
          </cell>
          <cell r="F3120">
            <v>117.5647</v>
          </cell>
          <cell r="G3120">
            <v>0</v>
          </cell>
          <cell r="H3120">
            <v>160</v>
          </cell>
          <cell r="I3120">
            <v>0</v>
          </cell>
          <cell r="J3120">
            <v>0</v>
          </cell>
          <cell r="K3120">
            <v>0</v>
          </cell>
          <cell r="L3120">
            <v>140</v>
          </cell>
        </row>
        <row r="3121">
          <cell r="A3121" t="str">
            <v>20617.00509</v>
          </cell>
          <cell r="B3121" t="str">
            <v>FLASQUE</v>
          </cell>
          <cell r="C3121" t="str">
            <v>24-135EE   PLAN 2805-135EE-410  REP 411-10</v>
          </cell>
          <cell r="D3121" t="str">
            <v>PE</v>
          </cell>
          <cell r="E3121" t="str">
            <v>515.51506</v>
          </cell>
          <cell r="F3121">
            <v>1362.6818000000001</v>
          </cell>
          <cell r="G3121">
            <v>0</v>
          </cell>
          <cell r="H3121">
            <v>0</v>
          </cell>
          <cell r="I3121">
            <v>0</v>
          </cell>
          <cell r="J3121">
            <v>0</v>
          </cell>
          <cell r="K3121">
            <v>0</v>
          </cell>
          <cell r="L3121">
            <v>300</v>
          </cell>
        </row>
        <row r="3122">
          <cell r="A3122" t="str">
            <v>20617.00510</v>
          </cell>
          <cell r="B3122" t="str">
            <v>JOINT</v>
          </cell>
          <cell r="C3122" t="str">
            <v>24-135EE   PLAN 2805-135EE-410  REP 411-23</v>
          </cell>
          <cell r="D3122" t="str">
            <v>PE</v>
          </cell>
          <cell r="E3122" t="str">
            <v>515.51506</v>
          </cell>
          <cell r="F3122">
            <v>90.093400000000003</v>
          </cell>
          <cell r="G3122">
            <v>0</v>
          </cell>
          <cell r="H3122">
            <v>0</v>
          </cell>
          <cell r="I3122">
            <v>0</v>
          </cell>
          <cell r="J3122">
            <v>0</v>
          </cell>
          <cell r="K3122">
            <v>0</v>
          </cell>
          <cell r="L3122">
            <v>300</v>
          </cell>
        </row>
        <row r="3123">
          <cell r="A3123" t="str">
            <v>20617.00511</v>
          </cell>
          <cell r="B3123" t="str">
            <v>ARBRE SUPERIEUR</v>
          </cell>
          <cell r="C3123" t="str">
            <v>24-135EE  PLAN 2805-135EE-500  REP 511-1</v>
          </cell>
          <cell r="D3123" t="str">
            <v>PE</v>
          </cell>
          <cell r="E3123" t="str">
            <v>515.51506</v>
          </cell>
          <cell r="F3123">
            <v>140712</v>
          </cell>
          <cell r="G3123">
            <v>0</v>
          </cell>
          <cell r="H3123">
            <v>0</v>
          </cell>
          <cell r="I3123">
            <v>1</v>
          </cell>
          <cell r="J3123">
            <v>0</v>
          </cell>
          <cell r="K3123">
            <v>0</v>
          </cell>
          <cell r="L3123">
            <v>0</v>
          </cell>
        </row>
        <row r="3124">
          <cell r="A3124" t="str">
            <v>20617.00512</v>
          </cell>
          <cell r="B3124" t="str">
            <v>ARBRE INFERIEUR</v>
          </cell>
          <cell r="C3124" t="str">
            <v>24-135EE   PLAN 2805-135EE-500  REP 511-21</v>
          </cell>
          <cell r="D3124" t="str">
            <v>PE</v>
          </cell>
          <cell r="E3124" t="str">
            <v>515.51506</v>
          </cell>
          <cell r="F3124">
            <v>19410.851900000001</v>
          </cell>
          <cell r="G3124">
            <v>0</v>
          </cell>
          <cell r="H3124">
            <v>0</v>
          </cell>
          <cell r="I3124">
            <v>0</v>
          </cell>
          <cell r="J3124">
            <v>0</v>
          </cell>
          <cell r="K3124">
            <v>0</v>
          </cell>
          <cell r="L3124">
            <v>1</v>
          </cell>
        </row>
        <row r="3125">
          <cell r="A3125" t="str">
            <v>20617.00504</v>
          </cell>
          <cell r="B3125" t="str">
            <v>AXE EXCENTRIQUE</v>
          </cell>
          <cell r="C3125" t="str">
            <v>24-135EE    PLAN 2805-135EE-410  REP 411-2</v>
          </cell>
          <cell r="D3125" t="str">
            <v>PE</v>
          </cell>
          <cell r="E3125" t="str">
            <v>515.51506</v>
          </cell>
          <cell r="F3125">
            <v>3464.2950000000001</v>
          </cell>
          <cell r="G3125">
            <v>0</v>
          </cell>
          <cell r="H3125">
            <v>133</v>
          </cell>
          <cell r="I3125">
            <v>25</v>
          </cell>
          <cell r="J3125">
            <v>0</v>
          </cell>
          <cell r="K3125">
            <v>0</v>
          </cell>
          <cell r="L3125">
            <v>87</v>
          </cell>
        </row>
        <row r="3126">
          <cell r="A3126" t="str">
            <v>20617.00505</v>
          </cell>
          <cell r="B3126" t="str">
            <v>BUSELURE</v>
          </cell>
          <cell r="C3126" t="str">
            <v>24-135EE   PLAN 2805-135EE-410  REP 411-3</v>
          </cell>
          <cell r="D3126" t="str">
            <v>PE</v>
          </cell>
          <cell r="E3126" t="str">
            <v>515.51506</v>
          </cell>
          <cell r="F3126">
            <v>209.1174</v>
          </cell>
          <cell r="G3126">
            <v>0</v>
          </cell>
          <cell r="H3126">
            <v>50</v>
          </cell>
          <cell r="I3126">
            <v>92</v>
          </cell>
          <cell r="J3126">
            <v>0</v>
          </cell>
          <cell r="K3126">
            <v>0</v>
          </cell>
          <cell r="L3126">
            <v>258</v>
          </cell>
        </row>
        <row r="3127">
          <cell r="A3127" t="str">
            <v>20617.00506</v>
          </cell>
          <cell r="B3127" t="str">
            <v>COUVERCLE</v>
          </cell>
          <cell r="C3127" t="str">
            <v>24-135EE   PLAN 2805-135EE-410  REP 411-4</v>
          </cell>
          <cell r="D3127" t="str">
            <v>PE</v>
          </cell>
          <cell r="E3127" t="str">
            <v>515.51506</v>
          </cell>
          <cell r="F3127">
            <v>102.93470000000001</v>
          </cell>
          <cell r="G3127">
            <v>0</v>
          </cell>
          <cell r="H3127">
            <v>100</v>
          </cell>
          <cell r="I3127">
            <v>0</v>
          </cell>
          <cell r="J3127">
            <v>0</v>
          </cell>
          <cell r="K3127">
            <v>0</v>
          </cell>
          <cell r="L3127">
            <v>200</v>
          </cell>
        </row>
        <row r="3128">
          <cell r="A3128" t="str">
            <v>20617.00507</v>
          </cell>
          <cell r="B3128" t="str">
            <v>CIRCLIPS INFERIEUR</v>
          </cell>
          <cell r="C3128" t="str">
            <v>24-135EE  PLAN 2805-135EE-410   REP 411-7</v>
          </cell>
          <cell r="D3128" t="str">
            <v>PE</v>
          </cell>
          <cell r="E3128" t="str">
            <v>515.51506</v>
          </cell>
          <cell r="F3128">
            <v>31.882300000000001</v>
          </cell>
          <cell r="G3128">
            <v>0</v>
          </cell>
          <cell r="H3128">
            <v>0</v>
          </cell>
          <cell r="I3128">
            <v>0</v>
          </cell>
          <cell r="J3128">
            <v>0</v>
          </cell>
          <cell r="K3128">
            <v>0</v>
          </cell>
          <cell r="L3128">
            <v>360</v>
          </cell>
        </row>
        <row r="3129">
          <cell r="A3129" t="str">
            <v>20616.00262</v>
          </cell>
          <cell r="B3129" t="str">
            <v>PLAQUE INTERMEDIAIRE</v>
          </cell>
          <cell r="C3129" t="str">
            <v xml:space="preserve">381020 4003   TYPE M15-MFG </v>
          </cell>
          <cell r="D3129" t="str">
            <v>PE</v>
          </cell>
          <cell r="E3129" t="str">
            <v>515.51506</v>
          </cell>
          <cell r="F3129">
            <v>907.63390000000004</v>
          </cell>
          <cell r="G3129">
            <v>0</v>
          </cell>
          <cell r="H3129">
            <v>0</v>
          </cell>
          <cell r="I3129">
            <v>114</v>
          </cell>
          <cell r="J3129">
            <v>0</v>
          </cell>
          <cell r="K3129">
            <v>0</v>
          </cell>
          <cell r="L3129">
            <v>114</v>
          </cell>
        </row>
        <row r="3130">
          <cell r="A3130" t="str">
            <v>20616.00258</v>
          </cell>
          <cell r="B3130" t="str">
            <v>PLAQUE D'EXTREMITE</v>
          </cell>
          <cell r="C3130" t="str">
            <v xml:space="preserve">381117 3098  TYPE M15-MFG </v>
          </cell>
          <cell r="D3130" t="str">
            <v>PE</v>
          </cell>
          <cell r="E3130" t="str">
            <v>515.51506</v>
          </cell>
          <cell r="F3130">
            <v>1152.0377000000001</v>
          </cell>
          <cell r="G3130">
            <v>0</v>
          </cell>
          <cell r="H3130">
            <v>0</v>
          </cell>
          <cell r="I3130">
            <v>1</v>
          </cell>
          <cell r="J3130">
            <v>0</v>
          </cell>
          <cell r="K3130">
            <v>0</v>
          </cell>
          <cell r="L3130">
            <v>1</v>
          </cell>
        </row>
        <row r="3131">
          <cell r="A3131" t="str">
            <v>20617.00518</v>
          </cell>
          <cell r="B3131" t="str">
            <v>DEMI COUSSINET</v>
          </cell>
          <cell r="C3131" t="str">
            <v>24-135EE  PLAN 2805-135EE-202   REP 219-2</v>
          </cell>
          <cell r="D3131" t="str">
            <v>PE</v>
          </cell>
          <cell r="E3131" t="str">
            <v>515.51506</v>
          </cell>
          <cell r="F3131">
            <v>4082.7013999999999</v>
          </cell>
          <cell r="G3131">
            <v>0</v>
          </cell>
          <cell r="H3131">
            <v>99</v>
          </cell>
          <cell r="I3131">
            <v>45</v>
          </cell>
          <cell r="J3131">
            <v>0</v>
          </cell>
          <cell r="K3131">
            <v>0</v>
          </cell>
          <cell r="L3131">
            <v>0</v>
          </cell>
        </row>
        <row r="3132">
          <cell r="A3132" t="str">
            <v>20617.00519</v>
          </cell>
          <cell r="B3132" t="str">
            <v>DEMI COUSSINET</v>
          </cell>
          <cell r="C3132" t="str">
            <v>24-135EE   PLAN 2805-135EE-202  REP 219-1</v>
          </cell>
          <cell r="D3132" t="str">
            <v>PE</v>
          </cell>
          <cell r="E3132" t="str">
            <v>515.51506</v>
          </cell>
          <cell r="F3132">
            <v>5301.0991999999997</v>
          </cell>
          <cell r="G3132">
            <v>42</v>
          </cell>
          <cell r="H3132">
            <v>54</v>
          </cell>
          <cell r="I3132">
            <v>0</v>
          </cell>
          <cell r="J3132">
            <v>0</v>
          </cell>
          <cell r="K3132">
            <v>0</v>
          </cell>
          <cell r="L3132">
            <v>0</v>
          </cell>
        </row>
        <row r="3133">
          <cell r="A3133" t="str">
            <v>20617.00513</v>
          </cell>
          <cell r="B3133" t="str">
            <v>BUSELURE</v>
          </cell>
          <cell r="C3133" t="str">
            <v>24-135EE  PLAN 2805-135EE-740  REP 741-58</v>
          </cell>
          <cell r="D3133" t="str">
            <v>PE</v>
          </cell>
          <cell r="E3133" t="str">
            <v>515.51506</v>
          </cell>
          <cell r="F3133">
            <v>513.28110000000004</v>
          </cell>
          <cell r="G3133">
            <v>0</v>
          </cell>
          <cell r="H3133">
            <v>0</v>
          </cell>
          <cell r="I3133">
            <v>0</v>
          </cell>
          <cell r="J3133">
            <v>0</v>
          </cell>
          <cell r="K3133">
            <v>0</v>
          </cell>
          <cell r="L3133">
            <v>1</v>
          </cell>
        </row>
        <row r="3134">
          <cell r="A3134" t="str">
            <v>20617.00514</v>
          </cell>
          <cell r="B3134" t="str">
            <v>VIS</v>
          </cell>
          <cell r="C3134" t="str">
            <v>24-135EE   PLAN 2805-135EE-200  REP 217-5</v>
          </cell>
          <cell r="D3134" t="str">
            <v>PE</v>
          </cell>
          <cell r="E3134" t="str">
            <v>515.51506</v>
          </cell>
          <cell r="F3134">
            <v>312.11189999999999</v>
          </cell>
          <cell r="G3134">
            <v>0</v>
          </cell>
          <cell r="H3134">
            <v>0</v>
          </cell>
          <cell r="I3134">
            <v>0</v>
          </cell>
          <cell r="J3134">
            <v>0</v>
          </cell>
          <cell r="K3134">
            <v>0</v>
          </cell>
          <cell r="L3134">
            <v>0</v>
          </cell>
        </row>
        <row r="3135">
          <cell r="A3135" t="str">
            <v>20617.00515</v>
          </cell>
          <cell r="B3135" t="str">
            <v>GOUPILLE</v>
          </cell>
          <cell r="C3135" t="str">
            <v>24-135EE   PLAN 2805-135EE-201  REP 214-28</v>
          </cell>
          <cell r="D3135" t="str">
            <v>PE</v>
          </cell>
          <cell r="E3135" t="str">
            <v>515.51506</v>
          </cell>
          <cell r="F3135">
            <v>40.078899999999997</v>
          </cell>
          <cell r="G3135">
            <v>0</v>
          </cell>
          <cell r="H3135">
            <v>0</v>
          </cell>
          <cell r="I3135">
            <v>0</v>
          </cell>
          <cell r="J3135">
            <v>0</v>
          </cell>
          <cell r="K3135">
            <v>0</v>
          </cell>
          <cell r="L3135">
            <v>20</v>
          </cell>
        </row>
        <row r="3136">
          <cell r="A3136" t="str">
            <v>20617.00516</v>
          </cell>
          <cell r="B3136" t="str">
            <v>CAME</v>
          </cell>
          <cell r="C3136" t="str">
            <v>24-135EE   PLAN 2805-135EE-201  REP 214-24</v>
          </cell>
          <cell r="D3136" t="str">
            <v>PE</v>
          </cell>
          <cell r="E3136" t="str">
            <v>515.51506</v>
          </cell>
          <cell r="F3136">
            <v>3980.4769000000001</v>
          </cell>
          <cell r="G3136">
            <v>0</v>
          </cell>
          <cell r="H3136">
            <v>0</v>
          </cell>
          <cell r="I3136">
            <v>0</v>
          </cell>
          <cell r="J3136">
            <v>0</v>
          </cell>
          <cell r="K3136">
            <v>0</v>
          </cell>
          <cell r="L3136">
            <v>1</v>
          </cell>
        </row>
        <row r="3137">
          <cell r="A3137" t="str">
            <v>20617.00517</v>
          </cell>
          <cell r="B3137" t="str">
            <v>AXE</v>
          </cell>
          <cell r="C3137" t="str">
            <v>24-135EE   PLAN 2805-135EE-201  REP 214-16</v>
          </cell>
          <cell r="D3137" t="str">
            <v>PE</v>
          </cell>
          <cell r="E3137" t="str">
            <v>515.51506</v>
          </cell>
          <cell r="F3137">
            <v>919.1422</v>
          </cell>
          <cell r="G3137">
            <v>20</v>
          </cell>
          <cell r="H3137">
            <v>10</v>
          </cell>
          <cell r="I3137">
            <v>0</v>
          </cell>
          <cell r="J3137">
            <v>0</v>
          </cell>
          <cell r="K3137">
            <v>0</v>
          </cell>
          <cell r="L3137">
            <v>18</v>
          </cell>
        </row>
        <row r="3138">
          <cell r="A3138" t="str">
            <v>20617.00564</v>
          </cell>
          <cell r="B3138" t="str">
            <v>BOUCHON</v>
          </cell>
          <cell r="C3138" t="str">
            <v>24-135EE PLAN 2805-135EE-100 3/3 REP 123-10</v>
          </cell>
          <cell r="D3138" t="str">
            <v>PE</v>
          </cell>
          <cell r="E3138" t="str">
            <v>515.51506</v>
          </cell>
          <cell r="F3138">
            <v>1854.3679999999999</v>
          </cell>
          <cell r="G3138">
            <v>0</v>
          </cell>
          <cell r="H3138">
            <v>0</v>
          </cell>
          <cell r="I3138">
            <v>0</v>
          </cell>
          <cell r="J3138">
            <v>0</v>
          </cell>
          <cell r="K3138">
            <v>0</v>
          </cell>
          <cell r="L3138">
            <v>0</v>
          </cell>
        </row>
        <row r="3139">
          <cell r="A3139" t="str">
            <v>20617.00565</v>
          </cell>
          <cell r="B3139" t="str">
            <v>FIL</v>
          </cell>
          <cell r="C3139" t="str">
            <v>24-135EE PLAN 2805-135EE-100 3/3 REP 123-14</v>
          </cell>
          <cell r="D3139" t="str">
            <v>PE</v>
          </cell>
          <cell r="E3139" t="str">
            <v>515.51506</v>
          </cell>
          <cell r="F3139">
            <v>173.3955</v>
          </cell>
          <cell r="G3139">
            <v>0</v>
          </cell>
          <cell r="H3139">
            <v>0</v>
          </cell>
          <cell r="I3139">
            <v>0</v>
          </cell>
          <cell r="J3139">
            <v>0</v>
          </cell>
          <cell r="K3139">
            <v>0</v>
          </cell>
          <cell r="L3139">
            <v>42</v>
          </cell>
        </row>
        <row r="3140">
          <cell r="A3140" t="str">
            <v>20617.00742</v>
          </cell>
          <cell r="B3140" t="str">
            <v>JOINT</v>
          </cell>
          <cell r="C3140" t="str">
            <v>PLAN 2805-135EE-100 3/3 REP 121-12 P/FILTRE 24-135EE</v>
          </cell>
          <cell r="D3140" t="str">
            <v>PE</v>
          </cell>
          <cell r="E3140" t="str">
            <v>515.51506</v>
          </cell>
          <cell r="F3140">
            <v>66.623999999999995</v>
          </cell>
          <cell r="G3140">
            <v>0</v>
          </cell>
          <cell r="H3140">
            <v>0</v>
          </cell>
          <cell r="I3140">
            <v>0</v>
          </cell>
          <cell r="J3140">
            <v>0</v>
          </cell>
          <cell r="K3140">
            <v>0</v>
          </cell>
          <cell r="L3140">
            <v>0</v>
          </cell>
        </row>
        <row r="3141">
          <cell r="A3141" t="str">
            <v>20617.00768</v>
          </cell>
          <cell r="B3141" t="str">
            <v>PIGNON 19 DENTS</v>
          </cell>
          <cell r="C3141" t="str">
            <v>PLAN 2805-135EE-500 REP 511-4 P/FILTRE 24-135EE</v>
          </cell>
          <cell r="D3141" t="str">
            <v>PE</v>
          </cell>
          <cell r="E3141" t="str">
            <v>515.51506</v>
          </cell>
          <cell r="F3141">
            <v>88162.257299999997</v>
          </cell>
          <cell r="G3141">
            <v>0</v>
          </cell>
          <cell r="H3141">
            <v>0</v>
          </cell>
          <cell r="I3141">
            <v>1</v>
          </cell>
          <cell r="J3141">
            <v>0</v>
          </cell>
          <cell r="K3141">
            <v>0</v>
          </cell>
          <cell r="L3141">
            <v>1</v>
          </cell>
        </row>
        <row r="3142">
          <cell r="A3142" t="str">
            <v>20617.00751</v>
          </cell>
          <cell r="B3142" t="str">
            <v>JOINT</v>
          </cell>
          <cell r="C3142" t="str">
            <v>PLAN 2805-135EE-200 REP 223-4 P/FILTRE 24-135EE</v>
          </cell>
          <cell r="D3142" t="str">
            <v>PE</v>
          </cell>
          <cell r="E3142" t="str">
            <v>515.51506</v>
          </cell>
          <cell r="F3142">
            <v>485.17</v>
          </cell>
          <cell r="G3142">
            <v>0</v>
          </cell>
          <cell r="H3142">
            <v>0</v>
          </cell>
          <cell r="I3142">
            <v>0</v>
          </cell>
          <cell r="J3142">
            <v>0</v>
          </cell>
          <cell r="K3142">
            <v>0</v>
          </cell>
          <cell r="L3142">
            <v>45</v>
          </cell>
        </row>
        <row r="3143">
          <cell r="A3143" t="str">
            <v>20617.00766</v>
          </cell>
          <cell r="B3143" t="str">
            <v>SECTEUR DENTE</v>
          </cell>
          <cell r="C3143" t="str">
            <v>PLAN 2805-135EE-300 REP 314-2 P/FILTRE 24-135EE</v>
          </cell>
          <cell r="D3143" t="str">
            <v>PE</v>
          </cell>
          <cell r="E3143" t="str">
            <v>515.51506</v>
          </cell>
          <cell r="F3143">
            <v>11814.0026</v>
          </cell>
          <cell r="G3143">
            <v>0</v>
          </cell>
          <cell r="H3143">
            <v>24</v>
          </cell>
          <cell r="I3143">
            <v>0</v>
          </cell>
          <cell r="J3143">
            <v>0</v>
          </cell>
          <cell r="K3143">
            <v>0</v>
          </cell>
          <cell r="L3143">
            <v>0</v>
          </cell>
        </row>
        <row r="3144">
          <cell r="A3144" t="str">
            <v>20497.01250</v>
          </cell>
          <cell r="B3144" t="str">
            <v>PIECE D'ASPIRATION</v>
          </cell>
          <cell r="C3144" t="str">
            <v>WARMAN    E4083   TYPE:64-DA5-A-M2-5CM2-XM2 SERIE:68863</v>
          </cell>
          <cell r="D3144" t="str">
            <v>PE</v>
          </cell>
          <cell r="E3144" t="str">
            <v>515.51517</v>
          </cell>
          <cell r="F3144">
            <v>11104.700999999999</v>
          </cell>
          <cell r="G3144">
            <v>0</v>
          </cell>
          <cell r="H3144">
            <v>0</v>
          </cell>
          <cell r="I3144">
            <v>0</v>
          </cell>
          <cell r="J3144">
            <v>1</v>
          </cell>
          <cell r="K3144">
            <v>0</v>
          </cell>
          <cell r="L3144">
            <v>0</v>
          </cell>
        </row>
        <row r="3145">
          <cell r="A3145" t="str">
            <v>20497.01251</v>
          </cell>
          <cell r="B3145" t="str">
            <v>BOITIER D'EXPELLEUR</v>
          </cell>
          <cell r="C3145" t="str">
            <v>WARMAN    DAM029  TYPE:64-DA5-A-M2-5CM2-XM2 SERIE:68863</v>
          </cell>
          <cell r="D3145" t="str">
            <v>PE</v>
          </cell>
          <cell r="E3145" t="str">
            <v>515.51517</v>
          </cell>
          <cell r="F3145">
            <v>6686.3226000000004</v>
          </cell>
          <cell r="G3145">
            <v>0</v>
          </cell>
          <cell r="H3145">
            <v>0</v>
          </cell>
          <cell r="I3145">
            <v>0</v>
          </cell>
          <cell r="J3145">
            <v>0</v>
          </cell>
          <cell r="K3145">
            <v>0</v>
          </cell>
          <cell r="L3145">
            <v>1</v>
          </cell>
        </row>
        <row r="3146">
          <cell r="A3146" t="str">
            <v>20497.01252</v>
          </cell>
          <cell r="B3146" t="str">
            <v>EXPELLEUR</v>
          </cell>
          <cell r="C3146" t="str">
            <v>WARMAN     DAM028 TYPE:64-DA5-A-M2-5CM2-XM2 SERIE:68863</v>
          </cell>
          <cell r="D3146" t="str">
            <v>PE</v>
          </cell>
          <cell r="E3146" t="str">
            <v>515.51517</v>
          </cell>
          <cell r="F3146">
            <v>6756.8285999999998</v>
          </cell>
          <cell r="G3146">
            <v>0</v>
          </cell>
          <cell r="H3146">
            <v>0</v>
          </cell>
          <cell r="I3146">
            <v>0</v>
          </cell>
          <cell r="J3146">
            <v>1</v>
          </cell>
          <cell r="K3146">
            <v>0</v>
          </cell>
          <cell r="L3146">
            <v>0</v>
          </cell>
        </row>
        <row r="3147">
          <cell r="A3147" t="str">
            <v>20497.01254</v>
          </cell>
          <cell r="B3147" t="str">
            <v>ARBRE</v>
          </cell>
          <cell r="C3147" t="str">
            <v>WARMAN QV65073G TYPE 65QV-SP-1500</v>
          </cell>
          <cell r="D3147" t="str">
            <v>PE</v>
          </cell>
          <cell r="E3147" t="str">
            <v>515.51517</v>
          </cell>
          <cell r="F3147">
            <v>19353.9074</v>
          </cell>
          <cell r="G3147">
            <v>0</v>
          </cell>
          <cell r="H3147">
            <v>0</v>
          </cell>
          <cell r="I3147">
            <v>0</v>
          </cell>
          <cell r="J3147">
            <v>0</v>
          </cell>
          <cell r="K3147">
            <v>0</v>
          </cell>
          <cell r="L3147">
            <v>1</v>
          </cell>
        </row>
        <row r="3148">
          <cell r="A3148" t="str">
            <v>20497.01255</v>
          </cell>
          <cell r="B3148" t="str">
            <v>GRAISSEUR</v>
          </cell>
          <cell r="C3148" t="str">
            <v>WARMAN WP4L71Z TYPE 65QV-SP-1500</v>
          </cell>
          <cell r="D3148" t="str">
            <v>PE</v>
          </cell>
          <cell r="E3148" t="str">
            <v>515.51517</v>
          </cell>
          <cell r="F3148">
            <v>35.253</v>
          </cell>
          <cell r="G3148">
            <v>0</v>
          </cell>
          <cell r="H3148">
            <v>0</v>
          </cell>
          <cell r="I3148">
            <v>0</v>
          </cell>
          <cell r="J3148">
            <v>0</v>
          </cell>
          <cell r="K3148">
            <v>1</v>
          </cell>
          <cell r="L3148">
            <v>0</v>
          </cell>
        </row>
        <row r="3149">
          <cell r="A3149" t="str">
            <v>20497.11451</v>
          </cell>
          <cell r="B3149" t="str">
            <v>BAGUE DE FIXATION</v>
          </cell>
          <cell r="C3149" t="str">
            <v>GOULDS PUMPS IC-100-65-250 S1 VV 1A SERIE I 601E30/31 REP 527</v>
          </cell>
          <cell r="D3149" t="str">
            <v>PE</v>
          </cell>
          <cell r="E3149" t="str">
            <v>515.51517</v>
          </cell>
          <cell r="F3149">
            <v>4340.41</v>
          </cell>
          <cell r="G3149">
            <v>0</v>
          </cell>
          <cell r="H3149">
            <v>0</v>
          </cell>
          <cell r="I3149">
            <v>0</v>
          </cell>
          <cell r="J3149">
            <v>0</v>
          </cell>
          <cell r="K3149">
            <v>0</v>
          </cell>
          <cell r="L3149">
            <v>1</v>
          </cell>
        </row>
        <row r="3150">
          <cell r="A3150" t="str">
            <v>20497.11452</v>
          </cell>
          <cell r="B3150" t="str">
            <v>RENIFLARD</v>
          </cell>
          <cell r="C3150" t="str">
            <v>GOULDS PUMPS IC-100-65-250 S1 VV 1A SERIE I 601E30/31 REP 637</v>
          </cell>
          <cell r="D3150" t="str">
            <v>PE</v>
          </cell>
          <cell r="E3150" t="str">
            <v>515.51517</v>
          </cell>
          <cell r="F3150">
            <v>1397.74</v>
          </cell>
          <cell r="G3150">
            <v>0</v>
          </cell>
          <cell r="H3150">
            <v>0</v>
          </cell>
          <cell r="I3150">
            <v>0</v>
          </cell>
          <cell r="J3150">
            <v>0</v>
          </cell>
          <cell r="K3150">
            <v>0</v>
          </cell>
          <cell r="L3150">
            <v>1</v>
          </cell>
        </row>
        <row r="3151">
          <cell r="A3151" t="str">
            <v>20497.11448</v>
          </cell>
          <cell r="B3151" t="str">
            <v>VIS D'ARRET</v>
          </cell>
          <cell r="C3151" t="str">
            <v>GOULDS PUMPS IC-65-40-200 S1 VV 1A SERIE I 601E28/29 REP 904.31</v>
          </cell>
          <cell r="D3151" t="str">
            <v>PE</v>
          </cell>
          <cell r="E3151" t="str">
            <v>515.51517</v>
          </cell>
          <cell r="F3151">
            <v>36.840000000000003</v>
          </cell>
          <cell r="G3151">
            <v>0</v>
          </cell>
          <cell r="H3151">
            <v>0</v>
          </cell>
          <cell r="I3151">
            <v>0</v>
          </cell>
          <cell r="J3151">
            <v>0</v>
          </cell>
          <cell r="K3151">
            <v>0</v>
          </cell>
          <cell r="L3151">
            <v>1</v>
          </cell>
        </row>
        <row r="3152">
          <cell r="A3152" t="str">
            <v>20497.11450</v>
          </cell>
          <cell r="B3152" t="str">
            <v>JOINT</v>
          </cell>
          <cell r="C3152" t="str">
            <v>GOULDS PUMPS IC-100-65-250 S1 VV 1A SERIE I 601E30/31 REP 412.41</v>
          </cell>
          <cell r="D3152" t="str">
            <v>PE</v>
          </cell>
          <cell r="E3152" t="str">
            <v>515.51517</v>
          </cell>
          <cell r="F3152">
            <v>257.54000000000002</v>
          </cell>
          <cell r="G3152">
            <v>0</v>
          </cell>
          <cell r="H3152">
            <v>0</v>
          </cell>
          <cell r="I3152">
            <v>0</v>
          </cell>
          <cell r="J3152">
            <v>0</v>
          </cell>
          <cell r="K3152">
            <v>1</v>
          </cell>
          <cell r="L3152">
            <v>1</v>
          </cell>
        </row>
        <row r="3153">
          <cell r="A3153" t="str">
            <v>20497.11455</v>
          </cell>
          <cell r="B3153" t="str">
            <v>VIS D'ARRET</v>
          </cell>
          <cell r="C3153" t="str">
            <v>GOULDS PUMPS IC-100-65-250 S1 VV 1A SERIE I 601E30/31 REP 904.31</v>
          </cell>
          <cell r="D3153" t="str">
            <v>PE</v>
          </cell>
          <cell r="E3153" t="str">
            <v>515.51517</v>
          </cell>
          <cell r="F3153">
            <v>36.840000000000003</v>
          </cell>
          <cell r="G3153">
            <v>0</v>
          </cell>
          <cell r="H3153">
            <v>0</v>
          </cell>
          <cell r="I3153">
            <v>0</v>
          </cell>
          <cell r="J3153">
            <v>0</v>
          </cell>
          <cell r="K3153">
            <v>0</v>
          </cell>
          <cell r="L3153">
            <v>2</v>
          </cell>
        </row>
        <row r="3154">
          <cell r="A3154" t="str">
            <v>20497.04351</v>
          </cell>
          <cell r="B3154" t="str">
            <v>PIPE</v>
          </cell>
          <cell r="C3154" t="str">
            <v>P C M MOINEAU REF 28087-051C TYPE 4515 SERIE 183403-1</v>
          </cell>
          <cell r="D3154" t="str">
            <v>PE</v>
          </cell>
          <cell r="E3154" t="str">
            <v>515.51517</v>
          </cell>
          <cell r="F3154">
            <v>3360.8245000000002</v>
          </cell>
          <cell r="G3154">
            <v>0</v>
          </cell>
          <cell r="H3154">
            <v>0</v>
          </cell>
          <cell r="I3154">
            <v>0</v>
          </cell>
          <cell r="J3154">
            <v>0</v>
          </cell>
          <cell r="K3154">
            <v>1</v>
          </cell>
          <cell r="L3154">
            <v>0</v>
          </cell>
        </row>
        <row r="3155">
          <cell r="A3155" t="str">
            <v>20497.04311</v>
          </cell>
          <cell r="B3155" t="str">
            <v>TRESSE 5/8 P. SECTION CAR</v>
          </cell>
          <cell r="C3155" t="str">
            <v>WARMAN E111-Q05A TYPE 8/6 EAHR26/R08</v>
          </cell>
          <cell r="D3155" t="str">
            <v>PE</v>
          </cell>
          <cell r="E3155" t="str">
            <v>515.51517</v>
          </cell>
          <cell r="F3155">
            <v>1013.6858</v>
          </cell>
          <cell r="G3155">
            <v>0</v>
          </cell>
          <cell r="H3155">
            <v>0</v>
          </cell>
          <cell r="I3155">
            <v>0</v>
          </cell>
          <cell r="J3155">
            <v>0</v>
          </cell>
          <cell r="K3155">
            <v>0</v>
          </cell>
          <cell r="L3155">
            <v>0</v>
          </cell>
        </row>
        <row r="3156">
          <cell r="A3156" t="str">
            <v>20497.11461</v>
          </cell>
          <cell r="B3156" t="str">
            <v>VIS D'ARRET</v>
          </cell>
          <cell r="C3156" t="str">
            <v>GOULDS PUMPS IC-50-32-160 S1 VV 1A SERIE I 601E32/33 REP 904.31</v>
          </cell>
          <cell r="D3156" t="str">
            <v>PE</v>
          </cell>
          <cell r="E3156" t="str">
            <v>515.51517</v>
          </cell>
          <cell r="F3156">
            <v>36.840000000000003</v>
          </cell>
          <cell r="G3156">
            <v>0</v>
          </cell>
          <cell r="H3156">
            <v>0</v>
          </cell>
          <cell r="I3156">
            <v>0</v>
          </cell>
          <cell r="J3156">
            <v>0</v>
          </cell>
          <cell r="K3156">
            <v>0</v>
          </cell>
          <cell r="L3156">
            <v>2</v>
          </cell>
        </row>
        <row r="3157">
          <cell r="A3157" t="str">
            <v>20497.11462</v>
          </cell>
          <cell r="B3157" t="str">
            <v>JOINT</v>
          </cell>
          <cell r="C3157" t="str">
            <v>GOULDS PUMPS IC-125-80-200 S1 VV 1A SERIE I 601E34/35 REP 412.41</v>
          </cell>
          <cell r="D3157" t="str">
            <v>PE</v>
          </cell>
          <cell r="E3157" t="str">
            <v>515.51517</v>
          </cell>
          <cell r="F3157">
            <v>257.54000000000002</v>
          </cell>
          <cell r="G3157">
            <v>0</v>
          </cell>
          <cell r="H3157">
            <v>0</v>
          </cell>
          <cell r="I3157">
            <v>0</v>
          </cell>
          <cell r="J3157">
            <v>0</v>
          </cell>
          <cell r="K3157">
            <v>0</v>
          </cell>
          <cell r="L3157">
            <v>2</v>
          </cell>
        </row>
        <row r="3158">
          <cell r="A3158" t="str">
            <v>20497.11456</v>
          </cell>
          <cell r="B3158" t="str">
            <v>JOINT</v>
          </cell>
          <cell r="C3158" t="str">
            <v>GOULDS PUMPS IC-50-32-160 S1 VV 1A SERIE I 601E32/33 REP 412.41</v>
          </cell>
          <cell r="D3158" t="str">
            <v>PE</v>
          </cell>
          <cell r="E3158" t="str">
            <v>515.51517</v>
          </cell>
          <cell r="F3158">
            <v>110.35</v>
          </cell>
          <cell r="G3158">
            <v>0</v>
          </cell>
          <cell r="H3158">
            <v>0</v>
          </cell>
          <cell r="I3158">
            <v>0</v>
          </cell>
          <cell r="J3158">
            <v>0</v>
          </cell>
          <cell r="K3158">
            <v>0</v>
          </cell>
          <cell r="L3158">
            <v>2</v>
          </cell>
        </row>
        <row r="3159">
          <cell r="A3159" t="str">
            <v>20497.11457</v>
          </cell>
          <cell r="B3159" t="str">
            <v>BAGUE DE FIXATION</v>
          </cell>
          <cell r="C3159" t="str">
            <v>GOULDS PUMPS IC-50-32-160 S1 VV 1A SERIE I 601E32/33 REP 527</v>
          </cell>
          <cell r="D3159" t="str">
            <v>PE</v>
          </cell>
          <cell r="E3159" t="str">
            <v>515.51517</v>
          </cell>
          <cell r="F3159">
            <v>2574.7800000000002</v>
          </cell>
          <cell r="G3159">
            <v>0</v>
          </cell>
          <cell r="H3159">
            <v>0</v>
          </cell>
          <cell r="I3159">
            <v>0</v>
          </cell>
          <cell r="J3159">
            <v>0</v>
          </cell>
          <cell r="K3159">
            <v>0</v>
          </cell>
          <cell r="L3159">
            <v>1</v>
          </cell>
        </row>
        <row r="3160">
          <cell r="A3160" t="str">
            <v>20497.11458</v>
          </cell>
          <cell r="B3160" t="str">
            <v>RENIFLARD</v>
          </cell>
          <cell r="C3160" t="str">
            <v>GOULDS PUMPS IC-50-32-160 S1 VV 1A SERIE I 601E32/33 REP 637</v>
          </cell>
          <cell r="D3160" t="str">
            <v>PE</v>
          </cell>
          <cell r="E3160" t="str">
            <v>515.51517</v>
          </cell>
          <cell r="F3160">
            <v>1397.74</v>
          </cell>
          <cell r="G3160">
            <v>0</v>
          </cell>
          <cell r="H3160">
            <v>0</v>
          </cell>
          <cell r="I3160">
            <v>0</v>
          </cell>
          <cell r="J3160">
            <v>0</v>
          </cell>
          <cell r="K3160">
            <v>0</v>
          </cell>
          <cell r="L3160">
            <v>1</v>
          </cell>
        </row>
        <row r="3161">
          <cell r="A3161" t="str">
            <v>20599.00605</v>
          </cell>
          <cell r="B3161" t="str">
            <v>COURROIE STRIEE</v>
          </cell>
          <cell r="C3161" t="str">
            <v>COURROIE 1613PL8</v>
          </cell>
          <cell r="D3161" t="str">
            <v>PE</v>
          </cell>
          <cell r="E3161" t="str">
            <v>515.51515</v>
          </cell>
          <cell r="F3161">
            <v>700</v>
          </cell>
          <cell r="G3161">
            <v>0</v>
          </cell>
          <cell r="H3161">
            <v>0</v>
          </cell>
          <cell r="I3161">
            <v>0</v>
          </cell>
          <cell r="J3161">
            <v>0</v>
          </cell>
          <cell r="K3161">
            <v>0</v>
          </cell>
          <cell r="L3161">
            <v>3</v>
          </cell>
        </row>
        <row r="3162">
          <cell r="A3162" t="str">
            <v>20599.00632</v>
          </cell>
          <cell r="B3162" t="str">
            <v>COURROIE</v>
          </cell>
          <cell r="C3162" t="str">
            <v>COURROIE TRAPEZOIDALE CRANTEE XPA 1582</v>
          </cell>
          <cell r="D3162" t="str">
            <v>PE</v>
          </cell>
          <cell r="E3162" t="str">
            <v>515.51515</v>
          </cell>
          <cell r="F3162">
            <v>66.375299999999996</v>
          </cell>
          <cell r="G3162">
            <v>0</v>
          </cell>
          <cell r="H3162">
            <v>5</v>
          </cell>
          <cell r="I3162">
            <v>0</v>
          </cell>
          <cell r="J3162">
            <v>0</v>
          </cell>
          <cell r="K3162">
            <v>0</v>
          </cell>
          <cell r="L3162">
            <v>19</v>
          </cell>
        </row>
        <row r="3163">
          <cell r="A3163" t="str">
            <v>20497.05801</v>
          </cell>
          <cell r="B3163" t="str">
            <v>SEGMENT DE PISTON</v>
          </cell>
          <cell r="C3163" t="str">
            <v>WARMAN D108 TYPE 6/4 DS</v>
          </cell>
          <cell r="D3163" t="str">
            <v>PE</v>
          </cell>
          <cell r="E3163" t="str">
            <v>515.51517</v>
          </cell>
          <cell r="F3163">
            <v>129.2611</v>
          </cell>
          <cell r="G3163">
            <v>0</v>
          </cell>
          <cell r="H3163">
            <v>0</v>
          </cell>
          <cell r="I3163">
            <v>0</v>
          </cell>
          <cell r="J3163">
            <v>2</v>
          </cell>
          <cell r="K3163">
            <v>0</v>
          </cell>
          <cell r="L3163">
            <v>0</v>
          </cell>
        </row>
        <row r="3164">
          <cell r="A3164" t="str">
            <v>20497.05806</v>
          </cell>
          <cell r="B3164" t="str">
            <v>BAGUE DE FOND</v>
          </cell>
          <cell r="C3164" t="str">
            <v>WARMAN D067 TYPE 6/4 DS</v>
          </cell>
          <cell r="D3164" t="str">
            <v>PE</v>
          </cell>
          <cell r="E3164" t="str">
            <v>515.51517</v>
          </cell>
          <cell r="F3164">
            <v>174.1499</v>
          </cell>
          <cell r="G3164">
            <v>0</v>
          </cell>
          <cell r="H3164">
            <v>0</v>
          </cell>
          <cell r="I3164">
            <v>0</v>
          </cell>
          <cell r="J3164">
            <v>1</v>
          </cell>
          <cell r="K3164">
            <v>0</v>
          </cell>
          <cell r="L3164">
            <v>1</v>
          </cell>
        </row>
        <row r="3165">
          <cell r="A3165" t="str">
            <v>20497.05837</v>
          </cell>
          <cell r="B3165" t="str">
            <v>LANTERNE</v>
          </cell>
          <cell r="C3165" t="str">
            <v>WARMAN E063 TYPE 10/8 ES</v>
          </cell>
          <cell r="D3165" t="str">
            <v>PE</v>
          </cell>
          <cell r="E3165" t="str">
            <v>515.51517</v>
          </cell>
          <cell r="F3165">
            <v>4124.6031999999996</v>
          </cell>
          <cell r="G3165">
            <v>0</v>
          </cell>
          <cell r="H3165">
            <v>0</v>
          </cell>
          <cell r="I3165">
            <v>0</v>
          </cell>
          <cell r="J3165">
            <v>0</v>
          </cell>
          <cell r="K3165">
            <v>0</v>
          </cell>
          <cell r="L3165">
            <v>1</v>
          </cell>
        </row>
        <row r="3166">
          <cell r="A3166" t="str">
            <v>20497.05180</v>
          </cell>
          <cell r="B3166" t="str">
            <v>BOULON DU DEMI CORPS</v>
          </cell>
          <cell r="C3166" t="str">
            <v>WARMAN E034M-C22</v>
          </cell>
          <cell r="D3166" t="str">
            <v>PE</v>
          </cell>
          <cell r="E3166" t="str">
            <v>515.51517</v>
          </cell>
          <cell r="F3166">
            <v>4412.4143999999997</v>
          </cell>
          <cell r="G3166">
            <v>0</v>
          </cell>
          <cell r="H3166">
            <v>0</v>
          </cell>
          <cell r="I3166">
            <v>0</v>
          </cell>
          <cell r="J3166">
            <v>0</v>
          </cell>
          <cell r="K3166">
            <v>2</v>
          </cell>
          <cell r="L3166">
            <v>0</v>
          </cell>
        </row>
        <row r="3167">
          <cell r="A3167" t="str">
            <v>20497.11200</v>
          </cell>
          <cell r="B3167" t="str">
            <v>ARBRE</v>
          </cell>
          <cell r="C3167" t="str">
            <v>WARMAN EEAM073ME05</v>
          </cell>
          <cell r="D3167" t="str">
            <v>PE</v>
          </cell>
          <cell r="E3167" t="str">
            <v>515.51517</v>
          </cell>
          <cell r="F3167">
            <v>7602.9011</v>
          </cell>
          <cell r="G3167">
            <v>0</v>
          </cell>
          <cell r="H3167">
            <v>0</v>
          </cell>
          <cell r="I3167">
            <v>0</v>
          </cell>
          <cell r="J3167">
            <v>0</v>
          </cell>
          <cell r="K3167">
            <v>0</v>
          </cell>
          <cell r="L3167">
            <v>1</v>
          </cell>
        </row>
        <row r="3168">
          <cell r="A3168" t="str">
            <v>20497.00003</v>
          </cell>
          <cell r="B3168" t="str">
            <v>JEU DE CLAPETS A LAMELLES DE REFOULEMENT</v>
          </cell>
          <cell r="C3168" t="str">
            <v>HIBON R252120100 P/POMPE A VIDE BQC EDWARDS TYPE AL 70</v>
          </cell>
          <cell r="D3168" t="str">
            <v>PE</v>
          </cell>
          <cell r="E3168" t="str">
            <v>515.51503</v>
          </cell>
          <cell r="F3168">
            <v>5026.1220999999996</v>
          </cell>
          <cell r="G3168">
            <v>0</v>
          </cell>
          <cell r="H3168">
            <v>0</v>
          </cell>
          <cell r="I3168">
            <v>0</v>
          </cell>
          <cell r="J3168">
            <v>0</v>
          </cell>
          <cell r="K3168">
            <v>0</v>
          </cell>
          <cell r="L3168">
            <v>4</v>
          </cell>
        </row>
        <row r="3169">
          <cell r="A3169" t="str">
            <v>20497.04579</v>
          </cell>
          <cell r="B3169" t="str">
            <v>JOINT IMPULSEUR</v>
          </cell>
          <cell r="C3169" t="str">
            <v>WARMAN F064-S10</v>
          </cell>
          <cell r="D3169" t="str">
            <v>PE</v>
          </cell>
          <cell r="E3169" t="str">
            <v>515.51517</v>
          </cell>
          <cell r="F3169">
            <v>76.228099999999998</v>
          </cell>
          <cell r="G3169">
            <v>0</v>
          </cell>
          <cell r="H3169">
            <v>0</v>
          </cell>
          <cell r="I3169">
            <v>0</v>
          </cell>
          <cell r="J3169">
            <v>1</v>
          </cell>
          <cell r="K3169">
            <v>0</v>
          </cell>
          <cell r="L3169">
            <v>11</v>
          </cell>
        </row>
        <row r="3170">
          <cell r="A3170" t="str">
            <v>20497.04482</v>
          </cell>
          <cell r="B3170" t="str">
            <v>SABOT DE FIXATION</v>
          </cell>
          <cell r="C3170" t="str">
            <v>HIBON B534005297 P/POMPE TYPE AL 140</v>
          </cell>
          <cell r="D3170" t="str">
            <v>PE</v>
          </cell>
          <cell r="E3170" t="str">
            <v>515.51503</v>
          </cell>
          <cell r="F3170">
            <v>438.83870000000002</v>
          </cell>
          <cell r="G3170">
            <v>0</v>
          </cell>
          <cell r="H3170">
            <v>0</v>
          </cell>
          <cell r="I3170">
            <v>0</v>
          </cell>
          <cell r="J3170">
            <v>0</v>
          </cell>
          <cell r="K3170">
            <v>15</v>
          </cell>
          <cell r="L3170">
            <v>24</v>
          </cell>
        </row>
        <row r="3171">
          <cell r="A3171" t="str">
            <v>20497.04485</v>
          </cell>
          <cell r="B3171" t="str">
            <v>DOIGT D'ARRET DE ROULEMEN</v>
          </cell>
          <cell r="C3171" t="str">
            <v>HIBON P534003248 P/POMPE TYPE AL 140</v>
          </cell>
          <cell r="D3171" t="str">
            <v>PE</v>
          </cell>
          <cell r="E3171" t="str">
            <v>515.51503</v>
          </cell>
          <cell r="F3171">
            <v>118.8403</v>
          </cell>
          <cell r="G3171">
            <v>0</v>
          </cell>
          <cell r="H3171">
            <v>0</v>
          </cell>
          <cell r="I3171">
            <v>0</v>
          </cell>
          <cell r="J3171">
            <v>0</v>
          </cell>
          <cell r="K3171">
            <v>0</v>
          </cell>
          <cell r="L3171">
            <v>2</v>
          </cell>
        </row>
        <row r="3172">
          <cell r="A3172" t="str">
            <v>20497.04486</v>
          </cell>
          <cell r="B3172" t="str">
            <v>RONDELLE DE REGLAGE</v>
          </cell>
          <cell r="C3172" t="str">
            <v>HIBON P534004308 P/POMPE TYPE AL 140</v>
          </cell>
          <cell r="D3172" t="str">
            <v>PE</v>
          </cell>
          <cell r="E3172" t="str">
            <v>515.51503</v>
          </cell>
          <cell r="F3172">
            <v>142.66820000000001</v>
          </cell>
          <cell r="G3172">
            <v>0</v>
          </cell>
          <cell r="H3172">
            <v>0</v>
          </cell>
          <cell r="I3172">
            <v>0</v>
          </cell>
          <cell r="J3172">
            <v>0</v>
          </cell>
          <cell r="K3172">
            <v>5</v>
          </cell>
          <cell r="L3172">
            <v>7</v>
          </cell>
        </row>
        <row r="3173">
          <cell r="A3173" t="str">
            <v>20497.04488</v>
          </cell>
          <cell r="B3173" t="str">
            <v>COUVERCLE DE SORTIE ARBRE</v>
          </cell>
          <cell r="C3173" t="str">
            <v>HIBON P544001218 P/POMPE TYPE AL 140</v>
          </cell>
          <cell r="D3173" t="str">
            <v>PE</v>
          </cell>
          <cell r="E3173" t="str">
            <v>515.51503</v>
          </cell>
          <cell r="F3173">
            <v>5090.8535000000002</v>
          </cell>
          <cell r="G3173">
            <v>0</v>
          </cell>
          <cell r="H3173">
            <v>0</v>
          </cell>
          <cell r="I3173">
            <v>0</v>
          </cell>
          <cell r="J3173">
            <v>0</v>
          </cell>
          <cell r="K3173">
            <v>1</v>
          </cell>
          <cell r="L3173">
            <v>1</v>
          </cell>
        </row>
        <row r="3174">
          <cell r="A3174" t="str">
            <v>20497.04494</v>
          </cell>
          <cell r="B3174" t="str">
            <v>CONTRE ECROU OPP COMMANDE</v>
          </cell>
          <cell r="C3174" t="str">
            <v>HIBON P544015805 P/POMPE TYPE AL 140</v>
          </cell>
          <cell r="D3174" t="str">
            <v>PE</v>
          </cell>
          <cell r="E3174" t="str">
            <v>515.51503</v>
          </cell>
          <cell r="F3174">
            <v>1574.7574999999999</v>
          </cell>
          <cell r="G3174">
            <v>0</v>
          </cell>
          <cell r="H3174">
            <v>0</v>
          </cell>
          <cell r="I3174">
            <v>0</v>
          </cell>
          <cell r="J3174">
            <v>0</v>
          </cell>
          <cell r="K3174">
            <v>5</v>
          </cell>
          <cell r="L3174">
            <v>6</v>
          </cell>
        </row>
        <row r="3175">
          <cell r="A3175" t="str">
            <v>20497.03642</v>
          </cell>
          <cell r="B3175" t="str">
            <v>FOULOIR EN 2 PIECES</v>
          </cell>
          <cell r="C3175" t="str">
            <v>WARMAN D044-K24 TYPE 4/3 DAH-A05A/A05/LF/6/4 DAHR  ET  6/4 DD-S</v>
          </cell>
          <cell r="D3175" t="str">
            <v>PE</v>
          </cell>
          <cell r="E3175" t="str">
            <v>515.51517</v>
          </cell>
          <cell r="F3175">
            <v>3347.5545000000002</v>
          </cell>
          <cell r="G3175">
            <v>0</v>
          </cell>
          <cell r="H3175">
            <v>0</v>
          </cell>
          <cell r="I3175">
            <v>0</v>
          </cell>
          <cell r="J3175">
            <v>0</v>
          </cell>
          <cell r="K3175">
            <v>0</v>
          </cell>
          <cell r="L3175">
            <v>1</v>
          </cell>
        </row>
        <row r="3176">
          <cell r="A3176" t="str">
            <v>20497.03644</v>
          </cell>
          <cell r="B3176" t="str">
            <v>BAGUE DE FOND</v>
          </cell>
          <cell r="C3176" t="str">
            <v>WARMAN D067-E62 TYPE 4/3 DAH-A05A/A05/LF</v>
          </cell>
          <cell r="D3176" t="str">
            <v>PE</v>
          </cell>
          <cell r="E3176" t="str">
            <v>515.51517</v>
          </cell>
          <cell r="F3176">
            <v>1934.8735999999999</v>
          </cell>
          <cell r="G3176">
            <v>0</v>
          </cell>
          <cell r="H3176">
            <v>0</v>
          </cell>
          <cell r="I3176">
            <v>0</v>
          </cell>
          <cell r="J3176">
            <v>0</v>
          </cell>
          <cell r="K3176">
            <v>0</v>
          </cell>
          <cell r="L3176">
            <v>1</v>
          </cell>
        </row>
        <row r="3177">
          <cell r="A3177" t="str">
            <v>20497.03647</v>
          </cell>
          <cell r="B3177" t="str">
            <v>JOINT TORIQUE</v>
          </cell>
          <cell r="C3177" t="str">
            <v>WARMAN D109-S10 TYPE 4/3 DAH-A05A/A05/LF/6/4 DAHR  ET  6/4 DD-S</v>
          </cell>
          <cell r="D3177" t="str">
            <v>PE</v>
          </cell>
          <cell r="E3177" t="str">
            <v>515.51517</v>
          </cell>
          <cell r="F3177">
            <v>95.157700000000006</v>
          </cell>
          <cell r="G3177">
            <v>0</v>
          </cell>
          <cell r="H3177">
            <v>0</v>
          </cell>
          <cell r="I3177">
            <v>0</v>
          </cell>
          <cell r="J3177">
            <v>2</v>
          </cell>
          <cell r="K3177">
            <v>0</v>
          </cell>
          <cell r="L3177">
            <v>8</v>
          </cell>
        </row>
        <row r="3178">
          <cell r="A3178" t="str">
            <v>20497.03648</v>
          </cell>
          <cell r="B3178" t="str">
            <v>TRESSE JEU DE 4</v>
          </cell>
          <cell r="C3178" t="str">
            <v>WARMAN D111-Q05A TYPE 4/3 DAH-A05A/A05/LF/6/4 DAHR</v>
          </cell>
          <cell r="D3178" t="str">
            <v>PE</v>
          </cell>
          <cell r="E3178" t="str">
            <v>515.51517</v>
          </cell>
          <cell r="F3178">
            <v>426.61290000000002</v>
          </cell>
          <cell r="G3178">
            <v>0</v>
          </cell>
          <cell r="H3178">
            <v>1</v>
          </cell>
          <cell r="I3178">
            <v>1</v>
          </cell>
          <cell r="J3178">
            <v>0</v>
          </cell>
          <cell r="K3178">
            <v>0</v>
          </cell>
          <cell r="L3178">
            <v>14</v>
          </cell>
        </row>
        <row r="3179">
          <cell r="A3179" t="str">
            <v>20525.00117</v>
          </cell>
          <cell r="B3179" t="str">
            <v>ROULEMENT A CONTACT OBLIQUE A 2 RANGEES DE BILLES</v>
          </cell>
          <cell r="C3179" t="str">
            <v>MRC 5310 MFF STEEL/C3/ABEC 1</v>
          </cell>
          <cell r="D3179" t="str">
            <v>PE</v>
          </cell>
          <cell r="E3179" t="str">
            <v>515.51515</v>
          </cell>
          <cell r="F3179">
            <v>404.8306</v>
          </cell>
          <cell r="G3179">
            <v>0</v>
          </cell>
          <cell r="H3179">
            <v>2</v>
          </cell>
          <cell r="I3179">
            <v>0</v>
          </cell>
          <cell r="J3179">
            <v>0</v>
          </cell>
          <cell r="K3179">
            <v>0</v>
          </cell>
          <cell r="L3179">
            <v>0</v>
          </cell>
        </row>
        <row r="3180">
          <cell r="A3180" t="str">
            <v>20492.09411</v>
          </cell>
          <cell r="B3180" t="str">
            <v>TRANSFORMATEUR</v>
          </cell>
          <cell r="C3180" t="str">
            <v>SOCOMEC 192 T 0530   TRB70  30/5A</v>
          </cell>
          <cell r="D3180" t="str">
            <v>PE</v>
          </cell>
          <cell r="E3180" t="str">
            <v>522.52206</v>
          </cell>
          <cell r="F3180">
            <v>248.52</v>
          </cell>
          <cell r="G3180">
            <v>0</v>
          </cell>
          <cell r="H3180">
            <v>0</v>
          </cell>
          <cell r="I3180">
            <v>0</v>
          </cell>
          <cell r="J3180">
            <v>0</v>
          </cell>
          <cell r="K3180">
            <v>0</v>
          </cell>
          <cell r="L3180">
            <v>0</v>
          </cell>
        </row>
        <row r="3181">
          <cell r="A3181" t="str">
            <v>20497.05471</v>
          </cell>
          <cell r="B3181" t="str">
            <v>JOINT TORIQUE D'IMPULSEUR</v>
          </cell>
          <cell r="C3181" t="str">
            <v>WARMAN F109S10</v>
          </cell>
          <cell r="D3181" t="str">
            <v>PE</v>
          </cell>
          <cell r="E3181" t="str">
            <v>515.51517</v>
          </cell>
          <cell r="F3181">
            <v>14.33</v>
          </cell>
          <cell r="G3181">
            <v>0</v>
          </cell>
          <cell r="H3181">
            <v>0</v>
          </cell>
          <cell r="I3181">
            <v>0</v>
          </cell>
          <cell r="J3181">
            <v>0</v>
          </cell>
          <cell r="K3181">
            <v>1</v>
          </cell>
          <cell r="L3181">
            <v>4</v>
          </cell>
        </row>
        <row r="3182">
          <cell r="A3182" t="str">
            <v>20497.05472</v>
          </cell>
          <cell r="B3182" t="str">
            <v>JOINT D'ETANCHEITE REP. 10</v>
          </cell>
          <cell r="C3182" t="str">
            <v>WARMAN F122-R11A  TYPE 10/8FM</v>
          </cell>
          <cell r="D3182" t="str">
            <v>PE</v>
          </cell>
          <cell r="E3182" t="str">
            <v>515.51517</v>
          </cell>
          <cell r="F3182">
            <v>345.31939999999997</v>
          </cell>
          <cell r="G3182">
            <v>0</v>
          </cell>
          <cell r="H3182">
            <v>0</v>
          </cell>
          <cell r="I3182">
            <v>0</v>
          </cell>
          <cell r="J3182">
            <v>0</v>
          </cell>
          <cell r="K3182">
            <v>1</v>
          </cell>
          <cell r="L3182">
            <v>0</v>
          </cell>
        </row>
        <row r="3183">
          <cell r="A3183" t="str">
            <v>20497.05473</v>
          </cell>
          <cell r="B3183" t="str">
            <v>PLAQUE ARRIERE REP. 12</v>
          </cell>
          <cell r="C3183" t="str">
            <v>WARMAN F8041M-A05A  TYPE 10/8FM</v>
          </cell>
          <cell r="D3183" t="str">
            <v>PE</v>
          </cell>
          <cell r="E3183" t="str">
            <v>515.51517</v>
          </cell>
          <cell r="F3183">
            <v>25529.239699999998</v>
          </cell>
          <cell r="G3183">
            <v>0</v>
          </cell>
          <cell r="H3183">
            <v>0</v>
          </cell>
          <cell r="I3183">
            <v>0</v>
          </cell>
          <cell r="J3183">
            <v>0</v>
          </cell>
          <cell r="K3183">
            <v>0</v>
          </cell>
          <cell r="L3183">
            <v>0</v>
          </cell>
        </row>
        <row r="3184">
          <cell r="A3184" t="str">
            <v>20497.05476</v>
          </cell>
          <cell r="B3184" t="str">
            <v>IMPULSEUR REP. 18</v>
          </cell>
          <cell r="C3184" t="str">
            <v>WARMAN F8147-AD5A  TYPE 10/8FM</v>
          </cell>
          <cell r="D3184" t="str">
            <v>PE</v>
          </cell>
          <cell r="E3184" t="str">
            <v>515.51517</v>
          </cell>
          <cell r="F3184">
            <v>50961.373099999997</v>
          </cell>
          <cell r="G3184">
            <v>0</v>
          </cell>
          <cell r="H3184">
            <v>0</v>
          </cell>
          <cell r="I3184">
            <v>0</v>
          </cell>
          <cell r="J3184">
            <v>0</v>
          </cell>
          <cell r="K3184">
            <v>1</v>
          </cell>
          <cell r="L3184">
            <v>0</v>
          </cell>
        </row>
        <row r="3185">
          <cell r="A3185" t="str">
            <v>20492.12572</v>
          </cell>
          <cell r="B3185" t="str">
            <v>ELEMENT FILTRE A HUILE</v>
          </cell>
          <cell r="C3185" t="str">
            <v>INTERNORMEN 301933</v>
          </cell>
          <cell r="D3185" t="str">
            <v>PE</v>
          </cell>
          <cell r="E3185" t="str">
            <v>515.51506</v>
          </cell>
          <cell r="F3185">
            <v>2206.36</v>
          </cell>
          <cell r="G3185">
            <v>0</v>
          </cell>
          <cell r="H3185">
            <v>0</v>
          </cell>
          <cell r="I3185">
            <v>0</v>
          </cell>
          <cell r="J3185">
            <v>2</v>
          </cell>
          <cell r="K3185">
            <v>1</v>
          </cell>
          <cell r="L3185">
            <v>1</v>
          </cell>
        </row>
        <row r="3186">
          <cell r="A3186" t="str">
            <v>20492.14001</v>
          </cell>
          <cell r="B3186" t="str">
            <v>FILTRE DU SYSTEME DE LUBRIFICATION DE REDUCTEUR</v>
          </cell>
          <cell r="C3186" t="str">
            <v>METSO FILTRE DU SYSTEME DE LUBRIFICATION DE REDUCTEUR</v>
          </cell>
          <cell r="D3186" t="str">
            <v>PE</v>
          </cell>
          <cell r="E3186" t="str">
            <v>522.52207</v>
          </cell>
          <cell r="F3186">
            <v>4345.2493000000004</v>
          </cell>
          <cell r="G3186">
            <v>0</v>
          </cell>
          <cell r="H3186">
            <v>0</v>
          </cell>
          <cell r="I3186">
            <v>0</v>
          </cell>
          <cell r="J3186">
            <v>0</v>
          </cell>
          <cell r="K3186">
            <v>0</v>
          </cell>
          <cell r="L3186">
            <v>7</v>
          </cell>
        </row>
        <row r="3187">
          <cell r="A3187" t="str">
            <v>20492.14002</v>
          </cell>
          <cell r="B3187" t="str">
            <v>KIT DE MAINTENNANCE DU SYSTEME PNEUMATIQUE</v>
          </cell>
          <cell r="C3187" t="str">
            <v>METSO AG.0007.400256</v>
          </cell>
          <cell r="D3187" t="str">
            <v>PE</v>
          </cell>
          <cell r="E3187" t="str">
            <v>522.52207</v>
          </cell>
          <cell r="F3187">
            <v>61199.226799999997</v>
          </cell>
          <cell r="G3187">
            <v>0</v>
          </cell>
          <cell r="H3187">
            <v>0</v>
          </cell>
          <cell r="I3187">
            <v>0</v>
          </cell>
          <cell r="J3187">
            <v>0</v>
          </cell>
          <cell r="K3187">
            <v>0</v>
          </cell>
          <cell r="L3187">
            <v>1</v>
          </cell>
        </row>
        <row r="3188">
          <cell r="A3188" t="str">
            <v>20492.14003</v>
          </cell>
          <cell r="B3188" t="str">
            <v>KIT DE MAINTENNANCE DU SYSTEME D'AROSAGE DE L'ENGRENAGE</v>
          </cell>
          <cell r="C3188" t="str">
            <v>METSO BK-01</v>
          </cell>
          <cell r="D3188" t="str">
            <v>PE</v>
          </cell>
          <cell r="E3188" t="str">
            <v>522.52207</v>
          </cell>
          <cell r="F3188">
            <v>36274.493600000002</v>
          </cell>
          <cell r="G3188">
            <v>0</v>
          </cell>
          <cell r="H3188">
            <v>0</v>
          </cell>
          <cell r="I3188">
            <v>0</v>
          </cell>
          <cell r="J3188">
            <v>0</v>
          </cell>
          <cell r="K3188">
            <v>0</v>
          </cell>
          <cell r="L3188">
            <v>0</v>
          </cell>
        </row>
        <row r="3189">
          <cell r="A3189" t="str">
            <v>20492.14004</v>
          </cell>
          <cell r="B3189" t="str">
            <v>KIT DE MAINTENNANCE DE LA MOTO-POMPEU SYSTEME D'AROSAGE DE L'ENGRENAGE</v>
          </cell>
          <cell r="C3189" t="str">
            <v>METSO PEN 56F</v>
          </cell>
          <cell r="D3189" t="str">
            <v>PE</v>
          </cell>
          <cell r="E3189" t="str">
            <v>522.52207</v>
          </cell>
          <cell r="F3189">
            <v>40677.823900000003</v>
          </cell>
          <cell r="G3189">
            <v>0</v>
          </cell>
          <cell r="H3189">
            <v>0</v>
          </cell>
          <cell r="I3189">
            <v>0</v>
          </cell>
          <cell r="J3189">
            <v>0</v>
          </cell>
          <cell r="K3189">
            <v>0</v>
          </cell>
          <cell r="L3189">
            <v>1</v>
          </cell>
        </row>
        <row r="3190">
          <cell r="A3190" t="str">
            <v>20492.00571</v>
          </cell>
          <cell r="B3190" t="str">
            <v>REGULATEUR DE TENSION</v>
          </cell>
          <cell r="C3190" t="str">
            <v>MEAN WELL TYPE: DRP-480-24  200-240VAC - 24VDC - 20A</v>
          </cell>
          <cell r="D3190" t="str">
            <v>PE</v>
          </cell>
          <cell r="E3190" t="str">
            <v>512.51201</v>
          </cell>
          <cell r="F3190">
            <v>4563.9359999999997</v>
          </cell>
          <cell r="G3190">
            <v>0</v>
          </cell>
          <cell r="H3190">
            <v>0</v>
          </cell>
          <cell r="I3190">
            <v>0</v>
          </cell>
          <cell r="J3190">
            <v>0</v>
          </cell>
          <cell r="K3190">
            <v>0</v>
          </cell>
          <cell r="L3190">
            <v>0</v>
          </cell>
        </row>
        <row r="3191">
          <cell r="A3191" t="str">
            <v>20492.01474</v>
          </cell>
          <cell r="B3191" t="str">
            <v>CARTE PT100</v>
          </cell>
          <cell r="C3191" t="str">
            <v>VACON OPT-B8  4-20MA  P/VARIATEUR NXP ET NXS</v>
          </cell>
          <cell r="D3191" t="str">
            <v>PE</v>
          </cell>
          <cell r="E3191" t="str">
            <v>522.52206</v>
          </cell>
          <cell r="F3191">
            <v>3934.32</v>
          </cell>
          <cell r="G3191">
            <v>0</v>
          </cell>
          <cell r="H3191">
            <v>0</v>
          </cell>
          <cell r="I3191">
            <v>0</v>
          </cell>
          <cell r="J3191">
            <v>0</v>
          </cell>
          <cell r="K3191">
            <v>0</v>
          </cell>
          <cell r="L3191">
            <v>4</v>
          </cell>
        </row>
        <row r="3192">
          <cell r="A3192" t="str">
            <v>20492.13522</v>
          </cell>
          <cell r="B3192" t="str">
            <v xml:space="preserve">RELAIS DE RECHAUFFAGE 12V-12A  </v>
          </cell>
          <cell r="C3192" t="str">
            <v>FINDER REF:56,42,90,12</v>
          </cell>
          <cell r="D3192" t="str">
            <v>PE</v>
          </cell>
          <cell r="E3192" t="str">
            <v>512.51201</v>
          </cell>
          <cell r="F3192">
            <v>342</v>
          </cell>
          <cell r="G3192">
            <v>0</v>
          </cell>
          <cell r="H3192">
            <v>0</v>
          </cell>
          <cell r="I3192">
            <v>0</v>
          </cell>
          <cell r="J3192">
            <v>0</v>
          </cell>
          <cell r="K3192">
            <v>0</v>
          </cell>
          <cell r="L3192">
            <v>0</v>
          </cell>
        </row>
        <row r="3193">
          <cell r="A3193" t="str">
            <v>20492.13523</v>
          </cell>
          <cell r="B3193" t="str">
            <v xml:space="preserve">RELAIS 12V-1,25A  </v>
          </cell>
          <cell r="C3193" t="str">
            <v>FINDER REF:30,22,7,012,0010</v>
          </cell>
          <cell r="D3193" t="str">
            <v>PE</v>
          </cell>
          <cell r="E3193" t="str">
            <v>512.51201</v>
          </cell>
          <cell r="F3193">
            <v>138</v>
          </cell>
          <cell r="G3193">
            <v>0</v>
          </cell>
          <cell r="H3193">
            <v>0</v>
          </cell>
          <cell r="I3193">
            <v>0</v>
          </cell>
          <cell r="J3193">
            <v>0</v>
          </cell>
          <cell r="K3193">
            <v>0</v>
          </cell>
          <cell r="L3193">
            <v>0</v>
          </cell>
        </row>
        <row r="3194">
          <cell r="A3194" t="str">
            <v>20492.13524</v>
          </cell>
          <cell r="B3194" t="str">
            <v>RELAIS DE DEMARREUR 12V-10A</v>
          </cell>
          <cell r="C3194" t="str">
            <v>FINDER REF:40,51,90,12</v>
          </cell>
          <cell r="D3194" t="str">
            <v>PE</v>
          </cell>
          <cell r="E3194" t="str">
            <v>512.51201</v>
          </cell>
          <cell r="F3194">
            <v>120</v>
          </cell>
          <cell r="G3194">
            <v>0</v>
          </cell>
          <cell r="H3194">
            <v>0</v>
          </cell>
          <cell r="I3194">
            <v>0</v>
          </cell>
          <cell r="J3194">
            <v>0</v>
          </cell>
          <cell r="K3194">
            <v>0</v>
          </cell>
          <cell r="L3194">
            <v>0</v>
          </cell>
        </row>
        <row r="3195">
          <cell r="A3195" t="str">
            <v>20492.13525</v>
          </cell>
          <cell r="B3195" t="str">
            <v xml:space="preserve">RELAIS 12V DC 7A </v>
          </cell>
          <cell r="C3195" t="str">
            <v>FINDER REF:55,34,9,012,0040</v>
          </cell>
          <cell r="D3195" t="str">
            <v>PE</v>
          </cell>
          <cell r="E3195" t="str">
            <v>522.52206</v>
          </cell>
          <cell r="F3195">
            <v>312</v>
          </cell>
          <cell r="G3195">
            <v>0</v>
          </cell>
          <cell r="H3195">
            <v>0</v>
          </cell>
          <cell r="I3195">
            <v>0</v>
          </cell>
          <cell r="J3195">
            <v>0</v>
          </cell>
          <cell r="K3195">
            <v>0</v>
          </cell>
          <cell r="L3195">
            <v>0</v>
          </cell>
        </row>
        <row r="3196">
          <cell r="A3196" t="str">
            <v>20492.00730</v>
          </cell>
          <cell r="B3196" t="str">
            <v>FILTRE</v>
          </cell>
          <cell r="C3196" t="str">
            <v>AAF DURAVEE XL 95 592X592X292 MM REF PN 2279498502</v>
          </cell>
          <cell r="D3196" t="str">
            <v>PE</v>
          </cell>
          <cell r="E3196" t="str">
            <v>515.51506</v>
          </cell>
          <cell r="F3196">
            <v>1311.3239000000001</v>
          </cell>
          <cell r="G3196">
            <v>0</v>
          </cell>
          <cell r="H3196">
            <v>0</v>
          </cell>
          <cell r="I3196">
            <v>0</v>
          </cell>
          <cell r="J3196">
            <v>0</v>
          </cell>
          <cell r="K3196">
            <v>0</v>
          </cell>
          <cell r="L3196">
            <v>0</v>
          </cell>
        </row>
        <row r="3197">
          <cell r="A3197" t="str">
            <v>20492.14000</v>
          </cell>
          <cell r="B3197" t="str">
            <v>PALIER DE PIGNON DROP-IN</v>
          </cell>
          <cell r="C3197" t="str">
            <v>METSO 05-054372</v>
          </cell>
          <cell r="D3197" t="str">
            <v>PE</v>
          </cell>
          <cell r="E3197" t="str">
            <v>522.52207</v>
          </cell>
          <cell r="F3197">
            <v>121468.33839999999</v>
          </cell>
          <cell r="G3197">
            <v>0</v>
          </cell>
          <cell r="H3197">
            <v>0</v>
          </cell>
          <cell r="I3197">
            <v>0</v>
          </cell>
          <cell r="J3197">
            <v>0</v>
          </cell>
          <cell r="K3197">
            <v>0</v>
          </cell>
          <cell r="L3197">
            <v>1</v>
          </cell>
        </row>
        <row r="3198">
          <cell r="A3198" t="str">
            <v>20492.12570</v>
          </cell>
          <cell r="B3198" t="str">
            <v>POMPE A MEMBRANE</v>
          </cell>
          <cell r="C3198" t="str">
            <v>M&amp;C TYPE N3KPE</v>
          </cell>
          <cell r="D3198" t="str">
            <v>PE</v>
          </cell>
          <cell r="E3198" t="str">
            <v>512.51201</v>
          </cell>
          <cell r="F3198">
            <v>4898</v>
          </cell>
          <cell r="G3198">
            <v>0</v>
          </cell>
          <cell r="H3198">
            <v>0</v>
          </cell>
          <cell r="I3198">
            <v>0</v>
          </cell>
          <cell r="J3198">
            <v>1</v>
          </cell>
          <cell r="K3198">
            <v>2</v>
          </cell>
          <cell r="L3198">
            <v>1</v>
          </cell>
        </row>
        <row r="3199">
          <cell r="A3199" t="str">
            <v>20492.12571</v>
          </cell>
          <cell r="B3199" t="str">
            <v>POMPE PERISTATIQUE</v>
          </cell>
          <cell r="C3199" t="str">
            <v>M&amp;C SR24,1</v>
          </cell>
          <cell r="D3199" t="str">
            <v>PE</v>
          </cell>
          <cell r="E3199" t="str">
            <v>512.51201</v>
          </cell>
          <cell r="F3199">
            <v>5200</v>
          </cell>
          <cell r="G3199">
            <v>0</v>
          </cell>
          <cell r="H3199">
            <v>0</v>
          </cell>
          <cell r="I3199">
            <v>0</v>
          </cell>
          <cell r="J3199">
            <v>0</v>
          </cell>
          <cell r="K3199">
            <v>0</v>
          </cell>
          <cell r="L3199">
            <v>0</v>
          </cell>
        </row>
        <row r="3200">
          <cell r="A3200" t="str">
            <v>20492.13526</v>
          </cell>
          <cell r="B3200" t="str">
            <v xml:space="preserve">RELAIS SECTEUR 12V-10A </v>
          </cell>
          <cell r="C3200" t="str">
            <v>FINDER REF:40,51,80,230</v>
          </cell>
          <cell r="D3200" t="str">
            <v>PE</v>
          </cell>
          <cell r="E3200" t="str">
            <v>512.51201</v>
          </cell>
          <cell r="F3200">
            <v>342</v>
          </cell>
          <cell r="G3200">
            <v>0</v>
          </cell>
          <cell r="H3200">
            <v>0</v>
          </cell>
          <cell r="I3200">
            <v>0</v>
          </cell>
          <cell r="J3200">
            <v>0</v>
          </cell>
          <cell r="K3200">
            <v>0</v>
          </cell>
          <cell r="L3200">
            <v>0</v>
          </cell>
        </row>
        <row r="3201">
          <cell r="A3201" t="str">
            <v>20492.13527</v>
          </cell>
          <cell r="B3201" t="str">
            <v>RELAIS 230V AC F</v>
          </cell>
          <cell r="C3201" t="str">
            <v>FINDER REF:40,52</v>
          </cell>
          <cell r="D3201" t="str">
            <v>PE</v>
          </cell>
          <cell r="E3201" t="str">
            <v>512.51201</v>
          </cell>
          <cell r="F3201">
            <v>300</v>
          </cell>
          <cell r="G3201">
            <v>0</v>
          </cell>
          <cell r="H3201">
            <v>0</v>
          </cell>
          <cell r="I3201">
            <v>0</v>
          </cell>
          <cell r="J3201">
            <v>0</v>
          </cell>
          <cell r="K3201">
            <v>0</v>
          </cell>
          <cell r="L3201">
            <v>0</v>
          </cell>
        </row>
        <row r="3202">
          <cell r="A3202" t="str">
            <v>20492.12562</v>
          </cell>
          <cell r="B3202" t="str">
            <v>FILTRE HYDROPHOBE</v>
          </cell>
          <cell r="C3202" t="str">
            <v>M&amp;C TYPE ACRO 50</v>
          </cell>
          <cell r="D3202" t="str">
            <v>PE</v>
          </cell>
          <cell r="E3202" t="str">
            <v>512.51201</v>
          </cell>
          <cell r="F3202">
            <v>554</v>
          </cell>
          <cell r="G3202">
            <v>0</v>
          </cell>
          <cell r="H3202">
            <v>0</v>
          </cell>
          <cell r="I3202">
            <v>0</v>
          </cell>
          <cell r="J3202">
            <v>0</v>
          </cell>
          <cell r="K3202">
            <v>2</v>
          </cell>
          <cell r="L3202">
            <v>2</v>
          </cell>
        </row>
        <row r="3203">
          <cell r="A3203" t="str">
            <v>20492.12563</v>
          </cell>
          <cell r="B3203" t="str">
            <v>ENSEMBLE COMPLET ORIFICE</v>
          </cell>
          <cell r="C3203" t="str">
            <v>M&amp;C SP2000H/DIL</v>
          </cell>
          <cell r="D3203" t="str">
            <v>PE</v>
          </cell>
          <cell r="E3203" t="str">
            <v>512.51201</v>
          </cell>
          <cell r="F3203">
            <v>4333.5244000000002</v>
          </cell>
          <cell r="G3203">
            <v>0</v>
          </cell>
          <cell r="H3203">
            <v>0</v>
          </cell>
          <cell r="I3203">
            <v>0</v>
          </cell>
          <cell r="J3203">
            <v>0</v>
          </cell>
          <cell r="K3203">
            <v>0</v>
          </cell>
          <cell r="L3203">
            <v>0</v>
          </cell>
        </row>
        <row r="3204">
          <cell r="A3204" t="str">
            <v>20525.00118</v>
          </cell>
          <cell r="B3204" t="str">
            <v>ROULEMENT A CONTACT OBLIQUE A 2 RANGEES DE BILLES</v>
          </cell>
          <cell r="C3204" t="str">
            <v>MRC 5313 MFF STEEL/C3/ABEC 1</v>
          </cell>
          <cell r="D3204" t="str">
            <v>PE</v>
          </cell>
          <cell r="E3204" t="str">
            <v>515.51515</v>
          </cell>
          <cell r="F3204">
            <v>768.37750000000005</v>
          </cell>
          <cell r="G3204">
            <v>0</v>
          </cell>
          <cell r="H3204">
            <v>0</v>
          </cell>
          <cell r="I3204">
            <v>0</v>
          </cell>
          <cell r="J3204">
            <v>1</v>
          </cell>
          <cell r="K3204">
            <v>0</v>
          </cell>
          <cell r="L3204">
            <v>3</v>
          </cell>
        </row>
        <row r="3205">
          <cell r="A3205" t="str">
            <v>20525.00119</v>
          </cell>
          <cell r="B3205" t="str">
            <v>ROULEMENT A CONTACT OBLIQUE A 2 RANGEES DE BILLES</v>
          </cell>
          <cell r="C3205" t="str">
            <v>MRC 5315 MFF STEEL/C3/ABEC 1</v>
          </cell>
          <cell r="D3205" t="str">
            <v>PE</v>
          </cell>
          <cell r="E3205" t="str">
            <v>515.51515</v>
          </cell>
          <cell r="F3205">
            <v>1552.1996999999999</v>
          </cell>
          <cell r="G3205">
            <v>0</v>
          </cell>
          <cell r="H3205">
            <v>0</v>
          </cell>
          <cell r="I3205">
            <v>0</v>
          </cell>
          <cell r="J3205">
            <v>0</v>
          </cell>
          <cell r="K3205">
            <v>2</v>
          </cell>
          <cell r="L3205">
            <v>0</v>
          </cell>
        </row>
        <row r="3206">
          <cell r="A3206" t="str">
            <v>20525.00207</v>
          </cell>
          <cell r="B3206" t="str">
            <v>PALIER LIBRE COMPLET</v>
          </cell>
          <cell r="C3206" t="str">
            <v>COOPER 02 BCFSAFC520 VET EX</v>
          </cell>
          <cell r="D3206" t="str">
            <v>PE</v>
          </cell>
          <cell r="E3206" t="str">
            <v>515.51515</v>
          </cell>
          <cell r="F3206">
            <v>20500.98</v>
          </cell>
          <cell r="G3206">
            <v>0</v>
          </cell>
          <cell r="H3206">
            <v>0</v>
          </cell>
          <cell r="I3206">
            <v>0</v>
          </cell>
          <cell r="J3206">
            <v>0</v>
          </cell>
          <cell r="K3206">
            <v>0</v>
          </cell>
          <cell r="L3206">
            <v>0</v>
          </cell>
        </row>
        <row r="3207">
          <cell r="A3207" t="str">
            <v>20525.00208</v>
          </cell>
          <cell r="B3207" t="str">
            <v>PALIER FIXE COMPLET</v>
          </cell>
          <cell r="C3207" t="str">
            <v>COOPER 02 BCFSAFC520 VET GR</v>
          </cell>
          <cell r="D3207" t="str">
            <v>PE</v>
          </cell>
          <cell r="E3207" t="str">
            <v>515.51515</v>
          </cell>
          <cell r="F3207">
            <v>21011.23</v>
          </cell>
          <cell r="G3207">
            <v>0</v>
          </cell>
          <cell r="H3207">
            <v>0</v>
          </cell>
          <cell r="I3207">
            <v>0</v>
          </cell>
          <cell r="J3207">
            <v>0</v>
          </cell>
          <cell r="K3207">
            <v>0</v>
          </cell>
          <cell r="L3207">
            <v>0</v>
          </cell>
        </row>
        <row r="3208">
          <cell r="A3208" t="str">
            <v>20525.00121</v>
          </cell>
          <cell r="B3208" t="str">
            <v>ROULEMENT</v>
          </cell>
          <cell r="C3208" t="str">
            <v>MRC 226M</v>
          </cell>
          <cell r="D3208" t="str">
            <v>PE</v>
          </cell>
          <cell r="E3208" t="str">
            <v>515.51515</v>
          </cell>
          <cell r="F3208">
            <v>6452.9349000000002</v>
          </cell>
          <cell r="G3208">
            <v>0</v>
          </cell>
          <cell r="H3208">
            <v>5</v>
          </cell>
          <cell r="I3208">
            <v>0</v>
          </cell>
          <cell r="J3208">
            <v>0</v>
          </cell>
          <cell r="K3208">
            <v>2</v>
          </cell>
          <cell r="L3208">
            <v>0</v>
          </cell>
        </row>
        <row r="3209">
          <cell r="A3209" t="str">
            <v>20599.00428</v>
          </cell>
          <cell r="B3209" t="str">
            <v>COUR.TRAPEZOIDALE ETROITE</v>
          </cell>
          <cell r="C3209" t="str">
            <v>COURROIE SPC 2800</v>
          </cell>
          <cell r="D3209" t="str">
            <v>PE</v>
          </cell>
          <cell r="E3209" t="str">
            <v>515.51515</v>
          </cell>
          <cell r="F3209">
            <v>260</v>
          </cell>
          <cell r="G3209">
            <v>0</v>
          </cell>
          <cell r="H3209">
            <v>0</v>
          </cell>
          <cell r="I3209">
            <v>0</v>
          </cell>
          <cell r="J3209">
            <v>0</v>
          </cell>
          <cell r="K3209">
            <v>0</v>
          </cell>
          <cell r="L3209">
            <v>8</v>
          </cell>
        </row>
        <row r="3210">
          <cell r="A3210" t="str">
            <v>20498.00885</v>
          </cell>
          <cell r="B3210" t="str">
            <v>ELECTRODE DE REFERENCE</v>
          </cell>
          <cell r="C3210" t="str">
            <v>MONSANTO 770-401</v>
          </cell>
          <cell r="D3210" t="str">
            <v>PE</v>
          </cell>
          <cell r="E3210" t="str">
            <v>522.52206</v>
          </cell>
          <cell r="F3210">
            <v>39995.0075</v>
          </cell>
          <cell r="G3210">
            <v>0</v>
          </cell>
          <cell r="H3210">
            <v>0</v>
          </cell>
          <cell r="I3210">
            <v>2</v>
          </cell>
          <cell r="J3210">
            <v>0</v>
          </cell>
          <cell r="K3210">
            <v>0</v>
          </cell>
          <cell r="L3210">
            <v>0</v>
          </cell>
        </row>
        <row r="3211">
          <cell r="A3211" t="str">
            <v>20498.02628</v>
          </cell>
          <cell r="B3211" t="str">
            <v>THERMOMETRE AVEC DOIGT DE GANT</v>
          </cell>
          <cell r="C3211" t="str">
            <v>PYROCONTROLE PLAN N°3 LONG 190mm ECHELLE 0-50°C</v>
          </cell>
          <cell r="D3211" t="str">
            <v>PE</v>
          </cell>
          <cell r="E3211" t="str">
            <v>512.51201</v>
          </cell>
          <cell r="F3211">
            <v>4752</v>
          </cell>
          <cell r="G3211">
            <v>0</v>
          </cell>
          <cell r="H3211">
            <v>0</v>
          </cell>
          <cell r="I3211">
            <v>0</v>
          </cell>
          <cell r="J3211">
            <v>0</v>
          </cell>
          <cell r="K3211">
            <v>0</v>
          </cell>
          <cell r="L3211">
            <v>2</v>
          </cell>
        </row>
        <row r="3212">
          <cell r="A3212" t="str">
            <v>20498.02629</v>
          </cell>
          <cell r="B3212" t="str">
            <v>DOIGT DE GANT</v>
          </cell>
          <cell r="C3212" t="str">
            <v xml:space="preserve">PYROCONTROLE PLAN N°5 LONG 610mm </v>
          </cell>
          <cell r="D3212" t="str">
            <v>PE</v>
          </cell>
          <cell r="E3212" t="str">
            <v>512.51201</v>
          </cell>
          <cell r="F3212">
            <v>6035</v>
          </cell>
          <cell r="G3212">
            <v>0</v>
          </cell>
          <cell r="H3212">
            <v>0</v>
          </cell>
          <cell r="I3212">
            <v>0</v>
          </cell>
          <cell r="J3212">
            <v>0</v>
          </cell>
          <cell r="K3212">
            <v>0</v>
          </cell>
          <cell r="L3212">
            <v>1</v>
          </cell>
        </row>
        <row r="3213">
          <cell r="A3213" t="str">
            <v>20498.02636</v>
          </cell>
          <cell r="B3213" t="str">
            <v>DOIGT DE GANT</v>
          </cell>
          <cell r="C3213" t="str">
            <v xml:space="preserve">PYROCONTROLE PLAN N°6 LONG 257mm </v>
          </cell>
          <cell r="D3213" t="str">
            <v>PE</v>
          </cell>
          <cell r="E3213" t="str">
            <v>512.51201</v>
          </cell>
          <cell r="F3213">
            <v>5712</v>
          </cell>
          <cell r="G3213">
            <v>1</v>
          </cell>
          <cell r="H3213">
            <v>0</v>
          </cell>
          <cell r="I3213">
            <v>0</v>
          </cell>
          <cell r="J3213">
            <v>0</v>
          </cell>
          <cell r="K3213">
            <v>1</v>
          </cell>
          <cell r="L3213">
            <v>0</v>
          </cell>
        </row>
        <row r="3214">
          <cell r="A3214" t="str">
            <v>20498.02642</v>
          </cell>
          <cell r="B3214" t="str">
            <v>DOIGT DE GANT</v>
          </cell>
          <cell r="C3214" t="str">
            <v>PYROCONTROLE PLAN N°7 LONG 254mm ANSI 900</v>
          </cell>
          <cell r="D3214" t="str">
            <v>PE</v>
          </cell>
          <cell r="E3214" t="str">
            <v>512.51201</v>
          </cell>
          <cell r="F3214">
            <v>4454</v>
          </cell>
          <cell r="G3214">
            <v>0</v>
          </cell>
          <cell r="H3214">
            <v>0</v>
          </cell>
          <cell r="I3214">
            <v>0</v>
          </cell>
          <cell r="J3214">
            <v>0</v>
          </cell>
          <cell r="K3214">
            <v>2</v>
          </cell>
          <cell r="L3214">
            <v>1</v>
          </cell>
        </row>
        <row r="3215">
          <cell r="A3215" t="str">
            <v>20498.02624</v>
          </cell>
          <cell r="B3215" t="str">
            <v>THERMOMETRE AVEC DOIGT DE GANT</v>
          </cell>
          <cell r="C3215" t="str">
            <v>PYROCONTROLE PLAN N°2 LONG 254mm ECHELLE 0-200°C</v>
          </cell>
          <cell r="D3215" t="str">
            <v>PE</v>
          </cell>
          <cell r="E3215" t="str">
            <v>512.51201</v>
          </cell>
          <cell r="F3215">
            <v>2079</v>
          </cell>
          <cell r="G3215">
            <v>0</v>
          </cell>
          <cell r="H3215">
            <v>0</v>
          </cell>
          <cell r="I3215">
            <v>0</v>
          </cell>
          <cell r="J3215">
            <v>0</v>
          </cell>
          <cell r="K3215">
            <v>0</v>
          </cell>
          <cell r="L3215">
            <v>1</v>
          </cell>
        </row>
        <row r="3216">
          <cell r="A3216" t="str">
            <v>20498.02625</v>
          </cell>
          <cell r="B3216" t="str">
            <v>THERMOMETRE AVEC DOIGT DE GANT</v>
          </cell>
          <cell r="C3216" t="str">
            <v>PYROCONTROLE PLAN N°2 LONG 178mm ECHELLE 0-200°C</v>
          </cell>
          <cell r="D3216" t="str">
            <v>PE</v>
          </cell>
          <cell r="E3216" t="str">
            <v>512.51201</v>
          </cell>
          <cell r="F3216">
            <v>1841.4</v>
          </cell>
          <cell r="G3216">
            <v>0</v>
          </cell>
          <cell r="H3216">
            <v>1</v>
          </cell>
          <cell r="I3216">
            <v>0</v>
          </cell>
          <cell r="J3216">
            <v>0</v>
          </cell>
          <cell r="K3216">
            <v>0</v>
          </cell>
          <cell r="L3216">
            <v>0</v>
          </cell>
        </row>
        <row r="3217">
          <cell r="A3217" t="str">
            <v>20498.02626</v>
          </cell>
          <cell r="B3217" t="str">
            <v>THERMOMETRE AVEC DOIGT DE GANT</v>
          </cell>
          <cell r="C3217" t="str">
            <v>PYROCONTROLE PLAN N°2 LONG 254mm ECHELLE 0-500°C</v>
          </cell>
          <cell r="D3217" t="str">
            <v>PE</v>
          </cell>
          <cell r="E3217" t="str">
            <v>512.51201</v>
          </cell>
          <cell r="F3217">
            <v>2079</v>
          </cell>
          <cell r="G3217">
            <v>0</v>
          </cell>
          <cell r="H3217">
            <v>0</v>
          </cell>
          <cell r="I3217">
            <v>0</v>
          </cell>
          <cell r="J3217">
            <v>0</v>
          </cell>
          <cell r="K3217">
            <v>0</v>
          </cell>
          <cell r="L3217">
            <v>1</v>
          </cell>
        </row>
        <row r="3218">
          <cell r="A3218" t="str">
            <v>20498.02627</v>
          </cell>
          <cell r="B3218" t="str">
            <v>THERMOMETRE AVEC DOIGT DE GANT</v>
          </cell>
          <cell r="C3218" t="str">
            <v>PYROCONTROLE PLAN N°2 LONG 254mm ECHELLE 0-600°C</v>
          </cell>
          <cell r="D3218" t="str">
            <v>PE</v>
          </cell>
          <cell r="E3218" t="str">
            <v>512.51201</v>
          </cell>
          <cell r="F3218">
            <v>6528</v>
          </cell>
          <cell r="G3218">
            <v>0</v>
          </cell>
          <cell r="H3218">
            <v>0</v>
          </cell>
          <cell r="I3218">
            <v>0</v>
          </cell>
          <cell r="J3218">
            <v>0</v>
          </cell>
          <cell r="K3218">
            <v>0</v>
          </cell>
          <cell r="L3218">
            <v>1</v>
          </cell>
        </row>
        <row r="3219">
          <cell r="A3219" t="str">
            <v>20498.02406</v>
          </cell>
          <cell r="B3219" t="str">
            <v>INDICATEUR DE NIVEAU COMPLET AVEC SYSTEME D'ECLAIRAGE</v>
          </cell>
          <cell r="C3219" t="str">
            <v>CLARK-RELIANCE  FG1599</v>
          </cell>
          <cell r="D3219" t="str">
            <v>PE</v>
          </cell>
          <cell r="E3219" t="str">
            <v>512.51201</v>
          </cell>
          <cell r="F3219">
            <v>139010</v>
          </cell>
          <cell r="G3219">
            <v>0</v>
          </cell>
          <cell r="H3219">
            <v>0</v>
          </cell>
          <cell r="I3219">
            <v>2</v>
          </cell>
          <cell r="J3219">
            <v>0</v>
          </cell>
          <cell r="K3219">
            <v>0</v>
          </cell>
          <cell r="L3219">
            <v>0</v>
          </cell>
        </row>
        <row r="3220">
          <cell r="A3220" t="str">
            <v>20498.02407</v>
          </cell>
          <cell r="B3220" t="str">
            <v>POCHETTE DE REVISION COMPOSEE DES JOINTS  MICA ET GLACE P/INDICATEUR</v>
          </cell>
          <cell r="C3220" t="str">
            <v>CLARK-RELIANCE  SANS REF P/INDICATEUR  FG1599</v>
          </cell>
          <cell r="D3220" t="str">
            <v>PE</v>
          </cell>
          <cell r="E3220" t="str">
            <v>512.51201</v>
          </cell>
          <cell r="F3220">
            <v>7310</v>
          </cell>
          <cell r="G3220">
            <v>0</v>
          </cell>
          <cell r="H3220">
            <v>14</v>
          </cell>
          <cell r="I3220">
            <v>6</v>
          </cell>
          <cell r="J3220">
            <v>8</v>
          </cell>
          <cell r="K3220">
            <v>20</v>
          </cell>
          <cell r="L3220">
            <v>12</v>
          </cell>
        </row>
        <row r="3221">
          <cell r="A3221" t="str">
            <v>20498.02412</v>
          </cell>
          <cell r="B3221" t="str">
            <v>PRESSOSTAT DIFFERENTIEL</v>
          </cell>
          <cell r="C3221" t="str">
            <v>GEORGIN FD4M  10A/240VAC - 0.5A/110VCC</v>
          </cell>
          <cell r="D3221" t="str">
            <v>PE</v>
          </cell>
          <cell r="E3221" t="str">
            <v>512.51201</v>
          </cell>
          <cell r="F3221">
            <v>8300</v>
          </cell>
          <cell r="G3221">
            <v>0</v>
          </cell>
          <cell r="H3221">
            <v>0</v>
          </cell>
          <cell r="I3221">
            <v>0</v>
          </cell>
          <cell r="J3221">
            <v>0</v>
          </cell>
          <cell r="K3221">
            <v>1</v>
          </cell>
          <cell r="L3221">
            <v>1</v>
          </cell>
        </row>
        <row r="3222">
          <cell r="A3222" t="str">
            <v>20498.02413</v>
          </cell>
          <cell r="B3222" t="str">
            <v>PRESSOSTAT RELATIF</v>
          </cell>
          <cell r="C3222" t="str">
            <v>GEORGIN FP10TKX  5A/240VAC - 0.5A/130VCC</v>
          </cell>
          <cell r="D3222" t="str">
            <v>PE</v>
          </cell>
          <cell r="E3222" t="str">
            <v>512.51201</v>
          </cell>
          <cell r="F3222">
            <v>5236.6666999999998</v>
          </cell>
          <cell r="G3222">
            <v>0</v>
          </cell>
          <cell r="H3222">
            <v>0</v>
          </cell>
          <cell r="I3222">
            <v>1</v>
          </cell>
          <cell r="J3222">
            <v>1</v>
          </cell>
          <cell r="K3222">
            <v>0</v>
          </cell>
          <cell r="L3222">
            <v>1</v>
          </cell>
        </row>
        <row r="3223">
          <cell r="A3223" t="str">
            <v>20498.02414</v>
          </cell>
          <cell r="B3223" t="str">
            <v>PRESSOSTAT DIFFERENTIEL</v>
          </cell>
          <cell r="C3223" t="str">
            <v>GEORGIN FD6M  10A/240VAC - 0.5A/110VCC</v>
          </cell>
          <cell r="D3223" t="str">
            <v>PE</v>
          </cell>
          <cell r="E3223" t="str">
            <v>512.51201</v>
          </cell>
          <cell r="F3223">
            <v>8346</v>
          </cell>
          <cell r="G3223">
            <v>0</v>
          </cell>
          <cell r="H3223">
            <v>0</v>
          </cell>
          <cell r="I3223">
            <v>0</v>
          </cell>
          <cell r="J3223">
            <v>0</v>
          </cell>
          <cell r="K3223">
            <v>1</v>
          </cell>
          <cell r="L3223">
            <v>1</v>
          </cell>
        </row>
        <row r="3224">
          <cell r="A3224" t="str">
            <v>20498.02415</v>
          </cell>
          <cell r="B3224" t="str">
            <v>PRESSOSTAT RELATIF</v>
          </cell>
          <cell r="C3224" t="str">
            <v>GEORGIN FP10TSX  5A/240VAC - 0.5A/130VCC</v>
          </cell>
          <cell r="D3224" t="str">
            <v>PE</v>
          </cell>
          <cell r="E3224" t="str">
            <v>512.51201</v>
          </cell>
          <cell r="F3224">
            <v>6023.3333000000002</v>
          </cell>
          <cell r="G3224">
            <v>0</v>
          </cell>
          <cell r="H3224">
            <v>0</v>
          </cell>
          <cell r="I3224">
            <v>0</v>
          </cell>
          <cell r="J3224">
            <v>0</v>
          </cell>
          <cell r="K3224">
            <v>0</v>
          </cell>
          <cell r="L3224">
            <v>3</v>
          </cell>
        </row>
        <row r="3225">
          <cell r="A3225" t="str">
            <v>20498.02236</v>
          </cell>
          <cell r="B3225" t="str">
            <v>CONTROLEUR PCB</v>
          </cell>
          <cell r="C3225" t="str">
            <v>AKER REF 79665</v>
          </cell>
          <cell r="D3225" t="str">
            <v>PE</v>
          </cell>
          <cell r="E3225" t="str">
            <v>522.52206</v>
          </cell>
          <cell r="F3225">
            <v>50102.691599999998</v>
          </cell>
          <cell r="G3225">
            <v>0</v>
          </cell>
          <cell r="H3225">
            <v>0</v>
          </cell>
          <cell r="I3225">
            <v>0</v>
          </cell>
          <cell r="J3225">
            <v>0</v>
          </cell>
          <cell r="K3225">
            <v>0</v>
          </cell>
          <cell r="L3225">
            <v>0</v>
          </cell>
        </row>
        <row r="3226">
          <cell r="A3226" t="str">
            <v>20498.20700</v>
          </cell>
          <cell r="B3226" t="str">
            <v>MANCHON DE CATHODE</v>
          </cell>
          <cell r="C3226" t="str">
            <v>AKER  REF  105</v>
          </cell>
          <cell r="D3226" t="str">
            <v>PE</v>
          </cell>
          <cell r="E3226" t="str">
            <v>522.52206</v>
          </cell>
          <cell r="F3226">
            <v>6773.76</v>
          </cell>
          <cell r="G3226">
            <v>0</v>
          </cell>
          <cell r="H3226">
            <v>0</v>
          </cell>
          <cell r="I3226">
            <v>0</v>
          </cell>
          <cell r="J3226">
            <v>0</v>
          </cell>
          <cell r="K3226">
            <v>0</v>
          </cell>
          <cell r="L3226">
            <v>0</v>
          </cell>
        </row>
        <row r="3227">
          <cell r="A3227" t="str">
            <v>20498.20701</v>
          </cell>
          <cell r="B3227" t="str">
            <v>PRESSE-ETOUPE   INTERIEURE AVEC MANCHON</v>
          </cell>
          <cell r="C3227" t="str">
            <v>AKER  REF  201 C/W 206</v>
          </cell>
          <cell r="D3227" t="str">
            <v>PE</v>
          </cell>
          <cell r="E3227" t="str">
            <v>522.52206</v>
          </cell>
          <cell r="F3227">
            <v>4415.04</v>
          </cell>
          <cell r="G3227">
            <v>0</v>
          </cell>
          <cell r="H3227">
            <v>0</v>
          </cell>
          <cell r="I3227">
            <v>0</v>
          </cell>
          <cell r="J3227">
            <v>2</v>
          </cell>
          <cell r="K3227">
            <v>0</v>
          </cell>
          <cell r="L3227">
            <v>0</v>
          </cell>
        </row>
        <row r="3228">
          <cell r="A3228" t="str">
            <v>20498.02926</v>
          </cell>
          <cell r="B3228" t="str">
            <v>INDICATEUR DE NIVEAU</v>
          </cell>
          <cell r="C3228" t="str">
            <v>CLARK-RELIANCE  STI-10</v>
          </cell>
          <cell r="D3228" t="str">
            <v>PE</v>
          </cell>
          <cell r="E3228" t="str">
            <v>512.51201</v>
          </cell>
          <cell r="F3228">
            <v>20618.859199999999</v>
          </cell>
          <cell r="G3228">
            <v>0</v>
          </cell>
          <cell r="H3228">
            <v>0</v>
          </cell>
          <cell r="I3228">
            <v>0</v>
          </cell>
          <cell r="J3228">
            <v>0</v>
          </cell>
          <cell r="K3228">
            <v>0</v>
          </cell>
          <cell r="L3228">
            <v>2</v>
          </cell>
        </row>
        <row r="3229">
          <cell r="A3229" t="str">
            <v>20498.20696</v>
          </cell>
          <cell r="B3229" t="str">
            <v>BOUCHON AVEC BROCHE</v>
          </cell>
          <cell r="C3229" t="str">
            <v>AKER  REF  103 C/W 102</v>
          </cell>
          <cell r="D3229" t="str">
            <v>PE</v>
          </cell>
          <cell r="E3229" t="str">
            <v>522.52206</v>
          </cell>
          <cell r="F3229">
            <v>705.6</v>
          </cell>
          <cell r="G3229">
            <v>0</v>
          </cell>
          <cell r="H3229">
            <v>0</v>
          </cell>
          <cell r="I3229">
            <v>0</v>
          </cell>
          <cell r="J3229">
            <v>0</v>
          </cell>
          <cell r="K3229">
            <v>0</v>
          </cell>
          <cell r="L3229">
            <v>1</v>
          </cell>
        </row>
        <row r="3230">
          <cell r="A3230" t="str">
            <v>20499.20750</v>
          </cell>
          <cell r="B3230" t="str">
            <v xml:space="preserve">VANNE A PASSAGE DIRECT </v>
          </cell>
          <cell r="C3230" t="str">
            <v>FLOWSERVE SERIE  373 DN 1"1/2 BRIDEECLASSE 600CORPS EN A105 TIGE ET COIN 13% CR SIEGE HFRATING 1480</v>
          </cell>
          <cell r="D3230" t="str">
            <v>PE</v>
          </cell>
          <cell r="E3230" t="str">
            <v>515.51511</v>
          </cell>
          <cell r="F3230">
            <v>1184</v>
          </cell>
          <cell r="G3230">
            <v>0</v>
          </cell>
          <cell r="H3230">
            <v>0</v>
          </cell>
          <cell r="I3230">
            <v>0</v>
          </cell>
          <cell r="J3230">
            <v>0</v>
          </cell>
          <cell r="K3230">
            <v>0</v>
          </cell>
          <cell r="L3230">
            <v>1</v>
          </cell>
        </row>
        <row r="3231">
          <cell r="A3231" t="str">
            <v>20499.20751</v>
          </cell>
          <cell r="B3231" t="str">
            <v xml:space="preserve">CLAPET DE NON RETOUR A DOUBLE BATTANTS </v>
          </cell>
          <cell r="C3231" t="str">
            <v xml:space="preserve">TYCO BELGICAST MODEL C DN300 PN10/16 ECARTEMENT 114MM CORPS ET BATTANT INOX 316L RESSORT INCONEL X JOINT EPDM </v>
          </cell>
          <cell r="D3231" t="str">
            <v>PE</v>
          </cell>
          <cell r="E3231" t="str">
            <v>515.51511</v>
          </cell>
          <cell r="F3231">
            <v>20173</v>
          </cell>
          <cell r="G3231">
            <v>0</v>
          </cell>
          <cell r="H3231">
            <v>0</v>
          </cell>
          <cell r="I3231">
            <v>0</v>
          </cell>
          <cell r="J3231">
            <v>0</v>
          </cell>
          <cell r="K3231">
            <v>0</v>
          </cell>
          <cell r="L3231">
            <v>1</v>
          </cell>
        </row>
        <row r="3232">
          <cell r="A3232" t="str">
            <v>20499.20752</v>
          </cell>
          <cell r="B3232" t="str">
            <v xml:space="preserve">VANNE A PASSAGE DIRECT </v>
          </cell>
          <cell r="C3232" t="str">
            <v>COLVES PLAN 13-10-16-01 CLASSE 150 DN1"1/2 BRIDE TYPE RF SUIVANT ANSI B16.5 ECARTEMENT SUIVANT ANSI B16.10,CORPS ET OPERCULE CF8M,TIGE EN 316,JOINT EN 316+GRAPHITE FLEXIBLE,DESIGN API 600,TEST API 598 FLUIDE VEHICULE CONDENSAT</v>
          </cell>
          <cell r="D3232" t="str">
            <v>PE</v>
          </cell>
          <cell r="E3232" t="str">
            <v>515.51511</v>
          </cell>
          <cell r="F3232">
            <v>3026</v>
          </cell>
          <cell r="G3232">
            <v>0</v>
          </cell>
          <cell r="H3232">
            <v>1</v>
          </cell>
          <cell r="I3232">
            <v>0</v>
          </cell>
          <cell r="J3232">
            <v>0</v>
          </cell>
          <cell r="K3232">
            <v>0</v>
          </cell>
          <cell r="L3232">
            <v>1</v>
          </cell>
        </row>
        <row r="3233">
          <cell r="A3233" t="str">
            <v>20499.20753</v>
          </cell>
          <cell r="B3233" t="str">
            <v xml:space="preserve">VANNE A PASSAGE DIRECT </v>
          </cell>
          <cell r="C3233" t="str">
            <v>COLVES PLAN 13-10-16-01 CLASSE 150 DN2" BRIDE TYPE RF SUIVANT ANSI B16.5 ECARTEMENT SUIVANT ANSI B16.10,CORPS ET OPERCULE CF8M,TIGE EN 316,JOINT EN 316+GRAPHITE FLEXIBLE,DESIGN API 600,TEST API 598 FLUIDE VEHICULE CONDENSAT</v>
          </cell>
          <cell r="D3233" t="str">
            <v>PE</v>
          </cell>
          <cell r="E3233" t="str">
            <v>515.51511</v>
          </cell>
          <cell r="F3233">
            <v>2844</v>
          </cell>
          <cell r="G3233">
            <v>1</v>
          </cell>
          <cell r="H3233">
            <v>0</v>
          </cell>
          <cell r="I3233">
            <v>0</v>
          </cell>
          <cell r="J3233">
            <v>0</v>
          </cell>
          <cell r="K3233">
            <v>0</v>
          </cell>
          <cell r="L3233">
            <v>1</v>
          </cell>
        </row>
        <row r="3234">
          <cell r="A3234" t="str">
            <v>20499.20747</v>
          </cell>
          <cell r="B3234" t="str">
            <v xml:space="preserve">RESSORT </v>
          </cell>
          <cell r="C3234" t="str">
            <v>LESER TYPE 4295.8634 SERIE:10118772/10118773 REP54</v>
          </cell>
          <cell r="D3234" t="str">
            <v>PE</v>
          </cell>
          <cell r="E3234" t="str">
            <v>515.51511</v>
          </cell>
          <cell r="F3234">
            <v>745</v>
          </cell>
          <cell r="G3234">
            <v>0</v>
          </cell>
          <cell r="H3234">
            <v>0</v>
          </cell>
          <cell r="I3234">
            <v>0</v>
          </cell>
          <cell r="J3234">
            <v>0</v>
          </cell>
          <cell r="K3234">
            <v>0</v>
          </cell>
          <cell r="L3234">
            <v>0</v>
          </cell>
        </row>
        <row r="3235">
          <cell r="A3235" t="str">
            <v>20499.20748</v>
          </cell>
          <cell r="B3235" t="str">
            <v xml:space="preserve">JOINT </v>
          </cell>
          <cell r="C3235" t="str">
            <v>LESER TYPE 4295.8634 SERIE:10118772/10118773 REP60</v>
          </cell>
          <cell r="D3235" t="str">
            <v>PE</v>
          </cell>
          <cell r="E3235" t="str">
            <v>515.51511</v>
          </cell>
          <cell r="F3235">
            <v>121</v>
          </cell>
          <cell r="G3235">
            <v>0</v>
          </cell>
          <cell r="H3235">
            <v>0</v>
          </cell>
          <cell r="I3235">
            <v>0</v>
          </cell>
          <cell r="J3235">
            <v>0</v>
          </cell>
          <cell r="K3235">
            <v>0</v>
          </cell>
          <cell r="L3235">
            <v>0</v>
          </cell>
        </row>
        <row r="3236">
          <cell r="A3236" t="str">
            <v>20499.20749</v>
          </cell>
          <cell r="B3236" t="str">
            <v xml:space="preserve">SOUPAPE A FERMETURE RAPIDE </v>
          </cell>
          <cell r="C3236" t="str">
            <v>LESER TYPE 437 REF:4373.2602 RACCORDEMENT TARAUDE DN3/4"x1/2" PRESSION DE TARAGE 14BAR CORPS: ASME 430F</v>
          </cell>
          <cell r="D3236" t="str">
            <v>PE</v>
          </cell>
          <cell r="E3236" t="str">
            <v>515.51511</v>
          </cell>
          <cell r="F3236">
            <v>3706</v>
          </cell>
          <cell r="G3236">
            <v>0</v>
          </cell>
          <cell r="H3236">
            <v>0</v>
          </cell>
          <cell r="I3236">
            <v>0</v>
          </cell>
          <cell r="J3236">
            <v>0</v>
          </cell>
          <cell r="K3236">
            <v>0</v>
          </cell>
          <cell r="L3236">
            <v>0</v>
          </cell>
        </row>
        <row r="3237">
          <cell r="A3237" t="str">
            <v>20499.20754</v>
          </cell>
          <cell r="B3237" t="str">
            <v xml:space="preserve">VANNE A PASSAGE DIRECT </v>
          </cell>
          <cell r="C3237" t="str">
            <v>COLVES PLAN 13-10-16-01 CLASSE 150 DN3"BRIDE TYPE RF SUIVANT ANSI B16.5 ECARTEMENT SUIVANT ANSI B16.10,CORPS ET OPERCULE CF8M,TIGE EN 316,JOINT EN 316+GRAPHITE FLEXIBLE,DESIGN API 600,TEST API 598 FLUIDE VEHICULE CONDENSAT</v>
          </cell>
          <cell r="D3237" t="str">
            <v>PE</v>
          </cell>
          <cell r="E3237" t="str">
            <v>515.51511</v>
          </cell>
          <cell r="F3237">
            <v>3929</v>
          </cell>
          <cell r="G3237">
            <v>0</v>
          </cell>
          <cell r="H3237">
            <v>1</v>
          </cell>
          <cell r="I3237">
            <v>0</v>
          </cell>
          <cell r="J3237">
            <v>0</v>
          </cell>
          <cell r="K3237">
            <v>0</v>
          </cell>
          <cell r="L3237">
            <v>1</v>
          </cell>
        </row>
        <row r="3238">
          <cell r="A3238" t="str">
            <v>20499.20755</v>
          </cell>
          <cell r="B3238" t="str">
            <v xml:space="preserve">VANNE A PASSAGE DIRECT </v>
          </cell>
          <cell r="C3238" t="str">
            <v>COLVES PLAN 13-10-16-01 CLASSE 150 DN4"BRIDE TYPE RF SUIVANT ANSI B16.5 ECARTEMENT SUIVANT ANSI B16.10,CORPS ET OPERCULE CF8M,TIGE EN 316,JOINT EN 316+GRAPHITE FLEXIBLE,DESIGN API 600,TEST API 598 FLUIDE VEHICULE CONDENSAT</v>
          </cell>
          <cell r="D3238" t="str">
            <v>PE</v>
          </cell>
          <cell r="E3238" t="str">
            <v>515.51511</v>
          </cell>
          <cell r="F3238">
            <v>9241</v>
          </cell>
          <cell r="G3238">
            <v>0</v>
          </cell>
          <cell r="H3238">
            <v>4</v>
          </cell>
          <cell r="I3238">
            <v>0</v>
          </cell>
          <cell r="J3238">
            <v>0</v>
          </cell>
          <cell r="K3238">
            <v>0</v>
          </cell>
          <cell r="L3238">
            <v>0</v>
          </cell>
        </row>
        <row r="3239">
          <cell r="A3239" t="str">
            <v>20499.20756</v>
          </cell>
          <cell r="B3239" t="str">
            <v xml:space="preserve">VANNE A PASSAGE DIRECT </v>
          </cell>
          <cell r="C3239" t="str">
            <v>COLVES PLAN 13-10-16-01 CLASSE 150 DN6" BRIDE TYPE RF SUIVANT ANSI B16.5 ECARTEMENT SUIVANT ANSI B16.10,CORPS ET OPERCULE CF8M,TIGE EN 316,JOINT EN 316+GRAPHITE FLEXIBLE,DESIGN API 600,TEST API 598 FLUIDE VEHICULE CONDENSAT</v>
          </cell>
          <cell r="D3239" t="str">
            <v>PE</v>
          </cell>
          <cell r="E3239" t="str">
            <v>515.51511</v>
          </cell>
          <cell r="F3239">
            <v>10575</v>
          </cell>
          <cell r="G3239">
            <v>0</v>
          </cell>
          <cell r="H3239">
            <v>0</v>
          </cell>
          <cell r="I3239">
            <v>0</v>
          </cell>
          <cell r="J3239">
            <v>0</v>
          </cell>
          <cell r="K3239">
            <v>0</v>
          </cell>
          <cell r="L3239">
            <v>1</v>
          </cell>
        </row>
        <row r="3240">
          <cell r="A3240" t="str">
            <v>20498.02661</v>
          </cell>
          <cell r="B3240" t="str">
            <v>CONTACTEUR DE NIVEAU</v>
          </cell>
          <cell r="C3240" t="str">
            <v>MAGNETROL T35-002-N-B1C</v>
          </cell>
          <cell r="D3240" t="str">
            <v>PE</v>
          </cell>
          <cell r="E3240" t="str">
            <v>512.51201</v>
          </cell>
          <cell r="F3240">
            <v>13034</v>
          </cell>
          <cell r="G3240">
            <v>0</v>
          </cell>
          <cell r="H3240">
            <v>0</v>
          </cell>
          <cell r="I3240">
            <v>0</v>
          </cell>
          <cell r="J3240">
            <v>0</v>
          </cell>
          <cell r="K3240">
            <v>0</v>
          </cell>
          <cell r="L3240">
            <v>2</v>
          </cell>
        </row>
        <row r="3241">
          <cell r="A3241" t="str">
            <v>20498.02643</v>
          </cell>
          <cell r="B3241" t="str">
            <v>DOIGT DE GANT</v>
          </cell>
          <cell r="C3241" t="str">
            <v>PYROCONTROLE PLAN N°7 LONG 254mm ANSI 2500</v>
          </cell>
          <cell r="D3241" t="str">
            <v>PE</v>
          </cell>
          <cell r="E3241" t="str">
            <v>512.51201</v>
          </cell>
          <cell r="F3241">
            <v>9800</v>
          </cell>
          <cell r="G3241">
            <v>0</v>
          </cell>
          <cell r="H3241">
            <v>0</v>
          </cell>
          <cell r="I3241">
            <v>0</v>
          </cell>
          <cell r="J3241">
            <v>0</v>
          </cell>
          <cell r="K3241">
            <v>1</v>
          </cell>
          <cell r="L3241">
            <v>1</v>
          </cell>
        </row>
        <row r="3242">
          <cell r="A3242" t="str">
            <v>20498.02648</v>
          </cell>
          <cell r="B3242" t="str">
            <v>SONDE DE TEMPERATURE PT100 AVEC DOIGT DE GANT</v>
          </cell>
          <cell r="C3242" t="str">
            <v>PYROCONTROLE PLAN N°14 LONG 63,5mm TYPE PT1100X3</v>
          </cell>
          <cell r="D3242" t="str">
            <v>PE</v>
          </cell>
          <cell r="E3242" t="str">
            <v>512.51201</v>
          </cell>
          <cell r="F3242">
            <v>4114</v>
          </cell>
          <cell r="G3242">
            <v>0</v>
          </cell>
          <cell r="H3242">
            <v>0</v>
          </cell>
          <cell r="I3242">
            <v>0</v>
          </cell>
          <cell r="J3242">
            <v>0</v>
          </cell>
          <cell r="K3242">
            <v>0</v>
          </cell>
          <cell r="L3242">
            <v>1</v>
          </cell>
        </row>
        <row r="3243">
          <cell r="A3243" t="str">
            <v>20498.02651</v>
          </cell>
          <cell r="B3243" t="str">
            <v>ELECTRODE</v>
          </cell>
          <cell r="C3243" t="str">
            <v>CLARCK-RELIANCE   ZG020RK</v>
          </cell>
          <cell r="D3243" t="str">
            <v>PE</v>
          </cell>
          <cell r="E3243" t="str">
            <v>512.51201</v>
          </cell>
          <cell r="F3243">
            <v>8245.2816000000003</v>
          </cell>
          <cell r="G3243">
            <v>0</v>
          </cell>
          <cell r="H3243">
            <v>0</v>
          </cell>
          <cell r="I3243">
            <v>0</v>
          </cell>
          <cell r="J3243">
            <v>10</v>
          </cell>
          <cell r="K3243">
            <v>0</v>
          </cell>
          <cell r="L3243">
            <v>0</v>
          </cell>
        </row>
        <row r="3244">
          <cell r="A3244" t="str">
            <v>20498.02652</v>
          </cell>
          <cell r="B3244" t="str">
            <v>RELAIS</v>
          </cell>
          <cell r="C3244" t="str">
            <v>CLARCK-RELIANCE   ECID 56R</v>
          </cell>
          <cell r="D3244" t="str">
            <v>PE</v>
          </cell>
          <cell r="E3244" t="str">
            <v>512.51201</v>
          </cell>
          <cell r="F3244">
            <v>3074.0862999999999</v>
          </cell>
          <cell r="G3244">
            <v>0</v>
          </cell>
          <cell r="H3244">
            <v>0</v>
          </cell>
          <cell r="I3244">
            <v>0</v>
          </cell>
          <cell r="J3244">
            <v>0</v>
          </cell>
          <cell r="K3244">
            <v>0</v>
          </cell>
          <cell r="L3244">
            <v>3</v>
          </cell>
        </row>
        <row r="3245">
          <cell r="A3245" t="str">
            <v>20498.02061</v>
          </cell>
          <cell r="B3245" t="str">
            <v>TRANSMETTEUR pH</v>
          </cell>
          <cell r="C3245" t="str">
            <v>FUJI ELECTRIC HPT 63-2085</v>
          </cell>
          <cell r="D3245" t="str">
            <v>PE</v>
          </cell>
          <cell r="E3245" t="str">
            <v>512.51201</v>
          </cell>
          <cell r="F3245">
            <v>14527.35</v>
          </cell>
          <cell r="G3245">
            <v>0</v>
          </cell>
          <cell r="H3245">
            <v>0</v>
          </cell>
          <cell r="I3245">
            <v>0</v>
          </cell>
          <cell r="J3245">
            <v>0</v>
          </cell>
          <cell r="K3245">
            <v>0</v>
          </cell>
          <cell r="L3245">
            <v>0</v>
          </cell>
        </row>
        <row r="3246">
          <cell r="A3246" t="str">
            <v>20499.20975</v>
          </cell>
          <cell r="B3246" t="str">
            <v>RESSORT</v>
          </cell>
          <cell r="C3246" t="str">
            <v>ARCA REGLER PLAN 811-BV REP 38 P/SERVOMOTEUR 811</v>
          </cell>
          <cell r="D3246" t="str">
            <v>PE</v>
          </cell>
          <cell r="E3246" t="str">
            <v>512.51202</v>
          </cell>
          <cell r="F3246">
            <v>20921.669999999998</v>
          </cell>
          <cell r="G3246">
            <v>0</v>
          </cell>
          <cell r="H3246">
            <v>0</v>
          </cell>
          <cell r="I3246">
            <v>0</v>
          </cell>
          <cell r="J3246">
            <v>0</v>
          </cell>
          <cell r="K3246">
            <v>0</v>
          </cell>
          <cell r="L3246">
            <v>1</v>
          </cell>
        </row>
        <row r="3247">
          <cell r="A3247" t="str">
            <v>20498.20702</v>
          </cell>
          <cell r="B3247" t="str">
            <v>PRESSE-ETOUPE   EXTERIEURE</v>
          </cell>
          <cell r="C3247" t="str">
            <v>AKER  REF  204</v>
          </cell>
          <cell r="D3247" t="str">
            <v>PE</v>
          </cell>
          <cell r="E3247" t="str">
            <v>522.52206</v>
          </cell>
          <cell r="F3247">
            <v>3155.04</v>
          </cell>
          <cell r="G3247">
            <v>0</v>
          </cell>
          <cell r="H3247">
            <v>2</v>
          </cell>
          <cell r="I3247">
            <v>0</v>
          </cell>
          <cell r="J3247">
            <v>0</v>
          </cell>
          <cell r="K3247">
            <v>0</v>
          </cell>
          <cell r="L3247">
            <v>0</v>
          </cell>
        </row>
        <row r="3248">
          <cell r="A3248" t="str">
            <v>20498.20703</v>
          </cell>
          <cell r="B3248" t="str">
            <v>RONDELLE PLATE</v>
          </cell>
          <cell r="C3248" t="str">
            <v>AKER  REF  207</v>
          </cell>
          <cell r="D3248" t="str">
            <v>PE</v>
          </cell>
          <cell r="E3248" t="str">
            <v>522.52206</v>
          </cell>
          <cell r="F3248">
            <v>856.8</v>
          </cell>
          <cell r="G3248">
            <v>0</v>
          </cell>
          <cell r="H3248">
            <v>0</v>
          </cell>
          <cell r="I3248">
            <v>0</v>
          </cell>
          <cell r="J3248">
            <v>5</v>
          </cell>
          <cell r="K3248">
            <v>0</v>
          </cell>
          <cell r="L3248">
            <v>0</v>
          </cell>
        </row>
        <row r="3249">
          <cell r="A3249" t="str">
            <v>20498.20704</v>
          </cell>
          <cell r="B3249" t="str">
            <v>BAGUE  ( A  DEUX PIECES: 209-1 , 209-2 )</v>
          </cell>
          <cell r="C3249" t="str">
            <v>AKER  REF  209</v>
          </cell>
          <cell r="D3249" t="str">
            <v>PE</v>
          </cell>
          <cell r="E3249" t="str">
            <v>522.52206</v>
          </cell>
          <cell r="F3249">
            <v>2620.8000000000002</v>
          </cell>
          <cell r="G3249">
            <v>0</v>
          </cell>
          <cell r="H3249">
            <v>0</v>
          </cell>
          <cell r="I3249">
            <v>0</v>
          </cell>
          <cell r="J3249">
            <v>4</v>
          </cell>
          <cell r="K3249">
            <v>0</v>
          </cell>
          <cell r="L3249">
            <v>0</v>
          </cell>
        </row>
        <row r="3250">
          <cell r="A3250" t="str">
            <v>20498.20705</v>
          </cell>
          <cell r="B3250" t="str">
            <v>ETOUPE TUBULAIRE  EXTERIEURE</v>
          </cell>
          <cell r="C3250" t="str">
            <v>AKER  REF  210</v>
          </cell>
          <cell r="D3250" t="str">
            <v>PE</v>
          </cell>
          <cell r="E3250" t="str">
            <v>522.52206</v>
          </cell>
          <cell r="F3250">
            <v>1340.64</v>
          </cell>
          <cell r="G3250">
            <v>0</v>
          </cell>
          <cell r="H3250">
            <v>0</v>
          </cell>
          <cell r="I3250">
            <v>0</v>
          </cell>
          <cell r="J3250">
            <v>1</v>
          </cell>
          <cell r="K3250">
            <v>0</v>
          </cell>
          <cell r="L3250">
            <v>5</v>
          </cell>
        </row>
        <row r="3251">
          <cell r="A3251" t="str">
            <v>20498.20712</v>
          </cell>
          <cell r="B3251" t="str">
            <v>CONNECTEUR ( AVEC  CONTRE-ECROU ET VIS D'ARRET )</v>
          </cell>
          <cell r="C3251" t="str">
            <v>AKER  REF  101 - 4  C/W 101 - 1&amp;3</v>
          </cell>
          <cell r="D3251" t="str">
            <v>PE</v>
          </cell>
          <cell r="E3251" t="str">
            <v>522.52206</v>
          </cell>
          <cell r="F3251">
            <v>1270.08</v>
          </cell>
          <cell r="G3251">
            <v>0</v>
          </cell>
          <cell r="H3251">
            <v>0</v>
          </cell>
          <cell r="I3251">
            <v>0</v>
          </cell>
          <cell r="J3251">
            <v>0</v>
          </cell>
          <cell r="K3251">
            <v>0</v>
          </cell>
          <cell r="L3251">
            <v>0</v>
          </cell>
        </row>
        <row r="3252">
          <cell r="A3252" t="str">
            <v>20498.20707</v>
          </cell>
          <cell r="B3252" t="str">
            <v>PRESSE ETOUPE AVEC MANCHON</v>
          </cell>
          <cell r="C3252" t="str">
            <v>AKER  REF  201 - K C/W 206 - K</v>
          </cell>
          <cell r="D3252" t="str">
            <v>PE</v>
          </cell>
          <cell r="E3252" t="str">
            <v>522.52206</v>
          </cell>
          <cell r="F3252">
            <v>4415.04</v>
          </cell>
          <cell r="G3252">
            <v>0</v>
          </cell>
          <cell r="H3252">
            <v>0</v>
          </cell>
          <cell r="I3252">
            <v>0</v>
          </cell>
          <cell r="J3252">
            <v>1</v>
          </cell>
          <cell r="K3252">
            <v>0</v>
          </cell>
          <cell r="L3252">
            <v>0</v>
          </cell>
        </row>
        <row r="3253">
          <cell r="A3253" t="str">
            <v>20498.20708</v>
          </cell>
          <cell r="B3253" t="str">
            <v>BOITE A GARNITURE AVEC BRIDE</v>
          </cell>
          <cell r="C3253" t="str">
            <v>AKER  REF  202 - K C/W 210 - K</v>
          </cell>
          <cell r="D3253" t="str">
            <v>PE</v>
          </cell>
          <cell r="E3253" t="str">
            <v>522.52206</v>
          </cell>
          <cell r="F3253">
            <v>10211.040000000001</v>
          </cell>
          <cell r="G3253">
            <v>0</v>
          </cell>
          <cell r="H3253">
            <v>0</v>
          </cell>
          <cell r="I3253">
            <v>0</v>
          </cell>
          <cell r="J3253">
            <v>0</v>
          </cell>
          <cell r="K3253">
            <v>0</v>
          </cell>
          <cell r="L3253">
            <v>1</v>
          </cell>
        </row>
        <row r="3254">
          <cell r="A3254" t="str">
            <v>20498.20710</v>
          </cell>
          <cell r="B3254" t="str">
            <v>RONDELLE PLATE</v>
          </cell>
          <cell r="C3254" t="str">
            <v>AKER  REF  207 - K</v>
          </cell>
          <cell r="D3254" t="str">
            <v>PE</v>
          </cell>
          <cell r="E3254" t="str">
            <v>522.52206</v>
          </cell>
          <cell r="F3254">
            <v>856.8</v>
          </cell>
          <cell r="G3254">
            <v>0</v>
          </cell>
          <cell r="H3254">
            <v>0</v>
          </cell>
          <cell r="I3254">
            <v>0</v>
          </cell>
          <cell r="J3254">
            <v>1</v>
          </cell>
          <cell r="K3254">
            <v>0</v>
          </cell>
          <cell r="L3254">
            <v>0</v>
          </cell>
        </row>
        <row r="3255">
          <cell r="A3255" t="str">
            <v>20498.20711</v>
          </cell>
          <cell r="B3255" t="str">
            <v>BAGUE  ( A  DEUX PIECES: 209-1K , 209-2K )</v>
          </cell>
          <cell r="C3255" t="str">
            <v>AKER  REF  209 - K</v>
          </cell>
          <cell r="D3255" t="str">
            <v>PE</v>
          </cell>
          <cell r="E3255" t="str">
            <v>522.52206</v>
          </cell>
          <cell r="F3255">
            <v>2620.8000000000002</v>
          </cell>
          <cell r="G3255">
            <v>0</v>
          </cell>
          <cell r="H3255">
            <v>0</v>
          </cell>
          <cell r="I3255">
            <v>0</v>
          </cell>
          <cell r="J3255">
            <v>0</v>
          </cell>
          <cell r="K3255">
            <v>0</v>
          </cell>
          <cell r="L3255">
            <v>0</v>
          </cell>
        </row>
        <row r="3256">
          <cell r="A3256" t="str">
            <v>20498.06599</v>
          </cell>
          <cell r="B3256" t="str">
            <v>LAMPE 30V 6W P/INDICATEUR STL.10</v>
          </cell>
          <cell r="C3256" t="str">
            <v xml:space="preserve">CLARK-RELIANCE  L12-5B </v>
          </cell>
          <cell r="D3256" t="str">
            <v>PE</v>
          </cell>
          <cell r="E3256" t="str">
            <v>512.51201</v>
          </cell>
          <cell r="F3256">
            <v>305.38080000000002</v>
          </cell>
          <cell r="G3256">
            <v>0</v>
          </cell>
          <cell r="H3256">
            <v>0</v>
          </cell>
          <cell r="I3256">
            <v>0</v>
          </cell>
          <cell r="J3256">
            <v>0</v>
          </cell>
          <cell r="K3256">
            <v>0</v>
          </cell>
          <cell r="L3256">
            <v>0</v>
          </cell>
        </row>
        <row r="3257">
          <cell r="A3257" t="str">
            <v>20498.02697</v>
          </cell>
          <cell r="B3257" t="str">
            <v>KIT COMPLET DE CATHODE  PRINCIPALE DOUBLE CONNECTION</v>
          </cell>
          <cell r="C3257" t="str">
            <v>AKER REF 101/06-500</v>
          </cell>
          <cell r="D3257" t="str">
            <v>PE</v>
          </cell>
          <cell r="E3257" t="str">
            <v>522.52206</v>
          </cell>
          <cell r="F3257">
            <v>88208.5239</v>
          </cell>
          <cell r="G3257">
            <v>0</v>
          </cell>
          <cell r="H3257">
            <v>0</v>
          </cell>
          <cell r="I3257">
            <v>0</v>
          </cell>
          <cell r="J3257">
            <v>0</v>
          </cell>
          <cell r="K3257">
            <v>1</v>
          </cell>
          <cell r="L3257">
            <v>1</v>
          </cell>
        </row>
        <row r="3258">
          <cell r="A3258" t="str">
            <v>20498.02698</v>
          </cell>
          <cell r="B3258" t="str">
            <v>KIT COMPLET DE CATHODE  PRINCIPALE DOUBLE CONNECTION</v>
          </cell>
          <cell r="C3258" t="str">
            <v>AKER REF 101/06-501</v>
          </cell>
          <cell r="D3258" t="str">
            <v>PE</v>
          </cell>
          <cell r="E3258" t="str">
            <v>522.52206</v>
          </cell>
          <cell r="F3258">
            <v>88208.5239</v>
          </cell>
          <cell r="G3258">
            <v>1</v>
          </cell>
          <cell r="H3258">
            <v>0</v>
          </cell>
          <cell r="I3258">
            <v>0</v>
          </cell>
          <cell r="J3258">
            <v>0</v>
          </cell>
          <cell r="K3258">
            <v>0</v>
          </cell>
          <cell r="L3258">
            <v>1</v>
          </cell>
        </row>
        <row r="3259">
          <cell r="A3259" t="str">
            <v>20499.04082</v>
          </cell>
          <cell r="B3259" t="str">
            <v>VANNE A PELLE  AVEC  COMMANDE MANUELLE</v>
          </cell>
          <cell r="C3259" t="str">
            <v>WEIR MINERALS TYPE ISOGATE SERIE WS DN 8" PN 10 CORPS EN FONTE GS , PELLE EN INOX 316L   APPLICATION : PULPE PHOSPHORIQUE</v>
          </cell>
          <cell r="D3259" t="str">
            <v>PE</v>
          </cell>
          <cell r="E3259" t="str">
            <v>515.51511</v>
          </cell>
          <cell r="F3259">
            <v>25550</v>
          </cell>
          <cell r="G3259">
            <v>0</v>
          </cell>
          <cell r="H3259">
            <v>0</v>
          </cell>
          <cell r="I3259">
            <v>0</v>
          </cell>
          <cell r="J3259">
            <v>0</v>
          </cell>
          <cell r="K3259">
            <v>0</v>
          </cell>
          <cell r="L3259">
            <v>0</v>
          </cell>
        </row>
        <row r="3260">
          <cell r="A3260" t="str">
            <v>20499.04083</v>
          </cell>
          <cell r="B3260" t="str">
            <v>VANNE A PELLE  AVEC  COMMANDE MANUELLE</v>
          </cell>
          <cell r="C3260" t="str">
            <v>WEIR MINERALS TYPE ISOGATE SERIE WS DN 10" PN 10 CORPS EN FONTE GS, PELLE EN INOX 316L    APPLICATION : PULPE PHOSPHORIQUE</v>
          </cell>
          <cell r="D3260" t="str">
            <v>PE</v>
          </cell>
          <cell r="E3260" t="str">
            <v>515.51511</v>
          </cell>
          <cell r="F3260">
            <v>32200</v>
          </cell>
          <cell r="G3260">
            <v>0</v>
          </cell>
          <cell r="H3260">
            <v>0</v>
          </cell>
          <cell r="I3260">
            <v>0</v>
          </cell>
          <cell r="J3260">
            <v>0</v>
          </cell>
          <cell r="K3260">
            <v>0</v>
          </cell>
          <cell r="L3260">
            <v>0</v>
          </cell>
        </row>
        <row r="3261">
          <cell r="A3261" t="str">
            <v>20499.00028</v>
          </cell>
          <cell r="B3261" t="str">
            <v>PURGEUR AUTOMATIQUE</v>
          </cell>
          <cell r="C3261" t="str">
            <v>ARMSTRONG  TVS 811  DN : 1/2 POUCE   MONTAGE PAR RACCORD</v>
          </cell>
          <cell r="D3261" t="str">
            <v>PE</v>
          </cell>
          <cell r="E3261" t="str">
            <v>515.51511</v>
          </cell>
          <cell r="F3261">
            <v>5180.16</v>
          </cell>
          <cell r="G3261">
            <v>0</v>
          </cell>
          <cell r="H3261">
            <v>20</v>
          </cell>
          <cell r="I3261">
            <v>33</v>
          </cell>
          <cell r="J3261">
            <v>9</v>
          </cell>
          <cell r="K3261">
            <v>3</v>
          </cell>
          <cell r="L3261">
            <v>0</v>
          </cell>
        </row>
        <row r="3262">
          <cell r="A3262" t="str">
            <v>20499.00667</v>
          </cell>
          <cell r="B3262" t="str">
            <v>CLAPET ANTI-RETOUR</v>
          </cell>
          <cell r="C3262" t="str">
            <v>ARCA REGLER PLAN 2513813-400 REP 4 P/VANNE  6H8-L2-LS2 SERIE 1024666</v>
          </cell>
          <cell r="D3262" t="str">
            <v>PE</v>
          </cell>
          <cell r="E3262" t="str">
            <v>512.51202</v>
          </cell>
          <cell r="F3262">
            <v>3755.87</v>
          </cell>
          <cell r="G3262">
            <v>0</v>
          </cell>
          <cell r="H3262">
            <v>0</v>
          </cell>
          <cell r="I3262">
            <v>0</v>
          </cell>
          <cell r="J3262">
            <v>0</v>
          </cell>
          <cell r="K3262">
            <v>0</v>
          </cell>
          <cell r="L3262">
            <v>3</v>
          </cell>
        </row>
        <row r="3263">
          <cell r="A3263" t="str">
            <v>20499.04084</v>
          </cell>
          <cell r="B3263" t="str">
            <v>VANNE A PELLE  AVEC  COMMANDE MANUELLE</v>
          </cell>
          <cell r="C3263" t="str">
            <v>WEIR MINERALS TYPE ISOGATE SERIE WS DN 12" PN 10 CORPS EN FONTE GS , PELLE EN INOX 316L    APPLICATION : PULPE PHOSPHORIQUE</v>
          </cell>
          <cell r="D3263" t="str">
            <v>PE</v>
          </cell>
          <cell r="E3263" t="str">
            <v>515.51511</v>
          </cell>
          <cell r="F3263">
            <v>43680</v>
          </cell>
          <cell r="G3263">
            <v>0</v>
          </cell>
          <cell r="H3263">
            <v>0</v>
          </cell>
          <cell r="I3263">
            <v>0</v>
          </cell>
          <cell r="J3263">
            <v>0</v>
          </cell>
          <cell r="K3263">
            <v>0</v>
          </cell>
          <cell r="L3263">
            <v>0</v>
          </cell>
        </row>
        <row r="3264">
          <cell r="A3264" t="str">
            <v>20499.01583</v>
          </cell>
          <cell r="B3264" t="str">
            <v>MECANISME DE MANOEUVRE</v>
          </cell>
          <cell r="C3264" t="str">
            <v>FLUOROSEAL 4R152F/EG-904L/904L-P-FS</v>
          </cell>
          <cell r="D3264" t="str">
            <v>PE</v>
          </cell>
          <cell r="E3264" t="str">
            <v>515.51511</v>
          </cell>
          <cell r="F3264">
            <v>2841.4537</v>
          </cell>
          <cell r="G3264">
            <v>0</v>
          </cell>
          <cell r="H3264">
            <v>1</v>
          </cell>
          <cell r="I3264">
            <v>0</v>
          </cell>
          <cell r="J3264">
            <v>0</v>
          </cell>
          <cell r="K3264">
            <v>0</v>
          </cell>
          <cell r="L3264">
            <v>1</v>
          </cell>
        </row>
        <row r="3265">
          <cell r="A3265" t="str">
            <v>20499.00668</v>
          </cell>
          <cell r="B3265" t="str">
            <v>FILTRE A AIR</v>
          </cell>
          <cell r="C3265" t="str">
            <v>ARCA REGLER PLAN 2513813-400 REP 7 P/VANNE  6H8-L2-LS2 SERIE 1024666</v>
          </cell>
          <cell r="D3265" t="str">
            <v>PE</v>
          </cell>
          <cell r="E3265" t="str">
            <v>512.51202</v>
          </cell>
          <cell r="F3265">
            <v>27727.973300000001</v>
          </cell>
          <cell r="G3265">
            <v>0</v>
          </cell>
          <cell r="H3265">
            <v>0</v>
          </cell>
          <cell r="I3265">
            <v>0</v>
          </cell>
          <cell r="J3265">
            <v>0</v>
          </cell>
          <cell r="K3265">
            <v>0</v>
          </cell>
          <cell r="L3265">
            <v>6</v>
          </cell>
        </row>
        <row r="3266">
          <cell r="A3266" t="str">
            <v>20499.00669</v>
          </cell>
          <cell r="B3266" t="str">
            <v>DIAPHRAGME</v>
          </cell>
          <cell r="C3266" t="str">
            <v>ARCA REGLER PLAN 811-BV REP 32 P/SERVOMOTEUR 811</v>
          </cell>
          <cell r="D3266" t="str">
            <v>PE</v>
          </cell>
          <cell r="E3266" t="str">
            <v>512.51202</v>
          </cell>
          <cell r="F3266">
            <v>15017.31</v>
          </cell>
          <cell r="G3266">
            <v>0</v>
          </cell>
          <cell r="H3266">
            <v>0</v>
          </cell>
          <cell r="I3266">
            <v>0</v>
          </cell>
          <cell r="J3266">
            <v>1</v>
          </cell>
          <cell r="K3266">
            <v>0</v>
          </cell>
          <cell r="L3266">
            <v>1</v>
          </cell>
        </row>
        <row r="3267">
          <cell r="A3267" t="str">
            <v>20499.07176</v>
          </cell>
          <cell r="B3267" t="str">
            <v>ROBINET A SOUPAPE</v>
          </cell>
          <cell r="C3267" t="str">
            <v>SACCAP PLAN AR7336W1A1KE DN1/2" CLASSE 1500 RACCORDEMENT SW</v>
          </cell>
          <cell r="D3267" t="str">
            <v>PE</v>
          </cell>
          <cell r="E3267" t="str">
            <v>515.51511</v>
          </cell>
          <cell r="F3267">
            <v>292</v>
          </cell>
          <cell r="G3267">
            <v>0</v>
          </cell>
          <cell r="H3267">
            <v>0</v>
          </cell>
          <cell r="I3267">
            <v>0</v>
          </cell>
          <cell r="J3267">
            <v>0</v>
          </cell>
          <cell r="K3267">
            <v>0</v>
          </cell>
          <cell r="L3267">
            <v>1</v>
          </cell>
        </row>
        <row r="3268">
          <cell r="A3268" t="str">
            <v>20499.07181</v>
          </cell>
          <cell r="B3268" t="str">
            <v>ROBINET A SOUPAPE</v>
          </cell>
          <cell r="C3268" t="str">
            <v>SACCAP PLAN AR5312W1A1KA DN1/2" CLASSE 800 RACCORDEMENT SW</v>
          </cell>
          <cell r="D3268" t="str">
            <v>PE</v>
          </cell>
          <cell r="E3268" t="str">
            <v>515.51511</v>
          </cell>
          <cell r="F3268">
            <v>276</v>
          </cell>
          <cell r="G3268">
            <v>0</v>
          </cell>
          <cell r="H3268">
            <v>0</v>
          </cell>
          <cell r="I3268">
            <v>0</v>
          </cell>
          <cell r="J3268">
            <v>0</v>
          </cell>
          <cell r="K3268">
            <v>0</v>
          </cell>
          <cell r="L3268">
            <v>0</v>
          </cell>
        </row>
        <row r="3269">
          <cell r="A3269" t="str">
            <v>20499.07182</v>
          </cell>
          <cell r="B3269" t="str">
            <v>ROBINET A SOUPAPE</v>
          </cell>
          <cell r="C3269" t="str">
            <v>SACCAP PLAN AR5312W1A1KA DN3/4" CLASSE 800 RACCORDEMENT SW</v>
          </cell>
          <cell r="D3269" t="str">
            <v>PE</v>
          </cell>
          <cell r="E3269" t="str">
            <v>515.51511</v>
          </cell>
          <cell r="F3269">
            <v>276</v>
          </cell>
          <cell r="G3269">
            <v>0</v>
          </cell>
          <cell r="H3269">
            <v>6</v>
          </cell>
          <cell r="I3269">
            <v>0</v>
          </cell>
          <cell r="J3269">
            <v>0</v>
          </cell>
          <cell r="K3269">
            <v>0</v>
          </cell>
          <cell r="L3269">
            <v>0</v>
          </cell>
        </row>
        <row r="3270">
          <cell r="A3270" t="str">
            <v>20499.07183</v>
          </cell>
          <cell r="B3270" t="str">
            <v>ROBINET A SOUPAPE</v>
          </cell>
          <cell r="C3270" t="str">
            <v>SACCAP PLAN AR5312W1A1KA DN1"1/2 CLASSE 800 RACCORDEMENT SW</v>
          </cell>
          <cell r="D3270" t="str">
            <v>PE</v>
          </cell>
          <cell r="E3270" t="str">
            <v>515.51511</v>
          </cell>
          <cell r="F3270">
            <v>1004</v>
          </cell>
          <cell r="G3270">
            <v>0</v>
          </cell>
          <cell r="H3270">
            <v>0</v>
          </cell>
          <cell r="I3270">
            <v>0</v>
          </cell>
          <cell r="J3270">
            <v>0</v>
          </cell>
          <cell r="K3270">
            <v>0</v>
          </cell>
          <cell r="L3270">
            <v>0</v>
          </cell>
        </row>
        <row r="3271">
          <cell r="A3271" t="str">
            <v>20499.07184</v>
          </cell>
          <cell r="B3271" t="str">
            <v>ROBINET A SOUPAPE</v>
          </cell>
          <cell r="C3271" t="str">
            <v>SACCAP PLAN AR5312W1A1KE DN1/2" CLASSE 800 RACCORDEMENT SW</v>
          </cell>
          <cell r="D3271" t="str">
            <v>PE</v>
          </cell>
          <cell r="E3271" t="str">
            <v>515.51511</v>
          </cell>
          <cell r="F3271">
            <v>276</v>
          </cell>
          <cell r="G3271">
            <v>0</v>
          </cell>
          <cell r="H3271">
            <v>0</v>
          </cell>
          <cell r="I3271">
            <v>0</v>
          </cell>
          <cell r="J3271">
            <v>0</v>
          </cell>
          <cell r="K3271">
            <v>0</v>
          </cell>
          <cell r="L3271">
            <v>0</v>
          </cell>
        </row>
        <row r="3272">
          <cell r="A3272" t="str">
            <v>20499.07177</v>
          </cell>
          <cell r="B3272" t="str">
            <v>ROBINET A SOUPAPE</v>
          </cell>
          <cell r="C3272" t="str">
            <v>SACCAP PLAN AR7336W1A1KE DN3/4" CLASSE 1500 RACCORDEMENT SW</v>
          </cell>
          <cell r="D3272" t="str">
            <v>PE</v>
          </cell>
          <cell r="E3272" t="str">
            <v>515.51511</v>
          </cell>
          <cell r="F3272">
            <v>513</v>
          </cell>
          <cell r="G3272">
            <v>0</v>
          </cell>
          <cell r="H3272">
            <v>2</v>
          </cell>
          <cell r="I3272">
            <v>0</v>
          </cell>
          <cell r="J3272">
            <v>3</v>
          </cell>
          <cell r="K3272">
            <v>0</v>
          </cell>
          <cell r="L3272">
            <v>0</v>
          </cell>
        </row>
        <row r="3273">
          <cell r="A3273" t="str">
            <v>20499.07178</v>
          </cell>
          <cell r="B3273" t="str">
            <v>ROBINET A SOUPAPE</v>
          </cell>
          <cell r="C3273" t="str">
            <v>SACCAP PLAN AR7336W1A1KE DN1"1/2 CLASSE 1500 RACCORDEMENT SW</v>
          </cell>
          <cell r="D3273" t="str">
            <v>PE</v>
          </cell>
          <cell r="E3273" t="str">
            <v>515.51511</v>
          </cell>
          <cell r="F3273">
            <v>1300</v>
          </cell>
          <cell r="G3273">
            <v>0</v>
          </cell>
          <cell r="H3273">
            <v>0</v>
          </cell>
          <cell r="I3273">
            <v>0</v>
          </cell>
          <cell r="J3273">
            <v>0</v>
          </cell>
          <cell r="K3273">
            <v>0</v>
          </cell>
          <cell r="L3273">
            <v>0</v>
          </cell>
        </row>
        <row r="3274">
          <cell r="A3274" t="str">
            <v>20499.07179</v>
          </cell>
          <cell r="B3274" t="str">
            <v>ROBINET A SOUPAPE</v>
          </cell>
          <cell r="C3274" t="str">
            <v>SACCAP PLAN AR5312S2A1KA DN3/4" CLASSE 800 RACCORDEMENT NPTF</v>
          </cell>
          <cell r="D3274" t="str">
            <v>PE</v>
          </cell>
          <cell r="E3274" t="str">
            <v>515.51511</v>
          </cell>
          <cell r="F3274">
            <v>180.19399999999999</v>
          </cell>
          <cell r="G3274">
            <v>0</v>
          </cell>
          <cell r="H3274">
            <v>4</v>
          </cell>
          <cell r="I3274">
            <v>0</v>
          </cell>
          <cell r="J3274">
            <v>0</v>
          </cell>
          <cell r="K3274">
            <v>0</v>
          </cell>
          <cell r="L3274">
            <v>4</v>
          </cell>
        </row>
        <row r="3275">
          <cell r="A3275" t="str">
            <v>20499.07180</v>
          </cell>
          <cell r="B3275" t="str">
            <v>ROBINET A SOUPAPE</v>
          </cell>
          <cell r="C3275" t="str">
            <v>SACCAP PLAN AR5312S2A1KA DN2" CLASSE 800 RACCORDEMENT NPTF</v>
          </cell>
          <cell r="D3275" t="str">
            <v>PE</v>
          </cell>
          <cell r="E3275" t="str">
            <v>515.51511</v>
          </cell>
          <cell r="F3275">
            <v>648.69839999999999</v>
          </cell>
          <cell r="G3275">
            <v>0</v>
          </cell>
          <cell r="H3275">
            <v>0</v>
          </cell>
          <cell r="I3275">
            <v>0</v>
          </cell>
          <cell r="J3275">
            <v>0</v>
          </cell>
          <cell r="K3275">
            <v>0</v>
          </cell>
          <cell r="L3275">
            <v>1</v>
          </cell>
        </row>
        <row r="3276">
          <cell r="A3276" t="str">
            <v>20499.20742</v>
          </cell>
          <cell r="B3276" t="str">
            <v xml:space="preserve">SOUPAPE COMPLETE </v>
          </cell>
          <cell r="C3276" t="str">
            <v>LESER TYPE 4295.8634 SERIE:10118772/10118773 DN25 PN40 PRESSION DE TARAGE 3.5BAR</v>
          </cell>
          <cell r="D3276" t="str">
            <v>PE</v>
          </cell>
          <cell r="E3276" t="str">
            <v>515.51511</v>
          </cell>
          <cell r="F3276">
            <v>7050</v>
          </cell>
          <cell r="G3276">
            <v>0</v>
          </cell>
          <cell r="H3276">
            <v>0</v>
          </cell>
          <cell r="I3276">
            <v>0</v>
          </cell>
          <cell r="J3276">
            <v>0</v>
          </cell>
          <cell r="K3276">
            <v>0</v>
          </cell>
          <cell r="L3276">
            <v>0</v>
          </cell>
        </row>
        <row r="3277">
          <cell r="A3277" t="str">
            <v>20499.20743</v>
          </cell>
          <cell r="B3277" t="str">
            <v xml:space="preserve">CORPS </v>
          </cell>
          <cell r="C3277" t="str">
            <v>LESER TYPE 4295.8634 SERIE:10118772/10118773 REP1</v>
          </cell>
          <cell r="D3277" t="str">
            <v>PE</v>
          </cell>
          <cell r="E3277" t="str">
            <v>515.51511</v>
          </cell>
          <cell r="F3277">
            <v>3285</v>
          </cell>
          <cell r="G3277">
            <v>0</v>
          </cell>
          <cell r="H3277">
            <v>0</v>
          </cell>
          <cell r="I3277">
            <v>0</v>
          </cell>
          <cell r="J3277">
            <v>0</v>
          </cell>
          <cell r="K3277">
            <v>0</v>
          </cell>
          <cell r="L3277">
            <v>0</v>
          </cell>
        </row>
        <row r="3278">
          <cell r="A3278" t="str">
            <v>20499.20745</v>
          </cell>
          <cell r="B3278" t="str">
            <v xml:space="preserve">CLAPET </v>
          </cell>
          <cell r="C3278" t="str">
            <v>LESER TYPE 4295.8634 SERIE:10118772/10118773 REP7</v>
          </cell>
          <cell r="D3278" t="str">
            <v>PE</v>
          </cell>
          <cell r="E3278" t="str">
            <v>515.51511</v>
          </cell>
          <cell r="F3278">
            <v>1242</v>
          </cell>
          <cell r="G3278">
            <v>0</v>
          </cell>
          <cell r="H3278">
            <v>0</v>
          </cell>
          <cell r="I3278">
            <v>0</v>
          </cell>
          <cell r="J3278">
            <v>0</v>
          </cell>
          <cell r="K3278">
            <v>0</v>
          </cell>
          <cell r="L3278">
            <v>0</v>
          </cell>
        </row>
        <row r="3279">
          <cell r="A3279" t="str">
            <v>20499.20746</v>
          </cell>
          <cell r="B3279" t="str">
            <v xml:space="preserve">DISQUE DE GUIDAGE </v>
          </cell>
          <cell r="C3279" t="str">
            <v>LESER TYPE 4295.8634 SERIE:10118772/10118773 REP8</v>
          </cell>
          <cell r="D3279" t="str">
            <v>PE</v>
          </cell>
          <cell r="E3279" t="str">
            <v>515.51511</v>
          </cell>
          <cell r="F3279">
            <v>902</v>
          </cell>
          <cell r="G3279">
            <v>0</v>
          </cell>
          <cell r="H3279">
            <v>0</v>
          </cell>
          <cell r="I3279">
            <v>0</v>
          </cell>
          <cell r="J3279">
            <v>0</v>
          </cell>
          <cell r="K3279">
            <v>0</v>
          </cell>
          <cell r="L3279">
            <v>0</v>
          </cell>
        </row>
        <row r="3280">
          <cell r="A3280" t="str">
            <v>20499.20738</v>
          </cell>
          <cell r="B3280" t="str">
            <v xml:space="preserve">SOUPAPE COMPLETE </v>
          </cell>
          <cell r="C3280" t="str">
            <v>FULFLO REF: ACP09F300AR PRESSION DE TARAGE 13,5BAR</v>
          </cell>
          <cell r="D3280" t="str">
            <v>PE</v>
          </cell>
          <cell r="E3280" t="str">
            <v>515.51511</v>
          </cell>
          <cell r="F3280">
            <v>32416.2</v>
          </cell>
          <cell r="G3280">
            <v>0</v>
          </cell>
          <cell r="H3280">
            <v>0</v>
          </cell>
          <cell r="I3280">
            <v>0</v>
          </cell>
          <cell r="J3280">
            <v>0</v>
          </cell>
          <cell r="K3280">
            <v>0</v>
          </cell>
          <cell r="L3280">
            <v>0</v>
          </cell>
        </row>
        <row r="3281">
          <cell r="A3281" t="str">
            <v>20499.20739</v>
          </cell>
          <cell r="B3281" t="str">
            <v xml:space="preserve">SOUPAPE COMPLETE </v>
          </cell>
          <cell r="C3281" t="str">
            <v>FULFLO REF: ACP09F300AR PRESSION DE TARAGE 6,86BAR</v>
          </cell>
          <cell r="D3281" t="str">
            <v>PE</v>
          </cell>
          <cell r="E3281" t="str">
            <v>515.51511</v>
          </cell>
          <cell r="F3281">
            <v>32416.2</v>
          </cell>
          <cell r="G3281">
            <v>0</v>
          </cell>
          <cell r="H3281">
            <v>0</v>
          </cell>
          <cell r="I3281">
            <v>0</v>
          </cell>
          <cell r="J3281">
            <v>0</v>
          </cell>
          <cell r="K3281">
            <v>0</v>
          </cell>
          <cell r="L3281">
            <v>0</v>
          </cell>
        </row>
        <row r="3282">
          <cell r="A3282" t="str">
            <v>20499.20740</v>
          </cell>
          <cell r="B3282" t="str">
            <v xml:space="preserve">SOUPAPE COMPLETE </v>
          </cell>
          <cell r="C3282" t="str">
            <v>FULFLO REF: VJF-8R/SS/WS PRESSION DE TARAGE 5,27BAR</v>
          </cell>
          <cell r="D3282" t="str">
            <v>PE</v>
          </cell>
          <cell r="E3282" t="str">
            <v>515.51511</v>
          </cell>
          <cell r="F3282">
            <v>6886.1</v>
          </cell>
          <cell r="G3282">
            <v>0</v>
          </cell>
          <cell r="H3282">
            <v>0</v>
          </cell>
          <cell r="I3282">
            <v>0</v>
          </cell>
          <cell r="J3282">
            <v>0</v>
          </cell>
          <cell r="K3282">
            <v>0</v>
          </cell>
          <cell r="L3282">
            <v>0</v>
          </cell>
        </row>
        <row r="3283">
          <cell r="A3283" t="str">
            <v>20499.20741</v>
          </cell>
          <cell r="B3283" t="str">
            <v xml:space="preserve">SOUPAPE COMPLETE </v>
          </cell>
          <cell r="C3283" t="str">
            <v>FULFLO REF: VJF-8R/SS/US PRESSION DE TARAGE 1,41BAR</v>
          </cell>
          <cell r="D3283" t="str">
            <v>PE</v>
          </cell>
          <cell r="E3283" t="str">
            <v>515.51511</v>
          </cell>
          <cell r="F3283">
            <v>6886.1</v>
          </cell>
          <cell r="G3283">
            <v>0</v>
          </cell>
          <cell r="H3283">
            <v>0</v>
          </cell>
          <cell r="I3283">
            <v>0</v>
          </cell>
          <cell r="J3283">
            <v>0</v>
          </cell>
          <cell r="K3283">
            <v>0</v>
          </cell>
          <cell r="L3283">
            <v>0</v>
          </cell>
        </row>
        <row r="3284">
          <cell r="A3284" t="str">
            <v>20499.06817</v>
          </cell>
          <cell r="B3284" t="str">
            <v>VANNE A BOISSEAU</v>
          </cell>
          <cell r="C3284" t="str">
            <v>FLUOROSEAL DN 25 REF/1R152F/W-904L/904L-P-FS</v>
          </cell>
          <cell r="D3284" t="str">
            <v>PE</v>
          </cell>
          <cell r="E3284" t="str">
            <v>515.51511</v>
          </cell>
          <cell r="F3284">
            <v>1900</v>
          </cell>
          <cell r="G3284">
            <v>1</v>
          </cell>
          <cell r="H3284">
            <v>0</v>
          </cell>
          <cell r="I3284">
            <v>1</v>
          </cell>
          <cell r="J3284">
            <v>6</v>
          </cell>
          <cell r="K3284">
            <v>0</v>
          </cell>
          <cell r="L3284">
            <v>0</v>
          </cell>
        </row>
        <row r="3285">
          <cell r="A3285" t="str">
            <v>20499.06822</v>
          </cell>
          <cell r="B3285" t="str">
            <v>VANNE A BOISSEAU</v>
          </cell>
          <cell r="C3285" t="str">
            <v>FLUOROSEAL DN150  REF/6R152F/EG - 904L/904L - P - FS</v>
          </cell>
          <cell r="D3285" t="str">
            <v>PE</v>
          </cell>
          <cell r="E3285" t="str">
            <v>515.51511</v>
          </cell>
          <cell r="F3285">
            <v>19000</v>
          </cell>
          <cell r="G3285">
            <v>0</v>
          </cell>
          <cell r="H3285">
            <v>11</v>
          </cell>
          <cell r="I3285">
            <v>5</v>
          </cell>
          <cell r="J3285">
            <v>0</v>
          </cell>
          <cell r="K3285">
            <v>0</v>
          </cell>
          <cell r="L3285">
            <v>0</v>
          </cell>
        </row>
        <row r="3286">
          <cell r="A3286" t="str">
            <v>20499.06823</v>
          </cell>
          <cell r="B3286" t="str">
            <v>VANNE A BOISSEAU</v>
          </cell>
          <cell r="C3286" t="str">
            <v>FLUOROSEAL DN200  REF/8R152F/EG - 904L/904L - P - FS</v>
          </cell>
          <cell r="D3286" t="str">
            <v>PE</v>
          </cell>
          <cell r="E3286" t="str">
            <v>515.51511</v>
          </cell>
          <cell r="F3286">
            <v>25182.111499999999</v>
          </cell>
          <cell r="G3286">
            <v>0</v>
          </cell>
          <cell r="H3286">
            <v>1</v>
          </cell>
          <cell r="I3286">
            <v>5</v>
          </cell>
          <cell r="J3286">
            <v>1</v>
          </cell>
          <cell r="K3286">
            <v>4</v>
          </cell>
          <cell r="L3286">
            <v>0</v>
          </cell>
        </row>
        <row r="3287">
          <cell r="A3287" t="str">
            <v>20499.06824</v>
          </cell>
          <cell r="B3287" t="str">
            <v>VANNE A BOISSEAU</v>
          </cell>
          <cell r="C3287" t="str">
            <v>FLUOROSEAL DN250  REF/10R152F/EG - 904L/904L - P - FS</v>
          </cell>
          <cell r="D3287" t="str">
            <v>PE</v>
          </cell>
          <cell r="E3287" t="str">
            <v>515.51511</v>
          </cell>
          <cell r="F3287">
            <v>45400</v>
          </cell>
          <cell r="G3287">
            <v>0</v>
          </cell>
          <cell r="H3287">
            <v>4</v>
          </cell>
          <cell r="I3287">
            <v>0</v>
          </cell>
          <cell r="J3287">
            <v>0</v>
          </cell>
          <cell r="K3287">
            <v>0</v>
          </cell>
          <cell r="L3287">
            <v>1</v>
          </cell>
        </row>
        <row r="3288">
          <cell r="A3288" t="str">
            <v>20499.06818</v>
          </cell>
          <cell r="B3288" t="str">
            <v>VANNE A BOISSEAU</v>
          </cell>
          <cell r="C3288" t="str">
            <v>FLUOROSEAL DN40 REF/1 1/2R152F/W - 904L/904L - P-FS</v>
          </cell>
          <cell r="D3288" t="str">
            <v>PE</v>
          </cell>
          <cell r="E3288" t="str">
            <v>515.51511</v>
          </cell>
          <cell r="F3288">
            <v>3218</v>
          </cell>
          <cell r="G3288">
            <v>0</v>
          </cell>
          <cell r="H3288">
            <v>3</v>
          </cell>
          <cell r="I3288">
            <v>1</v>
          </cell>
          <cell r="J3288">
            <v>5</v>
          </cell>
          <cell r="K3288">
            <v>3</v>
          </cell>
          <cell r="L3288">
            <v>0</v>
          </cell>
        </row>
        <row r="3289">
          <cell r="A3289" t="str">
            <v>20499.06819</v>
          </cell>
          <cell r="B3289" t="str">
            <v>VANNE A BOISSEAU</v>
          </cell>
          <cell r="C3289" t="str">
            <v>FLUOROSEAL DN50 REF/2R152F/W - 904L/904L - P - FS</v>
          </cell>
          <cell r="D3289" t="str">
            <v>PE</v>
          </cell>
          <cell r="E3289" t="str">
            <v>515.51511</v>
          </cell>
          <cell r="F3289">
            <v>3648.9285</v>
          </cell>
          <cell r="G3289">
            <v>0</v>
          </cell>
          <cell r="H3289">
            <v>5</v>
          </cell>
          <cell r="I3289">
            <v>1</v>
          </cell>
          <cell r="J3289">
            <v>0</v>
          </cell>
          <cell r="K3289">
            <v>0</v>
          </cell>
          <cell r="L3289">
            <v>0</v>
          </cell>
        </row>
        <row r="3290">
          <cell r="A3290" t="str">
            <v>20499.06820</v>
          </cell>
          <cell r="B3290" t="str">
            <v>VANNE A BOISSEAU</v>
          </cell>
          <cell r="C3290" t="str">
            <v>FLUOROSEAL DN80  REF/3R152F/W - 904L/904L - P - FS</v>
          </cell>
          <cell r="D3290" t="str">
            <v>PE</v>
          </cell>
          <cell r="E3290" t="str">
            <v>515.51511</v>
          </cell>
          <cell r="F3290">
            <v>5631.0625</v>
          </cell>
          <cell r="G3290">
            <v>0</v>
          </cell>
          <cell r="H3290">
            <v>3</v>
          </cell>
          <cell r="I3290">
            <v>2</v>
          </cell>
          <cell r="J3290">
            <v>0</v>
          </cell>
          <cell r="K3290">
            <v>0</v>
          </cell>
          <cell r="L3290">
            <v>4</v>
          </cell>
        </row>
        <row r="3291">
          <cell r="A3291" t="str">
            <v>20499.06821</v>
          </cell>
          <cell r="B3291" t="str">
            <v>VANNE A BOISSEAU</v>
          </cell>
          <cell r="C3291" t="str">
            <v>FLUOROSEAL DN100 REF/4R152F/EG - 904L/904L - P - FS</v>
          </cell>
          <cell r="D3291" t="str">
            <v>PE</v>
          </cell>
          <cell r="E3291" t="str">
            <v>515.51511</v>
          </cell>
          <cell r="F3291">
            <v>9500</v>
          </cell>
          <cell r="G3291">
            <v>1</v>
          </cell>
          <cell r="H3291">
            <v>5</v>
          </cell>
          <cell r="I3291">
            <v>3</v>
          </cell>
          <cell r="J3291">
            <v>0</v>
          </cell>
          <cell r="K3291">
            <v>0</v>
          </cell>
          <cell r="L3291">
            <v>7</v>
          </cell>
        </row>
        <row r="3292">
          <cell r="A3292" t="str">
            <v>20498.02613</v>
          </cell>
          <cell r="B3292" t="str">
            <v>THERMOCOUPLE AVEC DOIGT DE GANT</v>
          </cell>
          <cell r="C3292" t="str">
            <v>PYROCONTROLE PLAN N° 10 LONG 356mm</v>
          </cell>
          <cell r="D3292" t="str">
            <v>PE</v>
          </cell>
          <cell r="E3292" t="str">
            <v>512.51201</v>
          </cell>
          <cell r="F3292">
            <v>4080.4802</v>
          </cell>
          <cell r="G3292">
            <v>0</v>
          </cell>
          <cell r="H3292">
            <v>0</v>
          </cell>
          <cell r="I3292">
            <v>1</v>
          </cell>
          <cell r="J3292">
            <v>0</v>
          </cell>
          <cell r="K3292">
            <v>0</v>
          </cell>
          <cell r="L3292">
            <v>1</v>
          </cell>
        </row>
        <row r="3293">
          <cell r="A3293" t="str">
            <v>20498.02614</v>
          </cell>
          <cell r="B3293" t="str">
            <v>THERMOCOUPLE AVEC DOIGT DE GANT</v>
          </cell>
          <cell r="C3293" t="str">
            <v>PYROCONTROLE PLAN N° 10 LONG 178mm</v>
          </cell>
          <cell r="D3293" t="str">
            <v>PE</v>
          </cell>
          <cell r="E3293" t="str">
            <v>512.51201</v>
          </cell>
          <cell r="F3293">
            <v>4892.6683999999996</v>
          </cell>
          <cell r="G3293">
            <v>0</v>
          </cell>
          <cell r="H3293">
            <v>0</v>
          </cell>
          <cell r="I3293">
            <v>0</v>
          </cell>
          <cell r="J3293">
            <v>0</v>
          </cell>
          <cell r="K3293">
            <v>0</v>
          </cell>
          <cell r="L3293">
            <v>4</v>
          </cell>
        </row>
        <row r="3294">
          <cell r="A3294" t="str">
            <v>20499.06613</v>
          </cell>
          <cell r="B3294" t="str">
            <v>ROBINET A BOISSEAU SPHERIQUE</v>
          </cell>
          <cell r="C3294" t="str">
            <v>SAPAG FIGURE 18231 CODE 215654 DN 20</v>
          </cell>
          <cell r="D3294" t="str">
            <v>PE</v>
          </cell>
          <cell r="E3294" t="str">
            <v>515.51511</v>
          </cell>
          <cell r="F3294">
            <v>7017.1190999999999</v>
          </cell>
          <cell r="G3294">
            <v>0</v>
          </cell>
          <cell r="H3294">
            <v>2</v>
          </cell>
          <cell r="I3294">
            <v>0</v>
          </cell>
          <cell r="J3294">
            <v>0</v>
          </cell>
          <cell r="K3294">
            <v>0</v>
          </cell>
          <cell r="L3294">
            <v>7</v>
          </cell>
        </row>
        <row r="3295">
          <cell r="A3295" t="str">
            <v>20499.06614</v>
          </cell>
          <cell r="B3295" t="str">
            <v>ROBINET A BOISSEAU SPHERIQUE</v>
          </cell>
          <cell r="C3295" t="str">
            <v>SAPAG FIGURE 18231 CODE 215669 DN 15</v>
          </cell>
          <cell r="D3295" t="str">
            <v>PE</v>
          </cell>
          <cell r="E3295" t="str">
            <v>515.51511</v>
          </cell>
          <cell r="F3295">
            <v>4296.3571000000002</v>
          </cell>
          <cell r="G3295">
            <v>0</v>
          </cell>
          <cell r="H3295">
            <v>0</v>
          </cell>
          <cell r="I3295">
            <v>0</v>
          </cell>
          <cell r="J3295">
            <v>0</v>
          </cell>
          <cell r="K3295">
            <v>0</v>
          </cell>
          <cell r="L3295">
            <v>0</v>
          </cell>
        </row>
        <row r="3296">
          <cell r="A3296" t="str">
            <v>20499.06615</v>
          </cell>
          <cell r="B3296" t="str">
            <v>ROBINET A BOISSEAU SPHERIQUE</v>
          </cell>
          <cell r="C3296" t="str">
            <v>SAPAG FIGURE 18231 CODE 1867 DN 15</v>
          </cell>
          <cell r="D3296" t="str">
            <v>PE</v>
          </cell>
          <cell r="E3296" t="str">
            <v>515.51511</v>
          </cell>
          <cell r="F3296">
            <v>1285.9931999999999</v>
          </cell>
          <cell r="G3296">
            <v>0</v>
          </cell>
          <cell r="H3296">
            <v>0</v>
          </cell>
          <cell r="I3296">
            <v>0</v>
          </cell>
          <cell r="J3296">
            <v>0</v>
          </cell>
          <cell r="K3296">
            <v>0</v>
          </cell>
          <cell r="L3296">
            <v>2</v>
          </cell>
        </row>
        <row r="3297">
          <cell r="A3297" t="str">
            <v>20499.06616</v>
          </cell>
          <cell r="B3297" t="str">
            <v>ROBINET A BOISSEAU SPHERIQUE</v>
          </cell>
          <cell r="C3297" t="str">
            <v>SAPAG FIGURE 18231 CODE 1868 DN 20</v>
          </cell>
          <cell r="D3297" t="str">
            <v>PE</v>
          </cell>
          <cell r="E3297" t="str">
            <v>515.51511</v>
          </cell>
          <cell r="F3297">
            <v>1579.3134</v>
          </cell>
          <cell r="G3297">
            <v>6</v>
          </cell>
          <cell r="H3297">
            <v>0</v>
          </cell>
          <cell r="I3297">
            <v>0</v>
          </cell>
          <cell r="J3297">
            <v>0</v>
          </cell>
          <cell r="K3297">
            <v>0</v>
          </cell>
          <cell r="L3297">
            <v>0</v>
          </cell>
        </row>
        <row r="3298">
          <cell r="A3298" t="str">
            <v>20499.06617</v>
          </cell>
          <cell r="B3298" t="str">
            <v>ROBINET A BOISSEAU SPHERIQUE</v>
          </cell>
          <cell r="C3298" t="str">
            <v>SAPAG FIGURE 18231 CODE 1869 DN 25</v>
          </cell>
          <cell r="D3298" t="str">
            <v>PE</v>
          </cell>
          <cell r="E3298" t="str">
            <v>515.51511</v>
          </cell>
          <cell r="F3298">
            <v>1902.3561</v>
          </cell>
          <cell r="G3298">
            <v>0</v>
          </cell>
          <cell r="H3298">
            <v>0</v>
          </cell>
          <cell r="I3298">
            <v>0</v>
          </cell>
          <cell r="J3298">
            <v>0</v>
          </cell>
          <cell r="K3298">
            <v>0</v>
          </cell>
          <cell r="L3298">
            <v>2</v>
          </cell>
        </row>
        <row r="3299">
          <cell r="A3299" t="str">
            <v>20499.06618</v>
          </cell>
          <cell r="B3299" t="str">
            <v>ROBINET A BOISSEAU SPHERIQUE</v>
          </cell>
          <cell r="C3299" t="str">
            <v>SAPAG FIGURE 18231 CODE 1871 DN 40</v>
          </cell>
          <cell r="D3299" t="str">
            <v>PE</v>
          </cell>
          <cell r="E3299" t="str">
            <v>515.51511</v>
          </cell>
          <cell r="F3299">
            <v>3090.6729999999998</v>
          </cell>
          <cell r="G3299">
            <v>0</v>
          </cell>
          <cell r="H3299">
            <v>0</v>
          </cell>
          <cell r="I3299">
            <v>0</v>
          </cell>
          <cell r="J3299">
            <v>0</v>
          </cell>
          <cell r="K3299">
            <v>0</v>
          </cell>
          <cell r="L3299">
            <v>0</v>
          </cell>
        </row>
        <row r="3300">
          <cell r="A3300" t="str">
            <v>20499.06619</v>
          </cell>
          <cell r="B3300" t="str">
            <v>ROBINET A BOISSEAU SPHERIQUE</v>
          </cell>
          <cell r="C3300" t="str">
            <v>SAPAG FIGURE 18231 CODE 1872 DN 50</v>
          </cell>
          <cell r="D3300" t="str">
            <v>PE</v>
          </cell>
          <cell r="E3300" t="str">
            <v>515.51511</v>
          </cell>
          <cell r="F3300">
            <v>7214.4065000000001</v>
          </cell>
          <cell r="G3300">
            <v>0</v>
          </cell>
          <cell r="H3300">
            <v>0</v>
          </cell>
          <cell r="I3300">
            <v>0</v>
          </cell>
          <cell r="J3300">
            <v>0</v>
          </cell>
          <cell r="K3300">
            <v>0</v>
          </cell>
          <cell r="L3300">
            <v>0</v>
          </cell>
        </row>
        <row r="3301">
          <cell r="A3301" t="str">
            <v>20499.06620</v>
          </cell>
          <cell r="B3301" t="str">
            <v>ROBINET A BOISSEAU SPHERIQUE</v>
          </cell>
          <cell r="C3301" t="str">
            <v>SAPAG FIGURE 18231 CODE 2284 DN 80</v>
          </cell>
          <cell r="D3301" t="str">
            <v>PE</v>
          </cell>
          <cell r="E3301" t="str">
            <v>515.51511</v>
          </cell>
          <cell r="F3301">
            <v>15437.9791</v>
          </cell>
          <cell r="G3301">
            <v>0</v>
          </cell>
          <cell r="H3301">
            <v>0</v>
          </cell>
          <cell r="I3301">
            <v>0</v>
          </cell>
          <cell r="J3301">
            <v>0</v>
          </cell>
          <cell r="K3301">
            <v>0</v>
          </cell>
          <cell r="L3301">
            <v>1</v>
          </cell>
        </row>
        <row r="3302">
          <cell r="A3302" t="str">
            <v>20499.06621</v>
          </cell>
          <cell r="B3302" t="str">
            <v>ROBINET A BOISSEAU SPHERIQUE</v>
          </cell>
          <cell r="C3302" t="str">
            <v>SAPAG FIGURE 18231 CODE 2230 DN 100</v>
          </cell>
          <cell r="D3302" t="str">
            <v>PE</v>
          </cell>
          <cell r="E3302" t="str">
            <v>515.51511</v>
          </cell>
          <cell r="F3302">
            <v>16248.645500000001</v>
          </cell>
          <cell r="G3302">
            <v>0</v>
          </cell>
          <cell r="H3302">
            <v>0</v>
          </cell>
          <cell r="I3302">
            <v>0</v>
          </cell>
          <cell r="J3302">
            <v>0</v>
          </cell>
          <cell r="K3302">
            <v>0</v>
          </cell>
          <cell r="L3302">
            <v>1</v>
          </cell>
        </row>
        <row r="3303">
          <cell r="A3303" t="str">
            <v>20492.06592</v>
          </cell>
          <cell r="B3303" t="str">
            <v>BUSE DE PULVERISATION</v>
          </cell>
          <cell r="C3303" t="str">
            <v>LECHLER 405.326.53.AV</v>
          </cell>
          <cell r="D3303" t="str">
            <v>PE</v>
          </cell>
          <cell r="E3303" t="str">
            <v>515.51502</v>
          </cell>
          <cell r="F3303">
            <v>1600</v>
          </cell>
          <cell r="G3303">
            <v>0</v>
          </cell>
          <cell r="H3303">
            <v>0</v>
          </cell>
          <cell r="I3303">
            <v>37</v>
          </cell>
          <cell r="J3303">
            <v>0</v>
          </cell>
          <cell r="K3303">
            <v>25</v>
          </cell>
          <cell r="L3303">
            <v>0</v>
          </cell>
        </row>
        <row r="3304">
          <cell r="A3304" t="str">
            <v>20492.14972</v>
          </cell>
          <cell r="B3304" t="str">
            <v>REGULATEUR DE TEMPERATURE ELECTRONIQUE</v>
          </cell>
          <cell r="C3304" t="str">
            <v>M&amp;C  01 B 8400</v>
          </cell>
          <cell r="D3304" t="str">
            <v>PE</v>
          </cell>
          <cell r="E3304" t="str">
            <v>512.51201</v>
          </cell>
          <cell r="F3304">
            <v>5811</v>
          </cell>
          <cell r="G3304">
            <v>0</v>
          </cell>
          <cell r="H3304">
            <v>0</v>
          </cell>
          <cell r="I3304">
            <v>0</v>
          </cell>
          <cell r="J3304">
            <v>0</v>
          </cell>
          <cell r="K3304">
            <v>2</v>
          </cell>
          <cell r="L3304">
            <v>2</v>
          </cell>
        </row>
        <row r="3305">
          <cell r="A3305" t="str">
            <v>20525.00137</v>
          </cell>
          <cell r="B3305" t="str">
            <v>PALIER</v>
          </cell>
          <cell r="C3305" t="str">
            <v>INA TASE60-N</v>
          </cell>
          <cell r="D3305" t="str">
            <v>PE</v>
          </cell>
          <cell r="E3305" t="str">
            <v>515.51515</v>
          </cell>
          <cell r="F3305">
            <v>1023.2627</v>
          </cell>
          <cell r="G3305">
            <v>0</v>
          </cell>
          <cell r="H3305">
            <v>0</v>
          </cell>
          <cell r="I3305">
            <v>0</v>
          </cell>
          <cell r="J3305">
            <v>0</v>
          </cell>
          <cell r="K3305">
            <v>0</v>
          </cell>
          <cell r="L3305">
            <v>6</v>
          </cell>
        </row>
        <row r="3306">
          <cell r="A3306" t="str">
            <v>20525.00138</v>
          </cell>
          <cell r="B3306" t="str">
            <v>ROULEMENT</v>
          </cell>
          <cell r="C3306" t="str">
            <v>INA GE60-KTT-B</v>
          </cell>
          <cell r="D3306" t="str">
            <v>PE</v>
          </cell>
          <cell r="E3306" t="str">
            <v>515.51515</v>
          </cell>
          <cell r="F3306">
            <v>1545.6</v>
          </cell>
          <cell r="G3306">
            <v>0</v>
          </cell>
          <cell r="H3306">
            <v>0</v>
          </cell>
          <cell r="I3306">
            <v>0</v>
          </cell>
          <cell r="J3306">
            <v>0</v>
          </cell>
          <cell r="K3306">
            <v>0</v>
          </cell>
          <cell r="L3306">
            <v>4</v>
          </cell>
        </row>
        <row r="3307">
          <cell r="A3307" t="str">
            <v>20525.00139</v>
          </cell>
          <cell r="B3307" t="str">
            <v>PALIER</v>
          </cell>
          <cell r="C3307" t="str">
            <v>INA PHUSE50-N</v>
          </cell>
          <cell r="D3307" t="str">
            <v>PE</v>
          </cell>
          <cell r="E3307" t="str">
            <v>515.51515</v>
          </cell>
          <cell r="F3307">
            <v>579.5</v>
          </cell>
          <cell r="G3307">
            <v>0</v>
          </cell>
          <cell r="H3307">
            <v>0</v>
          </cell>
          <cell r="I3307">
            <v>0</v>
          </cell>
          <cell r="J3307">
            <v>0</v>
          </cell>
          <cell r="K3307">
            <v>0</v>
          </cell>
          <cell r="L3307">
            <v>2</v>
          </cell>
        </row>
        <row r="3308">
          <cell r="A3308" t="str">
            <v>20525.00140</v>
          </cell>
          <cell r="B3308" t="str">
            <v>ROULEMENT</v>
          </cell>
          <cell r="C3308" t="str">
            <v>INA GRAE50-NPP-B</v>
          </cell>
          <cell r="D3308" t="str">
            <v>PE</v>
          </cell>
          <cell r="E3308" t="str">
            <v>515.51515</v>
          </cell>
          <cell r="F3308">
            <v>177.31180000000001</v>
          </cell>
          <cell r="G3308">
            <v>0</v>
          </cell>
          <cell r="H3308">
            <v>0</v>
          </cell>
          <cell r="I3308">
            <v>0</v>
          </cell>
          <cell r="J3308">
            <v>0</v>
          </cell>
          <cell r="K3308">
            <v>0</v>
          </cell>
          <cell r="L3308">
            <v>6</v>
          </cell>
        </row>
        <row r="3309">
          <cell r="A3309" t="str">
            <v>20525.00133</v>
          </cell>
          <cell r="B3309" t="str">
            <v>PALIER</v>
          </cell>
          <cell r="C3309" t="str">
            <v>INA PCJT50-N-FA125</v>
          </cell>
          <cell r="D3309" t="str">
            <v>PE</v>
          </cell>
          <cell r="E3309" t="str">
            <v>515.51515</v>
          </cell>
          <cell r="F3309">
            <v>650.30899999999997</v>
          </cell>
          <cell r="G3309">
            <v>0</v>
          </cell>
          <cell r="H3309">
            <v>0</v>
          </cell>
          <cell r="I3309">
            <v>0</v>
          </cell>
          <cell r="J3309">
            <v>0</v>
          </cell>
          <cell r="K3309">
            <v>0</v>
          </cell>
          <cell r="L3309">
            <v>2</v>
          </cell>
        </row>
        <row r="3310">
          <cell r="A3310" t="str">
            <v>20525.00134</v>
          </cell>
          <cell r="B3310" t="str">
            <v>PALIER</v>
          </cell>
          <cell r="C3310" t="str">
            <v>INA TCJ70</v>
          </cell>
          <cell r="D3310" t="str">
            <v>PE</v>
          </cell>
          <cell r="E3310" t="str">
            <v>515.51515</v>
          </cell>
          <cell r="F3310">
            <v>1281.809</v>
          </cell>
          <cell r="G3310">
            <v>0</v>
          </cell>
          <cell r="H3310">
            <v>0</v>
          </cell>
          <cell r="I3310">
            <v>0</v>
          </cell>
          <cell r="J3310">
            <v>0</v>
          </cell>
          <cell r="K3310">
            <v>0</v>
          </cell>
          <cell r="L3310">
            <v>2</v>
          </cell>
        </row>
        <row r="3311">
          <cell r="A3311" t="str">
            <v>20525.00135</v>
          </cell>
          <cell r="B3311" t="str">
            <v>ROULEMENT</v>
          </cell>
          <cell r="C3311" t="str">
            <v>INA GE70-KPP-B</v>
          </cell>
          <cell r="D3311" t="str">
            <v>PE</v>
          </cell>
          <cell r="E3311" t="str">
            <v>515.51515</v>
          </cell>
          <cell r="F3311">
            <v>1768.452</v>
          </cell>
          <cell r="G3311">
            <v>0</v>
          </cell>
          <cell r="H3311">
            <v>0</v>
          </cell>
          <cell r="I3311">
            <v>0</v>
          </cell>
          <cell r="J3311">
            <v>0</v>
          </cell>
          <cell r="K3311">
            <v>0</v>
          </cell>
          <cell r="L3311">
            <v>6</v>
          </cell>
        </row>
        <row r="3312">
          <cell r="A3312" t="str">
            <v>20525.00136</v>
          </cell>
          <cell r="B3312" t="str">
            <v>PALIER</v>
          </cell>
          <cell r="C3312" t="str">
            <v>INA TTUE70</v>
          </cell>
          <cell r="D3312" t="str">
            <v>PE</v>
          </cell>
          <cell r="E3312" t="str">
            <v>515.51515</v>
          </cell>
          <cell r="F3312">
            <v>1383.0350000000001</v>
          </cell>
          <cell r="G3312">
            <v>0</v>
          </cell>
          <cell r="H3312">
            <v>0</v>
          </cell>
          <cell r="I3312">
            <v>0</v>
          </cell>
          <cell r="J3312">
            <v>0</v>
          </cell>
          <cell r="K3312">
            <v>0</v>
          </cell>
          <cell r="L3312">
            <v>2</v>
          </cell>
        </row>
        <row r="3313">
          <cell r="A3313" t="str">
            <v>20498.01860</v>
          </cell>
          <cell r="B3313" t="str">
            <v>PRESSOSTAT RELATIF SER:F</v>
          </cell>
          <cell r="C3313" t="str">
            <v>GEORGIN FP6QX 10A/240VAC - 0.5A/110VCC</v>
          </cell>
          <cell r="D3313" t="str">
            <v>PE</v>
          </cell>
          <cell r="E3313" t="str">
            <v>512.51201</v>
          </cell>
          <cell r="F3313">
            <v>3300</v>
          </cell>
          <cell r="G3313">
            <v>0</v>
          </cell>
          <cell r="H3313">
            <v>0</v>
          </cell>
          <cell r="I3313">
            <v>0</v>
          </cell>
          <cell r="J3313">
            <v>0</v>
          </cell>
          <cell r="K3313">
            <v>1</v>
          </cell>
          <cell r="L3313">
            <v>4</v>
          </cell>
        </row>
        <row r="3314">
          <cell r="A3314" t="str">
            <v>20498.01861</v>
          </cell>
          <cell r="B3314" t="str">
            <v>PRESSOSTAT RELATIF SER:F</v>
          </cell>
          <cell r="C3314" t="str">
            <v>GEORGIN FP6PX 10A/240VAC - 0.5A/110VCC</v>
          </cell>
          <cell r="D3314" t="str">
            <v>PE</v>
          </cell>
          <cell r="E3314" t="str">
            <v>512.51201</v>
          </cell>
          <cell r="F3314">
            <v>30761.637500000001</v>
          </cell>
          <cell r="G3314">
            <v>0</v>
          </cell>
          <cell r="H3314">
            <v>0</v>
          </cell>
          <cell r="I3314">
            <v>0</v>
          </cell>
          <cell r="J3314">
            <v>4</v>
          </cell>
          <cell r="K3314">
            <v>0</v>
          </cell>
          <cell r="L3314">
            <v>5</v>
          </cell>
        </row>
        <row r="3315">
          <cell r="A3315" t="str">
            <v>20498.21134</v>
          </cell>
          <cell r="B3315" t="str">
            <v>COUDE MALE ¿ CONIQUE 10MM X 1/4" NPT DOUBLE BAGUES INOX</v>
          </cell>
          <cell r="C3315" t="str">
            <v>SAGANA, REF : EQMSI 10 1/4N</v>
          </cell>
          <cell r="D3315" t="str">
            <v>PE</v>
          </cell>
          <cell r="E3315" t="str">
            <v>515.51511</v>
          </cell>
          <cell r="F3315">
            <v>141</v>
          </cell>
          <cell r="G3315">
            <v>0</v>
          </cell>
          <cell r="H3315">
            <v>0</v>
          </cell>
          <cell r="I3315">
            <v>0</v>
          </cell>
          <cell r="J3315">
            <v>0</v>
          </cell>
          <cell r="K3315">
            <v>0</v>
          </cell>
          <cell r="L3315">
            <v>0</v>
          </cell>
        </row>
        <row r="3316">
          <cell r="A3316" t="str">
            <v>20498.02485</v>
          </cell>
          <cell r="B3316" t="str">
            <v>SONDE ET PUIT</v>
          </cell>
          <cell r="C3316" t="str">
            <v>PYROCONTRÔLE PLAN  91 7605  REP 203ATE108  DN 40-LONG 300MM - INOX 316L</v>
          </cell>
          <cell r="D3316" t="str">
            <v>PE</v>
          </cell>
          <cell r="E3316" t="str">
            <v>512.51201</v>
          </cell>
          <cell r="F3316">
            <v>5770.2420000000002</v>
          </cell>
          <cell r="G3316">
            <v>0</v>
          </cell>
          <cell r="H3316">
            <v>0</v>
          </cell>
          <cell r="I3316">
            <v>0</v>
          </cell>
          <cell r="J3316">
            <v>0</v>
          </cell>
          <cell r="K3316">
            <v>0</v>
          </cell>
          <cell r="L3316">
            <v>1</v>
          </cell>
        </row>
        <row r="3317">
          <cell r="A3317" t="str">
            <v>20498.02486</v>
          </cell>
          <cell r="B3317" t="str">
            <v>SONDE ET PUIT</v>
          </cell>
          <cell r="C3317" t="str">
            <v>PYROCONTRÔLE PLAN  91 7605  REP 225TE102  DN 40-LONG 450MM - INOX 316L</v>
          </cell>
          <cell r="D3317" t="str">
            <v>PE</v>
          </cell>
          <cell r="E3317" t="str">
            <v>512.51201</v>
          </cell>
          <cell r="F3317">
            <v>6279.3810000000003</v>
          </cell>
          <cell r="G3317">
            <v>0</v>
          </cell>
          <cell r="H3317">
            <v>0</v>
          </cell>
          <cell r="I3317">
            <v>0</v>
          </cell>
          <cell r="J3317">
            <v>0</v>
          </cell>
          <cell r="K3317">
            <v>0</v>
          </cell>
          <cell r="L3317">
            <v>1</v>
          </cell>
        </row>
        <row r="3318">
          <cell r="A3318" t="str">
            <v>20498.02487</v>
          </cell>
          <cell r="B3318" t="str">
            <v>SONDE ET PUIT</v>
          </cell>
          <cell r="C3318" t="str">
            <v>PYROCONTRÔLE PLAN  91 7605  REP 204ITE101  DN 80-LONG 400MM - INOX 316L</v>
          </cell>
          <cell r="D3318" t="str">
            <v>PE</v>
          </cell>
          <cell r="E3318" t="str">
            <v>512.51201</v>
          </cell>
          <cell r="F3318">
            <v>5360</v>
          </cell>
          <cell r="G3318">
            <v>0</v>
          </cell>
          <cell r="H3318">
            <v>1</v>
          </cell>
          <cell r="I3318">
            <v>0</v>
          </cell>
          <cell r="J3318">
            <v>0</v>
          </cell>
          <cell r="K3318">
            <v>1</v>
          </cell>
          <cell r="L3318">
            <v>0</v>
          </cell>
        </row>
        <row r="3319">
          <cell r="A3319" t="str">
            <v>20498.02488</v>
          </cell>
          <cell r="B3319" t="str">
            <v>CONVERTISSEUR DE VIBRATION</v>
          </cell>
          <cell r="C3319" t="str">
            <v xml:space="preserve">PREDICTECH TR4101-A00-E02-G00-S00 </v>
          </cell>
          <cell r="D3319" t="str">
            <v>PE</v>
          </cell>
          <cell r="E3319" t="str">
            <v>512.51201</v>
          </cell>
          <cell r="F3319">
            <v>7461.61</v>
          </cell>
          <cell r="G3319">
            <v>0</v>
          </cell>
          <cell r="H3319">
            <v>0</v>
          </cell>
          <cell r="I3319">
            <v>0</v>
          </cell>
          <cell r="J3319">
            <v>0</v>
          </cell>
          <cell r="K3319">
            <v>0</v>
          </cell>
          <cell r="L3319">
            <v>8</v>
          </cell>
        </row>
        <row r="3320">
          <cell r="A3320" t="str">
            <v>20498.02489</v>
          </cell>
          <cell r="B3320" t="str">
            <v>CONVERTISSEUR DE DEPLACEMENT</v>
          </cell>
          <cell r="C3320" t="str">
            <v>PREDICTECH  TR4102-E02-G00-S00</v>
          </cell>
          <cell r="D3320" t="str">
            <v>PE</v>
          </cell>
          <cell r="E3320" t="str">
            <v>512.51201</v>
          </cell>
          <cell r="F3320">
            <v>7461.61</v>
          </cell>
          <cell r="G3320">
            <v>0</v>
          </cell>
          <cell r="H3320">
            <v>0</v>
          </cell>
          <cell r="I3320">
            <v>0</v>
          </cell>
          <cell r="J3320">
            <v>0</v>
          </cell>
          <cell r="K3320">
            <v>0</v>
          </cell>
          <cell r="L3320">
            <v>4</v>
          </cell>
        </row>
        <row r="3321">
          <cell r="A3321" t="str">
            <v>20498.02490</v>
          </cell>
          <cell r="B3321" t="str">
            <v>CAPTEUR DE VIBRATION</v>
          </cell>
          <cell r="C3321" t="str">
            <v>BENTLY NEVADA REF 330103-00-03-50-02-00 ECHELLE 0 à 200µm</v>
          </cell>
          <cell r="D3321" t="str">
            <v>PE</v>
          </cell>
          <cell r="E3321" t="str">
            <v>512.51201</v>
          </cell>
          <cell r="F3321">
            <v>6341.7731000000003</v>
          </cell>
          <cell r="G3321">
            <v>0</v>
          </cell>
          <cell r="H3321">
            <v>0</v>
          </cell>
          <cell r="I3321">
            <v>0</v>
          </cell>
          <cell r="J3321">
            <v>0</v>
          </cell>
          <cell r="K3321">
            <v>0</v>
          </cell>
          <cell r="L3321">
            <v>8</v>
          </cell>
        </row>
        <row r="3322">
          <cell r="A3322" t="str">
            <v>20497.12556</v>
          </cell>
          <cell r="B3322" t="str">
            <v>ROUE</v>
          </cell>
          <cell r="C3322" t="str">
            <v>GOULDS PUMPS IC-65-40-200 S1 VV  1A SERIE I 601E 28/29 REP 230</v>
          </cell>
          <cell r="D3322" t="str">
            <v>PE</v>
          </cell>
          <cell r="E3322" t="str">
            <v>515.51517</v>
          </cell>
          <cell r="F3322">
            <v>11034.89</v>
          </cell>
          <cell r="G3322">
            <v>0</v>
          </cell>
          <cell r="H3322">
            <v>0</v>
          </cell>
          <cell r="I3322">
            <v>0</v>
          </cell>
          <cell r="J3322">
            <v>0</v>
          </cell>
          <cell r="K3322">
            <v>0</v>
          </cell>
          <cell r="L3322">
            <v>1</v>
          </cell>
        </row>
        <row r="3323">
          <cell r="A3323" t="str">
            <v>20497.12557</v>
          </cell>
          <cell r="B3323" t="str">
            <v>JOINT</v>
          </cell>
          <cell r="C3323" t="str">
            <v>GOULDS PUMPS IC-65-40-200 S1 VV  1A SERIE I 601E 28/29 REP 400</v>
          </cell>
          <cell r="D3323" t="str">
            <v>PE</v>
          </cell>
          <cell r="E3323" t="str">
            <v>515.51517</v>
          </cell>
          <cell r="F3323">
            <v>706.16</v>
          </cell>
          <cell r="G3323">
            <v>0</v>
          </cell>
          <cell r="H3323">
            <v>0</v>
          </cell>
          <cell r="I3323">
            <v>0</v>
          </cell>
          <cell r="J3323">
            <v>0</v>
          </cell>
          <cell r="K3323">
            <v>0</v>
          </cell>
          <cell r="L3323">
            <v>1</v>
          </cell>
        </row>
        <row r="3324">
          <cell r="A3324" t="str">
            <v>20497.12558</v>
          </cell>
          <cell r="B3324" t="str">
            <v>JOINT</v>
          </cell>
          <cell r="C3324" t="str">
            <v>GOULDS PUMPS IC-65-40-200 S1 VV  1A SERIE I 601E 28/29 REP 400A</v>
          </cell>
          <cell r="D3324" t="str">
            <v>PE</v>
          </cell>
          <cell r="E3324" t="str">
            <v>515.51517</v>
          </cell>
          <cell r="F3324">
            <v>91.7</v>
          </cell>
          <cell r="G3324">
            <v>0</v>
          </cell>
          <cell r="H3324">
            <v>0</v>
          </cell>
          <cell r="I3324">
            <v>0</v>
          </cell>
          <cell r="J3324">
            <v>0</v>
          </cell>
          <cell r="K3324">
            <v>0</v>
          </cell>
          <cell r="L3324">
            <v>2</v>
          </cell>
        </row>
        <row r="3325">
          <cell r="A3325" t="str">
            <v>20497.12560</v>
          </cell>
          <cell r="B3325" t="str">
            <v>BAGUE RADIALE</v>
          </cell>
          <cell r="C3325" t="str">
            <v>GOULDS PUMPS IC-65-40-200 S1 VV  1A SERIE I 601E 28/29 REP 421.41</v>
          </cell>
          <cell r="D3325" t="str">
            <v>PE</v>
          </cell>
          <cell r="E3325" t="str">
            <v>515.51517</v>
          </cell>
          <cell r="F3325">
            <v>974.51</v>
          </cell>
          <cell r="G3325">
            <v>0</v>
          </cell>
          <cell r="H3325">
            <v>0</v>
          </cell>
          <cell r="I3325">
            <v>0</v>
          </cell>
          <cell r="J3325">
            <v>0</v>
          </cell>
          <cell r="K3325">
            <v>0</v>
          </cell>
          <cell r="L3325">
            <v>2</v>
          </cell>
        </row>
        <row r="3326">
          <cell r="A3326" t="str">
            <v>20497.12267</v>
          </cell>
          <cell r="B3326" t="str">
            <v xml:space="preserve">JOINT TORIQUE ARBRE  </v>
          </cell>
          <cell r="C3326" t="str">
            <v xml:space="preserve">FL SMIDTH KREBS MILLMAX REF : MM 150-109-28016 </v>
          </cell>
          <cell r="D3326" t="str">
            <v>PE</v>
          </cell>
          <cell r="E3326" t="str">
            <v>515.51517</v>
          </cell>
          <cell r="F3326">
            <v>27.599499999999999</v>
          </cell>
          <cell r="G3326">
            <v>0</v>
          </cell>
          <cell r="H3326">
            <v>0</v>
          </cell>
          <cell r="I3326">
            <v>1</v>
          </cell>
          <cell r="J3326">
            <v>0</v>
          </cell>
          <cell r="K3326">
            <v>0</v>
          </cell>
          <cell r="L3326">
            <v>3</v>
          </cell>
        </row>
        <row r="3327">
          <cell r="A3327" t="str">
            <v>20497.12268</v>
          </cell>
          <cell r="B3327" t="str">
            <v xml:space="preserve">JEU DE GARNITURE </v>
          </cell>
          <cell r="C3327" t="str">
            <v xml:space="preserve">FL SMIDTH KREBS MILLMAX REF : MM 150-111-43104 </v>
          </cell>
          <cell r="D3327" t="str">
            <v>PE</v>
          </cell>
          <cell r="E3327" t="str">
            <v>515.51517</v>
          </cell>
          <cell r="F3327">
            <v>1</v>
          </cell>
          <cell r="G3327">
            <v>0</v>
          </cell>
          <cell r="H3327">
            <v>0</v>
          </cell>
          <cell r="I3327">
            <v>0</v>
          </cell>
          <cell r="J3327">
            <v>0</v>
          </cell>
          <cell r="K3327">
            <v>0</v>
          </cell>
          <cell r="L3327">
            <v>0</v>
          </cell>
        </row>
        <row r="3328">
          <cell r="A3328" t="str">
            <v>20497.12269</v>
          </cell>
          <cell r="B3328" t="str">
            <v xml:space="preserve">MANCHON ARBRE </v>
          </cell>
          <cell r="C3328" t="str">
            <v xml:space="preserve">FL SMIDTH KREBS MILLMAX REF : MM 150-175-18016 </v>
          </cell>
          <cell r="D3328" t="str">
            <v>PE</v>
          </cell>
          <cell r="E3328" t="str">
            <v>515.51517</v>
          </cell>
          <cell r="F3328">
            <v>5300.6621999999998</v>
          </cell>
          <cell r="G3328">
            <v>0</v>
          </cell>
          <cell r="H3328">
            <v>0</v>
          </cell>
          <cell r="I3328">
            <v>1</v>
          </cell>
          <cell r="J3328">
            <v>0</v>
          </cell>
          <cell r="K3328">
            <v>0</v>
          </cell>
          <cell r="L3328">
            <v>5</v>
          </cell>
        </row>
        <row r="3329">
          <cell r="A3329" t="str">
            <v>20497.12270</v>
          </cell>
          <cell r="B3329" t="str">
            <v xml:space="preserve">JOINT BOITE GARNITURE </v>
          </cell>
          <cell r="C3329" t="str">
            <v xml:space="preserve">FL SMIDTH KREBS MILLMAX REF : MM 150-122-35001 </v>
          </cell>
          <cell r="D3329" t="str">
            <v>PE</v>
          </cell>
          <cell r="E3329" t="str">
            <v>515.51517</v>
          </cell>
          <cell r="F3329">
            <v>636.26829999999995</v>
          </cell>
          <cell r="G3329">
            <v>0</v>
          </cell>
          <cell r="H3329">
            <v>0</v>
          </cell>
          <cell r="I3329">
            <v>0</v>
          </cell>
          <cell r="J3329">
            <v>0</v>
          </cell>
          <cell r="K3329">
            <v>0</v>
          </cell>
          <cell r="L3329">
            <v>3</v>
          </cell>
        </row>
        <row r="3330">
          <cell r="A3330" t="str">
            <v>20497.12264</v>
          </cell>
          <cell r="B3330" t="str">
            <v xml:space="preserve">JOINT </v>
          </cell>
          <cell r="C3330" t="str">
            <v>FL SMIDTH KREBS MILLMAX REF :  MM 150-060-26049</v>
          </cell>
          <cell r="D3330" t="str">
            <v>PE</v>
          </cell>
          <cell r="E3330" t="str">
            <v>515.51517</v>
          </cell>
          <cell r="F3330">
            <v>228.30250000000001</v>
          </cell>
          <cell r="G3330">
            <v>0</v>
          </cell>
          <cell r="H3330">
            <v>0</v>
          </cell>
          <cell r="I3330">
            <v>0</v>
          </cell>
          <cell r="J3330">
            <v>0</v>
          </cell>
          <cell r="K3330">
            <v>0</v>
          </cell>
          <cell r="L3330">
            <v>6</v>
          </cell>
        </row>
        <row r="3331">
          <cell r="A3331" t="str">
            <v>20497.12265</v>
          </cell>
          <cell r="B3331" t="str">
            <v xml:space="preserve">JOINT IMPULSEUR </v>
          </cell>
          <cell r="C3331" t="str">
            <v xml:space="preserve">FL SMIDTH KREBS MILLMAX REF : MM 150-018-29016 </v>
          </cell>
          <cell r="D3331" t="str">
            <v>PE</v>
          </cell>
          <cell r="E3331" t="str">
            <v>515.51517</v>
          </cell>
          <cell r="F3331">
            <v>1</v>
          </cell>
          <cell r="G3331">
            <v>0</v>
          </cell>
          <cell r="H3331">
            <v>0</v>
          </cell>
          <cell r="I3331">
            <v>0</v>
          </cell>
          <cell r="J3331">
            <v>0</v>
          </cell>
          <cell r="K3331">
            <v>0</v>
          </cell>
          <cell r="L3331">
            <v>5</v>
          </cell>
        </row>
        <row r="3332">
          <cell r="A3332" t="str">
            <v>20497.12266</v>
          </cell>
          <cell r="B3332" t="str">
            <v xml:space="preserve">BAGUE LANTERNE </v>
          </cell>
          <cell r="C3332" t="str">
            <v xml:space="preserve">FL SMIDTH KREBS MILLMAX REF: MM 150-118-00001 </v>
          </cell>
          <cell r="D3332" t="str">
            <v>PE</v>
          </cell>
          <cell r="E3332" t="str">
            <v>515.51517</v>
          </cell>
          <cell r="F3332">
            <v>1358.4349999999999</v>
          </cell>
          <cell r="G3332">
            <v>0</v>
          </cell>
          <cell r="H3332">
            <v>0</v>
          </cell>
          <cell r="I3332">
            <v>0</v>
          </cell>
          <cell r="J3332">
            <v>0</v>
          </cell>
          <cell r="K3332">
            <v>0</v>
          </cell>
          <cell r="L3332">
            <v>8</v>
          </cell>
        </row>
        <row r="3333">
          <cell r="A3333" t="str">
            <v>20497.12561</v>
          </cell>
          <cell r="B3333" t="str">
            <v>BAGUE RADIALE</v>
          </cell>
          <cell r="C3333" t="str">
            <v>GOULDS PUMPS IC-65-40-200 S1 VV  1A SERIE I 601E 28/29 REP 421.51</v>
          </cell>
          <cell r="D3333" t="str">
            <v>PE</v>
          </cell>
          <cell r="E3333" t="str">
            <v>515.51517</v>
          </cell>
          <cell r="F3333">
            <v>938.15</v>
          </cell>
          <cell r="G3333">
            <v>0</v>
          </cell>
          <cell r="H3333">
            <v>0</v>
          </cell>
          <cell r="I3333">
            <v>0</v>
          </cell>
          <cell r="J3333">
            <v>0</v>
          </cell>
          <cell r="K3333">
            <v>0</v>
          </cell>
          <cell r="L3333">
            <v>2</v>
          </cell>
        </row>
        <row r="3334">
          <cell r="A3334" t="str">
            <v>20497.12562</v>
          </cell>
          <cell r="B3334" t="str">
            <v>GARNITURE MECANIQUE</v>
          </cell>
          <cell r="C3334" t="str">
            <v>GOULDS PUMPS IC-65-40-200 S1 VV  1A SERIE I 601E 28/29 REP 433</v>
          </cell>
          <cell r="D3334" t="str">
            <v>PE</v>
          </cell>
          <cell r="E3334" t="str">
            <v>515.51517</v>
          </cell>
          <cell r="F3334">
            <v>8276.24</v>
          </cell>
          <cell r="G3334">
            <v>0</v>
          </cell>
          <cell r="H3334">
            <v>0</v>
          </cell>
          <cell r="I3334">
            <v>0</v>
          </cell>
          <cell r="J3334">
            <v>0</v>
          </cell>
          <cell r="K3334">
            <v>0</v>
          </cell>
          <cell r="L3334">
            <v>1</v>
          </cell>
        </row>
        <row r="3335">
          <cell r="A3335" t="str">
            <v>20497.12563</v>
          </cell>
          <cell r="B3335" t="str">
            <v>DEFLECTEUR</v>
          </cell>
          <cell r="C3335" t="str">
            <v>GOULDS PUMPS IC-65-40-200 S1 VV  1A SERIE I 601E 28/29 REP 507</v>
          </cell>
          <cell r="D3335" t="str">
            <v>PE</v>
          </cell>
          <cell r="E3335" t="str">
            <v>515.51517</v>
          </cell>
          <cell r="F3335">
            <v>1255.0999999999999</v>
          </cell>
          <cell r="G3335">
            <v>0</v>
          </cell>
          <cell r="H3335">
            <v>0</v>
          </cell>
          <cell r="I3335">
            <v>0</v>
          </cell>
          <cell r="J3335">
            <v>0</v>
          </cell>
          <cell r="K3335">
            <v>0</v>
          </cell>
          <cell r="L3335">
            <v>1</v>
          </cell>
        </row>
        <row r="3336">
          <cell r="A3336" t="str">
            <v>20497.12564</v>
          </cell>
          <cell r="B3336" t="str">
            <v>BOUCHON</v>
          </cell>
          <cell r="C3336" t="str">
            <v>GOULDS PUMPS IC-65-40-200 S1 VV  1A SERIE I 601E 28/29 REP 903.51</v>
          </cell>
          <cell r="D3336" t="str">
            <v>PE</v>
          </cell>
          <cell r="E3336" t="str">
            <v>515.51517</v>
          </cell>
          <cell r="F3336">
            <v>974.51</v>
          </cell>
          <cell r="G3336">
            <v>0</v>
          </cell>
          <cell r="H3336">
            <v>0</v>
          </cell>
          <cell r="I3336">
            <v>0</v>
          </cell>
          <cell r="J3336">
            <v>0</v>
          </cell>
          <cell r="K3336">
            <v>0</v>
          </cell>
          <cell r="L3336">
            <v>1</v>
          </cell>
        </row>
        <row r="3337">
          <cell r="A3337" t="str">
            <v>20497.12565</v>
          </cell>
          <cell r="B3337" t="str">
            <v>ECROU DE ROUE</v>
          </cell>
          <cell r="C3337" t="str">
            <v>GOULDS PUMPS IC-65-40-200 S1 VV  1A SERIE I 601E 28/29 REP 922</v>
          </cell>
          <cell r="D3337" t="str">
            <v>PE</v>
          </cell>
          <cell r="E3337" t="str">
            <v>515.51517</v>
          </cell>
          <cell r="F3337">
            <v>1563.11</v>
          </cell>
          <cell r="G3337">
            <v>0</v>
          </cell>
          <cell r="H3337">
            <v>0</v>
          </cell>
          <cell r="I3337">
            <v>0</v>
          </cell>
          <cell r="J3337">
            <v>0</v>
          </cell>
          <cell r="K3337">
            <v>0</v>
          </cell>
          <cell r="L3337">
            <v>1</v>
          </cell>
        </row>
        <row r="3338">
          <cell r="A3338" t="str">
            <v>20497.12566</v>
          </cell>
          <cell r="B3338" t="str">
            <v>ECROU DE ROULEMENT</v>
          </cell>
          <cell r="C3338" t="str">
            <v>GOULDS PUMPS IC-65-40-200 S1 VV  1A SERIE I 601E 28/29 REP 923.51</v>
          </cell>
          <cell r="D3338" t="str">
            <v>PE</v>
          </cell>
          <cell r="E3338" t="str">
            <v>515.51517</v>
          </cell>
          <cell r="F3338">
            <v>570.26</v>
          </cell>
          <cell r="G3338">
            <v>0</v>
          </cell>
          <cell r="H3338">
            <v>0</v>
          </cell>
          <cell r="I3338">
            <v>0</v>
          </cell>
          <cell r="J3338">
            <v>0</v>
          </cell>
          <cell r="K3338">
            <v>0</v>
          </cell>
          <cell r="L3338">
            <v>1</v>
          </cell>
        </row>
        <row r="3339">
          <cell r="A3339" t="str">
            <v>20497.12567</v>
          </cell>
          <cell r="B3339" t="str">
            <v>CIRCLIPS</v>
          </cell>
          <cell r="C3339" t="str">
            <v>GOULDS PUMPS IC-65-40-200 S1 VV  1A SERIE I 601E 28/29 REP 932.51</v>
          </cell>
          <cell r="D3339" t="str">
            <v>PE</v>
          </cell>
          <cell r="E3339" t="str">
            <v>515.51517</v>
          </cell>
          <cell r="F3339">
            <v>404.57</v>
          </cell>
          <cell r="G3339">
            <v>0</v>
          </cell>
          <cell r="H3339">
            <v>0</v>
          </cell>
          <cell r="I3339">
            <v>0</v>
          </cell>
          <cell r="J3339">
            <v>0</v>
          </cell>
          <cell r="K3339">
            <v>0</v>
          </cell>
          <cell r="L3339">
            <v>1</v>
          </cell>
        </row>
        <row r="3340">
          <cell r="A3340" t="str">
            <v>20497.12275</v>
          </cell>
          <cell r="B3340" t="str">
            <v xml:space="preserve">BOITE GARNITURE </v>
          </cell>
          <cell r="C3340" t="str">
            <v xml:space="preserve">FL SMIDTH KREBS MILLMAX REF : MM 150-078-12MMA </v>
          </cell>
          <cell r="D3340" t="str">
            <v>PE</v>
          </cell>
          <cell r="E3340" t="str">
            <v>515.51517</v>
          </cell>
          <cell r="F3340">
            <v>1</v>
          </cell>
          <cell r="G3340">
            <v>0</v>
          </cell>
          <cell r="H3340">
            <v>0</v>
          </cell>
          <cell r="I3340">
            <v>0</v>
          </cell>
          <cell r="J3340">
            <v>0</v>
          </cell>
          <cell r="K3340">
            <v>0</v>
          </cell>
          <cell r="L3340">
            <v>3</v>
          </cell>
        </row>
        <row r="3341">
          <cell r="A3341" t="str">
            <v>20497.12276</v>
          </cell>
          <cell r="B3341" t="str">
            <v xml:space="preserve">BOUCHON BOITE GARNITURE </v>
          </cell>
          <cell r="C3341" t="str">
            <v xml:space="preserve">FL SMIDTH KREBS MILLMAX REF : MM 250-399-10001 </v>
          </cell>
          <cell r="D3341" t="str">
            <v>PE</v>
          </cell>
          <cell r="E3341" t="str">
            <v>515.51517</v>
          </cell>
          <cell r="F3341">
            <v>1</v>
          </cell>
          <cell r="G3341">
            <v>0</v>
          </cell>
          <cell r="H3341">
            <v>0</v>
          </cell>
          <cell r="I3341">
            <v>0</v>
          </cell>
          <cell r="J3341">
            <v>0</v>
          </cell>
          <cell r="K3341">
            <v>0</v>
          </cell>
          <cell r="L3341">
            <v>4</v>
          </cell>
        </row>
        <row r="3342">
          <cell r="A3342" t="str">
            <v>20498.02312</v>
          </cell>
          <cell r="B3342" t="str">
            <v>PUIT THERMOMETRIQUE L 3300 DN 300 PN 20 EN UB6</v>
          </cell>
          <cell r="C3342" t="str">
            <v>PYROCONTROLE PLAN 96 9392</v>
          </cell>
          <cell r="D3342" t="str">
            <v>PE</v>
          </cell>
          <cell r="E3342" t="str">
            <v>512.51201</v>
          </cell>
          <cell r="F3342">
            <v>159620.5</v>
          </cell>
          <cell r="G3342">
            <v>0</v>
          </cell>
          <cell r="H3342">
            <v>0</v>
          </cell>
          <cell r="I3342">
            <v>3</v>
          </cell>
          <cell r="J3342">
            <v>0</v>
          </cell>
          <cell r="K3342">
            <v>1</v>
          </cell>
          <cell r="L3342">
            <v>0</v>
          </cell>
        </row>
        <row r="3343">
          <cell r="A3343" t="str">
            <v>20497.12277</v>
          </cell>
          <cell r="B3343" t="str">
            <v xml:space="preserve">JOINT TORIQUE ARBRE  </v>
          </cell>
          <cell r="C3343" t="str">
            <v xml:space="preserve">FL SMIDTH KREBS MILLMAX REF : MM 250-019-28015 </v>
          </cell>
          <cell r="D3343" t="str">
            <v>PE</v>
          </cell>
          <cell r="E3343" t="str">
            <v>515.51517</v>
          </cell>
          <cell r="F3343">
            <v>106.53</v>
          </cell>
          <cell r="G3343">
            <v>0</v>
          </cell>
          <cell r="H3343">
            <v>0</v>
          </cell>
          <cell r="I3343">
            <v>1</v>
          </cell>
          <cell r="J3343">
            <v>0</v>
          </cell>
          <cell r="K3343">
            <v>0</v>
          </cell>
          <cell r="L3343">
            <v>9</v>
          </cell>
        </row>
        <row r="3344">
          <cell r="A3344" t="str">
            <v>20497.12278</v>
          </cell>
          <cell r="B3344" t="str">
            <v xml:space="preserve">BLINDAGE ARRIERE </v>
          </cell>
          <cell r="C3344" t="str">
            <v xml:space="preserve">FL SMIDTH KREBS MILLMAX REF : MM 250-041-00001 </v>
          </cell>
          <cell r="D3344" t="str">
            <v>PE</v>
          </cell>
          <cell r="E3344" t="str">
            <v>515.51517</v>
          </cell>
          <cell r="F3344">
            <v>1</v>
          </cell>
          <cell r="G3344">
            <v>0</v>
          </cell>
          <cell r="H3344">
            <v>0</v>
          </cell>
          <cell r="I3344">
            <v>0</v>
          </cell>
          <cell r="J3344">
            <v>0</v>
          </cell>
          <cell r="K3344">
            <v>0</v>
          </cell>
          <cell r="L3344">
            <v>2</v>
          </cell>
        </row>
        <row r="3345">
          <cell r="A3345" t="str">
            <v>20497.12279</v>
          </cell>
          <cell r="B3345" t="str">
            <v xml:space="preserve">JOINT </v>
          </cell>
          <cell r="C3345" t="str">
            <v xml:space="preserve">FL SMIDTH KREBS MILLMAX REF : MM 100-060-26049 </v>
          </cell>
          <cell r="D3345" t="str">
            <v>PE</v>
          </cell>
          <cell r="E3345" t="str">
            <v>515.51517</v>
          </cell>
          <cell r="F3345">
            <v>1</v>
          </cell>
          <cell r="G3345">
            <v>0</v>
          </cell>
          <cell r="H3345">
            <v>0</v>
          </cell>
          <cell r="I3345">
            <v>0</v>
          </cell>
          <cell r="J3345">
            <v>0</v>
          </cell>
          <cell r="K3345">
            <v>0</v>
          </cell>
          <cell r="L3345">
            <v>2</v>
          </cell>
        </row>
        <row r="3346">
          <cell r="A3346" t="str">
            <v>20497.12271</v>
          </cell>
          <cell r="B3346" t="str">
            <v xml:space="preserve">CORPS DE POMPE </v>
          </cell>
          <cell r="C3346" t="str">
            <v>FL SMIDTH KREBS MILLMAX REF : MM 150-110-00001</v>
          </cell>
          <cell r="D3346" t="str">
            <v>PE</v>
          </cell>
          <cell r="E3346" t="str">
            <v>515.51517</v>
          </cell>
          <cell r="F3346">
            <v>1</v>
          </cell>
          <cell r="G3346">
            <v>0</v>
          </cell>
          <cell r="H3346">
            <v>0</v>
          </cell>
          <cell r="I3346">
            <v>0</v>
          </cell>
          <cell r="J3346">
            <v>0</v>
          </cell>
          <cell r="K3346">
            <v>0</v>
          </cell>
          <cell r="L3346">
            <v>1</v>
          </cell>
        </row>
        <row r="3347">
          <cell r="A3347" t="str">
            <v>20497.12272</v>
          </cell>
          <cell r="B3347" t="str">
            <v xml:space="preserve">MANCHON ARBRE </v>
          </cell>
          <cell r="C3347" t="str">
            <v xml:space="preserve">FL SMIDTH KREBS MILLMAX REF : MM 150-175-18013 </v>
          </cell>
          <cell r="D3347" t="str">
            <v>PE</v>
          </cell>
          <cell r="E3347" t="str">
            <v>515.51517</v>
          </cell>
          <cell r="F3347">
            <v>5300.6621999999998</v>
          </cell>
          <cell r="G3347">
            <v>0</v>
          </cell>
          <cell r="H3347">
            <v>0</v>
          </cell>
          <cell r="I3347">
            <v>0</v>
          </cell>
          <cell r="J3347">
            <v>0</v>
          </cell>
          <cell r="K3347">
            <v>0</v>
          </cell>
          <cell r="L3347">
            <v>2</v>
          </cell>
        </row>
        <row r="3348">
          <cell r="A3348" t="str">
            <v>20497.12273</v>
          </cell>
          <cell r="B3348" t="str">
            <v>BLINDAGE ARRIERE</v>
          </cell>
          <cell r="C3348" t="str">
            <v xml:space="preserve">FL SMIDTH KREBS MILLMAX REF : MM 150-041-00001 </v>
          </cell>
          <cell r="D3348" t="str">
            <v>PE</v>
          </cell>
          <cell r="E3348" t="str">
            <v>515.51517</v>
          </cell>
          <cell r="F3348">
            <v>14091.74</v>
          </cell>
          <cell r="G3348">
            <v>0</v>
          </cell>
          <cell r="H3348">
            <v>0</v>
          </cell>
          <cell r="I3348">
            <v>0</v>
          </cell>
          <cell r="J3348">
            <v>0</v>
          </cell>
          <cell r="K3348">
            <v>0</v>
          </cell>
          <cell r="L3348">
            <v>2</v>
          </cell>
        </row>
        <row r="3349">
          <cell r="A3349" t="str">
            <v>20497.12274</v>
          </cell>
          <cell r="B3349" t="str">
            <v xml:space="preserve">IMPULSEUR </v>
          </cell>
          <cell r="C3349" t="str">
            <v xml:space="preserve">FL SMIDTH KREBS MILLMAX REF : MM 150-447-00016 </v>
          </cell>
          <cell r="D3349" t="str">
            <v>PE</v>
          </cell>
          <cell r="E3349" t="str">
            <v>515.51517</v>
          </cell>
          <cell r="F3349">
            <v>16260.033299999999</v>
          </cell>
          <cell r="G3349">
            <v>0</v>
          </cell>
          <cell r="H3349">
            <v>0</v>
          </cell>
          <cell r="I3349">
            <v>0</v>
          </cell>
          <cell r="J3349">
            <v>0</v>
          </cell>
          <cell r="K3349">
            <v>0</v>
          </cell>
          <cell r="L3349">
            <v>3</v>
          </cell>
        </row>
        <row r="3350">
          <cell r="A3350" t="str">
            <v>20497.12490</v>
          </cell>
          <cell r="B3350" t="str">
            <v>CLOCHE D'ASPIRATION</v>
          </cell>
          <cell r="C3350" t="str">
            <v>GOULDS PUMPS VIT-CATM TS10X14RHMC (4ETAGES) SERIE 513368.1/2 REP 688</v>
          </cell>
          <cell r="D3350" t="str">
            <v>PE</v>
          </cell>
          <cell r="E3350" t="str">
            <v>515.51517</v>
          </cell>
          <cell r="F3350">
            <v>69473</v>
          </cell>
          <cell r="G3350">
            <v>0</v>
          </cell>
          <cell r="H3350">
            <v>0</v>
          </cell>
          <cell r="I3350">
            <v>0</v>
          </cell>
          <cell r="J3350">
            <v>0</v>
          </cell>
          <cell r="K3350">
            <v>0</v>
          </cell>
          <cell r="L3350">
            <v>1</v>
          </cell>
        </row>
        <row r="3351">
          <cell r="A3351" t="str">
            <v>20497.12491</v>
          </cell>
          <cell r="B3351" t="str">
            <v>TETE DE GRAISSAGE</v>
          </cell>
          <cell r="C3351" t="str">
            <v>GOULDS PUMPS MODELE 3171MT TAILLE 4X4-8 POMPES  SERIE 441416-2   REP: 193B</v>
          </cell>
          <cell r="D3351" t="str">
            <v>PE</v>
          </cell>
          <cell r="E3351" t="str">
            <v>515.51517</v>
          </cell>
          <cell r="F3351">
            <v>110.35</v>
          </cell>
          <cell r="G3351">
            <v>0</v>
          </cell>
          <cell r="H3351">
            <v>0</v>
          </cell>
          <cell r="I3351">
            <v>0</v>
          </cell>
          <cell r="J3351">
            <v>0</v>
          </cell>
          <cell r="K3351">
            <v>0</v>
          </cell>
          <cell r="L3351">
            <v>0</v>
          </cell>
        </row>
        <row r="3352">
          <cell r="A3352" t="str">
            <v>20497.12492</v>
          </cell>
          <cell r="B3352" t="str">
            <v>BOITIER DE PALIER</v>
          </cell>
          <cell r="C3352" t="str">
            <v>GOULDS PUMPS MODELE 3171MT TAILLE 4X4-8 POMPES  SERIE 441416-2   REP: 213</v>
          </cell>
          <cell r="D3352" t="str">
            <v>PE</v>
          </cell>
          <cell r="E3352" t="str">
            <v>515.51517</v>
          </cell>
          <cell r="F3352">
            <v>19881.23</v>
          </cell>
          <cell r="G3352">
            <v>0</v>
          </cell>
          <cell r="H3352">
            <v>0</v>
          </cell>
          <cell r="I3352">
            <v>0</v>
          </cell>
          <cell r="J3352">
            <v>0</v>
          </cell>
          <cell r="K3352">
            <v>0</v>
          </cell>
          <cell r="L3352">
            <v>0</v>
          </cell>
        </row>
        <row r="3353">
          <cell r="A3353" t="str">
            <v>20497.12493</v>
          </cell>
          <cell r="B3353" t="str">
            <v>VOLUTE</v>
          </cell>
          <cell r="C3353" t="str">
            <v>GOULDS PUMPS MODELE 3171MT TAILLE 4X4-8 POMPES  SERIE 441416-2   REP: 100</v>
          </cell>
          <cell r="D3353" t="str">
            <v>PE</v>
          </cell>
          <cell r="E3353" t="str">
            <v>515.51517</v>
          </cell>
          <cell r="F3353">
            <v>71064.649999999994</v>
          </cell>
          <cell r="G3353">
            <v>0</v>
          </cell>
          <cell r="H3353">
            <v>0</v>
          </cell>
          <cell r="I3353">
            <v>0</v>
          </cell>
          <cell r="J3353">
            <v>0</v>
          </cell>
          <cell r="K3353">
            <v>0</v>
          </cell>
          <cell r="L3353">
            <v>1</v>
          </cell>
        </row>
        <row r="3354">
          <cell r="A3354" t="str">
            <v>20497.12495</v>
          </cell>
          <cell r="B3354" t="str">
            <v>ARBRE</v>
          </cell>
          <cell r="C3354" t="str">
            <v>GOULDS PUMPS MODELE 3171MT TAILLE 4X4-8 POMPES  SERIE 441416-2   REP: 122</v>
          </cell>
          <cell r="D3354" t="str">
            <v>PE</v>
          </cell>
          <cell r="E3354" t="str">
            <v>515.51517</v>
          </cell>
          <cell r="F3354">
            <v>59202.12</v>
          </cell>
          <cell r="G3354">
            <v>0</v>
          </cell>
          <cell r="H3354">
            <v>0</v>
          </cell>
          <cell r="I3354">
            <v>0</v>
          </cell>
          <cell r="J3354">
            <v>0</v>
          </cell>
          <cell r="K3354">
            <v>0</v>
          </cell>
          <cell r="L3354">
            <v>0</v>
          </cell>
        </row>
        <row r="3355">
          <cell r="A3355" t="str">
            <v>20497.12496</v>
          </cell>
          <cell r="B3355" t="str">
            <v>BOITIER A ROULEMENT</v>
          </cell>
          <cell r="C3355" t="str">
            <v>GOULDS PUMPS MODELE 3171MT TAILLE 4X4-8 POMPES  SERIE 441416-2   REP: 134</v>
          </cell>
          <cell r="D3355" t="str">
            <v>PE</v>
          </cell>
          <cell r="E3355" t="str">
            <v>515.51517</v>
          </cell>
          <cell r="F3355">
            <v>11182.07</v>
          </cell>
          <cell r="G3355">
            <v>0</v>
          </cell>
          <cell r="H3355">
            <v>0</v>
          </cell>
          <cell r="I3355">
            <v>0</v>
          </cell>
          <cell r="J3355">
            <v>0</v>
          </cell>
          <cell r="K3355">
            <v>0</v>
          </cell>
          <cell r="L3355">
            <v>1</v>
          </cell>
        </row>
        <row r="3356">
          <cell r="A3356" t="str">
            <v>20498.02509</v>
          </cell>
          <cell r="B3356" t="str">
            <v>THERMOCOUPLE AVEC DOIGT DE GANT</v>
          </cell>
          <cell r="C3356" t="str">
            <v>PYROCONTROLE PLAN N° 10 LONG 330mm</v>
          </cell>
          <cell r="D3356" t="str">
            <v>PE</v>
          </cell>
          <cell r="E3356" t="str">
            <v>512.51201</v>
          </cell>
          <cell r="F3356">
            <v>4496.3253999999997</v>
          </cell>
          <cell r="G3356">
            <v>0</v>
          </cell>
          <cell r="H3356">
            <v>1</v>
          </cell>
          <cell r="I3356">
            <v>0</v>
          </cell>
          <cell r="J3356">
            <v>0</v>
          </cell>
          <cell r="K3356">
            <v>0</v>
          </cell>
          <cell r="L3356">
            <v>2</v>
          </cell>
        </row>
        <row r="3357">
          <cell r="A3357" t="str">
            <v>20497.05915</v>
          </cell>
          <cell r="B3357" t="str">
            <v>JOINT DE BOITIER</v>
          </cell>
          <cell r="C3357" t="str">
            <v>WARMAN F122 TYPE 10/8 FM</v>
          </cell>
          <cell r="D3357" t="str">
            <v>PE</v>
          </cell>
          <cell r="E3357" t="str">
            <v>515.51517</v>
          </cell>
          <cell r="F3357">
            <v>528.7953</v>
          </cell>
          <cell r="G3357">
            <v>0</v>
          </cell>
          <cell r="H3357">
            <v>0</v>
          </cell>
          <cell r="I3357">
            <v>0</v>
          </cell>
          <cell r="J3357">
            <v>0</v>
          </cell>
          <cell r="K3357">
            <v>0</v>
          </cell>
          <cell r="L3357">
            <v>4</v>
          </cell>
        </row>
        <row r="3358">
          <cell r="A3358" t="str">
            <v>20498.02653</v>
          </cell>
          <cell r="B3358" t="str">
            <v>FUSIBLE A COUTEAU</v>
          </cell>
          <cell r="C3358" t="str">
            <v>SIBA NH1 GI/Gg 200A 690V</v>
          </cell>
          <cell r="D3358" t="str">
            <v>PE</v>
          </cell>
          <cell r="E3358" t="str">
            <v>522.52206</v>
          </cell>
          <cell r="F3358">
            <v>162</v>
          </cell>
          <cell r="G3358">
            <v>0</v>
          </cell>
          <cell r="H3358">
            <v>0</v>
          </cell>
          <cell r="I3358">
            <v>0</v>
          </cell>
          <cell r="J3358">
            <v>0</v>
          </cell>
          <cell r="K3358">
            <v>0</v>
          </cell>
          <cell r="L3358">
            <v>12</v>
          </cell>
        </row>
        <row r="3359">
          <cell r="A3359" t="str">
            <v>20498.02654</v>
          </cell>
          <cell r="B3359" t="str">
            <v>FUSIBLE A COUTEAU</v>
          </cell>
          <cell r="C3359" t="str">
            <v xml:space="preserve">SIBA NH000 AM 50A 690V </v>
          </cell>
          <cell r="D3359" t="str">
            <v>PE</v>
          </cell>
          <cell r="E3359" t="str">
            <v>522.52206</v>
          </cell>
          <cell r="F3359">
            <v>36</v>
          </cell>
          <cell r="G3359">
            <v>0</v>
          </cell>
          <cell r="H3359">
            <v>0</v>
          </cell>
          <cell r="I3359">
            <v>0</v>
          </cell>
          <cell r="J3359">
            <v>0</v>
          </cell>
          <cell r="K3359">
            <v>0</v>
          </cell>
          <cell r="L3359">
            <v>12</v>
          </cell>
        </row>
        <row r="3360">
          <cell r="A3360" t="str">
            <v>20498.02655</v>
          </cell>
          <cell r="B3360" t="str">
            <v>FUSIBLE A COUTEAU</v>
          </cell>
          <cell r="C3360" t="str">
            <v>SIBA NH000 AM 35A 690V</v>
          </cell>
          <cell r="D3360" t="str">
            <v>PE</v>
          </cell>
          <cell r="E3360" t="str">
            <v>522.52206</v>
          </cell>
          <cell r="F3360">
            <v>36</v>
          </cell>
          <cell r="G3360">
            <v>0</v>
          </cell>
          <cell r="H3360">
            <v>0</v>
          </cell>
          <cell r="I3360">
            <v>0</v>
          </cell>
          <cell r="J3360">
            <v>0</v>
          </cell>
          <cell r="K3360">
            <v>0</v>
          </cell>
          <cell r="L3360">
            <v>23</v>
          </cell>
        </row>
        <row r="3361">
          <cell r="A3361" t="str">
            <v>20498.02656</v>
          </cell>
          <cell r="B3361" t="str">
            <v>FUSIBLE A COUTEAU</v>
          </cell>
          <cell r="C3361" t="str">
            <v>SIBA NH00 AM 80A 690V</v>
          </cell>
          <cell r="D3361" t="str">
            <v>PE</v>
          </cell>
          <cell r="E3361" t="str">
            <v>522.52206</v>
          </cell>
          <cell r="F3361">
            <v>48</v>
          </cell>
          <cell r="G3361">
            <v>0</v>
          </cell>
          <cell r="H3361">
            <v>0</v>
          </cell>
          <cell r="I3361">
            <v>0</v>
          </cell>
          <cell r="J3361">
            <v>0</v>
          </cell>
          <cell r="K3361">
            <v>0</v>
          </cell>
          <cell r="L3361">
            <v>24</v>
          </cell>
        </row>
        <row r="3362">
          <cell r="A3362" t="str">
            <v>20498.02657</v>
          </cell>
          <cell r="B3362" t="str">
            <v>FUSIBLE A COUTEAU</v>
          </cell>
          <cell r="C3362" t="str">
            <v>SIBA NH000 AM 10A 690V</v>
          </cell>
          <cell r="D3362" t="str">
            <v>PE</v>
          </cell>
          <cell r="E3362" t="str">
            <v>522.52206</v>
          </cell>
          <cell r="F3362">
            <v>33.6</v>
          </cell>
          <cell r="G3362">
            <v>0</v>
          </cell>
          <cell r="H3362">
            <v>0</v>
          </cell>
          <cell r="I3362">
            <v>0</v>
          </cell>
          <cell r="J3362">
            <v>0</v>
          </cell>
          <cell r="K3362">
            <v>0</v>
          </cell>
          <cell r="L3362">
            <v>24</v>
          </cell>
        </row>
        <row r="3363">
          <cell r="A3363" t="str">
            <v>20497.09774</v>
          </cell>
          <cell r="B3363" t="str">
            <v>JOINT VOLUTE</v>
          </cell>
          <cell r="C3363" t="str">
            <v>WARMAN F8124-R08A TYPE 8/6 FAH A05/A05</v>
          </cell>
          <cell r="D3363" t="str">
            <v>PE</v>
          </cell>
          <cell r="E3363" t="str">
            <v>515.51517</v>
          </cell>
          <cell r="F3363">
            <v>1949.5316</v>
          </cell>
          <cell r="G3363">
            <v>0</v>
          </cell>
          <cell r="H3363">
            <v>0</v>
          </cell>
          <cell r="I3363">
            <v>0</v>
          </cell>
          <cell r="J3363">
            <v>0</v>
          </cell>
          <cell r="K3363">
            <v>0</v>
          </cell>
          <cell r="L3363">
            <v>4</v>
          </cell>
        </row>
        <row r="3364">
          <cell r="A3364" t="str">
            <v>20497.09775</v>
          </cell>
          <cell r="B3364" t="str">
            <v>CONTRE ECROU LABYRINTHE</v>
          </cell>
          <cell r="C3364" t="str">
            <v>WARMAN QV061 TYPE 65QV-SPR 1500</v>
          </cell>
          <cell r="D3364" t="str">
            <v>PE</v>
          </cell>
          <cell r="E3364" t="str">
            <v>515.51517</v>
          </cell>
          <cell r="F3364">
            <v>147.35759999999999</v>
          </cell>
          <cell r="G3364">
            <v>0</v>
          </cell>
          <cell r="H3364">
            <v>0</v>
          </cell>
          <cell r="I3364">
            <v>0</v>
          </cell>
          <cell r="J3364">
            <v>0</v>
          </cell>
          <cell r="K3364">
            <v>0</v>
          </cell>
          <cell r="L3364">
            <v>1</v>
          </cell>
        </row>
        <row r="3365">
          <cell r="A3365" t="str">
            <v>20497.09776</v>
          </cell>
          <cell r="B3365" t="str">
            <v>LABYRINTHE</v>
          </cell>
          <cell r="C3365" t="str">
            <v>WARMAN QV062 TYPE 65QV-SPR 1500</v>
          </cell>
          <cell r="D3365" t="str">
            <v>PE</v>
          </cell>
          <cell r="E3365" t="str">
            <v>515.51517</v>
          </cell>
          <cell r="F3365">
            <v>2210.3643000000002</v>
          </cell>
          <cell r="G3365">
            <v>0</v>
          </cell>
          <cell r="H3365">
            <v>0</v>
          </cell>
          <cell r="I3365">
            <v>0</v>
          </cell>
          <cell r="J3365">
            <v>0</v>
          </cell>
          <cell r="K3365">
            <v>0</v>
          </cell>
          <cell r="L3365">
            <v>1</v>
          </cell>
        </row>
        <row r="3366">
          <cell r="A3366" t="str">
            <v>20497.09777</v>
          </cell>
          <cell r="B3366" t="str">
            <v>JOINT COUVERCLE</v>
          </cell>
          <cell r="C3366" t="str">
            <v>WARMAN QV025 TYPE 65QV-SPR 1500</v>
          </cell>
          <cell r="D3366" t="str">
            <v>PE</v>
          </cell>
          <cell r="E3366" t="str">
            <v>515.51517</v>
          </cell>
          <cell r="F3366">
            <v>187.5461</v>
          </cell>
          <cell r="G3366">
            <v>0</v>
          </cell>
          <cell r="H3366">
            <v>0</v>
          </cell>
          <cell r="I3366">
            <v>0</v>
          </cell>
          <cell r="J3366">
            <v>0</v>
          </cell>
          <cell r="K3366">
            <v>0</v>
          </cell>
          <cell r="L3366">
            <v>2</v>
          </cell>
        </row>
        <row r="3367">
          <cell r="A3367" t="str">
            <v>20499.04080</v>
          </cell>
          <cell r="B3367" t="str">
            <v>VANNE A PELLE  AVEC  COMMANDE MANUELLE</v>
          </cell>
          <cell r="C3367" t="str">
            <v>WEIR MINERALS TYPE ISOGATE SERIE WS DN 4" PN 10 CORPS EN FONTE GS, PELLE EN INOX 316L   APPLICATION : PULPE PHOSPHORIQUE</v>
          </cell>
          <cell r="D3367" t="str">
            <v>PE</v>
          </cell>
          <cell r="E3367" t="str">
            <v>515.51511</v>
          </cell>
          <cell r="F3367">
            <v>17269</v>
          </cell>
          <cell r="G3367">
            <v>0</v>
          </cell>
          <cell r="H3367">
            <v>2</v>
          </cell>
          <cell r="I3367">
            <v>0</v>
          </cell>
          <cell r="J3367">
            <v>0</v>
          </cell>
          <cell r="K3367">
            <v>0</v>
          </cell>
          <cell r="L3367">
            <v>0</v>
          </cell>
        </row>
        <row r="3368">
          <cell r="A3368" t="str">
            <v>20497.09781</v>
          </cell>
          <cell r="B3368" t="str">
            <v>JOINT TORIQUE</v>
          </cell>
          <cell r="C3368" t="str">
            <v>WARMAN QV217 TYPE 65QV-SPR 1500</v>
          </cell>
          <cell r="D3368" t="str">
            <v>PE</v>
          </cell>
          <cell r="E3368" t="str">
            <v>515.51517</v>
          </cell>
          <cell r="F3368">
            <v>13.396100000000001</v>
          </cell>
          <cell r="G3368">
            <v>0</v>
          </cell>
          <cell r="H3368">
            <v>0</v>
          </cell>
          <cell r="I3368">
            <v>0</v>
          </cell>
          <cell r="J3368">
            <v>0</v>
          </cell>
          <cell r="K3368">
            <v>3</v>
          </cell>
          <cell r="L3368">
            <v>0</v>
          </cell>
        </row>
        <row r="3369">
          <cell r="A3369" t="str">
            <v>20497.09782</v>
          </cell>
          <cell r="B3369" t="str">
            <v>DOUILLE</v>
          </cell>
          <cell r="C3369" t="str">
            <v>WARMAN QV077 TYPE 65QV-SPR 1500</v>
          </cell>
          <cell r="D3369" t="str">
            <v>PE</v>
          </cell>
          <cell r="E3369" t="str">
            <v>515.51517</v>
          </cell>
          <cell r="F3369">
            <v>2385.4542999999999</v>
          </cell>
          <cell r="G3369">
            <v>0</v>
          </cell>
          <cell r="H3369">
            <v>0</v>
          </cell>
          <cell r="I3369">
            <v>0</v>
          </cell>
          <cell r="J3369">
            <v>0</v>
          </cell>
          <cell r="K3369">
            <v>0</v>
          </cell>
          <cell r="L3369">
            <v>1</v>
          </cell>
        </row>
        <row r="3370">
          <cell r="A3370" t="str">
            <v>20497.09783</v>
          </cell>
          <cell r="B3370" t="str">
            <v>JOINT PALIER</v>
          </cell>
          <cell r="C3370" t="str">
            <v>WARMAN QV089 TYPE 65QV-SPR 1500</v>
          </cell>
          <cell r="D3370" t="str">
            <v>PE</v>
          </cell>
          <cell r="E3370" t="str">
            <v>515.51517</v>
          </cell>
          <cell r="F3370">
            <v>93.772999999999996</v>
          </cell>
          <cell r="G3370">
            <v>0</v>
          </cell>
          <cell r="H3370">
            <v>1</v>
          </cell>
          <cell r="I3370">
            <v>0</v>
          </cell>
          <cell r="J3370">
            <v>0</v>
          </cell>
          <cell r="K3370">
            <v>0</v>
          </cell>
          <cell r="L3370">
            <v>1</v>
          </cell>
        </row>
        <row r="3371">
          <cell r="A3371" t="str">
            <v>20498.21135</v>
          </cell>
          <cell r="B3371" t="str">
            <v>COUDE MALE ¿ CONIQUE 12MM X 1/4" NPT DOUBLE BAGUES INOX</v>
          </cell>
          <cell r="C3371" t="str">
            <v>SAGANA, REF : EQMSI 12 1/4N</v>
          </cell>
          <cell r="D3371" t="str">
            <v>PE</v>
          </cell>
          <cell r="E3371" t="str">
            <v>515.51511</v>
          </cell>
          <cell r="F3371">
            <v>200</v>
          </cell>
          <cell r="G3371">
            <v>0</v>
          </cell>
          <cell r="H3371">
            <v>0</v>
          </cell>
          <cell r="I3371">
            <v>0</v>
          </cell>
          <cell r="J3371">
            <v>0</v>
          </cell>
          <cell r="K3371">
            <v>0</v>
          </cell>
          <cell r="L3371">
            <v>0</v>
          </cell>
        </row>
        <row r="3372">
          <cell r="A3372" t="str">
            <v>20497.09789</v>
          </cell>
          <cell r="B3372" t="str">
            <v>JOINT IMPULSEUR</v>
          </cell>
          <cell r="C3372" t="str">
            <v>WARMAN QV064 TYPE 65QV-SPR 1500</v>
          </cell>
          <cell r="D3372" t="str">
            <v>PE</v>
          </cell>
          <cell r="E3372" t="str">
            <v>515.51517</v>
          </cell>
          <cell r="F3372">
            <v>13.396100000000001</v>
          </cell>
          <cell r="G3372">
            <v>0</v>
          </cell>
          <cell r="H3372">
            <v>0</v>
          </cell>
          <cell r="I3372">
            <v>0</v>
          </cell>
          <cell r="J3372">
            <v>0</v>
          </cell>
          <cell r="K3372">
            <v>2</v>
          </cell>
          <cell r="L3372">
            <v>0</v>
          </cell>
        </row>
        <row r="3373">
          <cell r="A3373" t="str">
            <v>20498.21136</v>
          </cell>
          <cell r="B3373" t="str">
            <v>COUDE MALE ¿ CONIQUE 6MM X 3/8" NPT DOUBLE BAGUES INOX</v>
          </cell>
          <cell r="C3373" t="str">
            <v>SAGANA, REF : EQMSI 6 3/8N</v>
          </cell>
          <cell r="D3373" t="str">
            <v>PE</v>
          </cell>
          <cell r="E3373" t="str">
            <v>515.51511</v>
          </cell>
          <cell r="F3373">
            <v>158</v>
          </cell>
          <cell r="G3373">
            <v>0</v>
          </cell>
          <cell r="H3373">
            <v>0</v>
          </cell>
          <cell r="I3373">
            <v>0</v>
          </cell>
          <cell r="J3373">
            <v>0</v>
          </cell>
          <cell r="K3373">
            <v>0</v>
          </cell>
          <cell r="L3373">
            <v>0</v>
          </cell>
        </row>
        <row r="3374">
          <cell r="A3374" t="str">
            <v>20498.21137</v>
          </cell>
          <cell r="B3374" t="str">
            <v>COUDE MALE ¿ CONIQUE 8MM X 3/8" NPT DOUBLE BAGUES INOX</v>
          </cell>
          <cell r="C3374" t="str">
            <v>SAGANA, REF : EQMSI 8 3/8N</v>
          </cell>
          <cell r="D3374" t="str">
            <v>PE</v>
          </cell>
          <cell r="E3374" t="str">
            <v>515.51511</v>
          </cell>
          <cell r="F3374">
            <v>167</v>
          </cell>
          <cell r="G3374">
            <v>0</v>
          </cell>
          <cell r="H3374">
            <v>0</v>
          </cell>
          <cell r="I3374">
            <v>0</v>
          </cell>
          <cell r="J3374">
            <v>0</v>
          </cell>
          <cell r="K3374">
            <v>0</v>
          </cell>
          <cell r="L3374">
            <v>0</v>
          </cell>
        </row>
        <row r="3375">
          <cell r="A3375" t="str">
            <v>20498.21138</v>
          </cell>
          <cell r="B3375" t="str">
            <v>COUDE MALE ¿ CONIQUE 10MM X 3/8" NPT DOUBLE BAGUES INOX</v>
          </cell>
          <cell r="C3375" t="str">
            <v>SAGANA, REF : EQMSI 10 3/8N</v>
          </cell>
          <cell r="D3375" t="str">
            <v>PE</v>
          </cell>
          <cell r="E3375" t="str">
            <v>515.51511</v>
          </cell>
          <cell r="F3375">
            <v>167</v>
          </cell>
          <cell r="G3375">
            <v>0</v>
          </cell>
          <cell r="H3375">
            <v>0</v>
          </cell>
          <cell r="I3375">
            <v>0</v>
          </cell>
          <cell r="J3375">
            <v>0</v>
          </cell>
          <cell r="K3375">
            <v>0</v>
          </cell>
          <cell r="L3375">
            <v>0</v>
          </cell>
        </row>
        <row r="3376">
          <cell r="A3376" t="str">
            <v>20498.21139</v>
          </cell>
          <cell r="B3376" t="str">
            <v>COUDE MALE ¿ CONIQUE 6MM X 1/2" NPT DOUBLE BAGUES INOX</v>
          </cell>
          <cell r="C3376" t="str">
            <v>SAGANA, REF : EQMSI 6 1/2N</v>
          </cell>
          <cell r="D3376" t="str">
            <v>PE</v>
          </cell>
          <cell r="E3376" t="str">
            <v>515.51511</v>
          </cell>
          <cell r="F3376">
            <v>184</v>
          </cell>
          <cell r="G3376">
            <v>0</v>
          </cell>
          <cell r="H3376">
            <v>0</v>
          </cell>
          <cell r="I3376">
            <v>0</v>
          </cell>
          <cell r="J3376">
            <v>0</v>
          </cell>
          <cell r="K3376">
            <v>0</v>
          </cell>
          <cell r="L3376">
            <v>0</v>
          </cell>
        </row>
        <row r="3377">
          <cell r="A3377" t="str">
            <v>20498.21140</v>
          </cell>
          <cell r="B3377" t="str">
            <v>COUDE MALE ¿ CONIQUE 8MM X 1/2" NPT DOUBLE BAGUES INOX</v>
          </cell>
          <cell r="C3377" t="str">
            <v>SAGANA, REF : EQMSI 8 1/2N</v>
          </cell>
          <cell r="D3377" t="str">
            <v>PE</v>
          </cell>
          <cell r="E3377" t="str">
            <v>515.51511</v>
          </cell>
          <cell r="F3377">
            <v>216</v>
          </cell>
          <cell r="G3377">
            <v>0</v>
          </cell>
          <cell r="H3377">
            <v>0</v>
          </cell>
          <cell r="I3377">
            <v>0</v>
          </cell>
          <cell r="J3377">
            <v>0</v>
          </cell>
          <cell r="K3377">
            <v>0</v>
          </cell>
          <cell r="L3377">
            <v>0</v>
          </cell>
        </row>
        <row r="3378">
          <cell r="A3378" t="str">
            <v>20498.21141</v>
          </cell>
          <cell r="B3378" t="str">
            <v>COUDE MALE ¿ CONIQUE 10MM X 1/2" NPT DOUBLE BAGUES INOX</v>
          </cell>
          <cell r="C3378" t="str">
            <v>SAGANA, REF : EQMSI 10 1/2N</v>
          </cell>
          <cell r="D3378" t="str">
            <v>PE</v>
          </cell>
          <cell r="E3378" t="str">
            <v>515.51511</v>
          </cell>
          <cell r="F3378">
            <v>216</v>
          </cell>
          <cell r="G3378">
            <v>0</v>
          </cell>
          <cell r="H3378">
            <v>0</v>
          </cell>
          <cell r="I3378">
            <v>0</v>
          </cell>
          <cell r="J3378">
            <v>0</v>
          </cell>
          <cell r="K3378">
            <v>0</v>
          </cell>
          <cell r="L3378">
            <v>0</v>
          </cell>
        </row>
        <row r="3379">
          <cell r="A3379" t="str">
            <v>20498.21142</v>
          </cell>
          <cell r="B3379" t="str">
            <v>COUDE MALE ¿ CONIQUE 12MM X 1/2" NPT DOUBLE BAGUES INOX</v>
          </cell>
          <cell r="C3379" t="str">
            <v>SAGANA, REF : EQMSI 12 1/2N</v>
          </cell>
          <cell r="D3379" t="str">
            <v>PE</v>
          </cell>
          <cell r="E3379" t="str">
            <v>515.51511</v>
          </cell>
          <cell r="F3379">
            <v>234</v>
          </cell>
          <cell r="G3379">
            <v>0</v>
          </cell>
          <cell r="H3379">
            <v>0</v>
          </cell>
          <cell r="I3379">
            <v>0</v>
          </cell>
          <cell r="J3379">
            <v>0</v>
          </cell>
          <cell r="K3379">
            <v>0</v>
          </cell>
          <cell r="L3379">
            <v>0</v>
          </cell>
        </row>
        <row r="3380">
          <cell r="A3380" t="str">
            <v>20498.21143</v>
          </cell>
          <cell r="B3380" t="str">
            <v>COUDE MALE ¿ CONIQUE 14MM X 1/2" NPT DOUBLE BAGUES INOX</v>
          </cell>
          <cell r="C3380" t="str">
            <v>SAGANA, REF : EQMSI 14 1/2N</v>
          </cell>
          <cell r="D3380" t="str">
            <v>PE</v>
          </cell>
          <cell r="E3380" t="str">
            <v>515.51511</v>
          </cell>
          <cell r="F3380">
            <v>238</v>
          </cell>
          <cell r="G3380">
            <v>0</v>
          </cell>
          <cell r="H3380">
            <v>0</v>
          </cell>
          <cell r="I3380">
            <v>0</v>
          </cell>
          <cell r="J3380">
            <v>0</v>
          </cell>
          <cell r="K3380">
            <v>0</v>
          </cell>
          <cell r="L3380">
            <v>0</v>
          </cell>
        </row>
        <row r="3381">
          <cell r="A3381" t="str">
            <v>20498.21144</v>
          </cell>
          <cell r="B3381" t="str">
            <v>COUDE MALE ¿ CONIQUE 12MM X 3/4" NPT DOUBLE BAGUES INOX</v>
          </cell>
          <cell r="C3381" t="str">
            <v>SAGANA, REF : EQMSI 12 3/4N</v>
          </cell>
          <cell r="D3381" t="str">
            <v>PE</v>
          </cell>
          <cell r="E3381" t="str">
            <v>515.51511</v>
          </cell>
          <cell r="F3381">
            <v>253</v>
          </cell>
          <cell r="G3381">
            <v>0</v>
          </cell>
          <cell r="H3381">
            <v>0</v>
          </cell>
          <cell r="I3381">
            <v>0</v>
          </cell>
          <cell r="J3381">
            <v>0</v>
          </cell>
          <cell r="K3381">
            <v>0</v>
          </cell>
          <cell r="L3381">
            <v>0</v>
          </cell>
        </row>
        <row r="3382">
          <cell r="A3382" t="str">
            <v>20498.21145</v>
          </cell>
          <cell r="B3382" t="str">
            <v>COUDE FEMELLE ¿ PARALLELE 6MM X 1/8" BSPP DOUBLE BAGUES INOX</v>
          </cell>
          <cell r="C3382" t="str">
            <v>SAGANA, REF : EQFSI 6 1/8G</v>
          </cell>
          <cell r="D3382" t="str">
            <v>PE</v>
          </cell>
          <cell r="E3382" t="str">
            <v>515.51511</v>
          </cell>
          <cell r="F3382">
            <v>159</v>
          </cell>
          <cell r="G3382">
            <v>0</v>
          </cell>
          <cell r="H3382">
            <v>0</v>
          </cell>
          <cell r="I3382">
            <v>0</v>
          </cell>
          <cell r="J3382">
            <v>0</v>
          </cell>
          <cell r="K3382">
            <v>0</v>
          </cell>
          <cell r="L3382">
            <v>0</v>
          </cell>
        </row>
        <row r="3383">
          <cell r="A3383" t="str">
            <v>20498.21146</v>
          </cell>
          <cell r="B3383" t="str">
            <v>COUDE FEMELLE ¿ PARALLELE 8MM X 1/8" BSPP DOUBLE BAGUES INOX</v>
          </cell>
          <cell r="C3383" t="str">
            <v>SAGANA, REF : EQFSI 8 1/8G</v>
          </cell>
          <cell r="D3383" t="str">
            <v>PE</v>
          </cell>
          <cell r="E3383" t="str">
            <v>515.51511</v>
          </cell>
          <cell r="F3383">
            <v>168</v>
          </cell>
          <cell r="G3383">
            <v>0</v>
          </cell>
          <cell r="H3383">
            <v>0</v>
          </cell>
          <cell r="I3383">
            <v>0</v>
          </cell>
          <cell r="J3383">
            <v>0</v>
          </cell>
          <cell r="K3383">
            <v>0</v>
          </cell>
          <cell r="L3383">
            <v>0</v>
          </cell>
        </row>
        <row r="3384">
          <cell r="A3384" t="str">
            <v>20498.21147</v>
          </cell>
          <cell r="B3384" t="str">
            <v>COUDE FEMELLE ¿ PARALLELE 10MM X 1/8" BSPP DOUBLE BAGUES INOX</v>
          </cell>
          <cell r="C3384" t="str">
            <v>SAGANA, REF : EQFSI 10 1/8G</v>
          </cell>
          <cell r="D3384" t="str">
            <v>PE</v>
          </cell>
          <cell r="E3384" t="str">
            <v>515.51511</v>
          </cell>
          <cell r="F3384">
            <v>163</v>
          </cell>
          <cell r="G3384">
            <v>0</v>
          </cell>
          <cell r="H3384">
            <v>0</v>
          </cell>
          <cell r="I3384">
            <v>0</v>
          </cell>
          <cell r="J3384">
            <v>0</v>
          </cell>
          <cell r="K3384">
            <v>20</v>
          </cell>
          <cell r="L3384">
            <v>0</v>
          </cell>
        </row>
        <row r="3385">
          <cell r="A3385" t="str">
            <v>20498.21148</v>
          </cell>
          <cell r="B3385" t="str">
            <v>COUDE FEMELLE ¿ PARALLELE 6MM X 1/4" BSPP DOUBLE BAGUES INOX</v>
          </cell>
          <cell r="C3385" t="str">
            <v>SAGANA, REF : EQFSI 6 1/4G</v>
          </cell>
          <cell r="D3385" t="str">
            <v>PE</v>
          </cell>
          <cell r="E3385" t="str">
            <v>515.51511</v>
          </cell>
          <cell r="F3385">
            <v>183</v>
          </cell>
          <cell r="G3385">
            <v>0</v>
          </cell>
          <cell r="H3385">
            <v>0</v>
          </cell>
          <cell r="I3385">
            <v>0</v>
          </cell>
          <cell r="J3385">
            <v>0</v>
          </cell>
          <cell r="K3385">
            <v>0</v>
          </cell>
          <cell r="L3385">
            <v>0</v>
          </cell>
        </row>
        <row r="3386">
          <cell r="A3386" t="str">
            <v>20498.21149</v>
          </cell>
          <cell r="B3386" t="str">
            <v>COUDE FEMELLE ¿ PARALLELE 8MM X 1/4" BSPP DOUBLE BAGUES INOX</v>
          </cell>
          <cell r="C3386" t="str">
            <v>SAGANA, REF : EQFSI 8 1/4G</v>
          </cell>
          <cell r="D3386" t="str">
            <v>PE</v>
          </cell>
          <cell r="E3386" t="str">
            <v>515.51511</v>
          </cell>
          <cell r="F3386">
            <v>191</v>
          </cell>
          <cell r="G3386">
            <v>0</v>
          </cell>
          <cell r="H3386">
            <v>0</v>
          </cell>
          <cell r="I3386">
            <v>0</v>
          </cell>
          <cell r="J3386">
            <v>0</v>
          </cell>
          <cell r="K3386">
            <v>0</v>
          </cell>
          <cell r="L3386">
            <v>0</v>
          </cell>
        </row>
        <row r="3387">
          <cell r="A3387" t="str">
            <v>20498.21150</v>
          </cell>
          <cell r="B3387" t="str">
            <v>COUDE FEMELLE ¿ PARALLELE 10MM X 1/4" BSPP DOUBLE BAGUES INOX</v>
          </cell>
          <cell r="C3387" t="str">
            <v>SAGANA, REF : EQFSI 10 1/4G</v>
          </cell>
          <cell r="D3387" t="str">
            <v>PE</v>
          </cell>
          <cell r="E3387" t="str">
            <v>515.51511</v>
          </cell>
          <cell r="F3387">
            <v>200</v>
          </cell>
          <cell r="G3387">
            <v>0</v>
          </cell>
          <cell r="H3387">
            <v>0</v>
          </cell>
          <cell r="I3387">
            <v>0</v>
          </cell>
          <cell r="J3387">
            <v>0</v>
          </cell>
          <cell r="K3387">
            <v>0</v>
          </cell>
          <cell r="L3387">
            <v>0</v>
          </cell>
        </row>
        <row r="3388">
          <cell r="A3388" t="str">
            <v>20498.21151</v>
          </cell>
          <cell r="B3388" t="str">
            <v>COUDE FEMELLE ¿ PARALLELE 12MM X 1/4" BSPP DOUBLE BAGUES INOX</v>
          </cell>
          <cell r="C3388" t="str">
            <v>SAGANA, REF : EQFSI 12 1/4G</v>
          </cell>
          <cell r="D3388" t="str">
            <v>PE</v>
          </cell>
          <cell r="E3388" t="str">
            <v>515.51511</v>
          </cell>
          <cell r="F3388">
            <v>256</v>
          </cell>
          <cell r="G3388">
            <v>0</v>
          </cell>
          <cell r="H3388">
            <v>0</v>
          </cell>
          <cell r="I3388">
            <v>0</v>
          </cell>
          <cell r="J3388">
            <v>0</v>
          </cell>
          <cell r="K3388">
            <v>0</v>
          </cell>
          <cell r="L3388">
            <v>0</v>
          </cell>
        </row>
        <row r="3389">
          <cell r="A3389" t="str">
            <v>20498.21152</v>
          </cell>
          <cell r="B3389" t="str">
            <v>COUDE FEMELLE ¿ PARALLELE 6MM X 1/2" BSPP DOUBLE BAGUES INOX</v>
          </cell>
          <cell r="C3389" t="str">
            <v>SAGANA, REF : EQFSI 6 1/2G</v>
          </cell>
          <cell r="D3389" t="str">
            <v>PE</v>
          </cell>
          <cell r="E3389" t="str">
            <v>515.51511</v>
          </cell>
          <cell r="F3389">
            <v>192</v>
          </cell>
          <cell r="G3389">
            <v>0</v>
          </cell>
          <cell r="H3389">
            <v>0</v>
          </cell>
          <cell r="I3389">
            <v>0</v>
          </cell>
          <cell r="J3389">
            <v>0</v>
          </cell>
          <cell r="K3389">
            <v>20</v>
          </cell>
          <cell r="L3389">
            <v>0</v>
          </cell>
        </row>
        <row r="3390">
          <cell r="A3390" t="str">
            <v>20498.21153</v>
          </cell>
          <cell r="B3390" t="str">
            <v>COUDE FEMELLE ¿ PARALLELE 10MM X 1/2" BSPP DOUBLE BAGUES INOX</v>
          </cell>
          <cell r="C3390" t="str">
            <v>SAGANA, REF : EQFSI 10 1/2G</v>
          </cell>
          <cell r="D3390" t="str">
            <v>PE</v>
          </cell>
          <cell r="E3390" t="str">
            <v>515.51511</v>
          </cell>
          <cell r="F3390">
            <v>264</v>
          </cell>
          <cell r="G3390">
            <v>0</v>
          </cell>
          <cell r="H3390">
            <v>0</v>
          </cell>
          <cell r="I3390">
            <v>0</v>
          </cell>
          <cell r="J3390">
            <v>0</v>
          </cell>
          <cell r="K3390">
            <v>0</v>
          </cell>
          <cell r="L3390">
            <v>0</v>
          </cell>
        </row>
        <row r="3391">
          <cell r="A3391" t="str">
            <v>20498.21154</v>
          </cell>
          <cell r="B3391" t="str">
            <v>COUDE FEMELLE ¿ PARALLELE 12MM X 1/2" BSPP DOUBLE BAGUES INOX</v>
          </cell>
          <cell r="C3391" t="str">
            <v>SAGANA, REF : EQFSI 12 1/2G</v>
          </cell>
          <cell r="D3391" t="str">
            <v>PE</v>
          </cell>
          <cell r="E3391" t="str">
            <v>515.51511</v>
          </cell>
          <cell r="F3391">
            <v>319</v>
          </cell>
          <cell r="G3391">
            <v>0</v>
          </cell>
          <cell r="H3391">
            <v>0</v>
          </cell>
          <cell r="I3391">
            <v>0</v>
          </cell>
          <cell r="J3391">
            <v>0</v>
          </cell>
          <cell r="K3391">
            <v>20</v>
          </cell>
          <cell r="L3391">
            <v>0</v>
          </cell>
        </row>
        <row r="3392">
          <cell r="A3392" t="str">
            <v>20498.21155</v>
          </cell>
          <cell r="B3392" t="str">
            <v>COUDE FEMELLE ¿ PARALLELE 14MM X 1/2" BSPP DOUBLE BAGUES INOX</v>
          </cell>
          <cell r="C3392" t="str">
            <v>SAGANA, REF : EQFSI 14 1/2G</v>
          </cell>
          <cell r="D3392" t="str">
            <v>PE</v>
          </cell>
          <cell r="E3392" t="str">
            <v>515.51511</v>
          </cell>
          <cell r="F3392">
            <v>351</v>
          </cell>
          <cell r="G3392">
            <v>0</v>
          </cell>
          <cell r="H3392">
            <v>0</v>
          </cell>
          <cell r="I3392">
            <v>0</v>
          </cell>
          <cell r="J3392">
            <v>0</v>
          </cell>
          <cell r="K3392">
            <v>20</v>
          </cell>
          <cell r="L3392">
            <v>0</v>
          </cell>
        </row>
        <row r="3393">
          <cell r="A3393" t="str">
            <v>20498.21156</v>
          </cell>
          <cell r="B3393" t="str">
            <v>UNION MALE A JOINT TORIQUE - 6MM X 1/4" NPSM DOUBLE BAGUES INOX</v>
          </cell>
          <cell r="C3393" t="str">
            <v>SAGANA, REF : UMOMSI 6 1/4</v>
          </cell>
          <cell r="D3393" t="str">
            <v>PE</v>
          </cell>
          <cell r="E3393" t="str">
            <v>515.51511</v>
          </cell>
          <cell r="F3393">
            <v>123</v>
          </cell>
          <cell r="G3393">
            <v>0</v>
          </cell>
          <cell r="H3393">
            <v>0</v>
          </cell>
          <cell r="I3393">
            <v>0</v>
          </cell>
          <cell r="J3393">
            <v>0</v>
          </cell>
          <cell r="K3393">
            <v>20</v>
          </cell>
          <cell r="L3393">
            <v>0</v>
          </cell>
        </row>
        <row r="3394">
          <cell r="A3394" t="str">
            <v>20498.21157</v>
          </cell>
          <cell r="B3394" t="str">
            <v>UNION MALE A JOINT TORIQUE - 8MM X 1/4" NPSM DOUBLE BAGUES INOX</v>
          </cell>
          <cell r="C3394" t="str">
            <v>SAGANA, REF : UMOMSI 8 1/4</v>
          </cell>
          <cell r="D3394" t="str">
            <v>PE</v>
          </cell>
          <cell r="E3394" t="str">
            <v>515.51511</v>
          </cell>
          <cell r="F3394">
            <v>147</v>
          </cell>
          <cell r="G3394">
            <v>0</v>
          </cell>
          <cell r="H3394">
            <v>0</v>
          </cell>
          <cell r="I3394">
            <v>0</v>
          </cell>
          <cell r="J3394">
            <v>0</v>
          </cell>
          <cell r="K3394">
            <v>20</v>
          </cell>
          <cell r="L3394">
            <v>0</v>
          </cell>
        </row>
        <row r="3395">
          <cell r="A3395" t="str">
            <v>20498.21158</v>
          </cell>
          <cell r="B3395" t="str">
            <v>UNION MALE A JOINT TORIQUE - 10MM X 1/4" NPSM DOUBLE BAGUES INOX</v>
          </cell>
          <cell r="C3395" t="str">
            <v>SAGANA, REF : UMOMSI 10 1/4</v>
          </cell>
          <cell r="D3395" t="str">
            <v>PE</v>
          </cell>
          <cell r="E3395" t="str">
            <v>515.51511</v>
          </cell>
          <cell r="F3395">
            <v>152</v>
          </cell>
          <cell r="G3395">
            <v>0</v>
          </cell>
          <cell r="H3395">
            <v>0</v>
          </cell>
          <cell r="I3395">
            <v>0</v>
          </cell>
          <cell r="J3395">
            <v>0</v>
          </cell>
          <cell r="K3395">
            <v>20</v>
          </cell>
          <cell r="L3395">
            <v>0</v>
          </cell>
        </row>
        <row r="3396">
          <cell r="A3396" t="str">
            <v>20498.21159</v>
          </cell>
          <cell r="B3396" t="str">
            <v>UNION MALE A JOINT TORIQUE - 12MM X 1/4" NPSM DOUBLE BAGUES INOX</v>
          </cell>
          <cell r="C3396" t="str">
            <v>SAGANA, REF : UMOMSI 12 1/4</v>
          </cell>
          <cell r="D3396" t="str">
            <v>PE</v>
          </cell>
          <cell r="E3396" t="str">
            <v>515.51511</v>
          </cell>
          <cell r="F3396">
            <v>246</v>
          </cell>
          <cell r="G3396">
            <v>0</v>
          </cell>
          <cell r="H3396">
            <v>0</v>
          </cell>
          <cell r="I3396">
            <v>0</v>
          </cell>
          <cell r="J3396">
            <v>0</v>
          </cell>
          <cell r="K3396">
            <v>20</v>
          </cell>
          <cell r="L3396">
            <v>0</v>
          </cell>
        </row>
        <row r="3397">
          <cell r="A3397" t="str">
            <v>20497.12284</v>
          </cell>
          <cell r="B3397" t="str">
            <v xml:space="preserve">CORPS DE POMPE </v>
          </cell>
          <cell r="C3397" t="str">
            <v xml:space="preserve">FL SMIDTH KREBS MILLMAX REF : MM 200-110-00001 </v>
          </cell>
          <cell r="D3397" t="str">
            <v>PE</v>
          </cell>
          <cell r="E3397" t="str">
            <v>515.51517</v>
          </cell>
          <cell r="F3397">
            <v>1</v>
          </cell>
          <cell r="G3397">
            <v>0</v>
          </cell>
          <cell r="H3397">
            <v>0</v>
          </cell>
          <cell r="I3397">
            <v>0</v>
          </cell>
          <cell r="J3397">
            <v>0</v>
          </cell>
          <cell r="K3397">
            <v>0</v>
          </cell>
          <cell r="L3397">
            <v>3</v>
          </cell>
        </row>
        <row r="3398">
          <cell r="A3398" t="str">
            <v>20498.21217</v>
          </cell>
          <cell r="B3398" t="str">
            <v>ADAPTATEUR DE REDUCTION 6MM X 8MM DOUBLE BAGUES INOX</v>
          </cell>
          <cell r="C3398" t="str">
            <v>SAGANA, REF : ADRSI 6 8</v>
          </cell>
          <cell r="D3398" t="str">
            <v>PE</v>
          </cell>
          <cell r="E3398" t="str">
            <v>515.51511</v>
          </cell>
          <cell r="F3398">
            <v>85</v>
          </cell>
          <cell r="G3398">
            <v>0</v>
          </cell>
          <cell r="H3398">
            <v>0</v>
          </cell>
          <cell r="I3398">
            <v>0</v>
          </cell>
          <cell r="J3398">
            <v>0</v>
          </cell>
          <cell r="K3398">
            <v>0</v>
          </cell>
          <cell r="L3398">
            <v>0</v>
          </cell>
        </row>
        <row r="3399">
          <cell r="A3399" t="str">
            <v>20498.21218</v>
          </cell>
          <cell r="B3399" t="str">
            <v>ADAPTATEUR DE REDUCTION 6MM X 10MM DOUBLE BAGUES INOX</v>
          </cell>
          <cell r="C3399" t="str">
            <v>SAGANA, REF : ADRSI 6 10</v>
          </cell>
          <cell r="D3399" t="str">
            <v>PE</v>
          </cell>
          <cell r="E3399" t="str">
            <v>515.51511</v>
          </cell>
          <cell r="F3399">
            <v>85</v>
          </cell>
          <cell r="G3399">
            <v>0</v>
          </cell>
          <cell r="H3399">
            <v>0</v>
          </cell>
          <cell r="I3399">
            <v>0</v>
          </cell>
          <cell r="J3399">
            <v>0</v>
          </cell>
          <cell r="K3399">
            <v>0</v>
          </cell>
          <cell r="L3399">
            <v>0</v>
          </cell>
        </row>
        <row r="3400">
          <cell r="A3400" t="str">
            <v>20497.12285</v>
          </cell>
          <cell r="B3400" t="str">
            <v xml:space="preserve">IMPULSEUR </v>
          </cell>
          <cell r="C3400" t="str">
            <v xml:space="preserve">FL SMIDTH KREBS MILLMAX REF:  MM 200-447-00013 </v>
          </cell>
          <cell r="D3400" t="str">
            <v>PE</v>
          </cell>
          <cell r="E3400" t="str">
            <v>515.51517</v>
          </cell>
          <cell r="F3400">
            <v>1</v>
          </cell>
          <cell r="G3400">
            <v>0</v>
          </cell>
          <cell r="H3400">
            <v>0</v>
          </cell>
          <cell r="I3400">
            <v>0</v>
          </cell>
          <cell r="J3400">
            <v>0</v>
          </cell>
          <cell r="K3400">
            <v>0</v>
          </cell>
          <cell r="L3400">
            <v>3</v>
          </cell>
        </row>
        <row r="3401">
          <cell r="A3401" t="str">
            <v>20497.12280</v>
          </cell>
          <cell r="B3401" t="str">
            <v xml:space="preserve">PALIER </v>
          </cell>
          <cell r="C3401" t="str">
            <v xml:space="preserve">FL SMIDTH KREBS MILLMAX REF : MMB-525-100RC </v>
          </cell>
          <cell r="D3401" t="str">
            <v>PE</v>
          </cell>
          <cell r="E3401" t="str">
            <v>515.51517</v>
          </cell>
          <cell r="F3401">
            <v>1</v>
          </cell>
          <cell r="G3401">
            <v>0</v>
          </cell>
          <cell r="H3401">
            <v>0</v>
          </cell>
          <cell r="I3401">
            <v>1</v>
          </cell>
          <cell r="J3401">
            <v>0</v>
          </cell>
          <cell r="K3401">
            <v>1</v>
          </cell>
          <cell r="L3401">
            <v>0</v>
          </cell>
        </row>
        <row r="3402">
          <cell r="A3402" t="str">
            <v>20497.12281</v>
          </cell>
          <cell r="B3402" t="str">
            <v xml:space="preserve">COLLIER DE MONTAGE </v>
          </cell>
          <cell r="C3402" t="str">
            <v xml:space="preserve">FL SMIDTH KREBS MILLMAX REF : MMB-239-10001 </v>
          </cell>
          <cell r="D3402" t="str">
            <v>PE</v>
          </cell>
          <cell r="E3402" t="str">
            <v>515.51517</v>
          </cell>
          <cell r="F3402">
            <v>329.47390000000001</v>
          </cell>
          <cell r="G3402">
            <v>0</v>
          </cell>
          <cell r="H3402">
            <v>0</v>
          </cell>
          <cell r="I3402">
            <v>0</v>
          </cell>
          <cell r="J3402">
            <v>0</v>
          </cell>
          <cell r="K3402">
            <v>0</v>
          </cell>
          <cell r="L3402">
            <v>3</v>
          </cell>
        </row>
        <row r="3403">
          <cell r="A3403" t="str">
            <v>20497.12282</v>
          </cell>
          <cell r="B3403" t="str">
            <v xml:space="preserve">JOINT </v>
          </cell>
          <cell r="C3403" t="str">
            <v xml:space="preserve">FL SMIDTH KREBS MILLMAX REF: MM 200-060-26049 </v>
          </cell>
          <cell r="D3403" t="str">
            <v>PE</v>
          </cell>
          <cell r="E3403" t="str">
            <v>515.51517</v>
          </cell>
          <cell r="F3403">
            <v>1</v>
          </cell>
          <cell r="G3403">
            <v>0</v>
          </cell>
          <cell r="H3403">
            <v>0</v>
          </cell>
          <cell r="I3403">
            <v>0</v>
          </cell>
          <cell r="J3403">
            <v>0</v>
          </cell>
          <cell r="K3403">
            <v>0</v>
          </cell>
          <cell r="L3403">
            <v>2</v>
          </cell>
        </row>
        <row r="3404">
          <cell r="A3404" t="str">
            <v>20497.12283</v>
          </cell>
          <cell r="B3404" t="str">
            <v xml:space="preserve">BOITE GARNITURE </v>
          </cell>
          <cell r="C3404" t="str">
            <v xml:space="preserve">FL SMIDTH KREBS MILLMAX REF : MM 200-078-12013 </v>
          </cell>
          <cell r="D3404" t="str">
            <v>PE</v>
          </cell>
          <cell r="E3404" t="str">
            <v>515.51517</v>
          </cell>
          <cell r="F3404">
            <v>1</v>
          </cell>
          <cell r="G3404">
            <v>0</v>
          </cell>
          <cell r="H3404">
            <v>0</v>
          </cell>
          <cell r="I3404">
            <v>1</v>
          </cell>
          <cell r="J3404">
            <v>0</v>
          </cell>
          <cell r="K3404">
            <v>0</v>
          </cell>
          <cell r="L3404">
            <v>1</v>
          </cell>
        </row>
        <row r="3405">
          <cell r="A3405" t="str">
            <v>20497.12497</v>
          </cell>
          <cell r="B3405" t="str">
            <v>CHAPEAU D'ASPIRATION</v>
          </cell>
          <cell r="C3405" t="str">
            <v>GOULDS PUMPS MODELE 3171MT TAILLE 4X4-8 POMPES  SERIE 441416-2   REP: 182</v>
          </cell>
          <cell r="D3405" t="str">
            <v>PE</v>
          </cell>
          <cell r="E3405" t="str">
            <v>515.51517</v>
          </cell>
          <cell r="F3405">
            <v>26318.17</v>
          </cell>
          <cell r="G3405">
            <v>0</v>
          </cell>
          <cell r="H3405">
            <v>0</v>
          </cell>
          <cell r="I3405">
            <v>0</v>
          </cell>
          <cell r="J3405">
            <v>0</v>
          </cell>
          <cell r="K3405">
            <v>0</v>
          </cell>
          <cell r="L3405">
            <v>1</v>
          </cell>
        </row>
        <row r="3406">
          <cell r="A3406" t="str">
            <v>20497.12498</v>
          </cell>
          <cell r="B3406" t="str">
            <v>TUYAU DE LUBRIFICATION</v>
          </cell>
          <cell r="C3406" t="str">
            <v>GOULDS PUMPS MODELE 3171MT TAILLE 4X4-8 POMPES  SERIE 441416-2   REP: 190</v>
          </cell>
          <cell r="D3406" t="str">
            <v>PE</v>
          </cell>
          <cell r="E3406" t="str">
            <v>515.51517</v>
          </cell>
          <cell r="F3406">
            <v>110.35</v>
          </cell>
          <cell r="G3406">
            <v>0</v>
          </cell>
          <cell r="H3406">
            <v>0</v>
          </cell>
          <cell r="I3406">
            <v>0</v>
          </cell>
          <cell r="J3406">
            <v>0</v>
          </cell>
          <cell r="K3406">
            <v>0</v>
          </cell>
          <cell r="L3406">
            <v>0</v>
          </cell>
        </row>
        <row r="3407">
          <cell r="A3407" t="str">
            <v>20497.12499</v>
          </cell>
          <cell r="B3407" t="str">
            <v>BOUCHON FILETE</v>
          </cell>
          <cell r="C3407" t="str">
            <v>GOULDS PUMPS IC-125-100-315 P2 VL  1A SERIE I 601E 18/19 REP 903.51</v>
          </cell>
          <cell r="D3407" t="str">
            <v>PE</v>
          </cell>
          <cell r="E3407" t="str">
            <v>515.51517</v>
          </cell>
          <cell r="F3407">
            <v>974.51</v>
          </cell>
          <cell r="G3407">
            <v>0</v>
          </cell>
          <cell r="H3407">
            <v>0</v>
          </cell>
          <cell r="I3407">
            <v>0</v>
          </cell>
          <cell r="J3407">
            <v>0</v>
          </cell>
          <cell r="K3407">
            <v>0</v>
          </cell>
          <cell r="L3407">
            <v>1</v>
          </cell>
        </row>
        <row r="3408">
          <cell r="A3408" t="str">
            <v>20498.21219</v>
          </cell>
          <cell r="B3408" t="str">
            <v>ADAPTATEUR DE REDUCTION 6MM X 12MM DOUBLE BAGUES INOX</v>
          </cell>
          <cell r="C3408" t="str">
            <v>SAGANA, REF : ADRSI 6 12</v>
          </cell>
          <cell r="D3408" t="str">
            <v>PE</v>
          </cell>
          <cell r="E3408" t="str">
            <v>515.51511</v>
          </cell>
          <cell r="F3408">
            <v>94</v>
          </cell>
          <cell r="G3408">
            <v>0</v>
          </cell>
          <cell r="H3408">
            <v>0</v>
          </cell>
          <cell r="I3408">
            <v>0</v>
          </cell>
          <cell r="J3408">
            <v>0</v>
          </cell>
          <cell r="K3408">
            <v>0</v>
          </cell>
          <cell r="L3408">
            <v>0</v>
          </cell>
        </row>
        <row r="3409">
          <cell r="A3409" t="str">
            <v>20497.05870</v>
          </cell>
          <cell r="B3409" t="str">
            <v>CHEMISE D'ARBRE</v>
          </cell>
          <cell r="C3409" t="str">
            <v>WARMAN D075 TYPE 6/4 DS-DAM</v>
          </cell>
          <cell r="D3409" t="str">
            <v>PE</v>
          </cell>
          <cell r="E3409" t="str">
            <v>515.51517</v>
          </cell>
          <cell r="F3409">
            <v>556.23</v>
          </cell>
          <cell r="G3409">
            <v>0</v>
          </cell>
          <cell r="H3409">
            <v>0</v>
          </cell>
          <cell r="I3409">
            <v>1</v>
          </cell>
          <cell r="J3409">
            <v>1</v>
          </cell>
          <cell r="K3409">
            <v>0</v>
          </cell>
          <cell r="L3409">
            <v>3</v>
          </cell>
        </row>
        <row r="3410">
          <cell r="A3410" t="str">
            <v>20499.04081</v>
          </cell>
          <cell r="B3410" t="str">
            <v>VANNE A PELLE  AVEC  COMMANDE MANUELLE</v>
          </cell>
          <cell r="C3410" t="str">
            <v>WEIR MINERALS TYPE ISOGATE SERIE WS DN 6" PN 10 CORPS EN FONTE GS , PELLE EN INOX 316L   APPLICATION : PULPE PHOSPHORIQUE</v>
          </cell>
          <cell r="D3410" t="str">
            <v>PE</v>
          </cell>
          <cell r="E3410" t="str">
            <v>515.51511</v>
          </cell>
          <cell r="F3410">
            <v>21140</v>
          </cell>
          <cell r="G3410">
            <v>0</v>
          </cell>
          <cell r="H3410">
            <v>0</v>
          </cell>
          <cell r="I3410">
            <v>0</v>
          </cell>
          <cell r="J3410">
            <v>0</v>
          </cell>
          <cell r="K3410">
            <v>0</v>
          </cell>
          <cell r="L3410">
            <v>0</v>
          </cell>
        </row>
        <row r="3411">
          <cell r="A3411" t="str">
            <v>20498.02904</v>
          </cell>
          <cell r="B3411" t="str">
            <v>CAPTEUR DE VITESSE</v>
          </cell>
          <cell r="C3411" t="str">
            <v>EPRO     PR 6423 / 000 - 001</v>
          </cell>
          <cell r="D3411" t="str">
            <v>PE</v>
          </cell>
          <cell r="E3411" t="str">
            <v>512.51201</v>
          </cell>
          <cell r="F3411">
            <v>4580</v>
          </cell>
          <cell r="G3411">
            <v>0</v>
          </cell>
          <cell r="H3411">
            <v>0</v>
          </cell>
          <cell r="I3411">
            <v>0</v>
          </cell>
          <cell r="J3411">
            <v>0</v>
          </cell>
          <cell r="K3411">
            <v>0</v>
          </cell>
          <cell r="L3411">
            <v>1</v>
          </cell>
        </row>
        <row r="3412">
          <cell r="A3412" t="str">
            <v>20498.00037</v>
          </cell>
          <cell r="B3412" t="str">
            <v>ROTULE DE FIXATION AVEC VERRE DE REGARD COULISSE INOX</v>
          </cell>
          <cell r="C3412" t="str">
            <v>HAMWORTHY  363921100</v>
          </cell>
          <cell r="D3412" t="str">
            <v>PE</v>
          </cell>
          <cell r="E3412" t="str">
            <v>512.51201</v>
          </cell>
          <cell r="F3412">
            <v>20610</v>
          </cell>
          <cell r="G3412">
            <v>0</v>
          </cell>
          <cell r="H3412">
            <v>1</v>
          </cell>
          <cell r="I3412">
            <v>0</v>
          </cell>
          <cell r="J3412">
            <v>0</v>
          </cell>
          <cell r="K3412">
            <v>0</v>
          </cell>
          <cell r="L3412">
            <v>0</v>
          </cell>
        </row>
        <row r="3413">
          <cell r="A3413" t="str">
            <v>20497.05885</v>
          </cell>
          <cell r="B3413" t="str">
            <v>PLAQUE D'USURE ARRIERE</v>
          </cell>
          <cell r="C3413" t="str">
            <v>WARMAN F8041 TYPE 10/8 FM</v>
          </cell>
          <cell r="D3413" t="str">
            <v>PE</v>
          </cell>
          <cell r="E3413" t="str">
            <v>515.51517</v>
          </cell>
          <cell r="F3413">
            <v>23831.745800000001</v>
          </cell>
          <cell r="G3413">
            <v>0</v>
          </cell>
          <cell r="H3413">
            <v>0</v>
          </cell>
          <cell r="I3413">
            <v>0</v>
          </cell>
          <cell r="J3413">
            <v>0</v>
          </cell>
          <cell r="K3413">
            <v>0</v>
          </cell>
          <cell r="L3413">
            <v>1</v>
          </cell>
        </row>
        <row r="3414">
          <cell r="A3414" t="str">
            <v>20497.05893</v>
          </cell>
          <cell r="B3414" t="str">
            <v>JOINT DE CHEMISE</v>
          </cell>
          <cell r="C3414" t="str">
            <v>WARMAN F109 TYPE 10/8 FM</v>
          </cell>
          <cell r="D3414" t="str">
            <v>PE</v>
          </cell>
          <cell r="E3414" t="str">
            <v>515.51517</v>
          </cell>
          <cell r="F3414">
            <v>26.792300000000001</v>
          </cell>
          <cell r="G3414">
            <v>0</v>
          </cell>
          <cell r="H3414">
            <v>0</v>
          </cell>
          <cell r="I3414">
            <v>0</v>
          </cell>
          <cell r="J3414">
            <v>0</v>
          </cell>
          <cell r="K3414">
            <v>4</v>
          </cell>
          <cell r="L3414">
            <v>0</v>
          </cell>
        </row>
        <row r="3415">
          <cell r="A3415" t="str">
            <v>20499.20932</v>
          </cell>
          <cell r="B3415" t="str">
            <v xml:space="preserve">VANNE A PAPILLON </v>
          </cell>
          <cell r="C3415" t="str">
            <v>CENTER LINE DN6" REF:06 BS 049 32 X</v>
          </cell>
          <cell r="D3415" t="str">
            <v>PE</v>
          </cell>
          <cell r="E3415" t="str">
            <v>515.51511</v>
          </cell>
          <cell r="F3415">
            <v>2450.4598999999998</v>
          </cell>
          <cell r="G3415">
            <v>0</v>
          </cell>
          <cell r="H3415">
            <v>0</v>
          </cell>
          <cell r="I3415">
            <v>0</v>
          </cell>
          <cell r="J3415">
            <v>2</v>
          </cell>
          <cell r="K3415">
            <v>0</v>
          </cell>
          <cell r="L3415">
            <v>0</v>
          </cell>
        </row>
        <row r="3416">
          <cell r="A3416" t="str">
            <v>20497.12392</v>
          </cell>
          <cell r="B3416" t="str">
            <v xml:space="preserve">JOINT D'IMPULSEUR / EXPULSEUR </v>
          </cell>
          <cell r="C3416" t="str">
            <v>FL SMIDTH KREBS SLURRYMAX REF: MM250-017-29008</v>
          </cell>
          <cell r="D3416" t="str">
            <v>PE</v>
          </cell>
          <cell r="E3416" t="str">
            <v>515.51517</v>
          </cell>
          <cell r="F3416">
            <v>184.2766</v>
          </cell>
          <cell r="G3416">
            <v>0</v>
          </cell>
          <cell r="H3416">
            <v>0</v>
          </cell>
          <cell r="I3416">
            <v>0</v>
          </cell>
          <cell r="J3416">
            <v>0</v>
          </cell>
          <cell r="K3416">
            <v>0</v>
          </cell>
          <cell r="L3416">
            <v>2</v>
          </cell>
        </row>
        <row r="3417">
          <cell r="A3417" t="str">
            <v>20499.20934</v>
          </cell>
          <cell r="B3417" t="str">
            <v>VANNE A PAPILLON</v>
          </cell>
          <cell r="C3417" t="str">
            <v>CENTER LINE DN16" REF:16 BS 079 32 X</v>
          </cell>
          <cell r="D3417" t="str">
            <v>PE</v>
          </cell>
          <cell r="E3417" t="str">
            <v>515.51511</v>
          </cell>
          <cell r="F3417">
            <v>17170.803899999999</v>
          </cell>
          <cell r="G3417">
            <v>0</v>
          </cell>
          <cell r="H3417">
            <v>0</v>
          </cell>
          <cell r="I3417">
            <v>0</v>
          </cell>
          <cell r="J3417">
            <v>0</v>
          </cell>
          <cell r="K3417">
            <v>0</v>
          </cell>
          <cell r="L3417">
            <v>1</v>
          </cell>
        </row>
        <row r="3418">
          <cell r="A3418" t="str">
            <v>20499.20935</v>
          </cell>
          <cell r="B3418" t="str">
            <v>VANNE A PAPILLON</v>
          </cell>
          <cell r="C3418" t="str">
            <v>CENTER LINE DN2" REF:02 BS 049 32 X</v>
          </cell>
          <cell r="D3418" t="str">
            <v>PE</v>
          </cell>
          <cell r="E3418" t="str">
            <v>515.51511</v>
          </cell>
          <cell r="F3418">
            <v>795.88610000000006</v>
          </cell>
          <cell r="G3418">
            <v>0</v>
          </cell>
          <cell r="H3418">
            <v>0</v>
          </cell>
          <cell r="I3418">
            <v>0</v>
          </cell>
          <cell r="J3418">
            <v>0</v>
          </cell>
          <cell r="K3418">
            <v>0</v>
          </cell>
          <cell r="L3418">
            <v>1</v>
          </cell>
        </row>
        <row r="3419">
          <cell r="A3419" t="str">
            <v>20499.20933</v>
          </cell>
          <cell r="B3419" t="str">
            <v>VANNE A PAPILLON CENTER</v>
          </cell>
          <cell r="C3419" t="str">
            <v xml:space="preserve">LINE DN4" REF:04 BS 049 32 X </v>
          </cell>
          <cell r="D3419" t="str">
            <v>PE</v>
          </cell>
          <cell r="E3419" t="str">
            <v>515.51511</v>
          </cell>
          <cell r="F3419">
            <v>1580.6318000000001</v>
          </cell>
          <cell r="G3419">
            <v>0</v>
          </cell>
          <cell r="H3419">
            <v>0</v>
          </cell>
          <cell r="I3419">
            <v>0</v>
          </cell>
          <cell r="J3419">
            <v>0</v>
          </cell>
          <cell r="K3419">
            <v>0</v>
          </cell>
          <cell r="L3419">
            <v>3</v>
          </cell>
        </row>
        <row r="3420">
          <cell r="A3420" t="str">
            <v>20498.21127</v>
          </cell>
          <cell r="B3420" t="str">
            <v>UNION FEMELLE ¿ PARALLELE 10MM X 1/2" BSPP MANOMETRE DOUBLE BAGUES INOX</v>
          </cell>
          <cell r="C3420" t="str">
            <v>SAGANA, REF : UFSI 10 1/2 G</v>
          </cell>
          <cell r="D3420" t="str">
            <v>PE</v>
          </cell>
          <cell r="E3420" t="str">
            <v>515.51511</v>
          </cell>
          <cell r="F3420">
            <v>195</v>
          </cell>
          <cell r="G3420">
            <v>0</v>
          </cell>
          <cell r="H3420">
            <v>0</v>
          </cell>
          <cell r="I3420">
            <v>0</v>
          </cell>
          <cell r="J3420">
            <v>0</v>
          </cell>
          <cell r="K3420">
            <v>0</v>
          </cell>
          <cell r="L3420">
            <v>0</v>
          </cell>
        </row>
        <row r="3421">
          <cell r="A3421" t="str">
            <v>20498.21131</v>
          </cell>
          <cell r="B3421" t="str">
            <v>COUDE MALE ¿ CONIQUE 10MM X 1/8" NPT DOUBLE BAGUES INOX</v>
          </cell>
          <cell r="C3421" t="str">
            <v>SAGANA, REF : EQMSI 10 1/8N</v>
          </cell>
          <cell r="D3421" t="str">
            <v>PE</v>
          </cell>
          <cell r="E3421" t="str">
            <v>515.51511</v>
          </cell>
          <cell r="F3421">
            <v>143</v>
          </cell>
          <cell r="G3421">
            <v>0</v>
          </cell>
          <cell r="H3421">
            <v>0</v>
          </cell>
          <cell r="I3421">
            <v>0</v>
          </cell>
          <cell r="J3421">
            <v>0</v>
          </cell>
          <cell r="K3421">
            <v>0</v>
          </cell>
          <cell r="L3421">
            <v>0</v>
          </cell>
        </row>
        <row r="3422">
          <cell r="A3422" t="str">
            <v>20498.21132</v>
          </cell>
          <cell r="B3422" t="str">
            <v>COUDE MALE ¿ CONIQUE 6MM X 1/4" NPT DOUBLE BAGUES INOX</v>
          </cell>
          <cell r="C3422" t="str">
            <v>SAGANA, REF : EQMSI 6 1/4N</v>
          </cell>
          <cell r="D3422" t="str">
            <v>PE</v>
          </cell>
          <cell r="E3422" t="str">
            <v>515.51511</v>
          </cell>
          <cell r="F3422">
            <v>113</v>
          </cell>
          <cell r="G3422">
            <v>0</v>
          </cell>
          <cell r="H3422">
            <v>0</v>
          </cell>
          <cell r="I3422">
            <v>0</v>
          </cell>
          <cell r="J3422">
            <v>0</v>
          </cell>
          <cell r="K3422">
            <v>0</v>
          </cell>
          <cell r="L3422">
            <v>0</v>
          </cell>
        </row>
        <row r="3423">
          <cell r="A3423" t="str">
            <v>20498.21133</v>
          </cell>
          <cell r="B3423" t="str">
            <v>COUDE MALE ¿ CONIQUE 8MM X 1/4" NPT DOUBLE BAGUES INOX</v>
          </cell>
          <cell r="C3423" t="str">
            <v>SAGANA, REF : EQMSI 8 1/4N</v>
          </cell>
          <cell r="D3423" t="str">
            <v>PE</v>
          </cell>
          <cell r="E3423" t="str">
            <v>515.51511</v>
          </cell>
          <cell r="F3423">
            <v>117</v>
          </cell>
          <cell r="G3423">
            <v>0</v>
          </cell>
          <cell r="H3423">
            <v>0</v>
          </cell>
          <cell r="I3423">
            <v>0</v>
          </cell>
          <cell r="J3423">
            <v>0</v>
          </cell>
          <cell r="K3423">
            <v>0</v>
          </cell>
          <cell r="L3423">
            <v>0</v>
          </cell>
        </row>
        <row r="3424">
          <cell r="A3424" t="str">
            <v>20497.00406</v>
          </cell>
          <cell r="B3424" t="str">
            <v>COUPELLE DE RETENU DE GRAISSE</v>
          </cell>
          <cell r="C3424" t="str">
            <v>WARMAN E046-E62 TYPE EAM005M</v>
          </cell>
          <cell r="D3424" t="str">
            <v>PE</v>
          </cell>
          <cell r="E3424" t="str">
            <v>515.51517</v>
          </cell>
          <cell r="F3424">
            <v>2173.3553000000002</v>
          </cell>
          <cell r="G3424">
            <v>0</v>
          </cell>
          <cell r="H3424">
            <v>0</v>
          </cell>
          <cell r="I3424">
            <v>0</v>
          </cell>
          <cell r="J3424">
            <v>0</v>
          </cell>
          <cell r="K3424">
            <v>0</v>
          </cell>
          <cell r="L3424">
            <v>4</v>
          </cell>
        </row>
        <row r="3425">
          <cell r="A3425" t="str">
            <v>20497.00629</v>
          </cell>
          <cell r="B3425" t="str">
            <v>ECROU DE ROUE</v>
          </cell>
          <cell r="C3425" t="str">
            <v>GOULDS PUMPS IC-125-100-200   SERIE I 601E 36/37  REP 922</v>
          </cell>
          <cell r="D3425" t="str">
            <v>PE</v>
          </cell>
          <cell r="E3425" t="str">
            <v>515.51517</v>
          </cell>
          <cell r="F3425">
            <v>2326.5713999999998</v>
          </cell>
          <cell r="G3425">
            <v>0</v>
          </cell>
          <cell r="H3425">
            <v>0</v>
          </cell>
          <cell r="I3425">
            <v>0</v>
          </cell>
          <cell r="J3425">
            <v>0</v>
          </cell>
          <cell r="K3425">
            <v>0</v>
          </cell>
          <cell r="L3425">
            <v>1</v>
          </cell>
        </row>
        <row r="3426">
          <cell r="A3426" t="str">
            <v>20497.00630</v>
          </cell>
          <cell r="B3426" t="str">
            <v>ECROU DE ROULEMENT</v>
          </cell>
          <cell r="C3426" t="str">
            <v>GOULDS PUMPS IC-125-100-200   SERIE I 601E 36/37  REP 923.51</v>
          </cell>
          <cell r="D3426" t="str">
            <v>PE</v>
          </cell>
          <cell r="E3426" t="str">
            <v>515.51517</v>
          </cell>
          <cell r="F3426">
            <v>413.63600000000002</v>
          </cell>
          <cell r="G3426">
            <v>0</v>
          </cell>
          <cell r="H3426">
            <v>0</v>
          </cell>
          <cell r="I3426">
            <v>0</v>
          </cell>
          <cell r="J3426">
            <v>0</v>
          </cell>
          <cell r="K3426">
            <v>0</v>
          </cell>
          <cell r="L3426">
            <v>1</v>
          </cell>
        </row>
        <row r="3427">
          <cell r="A3427" t="str">
            <v>20497.00650</v>
          </cell>
          <cell r="B3427" t="str">
            <v>CIRCLIPS</v>
          </cell>
          <cell r="C3427" t="str">
            <v>GOULDS PUMPS IC-125-80-200   SERIE I 601E 34/35  REP 932.51</v>
          </cell>
          <cell r="D3427" t="str">
            <v>PE</v>
          </cell>
          <cell r="E3427" t="str">
            <v>515.51517</v>
          </cell>
          <cell r="F3427">
            <v>68.958699999999993</v>
          </cell>
          <cell r="G3427">
            <v>0</v>
          </cell>
          <cell r="H3427">
            <v>0</v>
          </cell>
          <cell r="I3427">
            <v>0</v>
          </cell>
          <cell r="J3427">
            <v>0</v>
          </cell>
          <cell r="K3427">
            <v>2</v>
          </cell>
          <cell r="L3427">
            <v>0</v>
          </cell>
        </row>
        <row r="3428">
          <cell r="A3428" t="str">
            <v>20498.02733</v>
          </cell>
          <cell r="B3428" t="str">
            <v>CALCULATEUR</v>
          </cell>
          <cell r="C3428" t="str">
            <v>SCHENCK  REF VEG20603/VBVW20600  MODEL INTECONT PLUS   DC 24V/20WATT</v>
          </cell>
          <cell r="D3428" t="str">
            <v>PE</v>
          </cell>
          <cell r="E3428" t="str">
            <v>512.51201</v>
          </cell>
          <cell r="F3428">
            <v>32490</v>
          </cell>
          <cell r="G3428">
            <v>0</v>
          </cell>
          <cell r="H3428">
            <v>0</v>
          </cell>
          <cell r="I3428">
            <v>0</v>
          </cell>
          <cell r="J3428">
            <v>0</v>
          </cell>
          <cell r="K3428">
            <v>0</v>
          </cell>
          <cell r="L3428">
            <v>0</v>
          </cell>
        </row>
        <row r="3429">
          <cell r="A3429" t="str">
            <v>20498.02885</v>
          </cell>
          <cell r="B3429" t="str">
            <v>CAPTEUR DE COUPLE (SENSOR)</v>
          </cell>
          <cell r="C3429" t="str">
            <v>TRANSDUCER TECHNIQUE MODEL HSW-2K SERIE 201 236  CAPACITE 200LBS</v>
          </cell>
          <cell r="D3429" t="str">
            <v>PE</v>
          </cell>
          <cell r="E3429" t="str">
            <v>512.51201</v>
          </cell>
          <cell r="F3429">
            <v>16330</v>
          </cell>
          <cell r="G3429">
            <v>0</v>
          </cell>
          <cell r="H3429">
            <v>0</v>
          </cell>
          <cell r="I3429">
            <v>0</v>
          </cell>
          <cell r="J3429">
            <v>0</v>
          </cell>
          <cell r="K3429">
            <v>0</v>
          </cell>
          <cell r="L3429">
            <v>1</v>
          </cell>
        </row>
        <row r="3430">
          <cell r="A3430" t="str">
            <v>20498.02784</v>
          </cell>
          <cell r="B3430" t="str">
            <v>ELECTROVANNE</v>
          </cell>
          <cell r="C3430" t="str">
            <v>BURKERT TYPE 0330  REF: 141 935</v>
          </cell>
          <cell r="D3430" t="str">
            <v>PE</v>
          </cell>
          <cell r="E3430" t="str">
            <v>512.51201</v>
          </cell>
          <cell r="F3430">
            <v>1812.1097</v>
          </cell>
          <cell r="G3430">
            <v>0</v>
          </cell>
          <cell r="H3430">
            <v>0</v>
          </cell>
          <cell r="I3430">
            <v>0</v>
          </cell>
          <cell r="J3430">
            <v>0</v>
          </cell>
          <cell r="K3430">
            <v>3</v>
          </cell>
          <cell r="L3430">
            <v>0</v>
          </cell>
        </row>
        <row r="3431">
          <cell r="A3431" t="str">
            <v>20498.02785</v>
          </cell>
          <cell r="B3431" t="str">
            <v>ELECTROVANNE</v>
          </cell>
          <cell r="C3431" t="str">
            <v>BURKERT TYPE 0330  REF: 141 931</v>
          </cell>
          <cell r="D3431" t="str">
            <v>PE</v>
          </cell>
          <cell r="E3431" t="str">
            <v>512.51201</v>
          </cell>
          <cell r="F3431">
            <v>1812.1097</v>
          </cell>
          <cell r="G3431">
            <v>0</v>
          </cell>
          <cell r="H3431">
            <v>0</v>
          </cell>
          <cell r="I3431">
            <v>0</v>
          </cell>
          <cell r="J3431">
            <v>0</v>
          </cell>
          <cell r="K3431">
            <v>0</v>
          </cell>
          <cell r="L3431">
            <v>0</v>
          </cell>
        </row>
        <row r="3432">
          <cell r="A3432" t="str">
            <v>20498.02786</v>
          </cell>
          <cell r="B3432" t="str">
            <v>ELECTROVANNE</v>
          </cell>
          <cell r="C3432" t="str">
            <v>BURKERT TYPE 6606 REF: 137 746</v>
          </cell>
          <cell r="D3432" t="str">
            <v>PE</v>
          </cell>
          <cell r="E3432" t="str">
            <v>512.51201</v>
          </cell>
          <cell r="F3432">
            <v>952.91970000000003</v>
          </cell>
          <cell r="G3432">
            <v>0</v>
          </cell>
          <cell r="H3432">
            <v>0</v>
          </cell>
          <cell r="I3432">
            <v>0</v>
          </cell>
          <cell r="J3432">
            <v>0</v>
          </cell>
          <cell r="K3432">
            <v>4</v>
          </cell>
          <cell r="L3432">
            <v>0</v>
          </cell>
        </row>
        <row r="3433">
          <cell r="A3433" t="str">
            <v>20497.00651</v>
          </cell>
          <cell r="B3433" t="str">
            <v>ECROU DE ROUE</v>
          </cell>
          <cell r="C3433" t="str">
            <v>GOULDS PUMPS IC-125-80-200  SERIE I 601E 34/35  REP 922</v>
          </cell>
          <cell r="D3433" t="str">
            <v>PE</v>
          </cell>
          <cell r="E3433" t="str">
            <v>515.51517</v>
          </cell>
          <cell r="F3433">
            <v>2326.5713999999998</v>
          </cell>
          <cell r="G3433">
            <v>0</v>
          </cell>
          <cell r="H3433">
            <v>0</v>
          </cell>
          <cell r="I3433">
            <v>0</v>
          </cell>
          <cell r="J3433">
            <v>0</v>
          </cell>
          <cell r="K3433">
            <v>0</v>
          </cell>
          <cell r="L3433">
            <v>1</v>
          </cell>
        </row>
        <row r="3434">
          <cell r="A3434" t="str">
            <v>20498.02787</v>
          </cell>
          <cell r="B3434" t="str">
            <v>ELECTROVANNE</v>
          </cell>
          <cell r="C3434" t="str">
            <v>BURKERT TYPE 0330  REF: 124 940</v>
          </cell>
          <cell r="D3434" t="str">
            <v>PE</v>
          </cell>
          <cell r="E3434" t="str">
            <v>512.51201</v>
          </cell>
          <cell r="F3434">
            <v>1812.1097</v>
          </cell>
          <cell r="G3434">
            <v>0</v>
          </cell>
          <cell r="H3434">
            <v>0</v>
          </cell>
          <cell r="I3434">
            <v>0</v>
          </cell>
          <cell r="J3434">
            <v>0</v>
          </cell>
          <cell r="K3434">
            <v>3</v>
          </cell>
          <cell r="L3434">
            <v>0</v>
          </cell>
        </row>
        <row r="3435">
          <cell r="A3435" t="str">
            <v>20498.02790</v>
          </cell>
          <cell r="B3435" t="str">
            <v>ELECTROVANNE</v>
          </cell>
          <cell r="C3435" t="str">
            <v>BURKERT TYPE 0330  REF: 052 059</v>
          </cell>
          <cell r="D3435" t="str">
            <v>PE</v>
          </cell>
          <cell r="E3435" t="str">
            <v>512.51201</v>
          </cell>
          <cell r="F3435">
            <v>1393.9304999999999</v>
          </cell>
          <cell r="G3435">
            <v>0</v>
          </cell>
          <cell r="H3435">
            <v>0</v>
          </cell>
          <cell r="I3435">
            <v>0</v>
          </cell>
          <cell r="J3435">
            <v>0</v>
          </cell>
          <cell r="K3435">
            <v>5</v>
          </cell>
          <cell r="L3435">
            <v>0</v>
          </cell>
        </row>
        <row r="3436">
          <cell r="A3436" t="str">
            <v>20498.02791</v>
          </cell>
          <cell r="B3436" t="str">
            <v>BOBINE</v>
          </cell>
          <cell r="C3436" t="str">
            <v>BURKERT P/ ELECTROVANNE TYPE 0330</v>
          </cell>
          <cell r="D3436" t="str">
            <v>PE</v>
          </cell>
          <cell r="E3436" t="str">
            <v>512.51201</v>
          </cell>
          <cell r="F3436">
            <v>1693.44</v>
          </cell>
          <cell r="G3436">
            <v>0</v>
          </cell>
          <cell r="H3436">
            <v>0</v>
          </cell>
          <cell r="I3436">
            <v>0</v>
          </cell>
          <cell r="J3436">
            <v>0</v>
          </cell>
          <cell r="K3436">
            <v>0</v>
          </cell>
          <cell r="L3436">
            <v>8</v>
          </cell>
        </row>
        <row r="3437">
          <cell r="A3437" t="str">
            <v>20497.10091</v>
          </cell>
          <cell r="B3437" t="str">
            <v>DEFLECTEUR</v>
          </cell>
          <cell r="C3437" t="str">
            <v>GOULDS PUMPS  IC-200-150-250 POMPES  SERIE I 601E 20/21   REP: 507</v>
          </cell>
          <cell r="D3437" t="str">
            <v>PE</v>
          </cell>
          <cell r="E3437" t="str">
            <v>515.51517</v>
          </cell>
          <cell r="F3437">
            <v>487.34</v>
          </cell>
          <cell r="G3437">
            <v>0</v>
          </cell>
          <cell r="H3437">
            <v>0</v>
          </cell>
          <cell r="I3437">
            <v>0</v>
          </cell>
          <cell r="J3437">
            <v>0</v>
          </cell>
          <cell r="K3437">
            <v>0</v>
          </cell>
          <cell r="L3437">
            <v>1</v>
          </cell>
        </row>
        <row r="3438">
          <cell r="A3438" t="str">
            <v>20497.00622</v>
          </cell>
          <cell r="B3438" t="str">
            <v>JOINT</v>
          </cell>
          <cell r="C3438" t="str">
            <v>GOULDS PUMPS IC-100-65-250   SERIE I 601E 30/31  REP 412.21</v>
          </cell>
          <cell r="D3438" t="str">
            <v>PE</v>
          </cell>
          <cell r="E3438" t="str">
            <v>515.51517</v>
          </cell>
          <cell r="F3438">
            <v>77.563999999999993</v>
          </cell>
          <cell r="G3438">
            <v>0</v>
          </cell>
          <cell r="H3438">
            <v>0</v>
          </cell>
          <cell r="I3438">
            <v>0</v>
          </cell>
          <cell r="J3438">
            <v>0</v>
          </cell>
          <cell r="K3438">
            <v>2</v>
          </cell>
          <cell r="L3438">
            <v>0</v>
          </cell>
        </row>
        <row r="3439">
          <cell r="A3439" t="str">
            <v>20497.00623</v>
          </cell>
          <cell r="B3439" t="str">
            <v>ROUE</v>
          </cell>
          <cell r="C3439" t="str">
            <v>GOULDS PUMPS IC-100-65-250  SERIE I 601E 30/31  REP 230</v>
          </cell>
          <cell r="D3439" t="str">
            <v>PE</v>
          </cell>
          <cell r="E3439" t="str">
            <v>515.51517</v>
          </cell>
          <cell r="F3439">
            <v>30348.808499999999</v>
          </cell>
          <cell r="G3439">
            <v>0</v>
          </cell>
          <cell r="H3439">
            <v>0</v>
          </cell>
          <cell r="I3439">
            <v>0</v>
          </cell>
          <cell r="J3439">
            <v>0</v>
          </cell>
          <cell r="K3439">
            <v>0</v>
          </cell>
          <cell r="L3439">
            <v>1</v>
          </cell>
        </row>
        <row r="3440">
          <cell r="A3440" t="str">
            <v>20497.00625</v>
          </cell>
          <cell r="B3440" t="str">
            <v>BAGUE RADIALE D'ARBRE</v>
          </cell>
          <cell r="C3440" t="str">
            <v>GOULDS PUMPS IC-125-100-200  SERIE I 601E 36/37  REP 421.41</v>
          </cell>
          <cell r="D3440" t="str">
            <v>PE</v>
          </cell>
          <cell r="E3440" t="str">
            <v>515.51517</v>
          </cell>
          <cell r="F3440">
            <v>439.45190000000002</v>
          </cell>
          <cell r="G3440">
            <v>0</v>
          </cell>
          <cell r="H3440">
            <v>0</v>
          </cell>
          <cell r="I3440">
            <v>0</v>
          </cell>
          <cell r="J3440">
            <v>0</v>
          </cell>
          <cell r="K3440">
            <v>0</v>
          </cell>
          <cell r="L3440">
            <v>1</v>
          </cell>
        </row>
        <row r="3441">
          <cell r="A3441" t="str">
            <v>20497.00626</v>
          </cell>
          <cell r="B3441" t="str">
            <v>BAGUE RADIALE D'ARBRE</v>
          </cell>
          <cell r="C3441" t="str">
            <v>GOULDS PUMPS IC-125-100-200   SERIE I 601E 36/37  REP 421.51</v>
          </cell>
          <cell r="D3441" t="str">
            <v>PE</v>
          </cell>
          <cell r="E3441" t="str">
            <v>515.51517</v>
          </cell>
          <cell r="F3441">
            <v>370.4932</v>
          </cell>
          <cell r="G3441">
            <v>0</v>
          </cell>
          <cell r="H3441">
            <v>0</v>
          </cell>
          <cell r="I3441">
            <v>0</v>
          </cell>
          <cell r="J3441">
            <v>0</v>
          </cell>
          <cell r="K3441">
            <v>1</v>
          </cell>
          <cell r="L3441">
            <v>0</v>
          </cell>
        </row>
        <row r="3442">
          <cell r="A3442" t="str">
            <v>20497.00627</v>
          </cell>
          <cell r="B3442" t="str">
            <v>CHEMISE D'ARBRE</v>
          </cell>
          <cell r="C3442" t="str">
            <v>GOULDS PUMPS IC-125-100-200   SERIE I 601E 36/37  REP 524</v>
          </cell>
          <cell r="D3442" t="str">
            <v>PE</v>
          </cell>
          <cell r="E3442" t="str">
            <v>515.51517</v>
          </cell>
          <cell r="F3442">
            <v>2602.29</v>
          </cell>
          <cell r="G3442">
            <v>0</v>
          </cell>
          <cell r="H3442">
            <v>0</v>
          </cell>
          <cell r="I3442">
            <v>0</v>
          </cell>
          <cell r="J3442">
            <v>0</v>
          </cell>
          <cell r="K3442">
            <v>0</v>
          </cell>
          <cell r="L3442">
            <v>1</v>
          </cell>
        </row>
        <row r="3443">
          <cell r="A3443" t="str">
            <v>20497.00628</v>
          </cell>
          <cell r="B3443" t="str">
            <v>CIRCLIPS</v>
          </cell>
          <cell r="C3443" t="str">
            <v>GOULDS PUMPS IC-125-100-200   SERIE I 601E 36/37  REP 932.51</v>
          </cell>
          <cell r="D3443" t="str">
            <v>PE</v>
          </cell>
          <cell r="E3443" t="str">
            <v>515.51517</v>
          </cell>
          <cell r="F3443">
            <v>68.958699999999993</v>
          </cell>
          <cell r="G3443">
            <v>0</v>
          </cell>
          <cell r="H3443">
            <v>0</v>
          </cell>
          <cell r="I3443">
            <v>0</v>
          </cell>
          <cell r="J3443">
            <v>0</v>
          </cell>
          <cell r="K3443">
            <v>1</v>
          </cell>
          <cell r="L3443">
            <v>0</v>
          </cell>
        </row>
        <row r="3444">
          <cell r="A3444" t="str">
            <v>20497.00368</v>
          </cell>
          <cell r="B3444" t="str">
            <v>POULIE MOTEUR</v>
          </cell>
          <cell r="C3444" t="str">
            <v>WARMAN TYPE:200 EM A05/A/A05A/FF N° DE SERIE: 044063/044064 REP:4</v>
          </cell>
          <cell r="D3444" t="str">
            <v>PE</v>
          </cell>
          <cell r="E3444" t="str">
            <v>515.51517</v>
          </cell>
          <cell r="F3444">
            <v>2007.9683</v>
          </cell>
          <cell r="G3444">
            <v>0</v>
          </cell>
          <cell r="H3444">
            <v>0</v>
          </cell>
          <cell r="I3444">
            <v>0</v>
          </cell>
          <cell r="J3444">
            <v>0</v>
          </cell>
          <cell r="K3444">
            <v>0</v>
          </cell>
          <cell r="L3444">
            <v>0</v>
          </cell>
        </row>
        <row r="3445">
          <cell r="A3445" t="str">
            <v>20497.00370</v>
          </cell>
          <cell r="B3445" t="str">
            <v>FOULOIR</v>
          </cell>
          <cell r="C3445" t="str">
            <v>WARMAN TYPE:200 EM A05/A/A05A/FF N° DE SERIE: 044063/044064 REP:E034M-C22</v>
          </cell>
          <cell r="D3445" t="str">
            <v>PE</v>
          </cell>
          <cell r="E3445" t="str">
            <v>515.51517</v>
          </cell>
          <cell r="F3445">
            <v>10574.8734</v>
          </cell>
          <cell r="G3445">
            <v>0</v>
          </cell>
          <cell r="H3445">
            <v>0</v>
          </cell>
          <cell r="I3445">
            <v>0</v>
          </cell>
          <cell r="J3445">
            <v>0</v>
          </cell>
          <cell r="K3445">
            <v>1</v>
          </cell>
          <cell r="L3445">
            <v>0</v>
          </cell>
        </row>
        <row r="3446">
          <cell r="A3446" t="str">
            <v>20497.00371</v>
          </cell>
          <cell r="B3446" t="str">
            <v>LANTERNE BAGUE DE FOND</v>
          </cell>
          <cell r="C3446" t="str">
            <v>WARMAN TYPE:200 EM A05/A/A05A/FF N° DE SERIE: 044063/044064 REP:E118-K31</v>
          </cell>
          <cell r="D3446" t="str">
            <v>PE</v>
          </cell>
          <cell r="E3446" t="str">
            <v>515.51517</v>
          </cell>
          <cell r="F3446">
            <v>4515.4417999999996</v>
          </cell>
          <cell r="G3446">
            <v>0</v>
          </cell>
          <cell r="H3446">
            <v>0</v>
          </cell>
          <cell r="I3446">
            <v>0</v>
          </cell>
          <cell r="J3446">
            <v>0</v>
          </cell>
          <cell r="K3446">
            <v>2</v>
          </cell>
          <cell r="L3446">
            <v>0</v>
          </cell>
        </row>
        <row r="3447">
          <cell r="A3447" t="str">
            <v>20497.00373</v>
          </cell>
          <cell r="B3447" t="str">
            <v>BOITIER DE PRESSE ETOUPE</v>
          </cell>
          <cell r="C3447" t="str">
            <v>WARMAN TYPE:200 EM A05/A/A05A/FF N° DE SERIE: 044063/044064 REP:EAM078-G01</v>
          </cell>
          <cell r="D3447" t="str">
            <v>PE</v>
          </cell>
          <cell r="E3447" t="str">
            <v>515.51517</v>
          </cell>
          <cell r="F3447">
            <v>22276.179499999998</v>
          </cell>
          <cell r="G3447">
            <v>0</v>
          </cell>
          <cell r="H3447">
            <v>0</v>
          </cell>
          <cell r="I3447">
            <v>0</v>
          </cell>
          <cell r="J3447">
            <v>0</v>
          </cell>
          <cell r="K3447">
            <v>1</v>
          </cell>
          <cell r="L3447">
            <v>0</v>
          </cell>
        </row>
        <row r="3448">
          <cell r="A3448" t="str">
            <v>20497.00374</v>
          </cell>
          <cell r="B3448" t="str">
            <v>ENTRETOISE D'ARBRE</v>
          </cell>
          <cell r="C3448" t="str">
            <v>WARMAN TYPE:200 EM A05/A/A05A/FF N° DE SERIE: 044063/044064 REP:EAM117-E62</v>
          </cell>
          <cell r="D3448" t="str">
            <v>PE</v>
          </cell>
          <cell r="E3448" t="str">
            <v>515.51517</v>
          </cell>
          <cell r="F3448">
            <v>2749.7655</v>
          </cell>
          <cell r="G3448">
            <v>0</v>
          </cell>
          <cell r="H3448">
            <v>0</v>
          </cell>
          <cell r="I3448">
            <v>0</v>
          </cell>
          <cell r="J3448">
            <v>0</v>
          </cell>
          <cell r="K3448">
            <v>2</v>
          </cell>
          <cell r="L3448">
            <v>0</v>
          </cell>
        </row>
        <row r="3449">
          <cell r="A3449" t="str">
            <v>20497.00376</v>
          </cell>
          <cell r="B3449" t="str">
            <v>BOULON DU COUVERCLE</v>
          </cell>
          <cell r="C3449" t="str">
            <v>WARMAN TYPE:200 EM A05/A/A05A/FF N° DE SERIE: 044063/044064 REP:F8015M-C22</v>
          </cell>
          <cell r="D3449" t="str">
            <v>PE</v>
          </cell>
          <cell r="E3449" t="str">
            <v>515.51517</v>
          </cell>
          <cell r="F3449">
            <v>10334.002399999999</v>
          </cell>
          <cell r="G3449">
            <v>0</v>
          </cell>
          <cell r="H3449">
            <v>0</v>
          </cell>
          <cell r="I3449">
            <v>0</v>
          </cell>
          <cell r="J3449">
            <v>0</v>
          </cell>
          <cell r="K3449">
            <v>1</v>
          </cell>
          <cell r="L3449">
            <v>0</v>
          </cell>
        </row>
        <row r="3450">
          <cell r="A3450" t="str">
            <v>20497.00377</v>
          </cell>
          <cell r="B3450" t="str">
            <v>GOUJON DE PLAQUE ARRIERE</v>
          </cell>
          <cell r="C3450" t="str">
            <v>WARMAN TYPE:200 EM A05/A/A05A/FF N° DE SERIE: 044063/044064 REP:F8026M-C22</v>
          </cell>
          <cell r="D3450" t="str">
            <v>PE</v>
          </cell>
          <cell r="E3450" t="str">
            <v>515.51517</v>
          </cell>
          <cell r="F3450">
            <v>483.16289999999998</v>
          </cell>
          <cell r="G3450">
            <v>0</v>
          </cell>
          <cell r="H3450">
            <v>0</v>
          </cell>
          <cell r="I3450">
            <v>0</v>
          </cell>
          <cell r="J3450">
            <v>0</v>
          </cell>
          <cell r="K3450">
            <v>2</v>
          </cell>
          <cell r="L3450">
            <v>0</v>
          </cell>
        </row>
        <row r="3451">
          <cell r="A3451" t="str">
            <v>20497.00378</v>
          </cell>
          <cell r="B3451" t="str">
            <v>JOINT DE BRIDE D'ASPIRATION</v>
          </cell>
          <cell r="C3451" t="str">
            <v>WARMAN TYPE:200 EM A05/A/A05A/FF N° DE SERIE: 044063/044064 REP:F8060-U13A</v>
          </cell>
          <cell r="D3451" t="str">
            <v>PE</v>
          </cell>
          <cell r="E3451" t="str">
            <v>515.51517</v>
          </cell>
          <cell r="F3451">
            <v>1561.5944999999999</v>
          </cell>
          <cell r="G3451">
            <v>0</v>
          </cell>
          <cell r="H3451">
            <v>0</v>
          </cell>
          <cell r="I3451">
            <v>0</v>
          </cell>
          <cell r="J3451">
            <v>0</v>
          </cell>
          <cell r="K3451">
            <v>0</v>
          </cell>
          <cell r="L3451">
            <v>4</v>
          </cell>
        </row>
        <row r="3452">
          <cell r="A3452" t="str">
            <v>20497.00382</v>
          </cell>
          <cell r="B3452" t="str">
            <v>ARBRE</v>
          </cell>
          <cell r="C3452" t="str">
            <v>WARMAN TYPE:200 EM A05/A/A05A/FF N° DE SERIE: 044063/044064 REP:EAM073-C23</v>
          </cell>
          <cell r="D3452" t="str">
            <v>PE</v>
          </cell>
          <cell r="E3452" t="str">
            <v>515.51517</v>
          </cell>
          <cell r="F3452">
            <v>64410.592199999999</v>
          </cell>
          <cell r="G3452">
            <v>0</v>
          </cell>
          <cell r="H3452">
            <v>0</v>
          </cell>
          <cell r="I3452">
            <v>0</v>
          </cell>
          <cell r="J3452">
            <v>0</v>
          </cell>
          <cell r="K3452">
            <v>1</v>
          </cell>
          <cell r="L3452">
            <v>0</v>
          </cell>
        </row>
        <row r="3453">
          <cell r="A3453" t="str">
            <v>20497.12427</v>
          </cell>
          <cell r="B3453" t="str">
            <v xml:space="preserve">DEFLECTEUR COTE IMPULSEUR </v>
          </cell>
          <cell r="C3453" t="str">
            <v>FL SMIDTH KREBS MILLMAX REF: MMB-515-100RC</v>
          </cell>
          <cell r="D3453" t="str">
            <v>PE</v>
          </cell>
          <cell r="E3453" t="str">
            <v>515.51517</v>
          </cell>
          <cell r="F3453">
            <v>1485.0526</v>
          </cell>
          <cell r="G3453">
            <v>0</v>
          </cell>
          <cell r="H3453">
            <v>0</v>
          </cell>
          <cell r="I3453">
            <v>0</v>
          </cell>
          <cell r="J3453">
            <v>0</v>
          </cell>
          <cell r="K3453">
            <v>0</v>
          </cell>
          <cell r="L3453">
            <v>1</v>
          </cell>
        </row>
        <row r="3454">
          <cell r="A3454" t="str">
            <v>20497.12429</v>
          </cell>
          <cell r="B3454" t="str">
            <v xml:space="preserve">DEFLECTEUR COTE MOTRICE </v>
          </cell>
          <cell r="C3454" t="str">
            <v>FL SMIDTH KREBS MILLMAX REF: MMB-515-10001</v>
          </cell>
          <cell r="D3454" t="str">
            <v>PE</v>
          </cell>
          <cell r="E3454" t="str">
            <v>515.51517</v>
          </cell>
          <cell r="F3454">
            <v>1485.0526</v>
          </cell>
          <cell r="G3454">
            <v>0</v>
          </cell>
          <cell r="H3454">
            <v>0</v>
          </cell>
          <cell r="I3454">
            <v>0</v>
          </cell>
          <cell r="J3454">
            <v>0</v>
          </cell>
          <cell r="K3454">
            <v>0</v>
          </cell>
          <cell r="L3454">
            <v>1</v>
          </cell>
        </row>
        <row r="3455">
          <cell r="A3455" t="str">
            <v>20497.12425</v>
          </cell>
          <cell r="B3455" t="str">
            <v xml:space="preserve">JOINT TORIQUE </v>
          </cell>
          <cell r="C3455" t="str">
            <v>FL SMIDTH KREBS SLURRYMAX  REF: MMB-019-280RC</v>
          </cell>
          <cell r="D3455" t="str">
            <v>PE</v>
          </cell>
          <cell r="E3455" t="str">
            <v>515.51517</v>
          </cell>
          <cell r="F3455">
            <v>65.038799999999995</v>
          </cell>
          <cell r="G3455">
            <v>0</v>
          </cell>
          <cell r="H3455">
            <v>0</v>
          </cell>
          <cell r="I3455">
            <v>0</v>
          </cell>
          <cell r="J3455">
            <v>0</v>
          </cell>
          <cell r="K3455">
            <v>0</v>
          </cell>
          <cell r="L3455">
            <v>2</v>
          </cell>
        </row>
        <row r="3456">
          <cell r="A3456" t="str">
            <v>20497.12522</v>
          </cell>
          <cell r="B3456" t="str">
            <v>DEFLECTEUR</v>
          </cell>
          <cell r="C3456" t="str">
            <v>GOULDS PUMPS IC-100-65-250 S1 VV  1A SERIE I 601E 30/31 REP 507</v>
          </cell>
          <cell r="D3456" t="str">
            <v>PE</v>
          </cell>
          <cell r="E3456" t="str">
            <v>515.51517</v>
          </cell>
          <cell r="F3456">
            <v>1709.67</v>
          </cell>
          <cell r="G3456">
            <v>0</v>
          </cell>
          <cell r="H3456">
            <v>0</v>
          </cell>
          <cell r="I3456">
            <v>0</v>
          </cell>
          <cell r="J3456">
            <v>0</v>
          </cell>
          <cell r="K3456">
            <v>0</v>
          </cell>
          <cell r="L3456">
            <v>1</v>
          </cell>
        </row>
        <row r="3457">
          <cell r="A3457" t="str">
            <v>20497.12523</v>
          </cell>
          <cell r="B3457" t="str">
            <v>BOUCHON</v>
          </cell>
          <cell r="C3457" t="str">
            <v>GOULDS PUMPS IC-100-65-250 S1 VV  1A SERIE I 601E 30/31 REP 903.51</v>
          </cell>
          <cell r="D3457" t="str">
            <v>PE</v>
          </cell>
          <cell r="E3457" t="str">
            <v>515.51517</v>
          </cell>
          <cell r="F3457">
            <v>974.51</v>
          </cell>
          <cell r="G3457">
            <v>0</v>
          </cell>
          <cell r="H3457">
            <v>0</v>
          </cell>
          <cell r="I3457">
            <v>0</v>
          </cell>
          <cell r="J3457">
            <v>0</v>
          </cell>
          <cell r="K3457">
            <v>0</v>
          </cell>
          <cell r="L3457">
            <v>1</v>
          </cell>
        </row>
        <row r="3458">
          <cell r="A3458" t="str">
            <v>20497.12524</v>
          </cell>
          <cell r="B3458" t="str">
            <v>GARNITURE MECANIQUE</v>
          </cell>
          <cell r="C3458" t="str">
            <v>GOULDS PUMPS IC-50-32-160 S1 VV  1A SERIE I 601E 32/33 REP 433</v>
          </cell>
          <cell r="D3458" t="str">
            <v>PE</v>
          </cell>
          <cell r="E3458" t="str">
            <v>515.51517</v>
          </cell>
          <cell r="F3458">
            <v>8276.24</v>
          </cell>
          <cell r="G3458">
            <v>0</v>
          </cell>
          <cell r="H3458">
            <v>0</v>
          </cell>
          <cell r="I3458">
            <v>1</v>
          </cell>
          <cell r="J3458">
            <v>0</v>
          </cell>
          <cell r="K3458">
            <v>0</v>
          </cell>
          <cell r="L3458">
            <v>0</v>
          </cell>
        </row>
        <row r="3459">
          <cell r="A3459" t="str">
            <v>20497.12262</v>
          </cell>
          <cell r="B3459" t="str">
            <v xml:space="preserve">JOINT BLINDAGE ARRIERE </v>
          </cell>
          <cell r="C3459" t="str">
            <v>FL SMIDTH KREBS MILLMAX REF : MM 150-225-35001</v>
          </cell>
          <cell r="D3459" t="str">
            <v>PE</v>
          </cell>
          <cell r="E3459" t="str">
            <v>515.51517</v>
          </cell>
          <cell r="F3459">
            <v>396.15269999999998</v>
          </cell>
          <cell r="G3459">
            <v>0</v>
          </cell>
          <cell r="H3459">
            <v>0</v>
          </cell>
          <cell r="I3459">
            <v>0</v>
          </cell>
          <cell r="J3459">
            <v>0</v>
          </cell>
          <cell r="K3459">
            <v>0</v>
          </cell>
          <cell r="L3459">
            <v>4</v>
          </cell>
        </row>
        <row r="3460">
          <cell r="A3460" t="str">
            <v>20497.12263</v>
          </cell>
          <cell r="B3460" t="str">
            <v xml:space="preserve">JOINT CORPS DE POMPE </v>
          </cell>
          <cell r="C3460" t="str">
            <v xml:space="preserve">FL SMIDTH KREBS MILLMAX REF : MM  150-125-35001 </v>
          </cell>
          <cell r="D3460" t="str">
            <v>PE</v>
          </cell>
          <cell r="E3460" t="str">
            <v>515.51517</v>
          </cell>
          <cell r="F3460">
            <v>222.9659</v>
          </cell>
          <cell r="G3460">
            <v>0</v>
          </cell>
          <cell r="H3460">
            <v>0</v>
          </cell>
          <cell r="I3460">
            <v>0</v>
          </cell>
          <cell r="J3460">
            <v>0</v>
          </cell>
          <cell r="K3460">
            <v>0</v>
          </cell>
          <cell r="L3460">
            <v>4</v>
          </cell>
        </row>
        <row r="3461">
          <cell r="A3461" t="str">
            <v>20497.12526</v>
          </cell>
          <cell r="B3461" t="str">
            <v>DEFLECTEUR</v>
          </cell>
          <cell r="C3461" t="str">
            <v>GOULDS PUMPS IC-50-32-160 S1 VV  1A SERIE I 601E 32/33 REP 507</v>
          </cell>
          <cell r="D3461" t="str">
            <v>PE</v>
          </cell>
          <cell r="E3461" t="str">
            <v>515.51517</v>
          </cell>
          <cell r="F3461">
            <v>1255.0999999999999</v>
          </cell>
          <cell r="G3461">
            <v>0</v>
          </cell>
          <cell r="H3461">
            <v>0</v>
          </cell>
          <cell r="I3461">
            <v>0</v>
          </cell>
          <cell r="J3461">
            <v>0</v>
          </cell>
          <cell r="K3461">
            <v>0</v>
          </cell>
          <cell r="L3461">
            <v>1</v>
          </cell>
        </row>
        <row r="3462">
          <cell r="A3462" t="str">
            <v>20497.12527</v>
          </cell>
          <cell r="B3462" t="str">
            <v>RONDELLE</v>
          </cell>
          <cell r="C3462" t="str">
            <v>GOULDS PUMPS IC-50-32-160 S1 VV  1A SERIE I 601E 32/33 REP 554.12</v>
          </cell>
          <cell r="D3462" t="str">
            <v>PE</v>
          </cell>
          <cell r="E3462" t="str">
            <v>515.51517</v>
          </cell>
          <cell r="F3462">
            <v>18.18</v>
          </cell>
          <cell r="G3462">
            <v>0</v>
          </cell>
          <cell r="H3462">
            <v>0</v>
          </cell>
          <cell r="I3462">
            <v>0</v>
          </cell>
          <cell r="J3462">
            <v>0</v>
          </cell>
          <cell r="K3462">
            <v>0</v>
          </cell>
          <cell r="L3462">
            <v>1</v>
          </cell>
        </row>
        <row r="3463">
          <cell r="A3463" t="str">
            <v>20497.12528</v>
          </cell>
          <cell r="B3463" t="str">
            <v>BOUCHON</v>
          </cell>
          <cell r="C3463" t="str">
            <v>GOULDS PUMPS IC-50-32-160 S1 VV  1A SERIE I 601E 32/33 REP 903.51</v>
          </cell>
          <cell r="D3463" t="str">
            <v>PE</v>
          </cell>
          <cell r="E3463" t="str">
            <v>515.51517</v>
          </cell>
          <cell r="F3463">
            <v>974.51</v>
          </cell>
          <cell r="G3463">
            <v>0</v>
          </cell>
          <cell r="H3463">
            <v>0</v>
          </cell>
          <cell r="I3463">
            <v>0</v>
          </cell>
          <cell r="J3463">
            <v>0</v>
          </cell>
          <cell r="K3463">
            <v>0</v>
          </cell>
          <cell r="L3463">
            <v>1</v>
          </cell>
        </row>
        <row r="3464">
          <cell r="A3464" t="str">
            <v>20497.12529</v>
          </cell>
          <cell r="B3464" t="str">
            <v>ROUE</v>
          </cell>
          <cell r="C3464" t="str">
            <v>GOULDS PUMPS IC-125-80-200 S1 VV  1A SERIE I 601E 34/35 REP 230</v>
          </cell>
          <cell r="D3464" t="str">
            <v>PE</v>
          </cell>
          <cell r="E3464" t="str">
            <v>515.51517</v>
          </cell>
          <cell r="F3464">
            <v>28102.14</v>
          </cell>
          <cell r="G3464">
            <v>0</v>
          </cell>
          <cell r="H3464">
            <v>0</v>
          </cell>
          <cell r="I3464">
            <v>0</v>
          </cell>
          <cell r="J3464">
            <v>0</v>
          </cell>
          <cell r="K3464">
            <v>0</v>
          </cell>
          <cell r="L3464">
            <v>1</v>
          </cell>
        </row>
        <row r="3465">
          <cell r="A3465" t="str">
            <v>20497.12530</v>
          </cell>
          <cell r="B3465" t="str">
            <v>GARNITURE MECANIQUE</v>
          </cell>
          <cell r="C3465" t="str">
            <v>GOULDS PUMPS IC-125-80-200 S1 VV  1A SERIE I 601E 34/35 REP 433</v>
          </cell>
          <cell r="D3465" t="str">
            <v>PE</v>
          </cell>
          <cell r="E3465" t="str">
            <v>515.51517</v>
          </cell>
          <cell r="F3465">
            <v>10136.24</v>
          </cell>
          <cell r="G3465">
            <v>0</v>
          </cell>
          <cell r="H3465">
            <v>0</v>
          </cell>
          <cell r="I3465">
            <v>0</v>
          </cell>
          <cell r="J3465">
            <v>0</v>
          </cell>
          <cell r="K3465">
            <v>0</v>
          </cell>
          <cell r="L3465">
            <v>2</v>
          </cell>
        </row>
        <row r="3466">
          <cell r="A3466" t="str">
            <v>20497.12547</v>
          </cell>
          <cell r="B3466" t="str">
            <v>BOUCHON</v>
          </cell>
          <cell r="C3466" t="str">
            <v>GOULDS PUMPS IC-80-50-250 S1 VV  1A SERIE I 601E 38 REP 903.51</v>
          </cell>
          <cell r="D3466" t="str">
            <v>PE</v>
          </cell>
          <cell r="E3466" t="str">
            <v>515.51517</v>
          </cell>
          <cell r="F3466">
            <v>1121.7</v>
          </cell>
          <cell r="G3466">
            <v>0</v>
          </cell>
          <cell r="H3466">
            <v>0</v>
          </cell>
          <cell r="I3466">
            <v>0</v>
          </cell>
          <cell r="J3466">
            <v>0</v>
          </cell>
          <cell r="K3466">
            <v>0</v>
          </cell>
          <cell r="L3466">
            <v>1</v>
          </cell>
        </row>
        <row r="3467">
          <cell r="A3467" t="str">
            <v>20498.21162</v>
          </cell>
          <cell r="B3467" t="str">
            <v>UNION MALE A JOINT TORIQUE - 14MM X 1/2" NPSM DOUBLE BAGUES INOX</v>
          </cell>
          <cell r="C3467" t="str">
            <v>SAGANA, REF : UMOMSI 14 1/2</v>
          </cell>
          <cell r="D3467" t="str">
            <v>PE</v>
          </cell>
          <cell r="E3467" t="str">
            <v>515.51511</v>
          </cell>
          <cell r="F3467">
            <v>296</v>
          </cell>
          <cell r="G3467">
            <v>0</v>
          </cell>
          <cell r="H3467">
            <v>0</v>
          </cell>
          <cell r="I3467">
            <v>0</v>
          </cell>
          <cell r="J3467">
            <v>0</v>
          </cell>
          <cell r="K3467">
            <v>20</v>
          </cell>
          <cell r="L3467">
            <v>0</v>
          </cell>
        </row>
        <row r="3468">
          <cell r="A3468" t="str">
            <v>20498.21163</v>
          </cell>
          <cell r="B3468" t="str">
            <v>ADAPTATEUR FEMELLE ¿AN¿ 12MM X 1/2" DOUBLE BAGUES INOX</v>
          </cell>
          <cell r="C3468" t="str">
            <v>SAGANA, REF : AFSI 12 1/2AN</v>
          </cell>
          <cell r="D3468" t="str">
            <v>PE</v>
          </cell>
          <cell r="E3468" t="str">
            <v>515.51511</v>
          </cell>
          <cell r="F3468">
            <v>143</v>
          </cell>
          <cell r="G3468">
            <v>0</v>
          </cell>
          <cell r="H3468">
            <v>0</v>
          </cell>
          <cell r="I3468">
            <v>0</v>
          </cell>
          <cell r="J3468">
            <v>0</v>
          </cell>
          <cell r="K3468">
            <v>20</v>
          </cell>
          <cell r="L3468">
            <v>0</v>
          </cell>
        </row>
        <row r="3469">
          <cell r="A3469" t="str">
            <v>20498.21164</v>
          </cell>
          <cell r="B3469" t="str">
            <v>ADAPTATEUR MALE - CONIQUE 6MM X 1/4" NPT</v>
          </cell>
          <cell r="C3469" t="str">
            <v>SAGANA, REF : ADSI 6 1/4N</v>
          </cell>
          <cell r="D3469" t="str">
            <v>PE</v>
          </cell>
          <cell r="E3469" t="str">
            <v>515.51511</v>
          </cell>
          <cell r="F3469">
            <v>48</v>
          </cell>
          <cell r="G3469">
            <v>0</v>
          </cell>
          <cell r="H3469">
            <v>0</v>
          </cell>
          <cell r="I3469">
            <v>0</v>
          </cell>
          <cell r="J3469">
            <v>0</v>
          </cell>
          <cell r="K3469">
            <v>0</v>
          </cell>
          <cell r="L3469">
            <v>0</v>
          </cell>
        </row>
        <row r="3470">
          <cell r="A3470" t="str">
            <v>20498.21165</v>
          </cell>
          <cell r="B3470" t="str">
            <v>ADAPTATEUR MALE - CONIQUE 6MM X 3/8" NPT</v>
          </cell>
          <cell r="C3470" t="str">
            <v>SAGANA, REF : ADSI 6 3/8N</v>
          </cell>
          <cell r="D3470" t="str">
            <v>PE</v>
          </cell>
          <cell r="E3470" t="str">
            <v>515.51511</v>
          </cell>
          <cell r="F3470">
            <v>60</v>
          </cell>
          <cell r="G3470">
            <v>0</v>
          </cell>
          <cell r="H3470">
            <v>0</v>
          </cell>
          <cell r="I3470">
            <v>0</v>
          </cell>
          <cell r="J3470">
            <v>0</v>
          </cell>
          <cell r="K3470">
            <v>0</v>
          </cell>
          <cell r="L3470">
            <v>0</v>
          </cell>
        </row>
        <row r="3471">
          <cell r="A3471" t="str">
            <v>20498.21160</v>
          </cell>
          <cell r="B3471" t="str">
            <v>UNION MALE A JOINT TORIQUE - 10MM X 1/2" NPSM DOUBLE BAGUES INOX</v>
          </cell>
          <cell r="C3471" t="str">
            <v>SAGANA, REF : UMOMSI 10 1/2</v>
          </cell>
          <cell r="D3471" t="str">
            <v>PE</v>
          </cell>
          <cell r="E3471" t="str">
            <v>515.51511</v>
          </cell>
          <cell r="F3471">
            <v>186</v>
          </cell>
          <cell r="G3471">
            <v>0</v>
          </cell>
          <cell r="H3471">
            <v>0</v>
          </cell>
          <cell r="I3471">
            <v>0</v>
          </cell>
          <cell r="J3471">
            <v>0</v>
          </cell>
          <cell r="K3471">
            <v>0</v>
          </cell>
          <cell r="L3471">
            <v>0</v>
          </cell>
        </row>
        <row r="3472">
          <cell r="A3472" t="str">
            <v>20498.21161</v>
          </cell>
          <cell r="B3472" t="str">
            <v>UNION MALE A JOINT TORIQUE - 12MM X 1/2" NPSM DOUBLE BAGUES INOX</v>
          </cell>
          <cell r="C3472" t="str">
            <v>SAGANA, REF : UMOMSI 12 1/2</v>
          </cell>
          <cell r="D3472" t="str">
            <v>PE</v>
          </cell>
          <cell r="E3472" t="str">
            <v>515.51511</v>
          </cell>
          <cell r="F3472">
            <v>231</v>
          </cell>
          <cell r="G3472">
            <v>0</v>
          </cell>
          <cell r="H3472">
            <v>0</v>
          </cell>
          <cell r="I3472">
            <v>0</v>
          </cell>
          <cell r="J3472">
            <v>0</v>
          </cell>
          <cell r="K3472">
            <v>20</v>
          </cell>
          <cell r="L3472">
            <v>0</v>
          </cell>
        </row>
        <row r="3473">
          <cell r="A3473" t="str">
            <v>20498.21170</v>
          </cell>
          <cell r="B3473" t="str">
            <v>ADAPTATEUR MALE - CONIQUE 12MM X 1/4" NPT</v>
          </cell>
          <cell r="C3473" t="str">
            <v>SAGANA, REF : ADSI 12 1/4N</v>
          </cell>
          <cell r="D3473" t="str">
            <v>PE</v>
          </cell>
          <cell r="E3473" t="str">
            <v>515.51511</v>
          </cell>
          <cell r="F3473">
            <v>88</v>
          </cell>
          <cell r="G3473">
            <v>0</v>
          </cell>
          <cell r="H3473">
            <v>0</v>
          </cell>
          <cell r="I3473">
            <v>0</v>
          </cell>
          <cell r="J3473">
            <v>0</v>
          </cell>
          <cell r="K3473">
            <v>20</v>
          </cell>
          <cell r="L3473">
            <v>0</v>
          </cell>
        </row>
        <row r="3474">
          <cell r="A3474" t="str">
            <v>20498.21171</v>
          </cell>
          <cell r="B3474" t="str">
            <v>ADAPTATEUR MALE - CONIQUE 12MM X 3/8" NPT</v>
          </cell>
          <cell r="C3474" t="str">
            <v>SAGANA, REF : ADSI 12 3/8N</v>
          </cell>
          <cell r="D3474" t="str">
            <v>PE</v>
          </cell>
          <cell r="E3474" t="str">
            <v>515.51511</v>
          </cell>
          <cell r="F3474">
            <v>93</v>
          </cell>
          <cell r="G3474">
            <v>0</v>
          </cell>
          <cell r="H3474">
            <v>0</v>
          </cell>
          <cell r="I3474">
            <v>0</v>
          </cell>
          <cell r="J3474">
            <v>0</v>
          </cell>
          <cell r="K3474">
            <v>0</v>
          </cell>
          <cell r="L3474">
            <v>0</v>
          </cell>
        </row>
        <row r="3475">
          <cell r="A3475" t="str">
            <v>20498.21172</v>
          </cell>
          <cell r="B3475" t="str">
            <v>ADAPTATEUR MALE - CONIQUE 12MM X 1/2" NPT</v>
          </cell>
          <cell r="C3475" t="str">
            <v>SAGANA, REF : ADSI 12 1/2N</v>
          </cell>
          <cell r="D3475" t="str">
            <v>PE</v>
          </cell>
          <cell r="E3475" t="str">
            <v>515.51511</v>
          </cell>
          <cell r="F3475">
            <v>107</v>
          </cell>
          <cell r="G3475">
            <v>0</v>
          </cell>
          <cell r="H3475">
            <v>0</v>
          </cell>
          <cell r="I3475">
            <v>0</v>
          </cell>
          <cell r="J3475">
            <v>0</v>
          </cell>
          <cell r="K3475">
            <v>0</v>
          </cell>
          <cell r="L3475">
            <v>0</v>
          </cell>
        </row>
        <row r="3476">
          <cell r="A3476" t="str">
            <v>20498.21173</v>
          </cell>
          <cell r="B3476" t="str">
            <v>ADAPTATEUR FEMELLE ¿ CONIQUE 12MM X 3/8" NPT</v>
          </cell>
          <cell r="C3476" t="str">
            <v>SAGANA, REF : AFSI 12 3/8N</v>
          </cell>
          <cell r="D3476" t="str">
            <v>PE</v>
          </cell>
          <cell r="E3476" t="str">
            <v>515.51511</v>
          </cell>
          <cell r="F3476">
            <v>126</v>
          </cell>
          <cell r="G3476">
            <v>0</v>
          </cell>
          <cell r="H3476">
            <v>0</v>
          </cell>
          <cell r="I3476">
            <v>0</v>
          </cell>
          <cell r="J3476">
            <v>0</v>
          </cell>
          <cell r="K3476">
            <v>0</v>
          </cell>
          <cell r="L3476">
            <v>0</v>
          </cell>
        </row>
        <row r="3477">
          <cell r="A3477" t="str">
            <v>20498.21174</v>
          </cell>
          <cell r="B3477" t="str">
            <v>ADAPTATEUR FEMELLE ¿ PARALLELE 6MM X 1/4" BSPP</v>
          </cell>
          <cell r="C3477" t="str">
            <v>SAGANA, REF : AFSI 6 1/4 G</v>
          </cell>
          <cell r="D3477" t="str">
            <v>PE</v>
          </cell>
          <cell r="E3477" t="str">
            <v>515.51511</v>
          </cell>
          <cell r="F3477">
            <v>105</v>
          </cell>
          <cell r="G3477">
            <v>0</v>
          </cell>
          <cell r="H3477">
            <v>0</v>
          </cell>
          <cell r="I3477">
            <v>0</v>
          </cell>
          <cell r="J3477">
            <v>0</v>
          </cell>
          <cell r="K3477">
            <v>0</v>
          </cell>
          <cell r="L3477">
            <v>0</v>
          </cell>
        </row>
        <row r="3478">
          <cell r="A3478" t="str">
            <v>20498.21166</v>
          </cell>
          <cell r="B3478" t="str">
            <v>ADAPTATEUR MALE - CONIQUE 6MM X 1/2" NPT</v>
          </cell>
          <cell r="C3478" t="str">
            <v>SAGANA, REF : ADSI 6 1/2N</v>
          </cell>
          <cell r="D3478" t="str">
            <v>PE</v>
          </cell>
          <cell r="E3478" t="str">
            <v>515.51511</v>
          </cell>
          <cell r="F3478">
            <v>106</v>
          </cell>
          <cell r="G3478">
            <v>0</v>
          </cell>
          <cell r="H3478">
            <v>0</v>
          </cell>
          <cell r="I3478">
            <v>0</v>
          </cell>
          <cell r="J3478">
            <v>0</v>
          </cell>
          <cell r="K3478">
            <v>0</v>
          </cell>
          <cell r="L3478">
            <v>0</v>
          </cell>
        </row>
        <row r="3479">
          <cell r="A3479" t="str">
            <v>20498.21167</v>
          </cell>
          <cell r="B3479" t="str">
            <v>ADAPTATEUR MALE - CONIQUE 10MM X 1/4" NPT</v>
          </cell>
          <cell r="C3479" t="str">
            <v>SAGANA, REF : ADSI 10 1/4N</v>
          </cell>
          <cell r="D3479" t="str">
            <v>PE</v>
          </cell>
          <cell r="E3479" t="str">
            <v>515.51511</v>
          </cell>
          <cell r="F3479">
            <v>71</v>
          </cell>
          <cell r="G3479">
            <v>0</v>
          </cell>
          <cell r="H3479">
            <v>0</v>
          </cell>
          <cell r="I3479">
            <v>0</v>
          </cell>
          <cell r="J3479">
            <v>0</v>
          </cell>
          <cell r="K3479">
            <v>0</v>
          </cell>
          <cell r="L3479">
            <v>0</v>
          </cell>
        </row>
        <row r="3480">
          <cell r="A3480" t="str">
            <v>20498.21168</v>
          </cell>
          <cell r="B3480" t="str">
            <v>ADAPTATEUR MALE - CONIQUE 10MM X 3/8" NPT</v>
          </cell>
          <cell r="C3480" t="str">
            <v>SAGANA, REF : ADSI 10 3/8N</v>
          </cell>
          <cell r="D3480" t="str">
            <v>PE</v>
          </cell>
          <cell r="E3480" t="str">
            <v>515.51511</v>
          </cell>
          <cell r="F3480">
            <v>72</v>
          </cell>
          <cell r="G3480">
            <v>0</v>
          </cell>
          <cell r="H3480">
            <v>0</v>
          </cell>
          <cell r="I3480">
            <v>0</v>
          </cell>
          <cell r="J3480">
            <v>0</v>
          </cell>
          <cell r="K3480">
            <v>0</v>
          </cell>
          <cell r="L3480">
            <v>0</v>
          </cell>
        </row>
        <row r="3481">
          <cell r="A3481" t="str">
            <v>20498.21169</v>
          </cell>
          <cell r="B3481" t="str">
            <v>ADAPTATEUR MALE - CONIQUE 10MM X 1/2" NPT</v>
          </cell>
          <cell r="C3481" t="str">
            <v>SAGANA, REF : ADSI 10 1/2N</v>
          </cell>
          <cell r="D3481" t="str">
            <v>PE</v>
          </cell>
          <cell r="E3481" t="str">
            <v>515.51511</v>
          </cell>
          <cell r="F3481">
            <v>96</v>
          </cell>
          <cell r="G3481">
            <v>0</v>
          </cell>
          <cell r="H3481">
            <v>0</v>
          </cell>
          <cell r="I3481">
            <v>0</v>
          </cell>
          <cell r="J3481">
            <v>0</v>
          </cell>
          <cell r="K3481">
            <v>0</v>
          </cell>
          <cell r="L3481">
            <v>0</v>
          </cell>
        </row>
        <row r="3482">
          <cell r="A3482" t="str">
            <v>20498.21024</v>
          </cell>
          <cell r="B3482" t="str">
            <v xml:space="preserve">BOITIER DE FIN DE COURSE  </v>
          </cell>
          <cell r="C3482" t="str">
            <v>LEF-INDUSTRIE CODE: LEF 102-LC2/GR,(2x83169.0)1PE</v>
          </cell>
          <cell r="D3482" t="str">
            <v>PE</v>
          </cell>
          <cell r="E3482" t="str">
            <v>512.51201</v>
          </cell>
          <cell r="F3482">
            <v>1783.0344</v>
          </cell>
          <cell r="G3482">
            <v>0</v>
          </cell>
          <cell r="H3482">
            <v>0</v>
          </cell>
          <cell r="I3482">
            <v>0</v>
          </cell>
          <cell r="J3482">
            <v>0</v>
          </cell>
          <cell r="K3482">
            <v>0</v>
          </cell>
          <cell r="L3482">
            <v>0</v>
          </cell>
        </row>
        <row r="3483">
          <cell r="A3483" t="str">
            <v>20498.21026</v>
          </cell>
          <cell r="B3483" t="str">
            <v xml:space="preserve">CAPTEUR CAPACITIF </v>
          </cell>
          <cell r="C3483" t="str">
            <v xml:space="preserve">IFM KI0205-KIE2015-FBOA/NI RT </v>
          </cell>
          <cell r="D3483" t="str">
            <v>PE</v>
          </cell>
          <cell r="E3483" t="str">
            <v>512.51201</v>
          </cell>
          <cell r="F3483">
            <v>1647.94</v>
          </cell>
          <cell r="G3483">
            <v>0</v>
          </cell>
          <cell r="H3483">
            <v>0</v>
          </cell>
          <cell r="I3483">
            <v>0</v>
          </cell>
          <cell r="J3483">
            <v>0</v>
          </cell>
          <cell r="K3483">
            <v>0</v>
          </cell>
          <cell r="L3483">
            <v>2</v>
          </cell>
        </row>
        <row r="3484">
          <cell r="A3484" t="str">
            <v>20498.21027</v>
          </cell>
          <cell r="B3484" t="str">
            <v xml:space="preserve">ELECTROVANNE </v>
          </cell>
          <cell r="C3484" t="str">
            <v xml:space="preserve">STC DN40 REF:2W400-1 1/2 AVEC BOBINE 220V AC </v>
          </cell>
          <cell r="D3484" t="str">
            <v>PE</v>
          </cell>
          <cell r="E3484" t="str">
            <v>512.51201</v>
          </cell>
          <cell r="F3484">
            <v>1980</v>
          </cell>
          <cell r="G3484">
            <v>0</v>
          </cell>
          <cell r="H3484">
            <v>1</v>
          </cell>
          <cell r="I3484">
            <v>0</v>
          </cell>
          <cell r="J3484">
            <v>0</v>
          </cell>
          <cell r="K3484">
            <v>0</v>
          </cell>
          <cell r="L3484">
            <v>0</v>
          </cell>
        </row>
        <row r="3485">
          <cell r="A3485" t="str">
            <v>20498.21037</v>
          </cell>
          <cell r="B3485" t="str">
            <v xml:space="preserve">SONDE DE TEMPERATURE PT100 </v>
          </cell>
          <cell r="C3485" t="str">
            <v>PYROCONTROLE  PLAN 91 7611/N LONG L1:600 TETE DIN TYPE -DAN:ALLIAGE LEGER+EPOXY-IP54 PRESSE ETOUPE:1PE 1/2 NPT(1E),EXTENSION TYPE RU:STANDARD,ELEMENT SENSIBLE CLASSE DE TOLERANCE:A,TYPE DS 26-3</v>
          </cell>
          <cell r="D3485" t="str">
            <v>PE</v>
          </cell>
          <cell r="E3485" t="str">
            <v>512.51201</v>
          </cell>
          <cell r="F3485">
            <v>1982.4983</v>
          </cell>
          <cell r="G3485">
            <v>0</v>
          </cell>
          <cell r="H3485">
            <v>1</v>
          </cell>
          <cell r="I3485">
            <v>0</v>
          </cell>
          <cell r="J3485">
            <v>0</v>
          </cell>
          <cell r="K3485">
            <v>0</v>
          </cell>
          <cell r="L3485">
            <v>0</v>
          </cell>
        </row>
        <row r="3486">
          <cell r="A3486" t="str">
            <v>20498.21038</v>
          </cell>
          <cell r="B3486" t="str">
            <v xml:space="preserve">SONDE DE TEMPERATURE PT100 </v>
          </cell>
          <cell r="C3486" t="str">
            <v>PYROCONTROLE PLAN 91 7611/N LONG L1:550 TETE DIN TYPE -DAN:ALLIAGE LEGER+EPOXY-IP54 PRESSE ETOUPE:1PE 1/2 NPT(1E),EXTENSION TYPE RU:STANDARD,ELEMENT SENSIBLE CLASSE DE TOLERANCE:A,TYPE DS 26-3</v>
          </cell>
          <cell r="D3486" t="str">
            <v>PE</v>
          </cell>
          <cell r="E3486" t="str">
            <v>512.51201</v>
          </cell>
          <cell r="F3486">
            <v>1970.9047</v>
          </cell>
          <cell r="G3486">
            <v>0</v>
          </cell>
          <cell r="H3486">
            <v>2</v>
          </cell>
          <cell r="I3486">
            <v>0</v>
          </cell>
          <cell r="J3486">
            <v>0</v>
          </cell>
          <cell r="K3486">
            <v>0</v>
          </cell>
          <cell r="L3486">
            <v>0</v>
          </cell>
        </row>
        <row r="3487">
          <cell r="A3487" t="str">
            <v>20498.21039</v>
          </cell>
          <cell r="B3487" t="str">
            <v xml:space="preserve">SONDE DE TEMPERATURE PT100 </v>
          </cell>
          <cell r="C3487" t="str">
            <v>PYROCONTROLE PLAN 91 7611/N LONG L1:530 TETE DIN TYPE -DAN:ALLIAGE LEGER+EPOXY-IP54 PRESSE ETOUPE:1PE 1/2 NPT(1E),EXTENSION TYPE RU:STANDARD,ELEMENT SENSIBLE CLASSE DE TOLERANCE:A,TYPE DS 26-3</v>
          </cell>
          <cell r="D3487" t="str">
            <v>PE</v>
          </cell>
          <cell r="E3487" t="str">
            <v>512.51201</v>
          </cell>
          <cell r="F3487">
            <v>1898.4508000000001</v>
          </cell>
          <cell r="G3487">
            <v>0</v>
          </cell>
          <cell r="H3487">
            <v>0</v>
          </cell>
          <cell r="I3487">
            <v>0</v>
          </cell>
          <cell r="J3487">
            <v>3</v>
          </cell>
          <cell r="K3487">
            <v>0</v>
          </cell>
          <cell r="L3487">
            <v>0</v>
          </cell>
        </row>
        <row r="3488">
          <cell r="A3488" t="str">
            <v>20498.21040</v>
          </cell>
          <cell r="B3488" t="str">
            <v xml:space="preserve">SONDE DE TEMPERATURE PT100 </v>
          </cell>
          <cell r="C3488" t="str">
            <v>PYROCONTROLE PLAN 91 7611/N LONG L1:450 TETE DIN TYPE -DAN:ALLIAGE LEGER+EPOXY-IP54 PRESSE ETOUPE:1PE 1/2 NPT(1E),EXTENSION TYPE RU:STANDARD,ELEMENT SENSIBLE CLASSE DE TOLERANCE:A,TYPE DS 26-3</v>
          </cell>
          <cell r="D3488" t="str">
            <v>PE</v>
          </cell>
          <cell r="E3488" t="str">
            <v>512.51201</v>
          </cell>
          <cell r="F3488">
            <v>1879.1283000000001</v>
          </cell>
          <cell r="G3488">
            <v>0</v>
          </cell>
          <cell r="H3488">
            <v>2</v>
          </cell>
          <cell r="I3488">
            <v>0</v>
          </cell>
          <cell r="J3488">
            <v>1</v>
          </cell>
          <cell r="K3488">
            <v>0</v>
          </cell>
          <cell r="L3488">
            <v>0</v>
          </cell>
        </row>
        <row r="3489">
          <cell r="A3489" t="str">
            <v>20498.21041</v>
          </cell>
          <cell r="B3489" t="str">
            <v xml:space="preserve">SONDE DE TEMPERATURE PT100 </v>
          </cell>
          <cell r="C3489" t="str">
            <v>PYROCONTROLE PLAN 91 7611/N LONG L1:400 TETE DIN TYPE -DAN:ALLIAGE LEGER+EPOXY-IP54 PRESSE ETOUPE:1PE 1/2 NPT(1E),EXTENSION TYPE RU:STANDARD,ELEMENT SENSIBLE CLASSE DE TOLERANCE:A,TYPE DS 26-3</v>
          </cell>
          <cell r="D3489" t="str">
            <v>PE</v>
          </cell>
          <cell r="E3489" t="str">
            <v>512.51201</v>
          </cell>
          <cell r="F3489">
            <v>1912.9369999999999</v>
          </cell>
          <cell r="G3489">
            <v>0</v>
          </cell>
          <cell r="H3489">
            <v>0</v>
          </cell>
          <cell r="I3489">
            <v>0</v>
          </cell>
          <cell r="J3489">
            <v>0</v>
          </cell>
          <cell r="K3489">
            <v>0</v>
          </cell>
          <cell r="L3489">
            <v>2</v>
          </cell>
        </row>
        <row r="3490">
          <cell r="A3490" t="str">
            <v>20498.21175</v>
          </cell>
          <cell r="B3490" t="str">
            <v>ADAPTATEUR FEMELLE ¿ PARALLELE 6MM X 3/8" BSPP</v>
          </cell>
          <cell r="C3490" t="str">
            <v>SAGANA, REF : AFSI 6 3/8 G</v>
          </cell>
          <cell r="D3490" t="str">
            <v>PE</v>
          </cell>
          <cell r="E3490" t="str">
            <v>515.51511</v>
          </cell>
          <cell r="F3490">
            <v>128</v>
          </cell>
          <cell r="G3490">
            <v>0</v>
          </cell>
          <cell r="H3490">
            <v>0</v>
          </cell>
          <cell r="I3490">
            <v>0</v>
          </cell>
          <cell r="J3490">
            <v>0</v>
          </cell>
          <cell r="K3490">
            <v>0</v>
          </cell>
          <cell r="L3490">
            <v>0</v>
          </cell>
        </row>
        <row r="3491">
          <cell r="A3491" t="str">
            <v>20498.21176</v>
          </cell>
          <cell r="B3491" t="str">
            <v>ADAPTATEUR FEMELLE ¿ PARALLELE 6MM X 1/2" BSPP</v>
          </cell>
          <cell r="C3491" t="str">
            <v>SAGANA, REF : AFSI 6 1/2 G</v>
          </cell>
          <cell r="D3491" t="str">
            <v>PE</v>
          </cell>
          <cell r="E3491" t="str">
            <v>515.51511</v>
          </cell>
          <cell r="F3491">
            <v>185</v>
          </cell>
          <cell r="G3491">
            <v>0</v>
          </cell>
          <cell r="H3491">
            <v>0</v>
          </cell>
          <cell r="I3491">
            <v>0</v>
          </cell>
          <cell r="J3491">
            <v>0</v>
          </cell>
          <cell r="K3491">
            <v>20</v>
          </cell>
          <cell r="L3491">
            <v>0</v>
          </cell>
        </row>
        <row r="3492">
          <cell r="A3492" t="str">
            <v>20498.21177</v>
          </cell>
          <cell r="B3492" t="str">
            <v>ADAPTATEUR FEMELLE ¿ PARALLELE 10MM X 1/4" BSPP</v>
          </cell>
          <cell r="C3492" t="str">
            <v>SAGANA, REF : AFSI 10 1/4 G</v>
          </cell>
          <cell r="D3492" t="str">
            <v>PE</v>
          </cell>
          <cell r="E3492" t="str">
            <v>515.51511</v>
          </cell>
          <cell r="F3492">
            <v>101</v>
          </cell>
          <cell r="G3492">
            <v>0</v>
          </cell>
          <cell r="H3492">
            <v>0</v>
          </cell>
          <cell r="I3492">
            <v>0</v>
          </cell>
          <cell r="J3492">
            <v>0</v>
          </cell>
          <cell r="K3492">
            <v>0</v>
          </cell>
          <cell r="L3492">
            <v>0</v>
          </cell>
        </row>
        <row r="3493">
          <cell r="A3493" t="str">
            <v>20498.21178</v>
          </cell>
          <cell r="B3493" t="str">
            <v>ADAPTATEUR FEMELLE ¿ PARALLELE 10MM X 3/8" BSPP</v>
          </cell>
          <cell r="C3493" t="str">
            <v>SAGANA, REF : AFSI 10 3/8 G</v>
          </cell>
          <cell r="D3493" t="str">
            <v>PE</v>
          </cell>
          <cell r="E3493" t="str">
            <v>515.51511</v>
          </cell>
          <cell r="F3493">
            <v>126</v>
          </cell>
          <cell r="G3493">
            <v>0</v>
          </cell>
          <cell r="H3493">
            <v>0</v>
          </cell>
          <cell r="I3493">
            <v>0</v>
          </cell>
          <cell r="J3493">
            <v>0</v>
          </cell>
          <cell r="K3493">
            <v>0</v>
          </cell>
          <cell r="L3493">
            <v>0</v>
          </cell>
        </row>
        <row r="3494">
          <cell r="A3494" t="str">
            <v>20498.00209</v>
          </cell>
          <cell r="B3494" t="str">
            <v>DISTRIBUTEUR ELECTRO-MAGNETIQUE</v>
          </cell>
          <cell r="C3494" t="str">
            <v>WANDFLUH   WD M F A06 AB2 G24</v>
          </cell>
          <cell r="D3494" t="str">
            <v>PE</v>
          </cell>
          <cell r="E3494" t="str">
            <v>512.51201</v>
          </cell>
          <cell r="F3494">
            <v>3300</v>
          </cell>
          <cell r="G3494">
            <v>0</v>
          </cell>
          <cell r="H3494">
            <v>0</v>
          </cell>
          <cell r="I3494">
            <v>0</v>
          </cell>
          <cell r="J3494">
            <v>1</v>
          </cell>
          <cell r="K3494">
            <v>0</v>
          </cell>
          <cell r="L3494">
            <v>1</v>
          </cell>
        </row>
        <row r="3495">
          <cell r="A3495" t="str">
            <v>20498.21183</v>
          </cell>
          <cell r="B3495" t="str">
            <v>UNION DOUBLE 8MM DOUBLE BAGUES INOX</v>
          </cell>
          <cell r="C3495" t="str">
            <v>SAGANA, REF : USI 8</v>
          </cell>
          <cell r="D3495" t="str">
            <v>PE</v>
          </cell>
          <cell r="E3495" t="str">
            <v>515.51511</v>
          </cell>
          <cell r="F3495">
            <v>108</v>
          </cell>
          <cell r="G3495">
            <v>0</v>
          </cell>
          <cell r="H3495">
            <v>0</v>
          </cell>
          <cell r="I3495">
            <v>0</v>
          </cell>
          <cell r="J3495">
            <v>0</v>
          </cell>
          <cell r="K3495">
            <v>0</v>
          </cell>
          <cell r="L3495">
            <v>0</v>
          </cell>
        </row>
        <row r="3496">
          <cell r="A3496" t="str">
            <v>20498.21186</v>
          </cell>
          <cell r="B3496" t="str">
            <v>UNION DOUBLE 14MM DOUBLE BAGUES INOX</v>
          </cell>
          <cell r="C3496" t="str">
            <v>SAGANA, REF : USI 14</v>
          </cell>
          <cell r="D3496" t="str">
            <v>PE</v>
          </cell>
          <cell r="E3496" t="str">
            <v>515.51511</v>
          </cell>
          <cell r="F3496">
            <v>268</v>
          </cell>
          <cell r="G3496">
            <v>0</v>
          </cell>
          <cell r="H3496">
            <v>0</v>
          </cell>
          <cell r="I3496">
            <v>0</v>
          </cell>
          <cell r="J3496">
            <v>0</v>
          </cell>
          <cell r="K3496">
            <v>0</v>
          </cell>
          <cell r="L3496">
            <v>0</v>
          </cell>
        </row>
        <row r="3497">
          <cell r="A3497" t="str">
            <v>20498.21179</v>
          </cell>
          <cell r="B3497" t="str">
            <v>ADAPTATEUR FEMELLE ¿ PARALLELE 10MM X 1/2" BSPP</v>
          </cell>
          <cell r="C3497" t="str">
            <v>SAGANA, REF : AFSI 10 1/2 G</v>
          </cell>
          <cell r="D3497" t="str">
            <v>PE</v>
          </cell>
          <cell r="E3497" t="str">
            <v>515.51511</v>
          </cell>
          <cell r="F3497">
            <v>138</v>
          </cell>
          <cell r="G3497">
            <v>0</v>
          </cell>
          <cell r="H3497">
            <v>0</v>
          </cell>
          <cell r="I3497">
            <v>0</v>
          </cell>
          <cell r="J3497">
            <v>0</v>
          </cell>
          <cell r="K3497">
            <v>20</v>
          </cell>
          <cell r="L3497">
            <v>0</v>
          </cell>
        </row>
        <row r="3498">
          <cell r="A3498" t="str">
            <v>20498.21180</v>
          </cell>
          <cell r="B3498" t="str">
            <v>ADAPTATEUR FEMELLE ¿ PARALLELE 12MM X 1/4" BSPP</v>
          </cell>
          <cell r="C3498" t="str">
            <v>SAGANA, REF : AFSI 12 1/4 G</v>
          </cell>
          <cell r="D3498" t="str">
            <v>PE</v>
          </cell>
          <cell r="E3498" t="str">
            <v>515.51511</v>
          </cell>
          <cell r="F3498">
            <v>136</v>
          </cell>
          <cell r="G3498">
            <v>0</v>
          </cell>
          <cell r="H3498">
            <v>0</v>
          </cell>
          <cell r="I3498">
            <v>0</v>
          </cell>
          <cell r="J3498">
            <v>0</v>
          </cell>
          <cell r="K3498">
            <v>20</v>
          </cell>
          <cell r="L3498">
            <v>0</v>
          </cell>
        </row>
        <row r="3499">
          <cell r="A3499" t="str">
            <v>20498.21181</v>
          </cell>
          <cell r="B3499" t="str">
            <v>ADAPTATEUR FEMELLE ¿ PARALLELE 12MM X 1/2" BSPP</v>
          </cell>
          <cell r="C3499" t="str">
            <v>SAGANA, REF : AFSI 12 1/2 G</v>
          </cell>
          <cell r="D3499" t="str">
            <v>PE</v>
          </cell>
          <cell r="E3499" t="str">
            <v>515.51511</v>
          </cell>
          <cell r="F3499">
            <v>190</v>
          </cell>
          <cell r="G3499">
            <v>0</v>
          </cell>
          <cell r="H3499">
            <v>0</v>
          </cell>
          <cell r="I3499">
            <v>0</v>
          </cell>
          <cell r="J3499">
            <v>0</v>
          </cell>
          <cell r="K3499">
            <v>0</v>
          </cell>
          <cell r="L3499">
            <v>0</v>
          </cell>
        </row>
        <row r="3500">
          <cell r="A3500" t="str">
            <v>20498.21182</v>
          </cell>
          <cell r="B3500" t="str">
            <v>UNION DOUBLE 6MM DOUBLE BAGUES INOX</v>
          </cell>
          <cell r="C3500" t="str">
            <v>SAGANA, REF : USI 6</v>
          </cell>
          <cell r="D3500" t="str">
            <v>PE</v>
          </cell>
          <cell r="E3500" t="str">
            <v>515.51511</v>
          </cell>
          <cell r="F3500">
            <v>93</v>
          </cell>
          <cell r="G3500">
            <v>0</v>
          </cell>
          <cell r="H3500">
            <v>0</v>
          </cell>
          <cell r="I3500">
            <v>0</v>
          </cell>
          <cell r="J3500">
            <v>0</v>
          </cell>
          <cell r="K3500">
            <v>20</v>
          </cell>
          <cell r="L3500">
            <v>0</v>
          </cell>
        </row>
        <row r="3501">
          <cell r="A3501" t="str">
            <v>20497.10898</v>
          </cell>
          <cell r="B3501" t="str">
            <v>ARBRE INFERIEUR</v>
          </cell>
          <cell r="C3501" t="str">
            <v>MILTON ROY MIXING TYPE G5,220-110/53,6 PLAN 17237-7 REP5010</v>
          </cell>
          <cell r="D3501" t="str">
            <v>PE</v>
          </cell>
          <cell r="E3501" t="str">
            <v>515.51514</v>
          </cell>
          <cell r="F3501">
            <v>396144.20150000002</v>
          </cell>
          <cell r="G3501">
            <v>0</v>
          </cell>
          <cell r="H3501">
            <v>0</v>
          </cell>
          <cell r="I3501">
            <v>0</v>
          </cell>
          <cell r="J3501">
            <v>0</v>
          </cell>
          <cell r="K3501">
            <v>0</v>
          </cell>
          <cell r="L3501">
            <v>1</v>
          </cell>
        </row>
        <row r="3502">
          <cell r="A3502" t="str">
            <v>20497.10899</v>
          </cell>
          <cell r="B3502" t="str">
            <v>JEU DE VISSERIE</v>
          </cell>
          <cell r="C3502" t="str">
            <v>MILTON ROY MIXING TYPE G5,220-110/53,6 PLAN 17237-7 REP3310/3320/3330</v>
          </cell>
          <cell r="D3502" t="str">
            <v>PE</v>
          </cell>
          <cell r="E3502" t="str">
            <v>515.51514</v>
          </cell>
          <cell r="F3502">
            <v>4079.9218000000001</v>
          </cell>
          <cell r="G3502">
            <v>0</v>
          </cell>
          <cell r="H3502">
            <v>0</v>
          </cell>
          <cell r="I3502">
            <v>1</v>
          </cell>
          <cell r="J3502">
            <v>1</v>
          </cell>
          <cell r="K3502">
            <v>0</v>
          </cell>
          <cell r="L3502">
            <v>0</v>
          </cell>
        </row>
        <row r="3503">
          <cell r="A3503" t="str">
            <v>20497.10900</v>
          </cell>
          <cell r="B3503" t="str">
            <v>TURBINE DE 4 PALES DEMONTABLE SUR PLATINE</v>
          </cell>
          <cell r="C3503" t="str">
            <v>MILTON ROY MIXING TYPE G5,220-110/53,6 PLAN 17237-7 REP6020</v>
          </cell>
          <cell r="D3503" t="str">
            <v>PE</v>
          </cell>
          <cell r="E3503" t="str">
            <v>515.51514</v>
          </cell>
          <cell r="F3503">
            <v>401957.80229999998</v>
          </cell>
          <cell r="G3503">
            <v>0</v>
          </cell>
          <cell r="H3503">
            <v>2</v>
          </cell>
          <cell r="I3503">
            <v>0</v>
          </cell>
          <cell r="J3503">
            <v>0</v>
          </cell>
          <cell r="K3503">
            <v>0</v>
          </cell>
          <cell r="L3503">
            <v>0</v>
          </cell>
        </row>
        <row r="3504">
          <cell r="A3504" t="str">
            <v>20497.10901</v>
          </cell>
          <cell r="B3504" t="str">
            <v>JEU DE VISSERIE</v>
          </cell>
          <cell r="C3504" t="str">
            <v>MILTON ROY MIXING TYPE G5,220-110/53,6 PLAN 17237-7 REP6021/6022/6023</v>
          </cell>
          <cell r="D3504" t="str">
            <v>PE</v>
          </cell>
          <cell r="E3504" t="str">
            <v>515.51514</v>
          </cell>
          <cell r="F3504">
            <v>65090.831700000002</v>
          </cell>
          <cell r="G3504">
            <v>0</v>
          </cell>
          <cell r="H3504">
            <v>0</v>
          </cell>
          <cell r="I3504">
            <v>0</v>
          </cell>
          <cell r="J3504">
            <v>0</v>
          </cell>
          <cell r="K3504">
            <v>0</v>
          </cell>
          <cell r="L3504">
            <v>0</v>
          </cell>
        </row>
        <row r="3505">
          <cell r="A3505" t="str">
            <v>20497.10902</v>
          </cell>
          <cell r="B3505" t="str">
            <v>ARBRE INFERIEUR</v>
          </cell>
          <cell r="C3505" t="str">
            <v>MILTON ROY MIXING TYPE G5,220-90/53,6 PLAN 17238-7 REP5010</v>
          </cell>
          <cell r="D3505" t="str">
            <v>PE</v>
          </cell>
          <cell r="E3505" t="str">
            <v>515.51514</v>
          </cell>
          <cell r="F3505">
            <v>602669.50769999996</v>
          </cell>
          <cell r="G3505">
            <v>0</v>
          </cell>
          <cell r="H3505">
            <v>0</v>
          </cell>
          <cell r="I3505">
            <v>0</v>
          </cell>
          <cell r="J3505">
            <v>1</v>
          </cell>
          <cell r="K3505">
            <v>0</v>
          </cell>
          <cell r="L3505">
            <v>0</v>
          </cell>
        </row>
        <row r="3506">
          <cell r="A3506" t="str">
            <v>20497.10903</v>
          </cell>
          <cell r="B3506" t="str">
            <v>JEU DE VISSERIE</v>
          </cell>
          <cell r="C3506" t="str">
            <v>MILTON ROY MIXING TYPE G5,220-90/53,6 PLAN 17238-7 REP3310/3320/3330</v>
          </cell>
          <cell r="D3506" t="str">
            <v>PE</v>
          </cell>
          <cell r="E3506" t="str">
            <v>515.51514</v>
          </cell>
          <cell r="F3506">
            <v>4079.9218000000001</v>
          </cell>
          <cell r="G3506">
            <v>0</v>
          </cell>
          <cell r="H3506">
            <v>0</v>
          </cell>
          <cell r="I3506">
            <v>0</v>
          </cell>
          <cell r="J3506">
            <v>1</v>
          </cell>
          <cell r="K3506">
            <v>0</v>
          </cell>
          <cell r="L3506">
            <v>0</v>
          </cell>
        </row>
        <row r="3507">
          <cell r="A3507" t="str">
            <v>20497.10904</v>
          </cell>
          <cell r="B3507" t="str">
            <v>TURBINE DE 4 PALES DEMONTABLE SUR PLATINE</v>
          </cell>
          <cell r="C3507" t="str">
            <v>MILTON ROY MIXING TYPE G5,220-90/53,6 PLAN 17238-7 REP6020</v>
          </cell>
          <cell r="D3507" t="str">
            <v>PE</v>
          </cell>
          <cell r="E3507" t="str">
            <v>515.51514</v>
          </cell>
          <cell r="F3507">
            <v>349801.18280000001</v>
          </cell>
          <cell r="G3507">
            <v>0</v>
          </cell>
          <cell r="H3507">
            <v>1</v>
          </cell>
          <cell r="I3507">
            <v>0</v>
          </cell>
          <cell r="J3507">
            <v>1</v>
          </cell>
          <cell r="K3507">
            <v>0</v>
          </cell>
          <cell r="L3507">
            <v>0</v>
          </cell>
        </row>
        <row r="3508">
          <cell r="A3508" t="str">
            <v>20497.10906</v>
          </cell>
          <cell r="B3508" t="str">
            <v>SOUPAPE DE COMPRESSION</v>
          </cell>
          <cell r="C3508" t="str">
            <v xml:space="preserve">MILTON ROY MIXING TYPE G5,220-110/53,6 PLAN 17237-5 REP2110 </v>
          </cell>
          <cell r="D3508" t="str">
            <v>PE</v>
          </cell>
          <cell r="E3508" t="str">
            <v>515.51514</v>
          </cell>
          <cell r="F3508">
            <v>58.325099999999999</v>
          </cell>
          <cell r="G3508">
            <v>0</v>
          </cell>
          <cell r="H3508">
            <v>0</v>
          </cell>
          <cell r="I3508">
            <v>4</v>
          </cell>
          <cell r="J3508">
            <v>0</v>
          </cell>
          <cell r="K3508">
            <v>0</v>
          </cell>
          <cell r="L3508">
            <v>0</v>
          </cell>
        </row>
        <row r="3509">
          <cell r="A3509" t="str">
            <v>20497.10907</v>
          </cell>
          <cell r="B3509" t="str">
            <v>JEU DE VISSERIE</v>
          </cell>
          <cell r="C3509" t="str">
            <v>MILTON ROY MIXING TYPE G5,220-110/53,6 PLAN 17237-5 REP2200/2205/2210</v>
          </cell>
          <cell r="D3509" t="str">
            <v>PE</v>
          </cell>
          <cell r="E3509" t="str">
            <v>515.51514</v>
          </cell>
          <cell r="F3509">
            <v>116.6502</v>
          </cell>
          <cell r="G3509">
            <v>0</v>
          </cell>
          <cell r="H3509">
            <v>0</v>
          </cell>
          <cell r="I3509">
            <v>0</v>
          </cell>
          <cell r="J3509">
            <v>0</v>
          </cell>
          <cell r="K3509">
            <v>0</v>
          </cell>
          <cell r="L3509">
            <v>5</v>
          </cell>
        </row>
        <row r="3510">
          <cell r="A3510" t="str">
            <v>20497.11003</v>
          </cell>
          <cell r="B3510" t="str">
            <v>DIFFUSEUR</v>
          </cell>
          <cell r="C3510" t="str">
            <v>APOLLO PLAN 1275434/01-SZ  TYPE GLKV-100B/5-827/TN  REP 171</v>
          </cell>
          <cell r="D3510" t="str">
            <v>PE</v>
          </cell>
          <cell r="E3510" t="str">
            <v>515.51511</v>
          </cell>
          <cell r="F3510">
            <v>6926.1148000000003</v>
          </cell>
          <cell r="G3510">
            <v>0</v>
          </cell>
          <cell r="H3510">
            <v>0</v>
          </cell>
          <cell r="I3510">
            <v>0</v>
          </cell>
          <cell r="J3510">
            <v>0</v>
          </cell>
          <cell r="K3510">
            <v>0</v>
          </cell>
          <cell r="L3510">
            <v>5</v>
          </cell>
        </row>
        <row r="3511">
          <cell r="A3511" t="str">
            <v>20497.11004</v>
          </cell>
          <cell r="B3511" t="str">
            <v>ARBRE</v>
          </cell>
          <cell r="C3511" t="str">
            <v>APOLLO PLAN 1275434/01-SZ  TYPE GLKV-100B/5-827/TN  REP 210</v>
          </cell>
          <cell r="D3511" t="str">
            <v>PE</v>
          </cell>
          <cell r="E3511" t="str">
            <v>515.51511</v>
          </cell>
          <cell r="F3511">
            <v>24579.5455</v>
          </cell>
          <cell r="G3511">
            <v>0</v>
          </cell>
          <cell r="H3511">
            <v>0</v>
          </cell>
          <cell r="I3511">
            <v>0</v>
          </cell>
          <cell r="J3511">
            <v>0</v>
          </cell>
          <cell r="K3511">
            <v>0</v>
          </cell>
          <cell r="L3511">
            <v>1</v>
          </cell>
        </row>
        <row r="3512">
          <cell r="A3512" t="str">
            <v>20497.11005</v>
          </cell>
          <cell r="B3512" t="str">
            <v>IMPULSEUR</v>
          </cell>
          <cell r="C3512" t="str">
            <v>APOLLO PLAN 1275434/01-SZ  TYPE GLKV-100B/5-827/TN  REP 230</v>
          </cell>
          <cell r="D3512" t="str">
            <v>PE</v>
          </cell>
          <cell r="E3512" t="str">
            <v>515.51511</v>
          </cell>
          <cell r="F3512">
            <v>7357.5394999999999</v>
          </cell>
          <cell r="G3512">
            <v>0</v>
          </cell>
          <cell r="H3512">
            <v>0</v>
          </cell>
          <cell r="I3512">
            <v>0</v>
          </cell>
          <cell r="J3512">
            <v>0</v>
          </cell>
          <cell r="K3512">
            <v>0</v>
          </cell>
          <cell r="L3512">
            <v>4</v>
          </cell>
        </row>
        <row r="3513">
          <cell r="A3513" t="str">
            <v>20497.11006</v>
          </cell>
          <cell r="B3513" t="str">
            <v>IMPULSEUR D'ASPIRATION</v>
          </cell>
          <cell r="C3513" t="str">
            <v>APOLLO PLAN 1275434/01-SZ  TYPE GLKV-100B/5-827/TN  REP 231</v>
          </cell>
          <cell r="D3513" t="str">
            <v>PE</v>
          </cell>
          <cell r="E3513" t="str">
            <v>515.51511</v>
          </cell>
          <cell r="F3513">
            <v>51234.593399999998</v>
          </cell>
          <cell r="G3513">
            <v>0</v>
          </cell>
          <cell r="H3513">
            <v>0</v>
          </cell>
          <cell r="I3513">
            <v>0</v>
          </cell>
          <cell r="J3513">
            <v>0</v>
          </cell>
          <cell r="K3513">
            <v>0</v>
          </cell>
          <cell r="L3513">
            <v>1</v>
          </cell>
        </row>
        <row r="3514">
          <cell r="A3514" t="str">
            <v>20497.11007</v>
          </cell>
          <cell r="B3514" t="str">
            <v>ROULEMENT</v>
          </cell>
          <cell r="C3514" t="str">
            <v>APOLLO PLAN 1275434/01-SZ  TYPE GLKV-100B/5-827/TN  REP  320</v>
          </cell>
          <cell r="D3514" t="str">
            <v>PE</v>
          </cell>
          <cell r="E3514" t="str">
            <v>515.51511</v>
          </cell>
          <cell r="F3514">
            <v>827.86890000000005</v>
          </cell>
          <cell r="G3514">
            <v>0</v>
          </cell>
          <cell r="H3514">
            <v>0</v>
          </cell>
          <cell r="I3514">
            <v>0</v>
          </cell>
          <cell r="J3514">
            <v>0</v>
          </cell>
          <cell r="K3514">
            <v>0</v>
          </cell>
          <cell r="L3514">
            <v>4</v>
          </cell>
        </row>
        <row r="3515">
          <cell r="A3515" t="str">
            <v>20497.11008</v>
          </cell>
          <cell r="B3515" t="str">
            <v>JEU DE JOINTS</v>
          </cell>
          <cell r="C3515" t="str">
            <v>APOLLO PLAN 1275434/01-SZ   TYPE GLKV-100B/5-827/TN REP 412-1/412-2/412-3</v>
          </cell>
          <cell r="D3515" t="str">
            <v>PE</v>
          </cell>
          <cell r="E3515" t="str">
            <v>515.51511</v>
          </cell>
          <cell r="F3515">
            <v>2005.5417</v>
          </cell>
          <cell r="G3515">
            <v>2</v>
          </cell>
          <cell r="H3515">
            <v>0</v>
          </cell>
          <cell r="I3515">
            <v>0</v>
          </cell>
          <cell r="J3515">
            <v>0</v>
          </cell>
          <cell r="K3515">
            <v>0</v>
          </cell>
          <cell r="L3515">
            <v>2</v>
          </cell>
        </row>
        <row r="3516">
          <cell r="A3516" t="str">
            <v>20497.11009</v>
          </cell>
          <cell r="B3516" t="str">
            <v>JOINT</v>
          </cell>
          <cell r="C3516" t="str">
            <v>APOLLO PLAN 1275434/01-SZ   TYPE GLKV-100B/5-827/TN  REP 430</v>
          </cell>
          <cell r="D3516" t="str">
            <v>PE</v>
          </cell>
          <cell r="E3516" t="str">
            <v>515.51511</v>
          </cell>
          <cell r="F3516">
            <v>186.56200000000001</v>
          </cell>
          <cell r="G3516">
            <v>0</v>
          </cell>
          <cell r="H3516">
            <v>0</v>
          </cell>
          <cell r="I3516">
            <v>0</v>
          </cell>
          <cell r="J3516">
            <v>0</v>
          </cell>
          <cell r="K3516">
            <v>0</v>
          </cell>
          <cell r="L3516">
            <v>4</v>
          </cell>
        </row>
        <row r="3517">
          <cell r="A3517" t="str">
            <v>20497.11010</v>
          </cell>
          <cell r="B3517" t="str">
            <v>GARNITURE MECANIQUE</v>
          </cell>
          <cell r="C3517" t="str">
            <v>APOLLO PLAN 1275434/01-SZ   TYPE GLKV-100B/5-827/TN  REP 433</v>
          </cell>
          <cell r="D3517" t="str">
            <v>PE</v>
          </cell>
          <cell r="E3517" t="str">
            <v>515.51511</v>
          </cell>
          <cell r="F3517">
            <v>42582.78</v>
          </cell>
          <cell r="G3517">
            <v>0</v>
          </cell>
          <cell r="H3517">
            <v>0</v>
          </cell>
          <cell r="I3517">
            <v>0</v>
          </cell>
          <cell r="J3517">
            <v>0</v>
          </cell>
          <cell r="K3517">
            <v>0</v>
          </cell>
          <cell r="L3517">
            <v>3</v>
          </cell>
        </row>
        <row r="3518">
          <cell r="A3518" t="str">
            <v>20497.11011</v>
          </cell>
          <cell r="B3518" t="str">
            <v>BAGUE</v>
          </cell>
          <cell r="C3518" t="str">
            <v>APOLLO PLAN 1275434/01-SZ   TYPE GLKV-100B/5-827/TN  REP 507</v>
          </cell>
          <cell r="D3518" t="str">
            <v>PE</v>
          </cell>
          <cell r="E3518" t="str">
            <v>515.51511</v>
          </cell>
          <cell r="F3518">
            <v>652.96709999999996</v>
          </cell>
          <cell r="G3518">
            <v>0</v>
          </cell>
          <cell r="H3518">
            <v>0</v>
          </cell>
          <cell r="I3518">
            <v>0</v>
          </cell>
          <cell r="J3518">
            <v>0</v>
          </cell>
          <cell r="K3518">
            <v>0</v>
          </cell>
          <cell r="L3518">
            <v>1</v>
          </cell>
        </row>
        <row r="3519">
          <cell r="A3519" t="str">
            <v>20497.11012</v>
          </cell>
          <cell r="B3519" t="str">
            <v>COUSSINET</v>
          </cell>
          <cell r="C3519" t="str">
            <v>APOLLO PLAN 1275434/01-SZ   TYPE GLKV-100B/5-827/TN  REP 521</v>
          </cell>
          <cell r="D3519" t="str">
            <v>PE</v>
          </cell>
          <cell r="E3519" t="str">
            <v>515.51511</v>
          </cell>
          <cell r="F3519">
            <v>1107.712</v>
          </cell>
          <cell r="G3519">
            <v>0</v>
          </cell>
          <cell r="H3519">
            <v>0</v>
          </cell>
          <cell r="I3519">
            <v>0</v>
          </cell>
          <cell r="J3519">
            <v>0</v>
          </cell>
          <cell r="K3519">
            <v>0</v>
          </cell>
          <cell r="L3519">
            <v>5</v>
          </cell>
        </row>
        <row r="3520">
          <cell r="A3520" t="str">
            <v>20497.01022</v>
          </cell>
          <cell r="B3520" t="str">
            <v>ENSEMBLE PISTON COMPLET BAGUE CARBONE</v>
          </cell>
          <cell r="C3520" t="str">
            <v>BLACKMER PLAN 1003-F01 04.04 AK 0 HP REP300 REF 307855.01</v>
          </cell>
          <cell r="D3520" t="str">
            <v>PE</v>
          </cell>
          <cell r="E3520" t="str">
            <v>515.51507</v>
          </cell>
          <cell r="F3520">
            <v>6649.3</v>
          </cell>
          <cell r="G3520">
            <v>0</v>
          </cell>
          <cell r="H3520">
            <v>0</v>
          </cell>
          <cell r="I3520">
            <v>0</v>
          </cell>
          <cell r="J3520">
            <v>0</v>
          </cell>
          <cell r="K3520">
            <v>0</v>
          </cell>
          <cell r="L3520">
            <v>1</v>
          </cell>
        </row>
        <row r="3521">
          <cell r="A3521" t="str">
            <v>20497.01023</v>
          </cell>
          <cell r="B3521" t="str">
            <v>ENSEMBLE APPUI COMPLET</v>
          </cell>
          <cell r="C3521" t="str">
            <v>BLACKMER PLAN 1003-F01 04.04 AK 0 HP REP399 REF 300004.00</v>
          </cell>
          <cell r="D3521" t="str">
            <v>PE</v>
          </cell>
          <cell r="E3521" t="str">
            <v>515.51507</v>
          </cell>
          <cell r="F3521">
            <v>681.83500000000004</v>
          </cell>
          <cell r="G3521">
            <v>0</v>
          </cell>
          <cell r="H3521">
            <v>0</v>
          </cell>
          <cell r="I3521">
            <v>0</v>
          </cell>
          <cell r="J3521">
            <v>0</v>
          </cell>
          <cell r="K3521">
            <v>0</v>
          </cell>
          <cell r="L3521">
            <v>1</v>
          </cell>
        </row>
        <row r="3522">
          <cell r="A3522" t="str">
            <v>20497.01024</v>
          </cell>
          <cell r="B3522" t="str">
            <v>JOINT DE FOND VITON</v>
          </cell>
          <cell r="C3522" t="str">
            <v>BLACKMER PLAN 1003-F01 04.04 AK 0 HP REP403 REF 200837</v>
          </cell>
          <cell r="D3522" t="str">
            <v>PE</v>
          </cell>
          <cell r="E3522" t="str">
            <v>515.51507</v>
          </cell>
          <cell r="F3522">
            <v>325</v>
          </cell>
          <cell r="G3522">
            <v>0</v>
          </cell>
          <cell r="H3522">
            <v>0</v>
          </cell>
          <cell r="I3522">
            <v>0</v>
          </cell>
          <cell r="J3522">
            <v>0</v>
          </cell>
          <cell r="K3522">
            <v>0</v>
          </cell>
          <cell r="L3522">
            <v>2</v>
          </cell>
        </row>
        <row r="3523">
          <cell r="A3523" t="str">
            <v>20497.01025</v>
          </cell>
          <cell r="B3523" t="str">
            <v>ENSEMBLE COUSSINET DE FOND BAGUE CARBONE</v>
          </cell>
          <cell r="C3523" t="str">
            <v>BLACKMER PLAN 1003-F01 04.04 AK 0 HP REP413 REF 308301.00</v>
          </cell>
          <cell r="D3523" t="str">
            <v>PE</v>
          </cell>
          <cell r="E3523" t="str">
            <v>515.51507</v>
          </cell>
          <cell r="F3523">
            <v>1944.32</v>
          </cell>
          <cell r="G3523">
            <v>0</v>
          </cell>
          <cell r="H3523">
            <v>0</v>
          </cell>
          <cell r="I3523">
            <v>0</v>
          </cell>
          <cell r="J3523">
            <v>0</v>
          </cell>
          <cell r="K3523">
            <v>0</v>
          </cell>
          <cell r="L3523">
            <v>1</v>
          </cell>
        </row>
        <row r="3524">
          <cell r="A3524" t="str">
            <v>20497.01026</v>
          </cell>
          <cell r="B3524" t="str">
            <v>ENSEMBLE ARBRE BLOCDIR COMPLET</v>
          </cell>
          <cell r="C3524" t="str">
            <v>BLACKMER PLAN 1003-F01 04.04 AK 0 HP REP500 REF 312272.01</v>
          </cell>
          <cell r="D3524" t="str">
            <v>PE</v>
          </cell>
          <cell r="E3524" t="str">
            <v>515.51507</v>
          </cell>
          <cell r="F3524">
            <v>529.20000000000005</v>
          </cell>
          <cell r="G3524">
            <v>0</v>
          </cell>
          <cell r="H3524">
            <v>0</v>
          </cell>
          <cell r="I3524">
            <v>0</v>
          </cell>
          <cell r="J3524">
            <v>0</v>
          </cell>
          <cell r="K3524">
            <v>0</v>
          </cell>
          <cell r="L3524">
            <v>1</v>
          </cell>
        </row>
        <row r="3525">
          <cell r="A3525" t="str">
            <v>20497.01027</v>
          </cell>
          <cell r="B3525" t="str">
            <v>ENSEMBLE FRETTE COMPLETE</v>
          </cell>
          <cell r="C3525" t="str">
            <v>BLACKMER PLAN 1003-F01 04.04 AK 0 HP REP515 REF 300145.00</v>
          </cell>
          <cell r="D3525" t="str">
            <v>PE</v>
          </cell>
          <cell r="E3525" t="str">
            <v>515.51507</v>
          </cell>
          <cell r="F3525">
            <v>1099.56</v>
          </cell>
          <cell r="G3525">
            <v>0</v>
          </cell>
          <cell r="H3525">
            <v>0</v>
          </cell>
          <cell r="I3525">
            <v>0</v>
          </cell>
          <cell r="J3525">
            <v>0</v>
          </cell>
          <cell r="K3525">
            <v>0</v>
          </cell>
          <cell r="L3525">
            <v>2</v>
          </cell>
        </row>
        <row r="3526">
          <cell r="A3526" t="str">
            <v>20497.01028</v>
          </cell>
          <cell r="B3526" t="str">
            <v>ENSEMBLE PALIER A BILLES COMPLET</v>
          </cell>
          <cell r="C3526" t="str">
            <v>BLACKMER PLAN 1003-F01 04.04 AK 0 HP REP700 REF 300042.00</v>
          </cell>
          <cell r="D3526" t="str">
            <v>PE</v>
          </cell>
          <cell r="E3526" t="str">
            <v>515.51507</v>
          </cell>
          <cell r="F3526">
            <v>1750.3388</v>
          </cell>
          <cell r="G3526">
            <v>0</v>
          </cell>
          <cell r="H3526">
            <v>0</v>
          </cell>
          <cell r="I3526">
            <v>0</v>
          </cell>
          <cell r="J3526">
            <v>0</v>
          </cell>
          <cell r="K3526">
            <v>0</v>
          </cell>
          <cell r="L3526">
            <v>2</v>
          </cell>
        </row>
        <row r="3527">
          <cell r="A3527" t="str">
            <v>20497.01029</v>
          </cell>
          <cell r="B3527" t="str">
            <v>ENSEMBLE BIPASSE C/4 VITON COMPLET</v>
          </cell>
          <cell r="C3527" t="str">
            <v>BLACKMER PLAN 1003-F01 04.04 AK 0 HP REP820 REF 306238.01</v>
          </cell>
          <cell r="D3527" t="str">
            <v>PE</v>
          </cell>
          <cell r="E3527" t="str">
            <v>515.51507</v>
          </cell>
          <cell r="F3527">
            <v>6243.58</v>
          </cell>
          <cell r="G3527">
            <v>0</v>
          </cell>
          <cell r="H3527">
            <v>0</v>
          </cell>
          <cell r="I3527">
            <v>0</v>
          </cell>
          <cell r="J3527">
            <v>0</v>
          </cell>
          <cell r="K3527">
            <v>0</v>
          </cell>
          <cell r="L3527">
            <v>2</v>
          </cell>
        </row>
        <row r="3528">
          <cell r="A3528" t="str">
            <v>20497.01030</v>
          </cell>
          <cell r="B3528" t="str">
            <v>ENSEMBLE PISTON COMPLET BAGUE CARBONE</v>
          </cell>
          <cell r="C3528" t="str">
            <v>BLACKMER PLAN 1003-H01 04 04 AL O -AL I REP300 REF 307653.00</v>
          </cell>
          <cell r="D3528" t="str">
            <v>PE</v>
          </cell>
          <cell r="E3528" t="str">
            <v>515.51507</v>
          </cell>
          <cell r="F3528">
            <v>7483.28</v>
          </cell>
          <cell r="G3528">
            <v>0</v>
          </cell>
          <cell r="H3528">
            <v>0</v>
          </cell>
          <cell r="I3528">
            <v>0</v>
          </cell>
          <cell r="J3528">
            <v>0</v>
          </cell>
          <cell r="K3528">
            <v>0</v>
          </cell>
          <cell r="L3528">
            <v>1</v>
          </cell>
        </row>
        <row r="3529">
          <cell r="A3529" t="str">
            <v>20497.01031</v>
          </cell>
          <cell r="B3529" t="str">
            <v>BAGUE DE PISTON</v>
          </cell>
          <cell r="C3529" t="str">
            <v>BLACKMER PLAN 1003-H01 04 04 AL O -AL I REP303 REF 203595</v>
          </cell>
          <cell r="D3529" t="str">
            <v>PE</v>
          </cell>
          <cell r="E3529" t="str">
            <v>515.51507</v>
          </cell>
          <cell r="F3529">
            <v>2552.9</v>
          </cell>
          <cell r="G3529">
            <v>0</v>
          </cell>
          <cell r="H3529">
            <v>0</v>
          </cell>
          <cell r="I3529">
            <v>0</v>
          </cell>
          <cell r="J3529">
            <v>0</v>
          </cell>
          <cell r="K3529">
            <v>0</v>
          </cell>
          <cell r="L3529">
            <v>1</v>
          </cell>
        </row>
        <row r="3530">
          <cell r="A3530" t="str">
            <v>20498.00532</v>
          </cell>
          <cell r="B3530" t="str">
            <v>LIGNE DE TRANSFERT CHAUFFEE</v>
          </cell>
          <cell r="C3530" t="str">
            <v>EMERSON  REF : 03 B 4010L  TYPE : 4M4/6</v>
          </cell>
          <cell r="D3530" t="str">
            <v>PE</v>
          </cell>
          <cell r="E3530" t="str">
            <v>512.51201</v>
          </cell>
          <cell r="F3530">
            <v>43980.5</v>
          </cell>
          <cell r="G3530">
            <v>0</v>
          </cell>
          <cell r="H3530">
            <v>0</v>
          </cell>
          <cell r="I3530">
            <v>0</v>
          </cell>
          <cell r="J3530">
            <v>0</v>
          </cell>
          <cell r="K3530">
            <v>1</v>
          </cell>
          <cell r="L3530">
            <v>1</v>
          </cell>
        </row>
        <row r="3531">
          <cell r="A3531" t="str">
            <v>20498.00533</v>
          </cell>
          <cell r="B3531" t="str">
            <v>CONNECTEUR DE FIN DE LIGNE CHAUFFEE</v>
          </cell>
          <cell r="C3531" t="str">
            <v>EMERSON  REF : 03 B 2010L  TYPE :  Y</v>
          </cell>
          <cell r="D3531" t="str">
            <v>PE</v>
          </cell>
          <cell r="E3531" t="str">
            <v>512.51201</v>
          </cell>
          <cell r="F3531">
            <v>2664.25</v>
          </cell>
          <cell r="G3531">
            <v>0</v>
          </cell>
          <cell r="H3531">
            <v>0</v>
          </cell>
          <cell r="I3531">
            <v>0</v>
          </cell>
          <cell r="J3531">
            <v>0</v>
          </cell>
          <cell r="K3531">
            <v>1</v>
          </cell>
          <cell r="L3531">
            <v>0</v>
          </cell>
        </row>
        <row r="3532">
          <cell r="A3532" t="str">
            <v>20498.00535</v>
          </cell>
          <cell r="B3532" t="str">
            <v>REFROIDISSEUR DE GAZ</v>
          </cell>
          <cell r="C3532" t="str">
            <v>EMERSON  REF  : 01 K 1000    TYPE  :  ECP1000-C</v>
          </cell>
          <cell r="D3532" t="str">
            <v>PE</v>
          </cell>
          <cell r="E3532" t="str">
            <v>512.51201</v>
          </cell>
          <cell r="F3532">
            <v>29536</v>
          </cell>
          <cell r="G3532">
            <v>0</v>
          </cell>
          <cell r="H3532">
            <v>0</v>
          </cell>
          <cell r="I3532">
            <v>0</v>
          </cell>
          <cell r="J3532">
            <v>0</v>
          </cell>
          <cell r="K3532">
            <v>1</v>
          </cell>
          <cell r="L3532">
            <v>2</v>
          </cell>
        </row>
        <row r="3533">
          <cell r="A3533" t="str">
            <v>20492.11039</v>
          </cell>
          <cell r="B3533" t="str">
            <v>RELAIS</v>
          </cell>
          <cell r="C3533" t="str">
            <v>MICROENER N-DIN-MA</v>
          </cell>
          <cell r="D3533" t="str">
            <v>PE</v>
          </cell>
          <cell r="E3533" t="str">
            <v>512.51201</v>
          </cell>
          <cell r="F3533">
            <v>8448</v>
          </cell>
          <cell r="G3533">
            <v>0</v>
          </cell>
          <cell r="H3533">
            <v>0</v>
          </cell>
          <cell r="I3533">
            <v>0</v>
          </cell>
          <cell r="J3533">
            <v>7</v>
          </cell>
          <cell r="K3533">
            <v>3</v>
          </cell>
          <cell r="L3533">
            <v>0</v>
          </cell>
        </row>
        <row r="3534">
          <cell r="A3534" t="str">
            <v>20492.11050</v>
          </cell>
          <cell r="B3534" t="str">
            <v>CONVERTISSEUR DC/DC</v>
          </cell>
          <cell r="C3534" t="str">
            <v>AEES 898-HT</v>
          </cell>
          <cell r="D3534" t="str">
            <v>PE</v>
          </cell>
          <cell r="E3534" t="str">
            <v>512.51201</v>
          </cell>
          <cell r="F3534">
            <v>9101.4</v>
          </cell>
          <cell r="G3534">
            <v>0</v>
          </cell>
          <cell r="H3534">
            <v>0</v>
          </cell>
          <cell r="I3534">
            <v>0</v>
          </cell>
          <cell r="J3534">
            <v>0</v>
          </cell>
          <cell r="K3534">
            <v>1</v>
          </cell>
          <cell r="L3534">
            <v>0</v>
          </cell>
        </row>
        <row r="3535">
          <cell r="A3535" t="str">
            <v>20492.11051</v>
          </cell>
          <cell r="B3535" t="str">
            <v>MODULE D'AFFICHAGE NUMERIQUE ET SIGNALISATION</v>
          </cell>
          <cell r="C3535" t="str">
            <v>AEES REF: 899</v>
          </cell>
          <cell r="D3535" t="str">
            <v>PE</v>
          </cell>
          <cell r="E3535" t="str">
            <v>512.51201</v>
          </cell>
          <cell r="F3535">
            <v>8876.82</v>
          </cell>
          <cell r="G3535">
            <v>0</v>
          </cell>
          <cell r="H3535">
            <v>0</v>
          </cell>
          <cell r="I3535">
            <v>0</v>
          </cell>
          <cell r="J3535">
            <v>0</v>
          </cell>
          <cell r="K3535">
            <v>1</v>
          </cell>
          <cell r="L3535">
            <v>0</v>
          </cell>
        </row>
        <row r="3536">
          <cell r="A3536" t="str">
            <v>20497.10346</v>
          </cell>
          <cell r="B3536" t="str">
            <v>JEU COMPLET DE JOINTS TORIQUES</v>
          </cell>
          <cell r="C3536" t="str">
            <v>MC 50-220/12S  PLAN: N°:F/1S.4330.220-X  REP: 412-01/02/05/06/07/08/12</v>
          </cell>
          <cell r="D3536" t="str">
            <v>JE</v>
          </cell>
          <cell r="E3536" t="str">
            <v>515.51505</v>
          </cell>
          <cell r="F3536">
            <v>74110.964999999997</v>
          </cell>
          <cell r="G3536">
            <v>0</v>
          </cell>
          <cell r="H3536">
            <v>0</v>
          </cell>
          <cell r="I3536">
            <v>0</v>
          </cell>
          <cell r="J3536">
            <v>0</v>
          </cell>
          <cell r="K3536">
            <v>0</v>
          </cell>
          <cell r="L3536">
            <v>1</v>
          </cell>
        </row>
        <row r="3537">
          <cell r="A3537" t="str">
            <v>20497.10347</v>
          </cell>
          <cell r="B3537" t="str">
            <v>JEU COMPLET DE BAGUES LABYRINTHES</v>
          </cell>
          <cell r="C3537" t="str">
            <v>MC 50-220/12S  PLAN: N°:F/1S.4330.220-X  REP: 423-10/11/12</v>
          </cell>
          <cell r="D3537" t="str">
            <v>JE</v>
          </cell>
          <cell r="E3537" t="str">
            <v>515.51505</v>
          </cell>
          <cell r="F3537">
            <v>35995.756300000001</v>
          </cell>
          <cell r="G3537">
            <v>0</v>
          </cell>
          <cell r="H3537">
            <v>0</v>
          </cell>
          <cell r="I3537">
            <v>0</v>
          </cell>
          <cell r="J3537">
            <v>0</v>
          </cell>
          <cell r="K3537">
            <v>0</v>
          </cell>
          <cell r="L3537">
            <v>1</v>
          </cell>
        </row>
        <row r="3538">
          <cell r="A3538" t="str">
            <v>20497.00979</v>
          </cell>
          <cell r="B3538" t="str">
            <v>ENSEMBLE PALIER</v>
          </cell>
          <cell r="C3538" t="str">
            <v>FL SMIDTH KREBS MILLMAX TYPE : MM100-A42 REF: MMA-525-10001</v>
          </cell>
          <cell r="D3538" t="str">
            <v>PE</v>
          </cell>
          <cell r="E3538" t="str">
            <v>515.51517</v>
          </cell>
          <cell r="F3538">
            <v>1</v>
          </cell>
          <cell r="G3538">
            <v>0</v>
          </cell>
          <cell r="H3538">
            <v>0</v>
          </cell>
          <cell r="I3538">
            <v>0</v>
          </cell>
          <cell r="J3538">
            <v>0</v>
          </cell>
          <cell r="K3538">
            <v>0</v>
          </cell>
          <cell r="L3538">
            <v>0</v>
          </cell>
        </row>
        <row r="3539">
          <cell r="A3539" t="str">
            <v>20497.11301</v>
          </cell>
          <cell r="B3539" t="str">
            <v>CONTRE ECROU DE LABYRINTHE</v>
          </cell>
          <cell r="C3539" t="str">
            <v>WARMAN TYPE:200 EM A05/A/A05A/FF N° DE SERIE: 044063/044064 REF E061-E62</v>
          </cell>
          <cell r="D3539" t="str">
            <v>PE</v>
          </cell>
          <cell r="E3539" t="str">
            <v>515.51517</v>
          </cell>
          <cell r="F3539">
            <v>916.33360000000005</v>
          </cell>
          <cell r="G3539">
            <v>0</v>
          </cell>
          <cell r="H3539">
            <v>0</v>
          </cell>
          <cell r="I3539">
            <v>0</v>
          </cell>
          <cell r="J3539">
            <v>0</v>
          </cell>
          <cell r="K3539">
            <v>0</v>
          </cell>
          <cell r="L3539">
            <v>2</v>
          </cell>
        </row>
        <row r="3540">
          <cell r="A3540" t="str">
            <v>20497.11302</v>
          </cell>
          <cell r="B3540" t="str">
            <v>LABYRINTHE</v>
          </cell>
          <cell r="C3540" t="str">
            <v>WARMAN TYPE:200 EM A05/A/A05A/FF N° DE SERIE: 044063/044064 REF E062-10-E62</v>
          </cell>
          <cell r="D3540" t="str">
            <v>PE</v>
          </cell>
          <cell r="E3540" t="str">
            <v>515.51517</v>
          </cell>
          <cell r="F3540">
            <v>2749.0007999999998</v>
          </cell>
          <cell r="G3540">
            <v>0</v>
          </cell>
          <cell r="H3540">
            <v>0</v>
          </cell>
          <cell r="I3540">
            <v>0</v>
          </cell>
          <cell r="J3540">
            <v>0</v>
          </cell>
          <cell r="K3540">
            <v>0</v>
          </cell>
          <cell r="L3540">
            <v>2</v>
          </cell>
        </row>
        <row r="3541">
          <cell r="A3541" t="str">
            <v>20497.11303</v>
          </cell>
          <cell r="B3541" t="str">
            <v>CLAVETTE D'ARBRE</v>
          </cell>
          <cell r="C3541" t="str">
            <v>WARMAN TYPE:200 EM A05/A/A05A/FF N° DE SERIE: 044063/044064 REF E070M-E02</v>
          </cell>
          <cell r="D3541" t="str">
            <v>PE</v>
          </cell>
          <cell r="E3541" t="str">
            <v>515.51517</v>
          </cell>
          <cell r="F3541">
            <v>211.4616</v>
          </cell>
          <cell r="G3541">
            <v>0</v>
          </cell>
          <cell r="H3541">
            <v>0</v>
          </cell>
          <cell r="I3541">
            <v>0</v>
          </cell>
          <cell r="J3541">
            <v>0</v>
          </cell>
          <cell r="K3541">
            <v>0</v>
          </cell>
          <cell r="L3541">
            <v>2</v>
          </cell>
        </row>
        <row r="3542">
          <cell r="A3542" t="str">
            <v>20497.11304</v>
          </cell>
          <cell r="B3542" t="str">
            <v>ROULEMENT</v>
          </cell>
          <cell r="C3542" t="str">
            <v>WARMAN TYPE:200 EM A05/A/A05A/FF N° DE SERIE: 044063/044064 REF E009</v>
          </cell>
          <cell r="D3542" t="str">
            <v>PE</v>
          </cell>
          <cell r="E3542" t="str">
            <v>515.51517</v>
          </cell>
          <cell r="F3542">
            <v>3148.4281999999998</v>
          </cell>
          <cell r="G3542">
            <v>0</v>
          </cell>
          <cell r="H3542">
            <v>0</v>
          </cell>
          <cell r="I3542">
            <v>0</v>
          </cell>
          <cell r="J3542">
            <v>0</v>
          </cell>
          <cell r="K3542">
            <v>0</v>
          </cell>
          <cell r="L3542">
            <v>0</v>
          </cell>
        </row>
        <row r="3543">
          <cell r="A3543" t="str">
            <v>20497.11305</v>
          </cell>
          <cell r="B3543" t="str">
            <v>SEGMENT</v>
          </cell>
          <cell r="C3543" t="str">
            <v>WARMAN TYPE:200 EM A05/A/A05A/FF N° DE SERIE: 044063/044064 REF E108-G01</v>
          </cell>
          <cell r="D3543" t="str">
            <v>PE</v>
          </cell>
          <cell r="E3543" t="str">
            <v>515.51517</v>
          </cell>
          <cell r="F3543">
            <v>141.0121</v>
          </cell>
          <cell r="G3543">
            <v>0</v>
          </cell>
          <cell r="H3543">
            <v>0</v>
          </cell>
          <cell r="I3543">
            <v>0</v>
          </cell>
          <cell r="J3543">
            <v>0</v>
          </cell>
          <cell r="K3543">
            <v>0</v>
          </cell>
          <cell r="L3543">
            <v>8</v>
          </cell>
        </row>
        <row r="3544">
          <cell r="A3544" t="str">
            <v>20497.11306</v>
          </cell>
          <cell r="B3544" t="str">
            <v>COUVERCLE D'EXTREMITE</v>
          </cell>
          <cell r="C3544" t="str">
            <v>WARMAN TYPE:200 EM A05/A/A05A/FF N° DE SERIE: 044063/044064 REF E024-10-E62</v>
          </cell>
          <cell r="D3544" t="str">
            <v>PE</v>
          </cell>
          <cell r="E3544" t="str">
            <v>515.51517</v>
          </cell>
          <cell r="F3544">
            <v>2197.4382000000001</v>
          </cell>
          <cell r="G3544">
            <v>0</v>
          </cell>
          <cell r="H3544">
            <v>0</v>
          </cell>
          <cell r="I3544">
            <v>0</v>
          </cell>
          <cell r="J3544">
            <v>0</v>
          </cell>
          <cell r="K3544">
            <v>0</v>
          </cell>
          <cell r="L3544">
            <v>1</v>
          </cell>
        </row>
        <row r="3545">
          <cell r="A3545" t="str">
            <v>20497.10823</v>
          </cell>
          <cell r="B3545" t="str">
            <v>ETANCHEITE</v>
          </cell>
          <cell r="C3545" t="str">
            <v>SEEPEX TYPE BN1-12 PLAN N°062-002B1 REP511</v>
          </cell>
          <cell r="D3545" t="str">
            <v>PE</v>
          </cell>
          <cell r="E3545" t="str">
            <v>515.51503</v>
          </cell>
          <cell r="F3545">
            <v>52.936999999999998</v>
          </cell>
          <cell r="G3545">
            <v>0</v>
          </cell>
          <cell r="H3545">
            <v>0</v>
          </cell>
          <cell r="I3545">
            <v>0</v>
          </cell>
          <cell r="J3545">
            <v>0</v>
          </cell>
          <cell r="K3545">
            <v>0</v>
          </cell>
          <cell r="L3545">
            <v>6</v>
          </cell>
        </row>
        <row r="3546">
          <cell r="A3546" t="str">
            <v>20497.10826</v>
          </cell>
          <cell r="B3546" t="str">
            <v>ROTOR</v>
          </cell>
          <cell r="C3546" t="str">
            <v>SEEPEX TYPE BN1-12 PLAN N°062-002B1 REP600</v>
          </cell>
          <cell r="D3546" t="str">
            <v>PE</v>
          </cell>
          <cell r="E3546" t="str">
            <v>515.51503</v>
          </cell>
          <cell r="F3546">
            <v>3758.527</v>
          </cell>
          <cell r="G3546">
            <v>0</v>
          </cell>
          <cell r="H3546">
            <v>1</v>
          </cell>
          <cell r="I3546">
            <v>1</v>
          </cell>
          <cell r="J3546">
            <v>0</v>
          </cell>
          <cell r="K3546">
            <v>0</v>
          </cell>
          <cell r="L3546">
            <v>4</v>
          </cell>
        </row>
        <row r="3547">
          <cell r="A3547" t="str">
            <v>20497.10827</v>
          </cell>
          <cell r="B3547" t="str">
            <v>STATOR</v>
          </cell>
          <cell r="C3547" t="str">
            <v>SEEPEX TYPE BN1-12 PLAN N°062-002B1 REP601</v>
          </cell>
          <cell r="D3547" t="str">
            <v>PE</v>
          </cell>
          <cell r="E3547" t="str">
            <v>515.51503</v>
          </cell>
          <cell r="F3547">
            <v>1757.5083999999999</v>
          </cell>
          <cell r="G3547">
            <v>0</v>
          </cell>
          <cell r="H3547">
            <v>1</v>
          </cell>
          <cell r="I3547">
            <v>1</v>
          </cell>
          <cell r="J3547">
            <v>1</v>
          </cell>
          <cell r="K3547">
            <v>1</v>
          </cell>
          <cell r="L3547">
            <v>3</v>
          </cell>
        </row>
        <row r="3548">
          <cell r="A3548" t="str">
            <v>20497.10830</v>
          </cell>
          <cell r="B3548" t="str">
            <v>BRIDE DE REFOULEMENT</v>
          </cell>
          <cell r="C3548" t="str">
            <v>SEEPEX TYPE BN1-12 PLAN N°062-002B1 REP700</v>
          </cell>
          <cell r="D3548" t="str">
            <v>PE</v>
          </cell>
          <cell r="E3548" t="str">
            <v>515.51503</v>
          </cell>
          <cell r="F3548">
            <v>2863.9018999999998</v>
          </cell>
          <cell r="G3548">
            <v>0</v>
          </cell>
          <cell r="H3548">
            <v>0</v>
          </cell>
          <cell r="I3548">
            <v>0</v>
          </cell>
          <cell r="J3548">
            <v>0</v>
          </cell>
          <cell r="K3548">
            <v>0</v>
          </cell>
          <cell r="L3548">
            <v>1</v>
          </cell>
        </row>
        <row r="3549">
          <cell r="A3549" t="str">
            <v>20497.10872</v>
          </cell>
          <cell r="B3549" t="str">
            <v>ARBRE SUPERIEUR</v>
          </cell>
          <cell r="C3549" t="str">
            <v>MILTON ROY MIXING TYPE G5,240-160/52,8 PLAN 17236-5 REP3010</v>
          </cell>
          <cell r="D3549" t="str">
            <v>PE</v>
          </cell>
          <cell r="E3549" t="str">
            <v>515.51514</v>
          </cell>
          <cell r="F3549">
            <v>85584.467600000004</v>
          </cell>
          <cell r="G3549">
            <v>0</v>
          </cell>
          <cell r="H3549">
            <v>0</v>
          </cell>
          <cell r="I3549">
            <v>0</v>
          </cell>
          <cell r="J3549">
            <v>0</v>
          </cell>
          <cell r="K3549">
            <v>1</v>
          </cell>
          <cell r="L3549">
            <v>0</v>
          </cell>
        </row>
        <row r="3550">
          <cell r="A3550" t="str">
            <v>20497.10873</v>
          </cell>
          <cell r="B3550" t="str">
            <v>JEU DE VISSERIE</v>
          </cell>
          <cell r="C3550" t="str">
            <v>MILTON ROY MIXING TYPE G5,240-160/52,8 PLAN 17236-5 REP2200/2205/2210</v>
          </cell>
          <cell r="D3550" t="str">
            <v>PE</v>
          </cell>
          <cell r="E3550" t="str">
            <v>515.51514</v>
          </cell>
          <cell r="F3550">
            <v>90.088899999999995</v>
          </cell>
          <cell r="G3550">
            <v>0</v>
          </cell>
          <cell r="H3550">
            <v>8</v>
          </cell>
          <cell r="I3550">
            <v>0</v>
          </cell>
          <cell r="J3550">
            <v>0</v>
          </cell>
          <cell r="K3550">
            <v>1</v>
          </cell>
          <cell r="L3550">
            <v>23</v>
          </cell>
        </row>
        <row r="3551">
          <cell r="A3551" t="str">
            <v>20497.10874</v>
          </cell>
          <cell r="B3551" t="str">
            <v>ECROU</v>
          </cell>
          <cell r="C3551" t="str">
            <v>MILTON ROY MIXING TYPE G5,240-160/52,8 PLAN 17236-5 REP2400</v>
          </cell>
          <cell r="D3551" t="str">
            <v>PE</v>
          </cell>
          <cell r="E3551" t="str">
            <v>515.51514</v>
          </cell>
          <cell r="F3551">
            <v>2450.4184</v>
          </cell>
          <cell r="G3551">
            <v>0</v>
          </cell>
          <cell r="H3551">
            <v>1</v>
          </cell>
          <cell r="I3551">
            <v>0</v>
          </cell>
          <cell r="J3551">
            <v>0</v>
          </cell>
          <cell r="K3551">
            <v>0</v>
          </cell>
          <cell r="L3551">
            <v>3</v>
          </cell>
        </row>
        <row r="3552">
          <cell r="A3552" t="str">
            <v>20497.10875</v>
          </cell>
          <cell r="B3552" t="str">
            <v>JEU DE VISSERIE</v>
          </cell>
          <cell r="C3552" t="str">
            <v>MILTON ROY MIXING TYPE G5,240-160/52,8 PLAN 17236-5 REP2440/2450</v>
          </cell>
          <cell r="D3552" t="str">
            <v>PE</v>
          </cell>
          <cell r="E3552" t="str">
            <v>515.51514</v>
          </cell>
          <cell r="F3552">
            <v>105.1037</v>
          </cell>
          <cell r="G3552">
            <v>0</v>
          </cell>
          <cell r="H3552">
            <v>8</v>
          </cell>
          <cell r="I3552">
            <v>0</v>
          </cell>
          <cell r="J3552">
            <v>0</v>
          </cell>
          <cell r="K3552">
            <v>1</v>
          </cell>
          <cell r="L3552">
            <v>7</v>
          </cell>
        </row>
        <row r="3553">
          <cell r="A3553" t="str">
            <v>20497.10876</v>
          </cell>
          <cell r="B3553" t="str">
            <v>JEU DE JOINT</v>
          </cell>
          <cell r="C3553" t="str">
            <v>MILTON ROY MIXING TYPE G5,240-160/52,8 PLAN 17236-5 REP2100/2190/2300/2410</v>
          </cell>
          <cell r="D3553" t="str">
            <v>PE</v>
          </cell>
          <cell r="E3553" t="str">
            <v>515.51514</v>
          </cell>
          <cell r="F3553">
            <v>1693.6715999999999</v>
          </cell>
          <cell r="G3553">
            <v>0</v>
          </cell>
          <cell r="H3553">
            <v>1</v>
          </cell>
          <cell r="I3553">
            <v>0</v>
          </cell>
          <cell r="J3553">
            <v>0</v>
          </cell>
          <cell r="K3553">
            <v>1</v>
          </cell>
          <cell r="L3553">
            <v>2</v>
          </cell>
        </row>
        <row r="3554">
          <cell r="A3554" t="str">
            <v>20497.10877</v>
          </cell>
          <cell r="B3554" t="str">
            <v>TOURELLE</v>
          </cell>
          <cell r="C3554" t="str">
            <v>MILTON ROY MIXING TYPE G5,260-200/53 PLAN 17235-5 REP2010</v>
          </cell>
          <cell r="D3554" t="str">
            <v>PE</v>
          </cell>
          <cell r="E3554" t="str">
            <v>515.51514</v>
          </cell>
          <cell r="F3554">
            <v>305236.5343</v>
          </cell>
          <cell r="G3554">
            <v>0</v>
          </cell>
          <cell r="H3554">
            <v>0</v>
          </cell>
          <cell r="I3554">
            <v>0</v>
          </cell>
          <cell r="J3554">
            <v>0</v>
          </cell>
          <cell r="K3554">
            <v>1</v>
          </cell>
          <cell r="L3554">
            <v>0</v>
          </cell>
        </row>
        <row r="3555">
          <cell r="A3555" t="str">
            <v>20497.10878</v>
          </cell>
          <cell r="B3555" t="str">
            <v>COUVERCLE SUPERIEUR DE PALIER GUIDE</v>
          </cell>
          <cell r="C3555" t="str">
            <v>MILTON ROY MIXING TYPE G5,260-200/53 PLAN 17235-5 REP2120</v>
          </cell>
          <cell r="D3555" t="str">
            <v>PE</v>
          </cell>
          <cell r="E3555" t="str">
            <v>515.51514</v>
          </cell>
          <cell r="F3555">
            <v>14000.814200000001</v>
          </cell>
          <cell r="G3555">
            <v>0</v>
          </cell>
          <cell r="H3555">
            <v>0</v>
          </cell>
          <cell r="I3555">
            <v>0</v>
          </cell>
          <cell r="J3555">
            <v>0</v>
          </cell>
          <cell r="K3555">
            <v>1</v>
          </cell>
          <cell r="L3555">
            <v>2</v>
          </cell>
        </row>
        <row r="3556">
          <cell r="A3556" t="str">
            <v>20497.10879</v>
          </cell>
          <cell r="B3556" t="str">
            <v>COUVERCLE INFERIEUR DE PALIER GUIDE</v>
          </cell>
          <cell r="C3556" t="str">
            <v>MILTON ROY MIXING TYPE G5,260-200/53 PLAN 17235-5 REP2180</v>
          </cell>
          <cell r="D3556" t="str">
            <v>PE</v>
          </cell>
          <cell r="E3556" t="str">
            <v>515.51514</v>
          </cell>
          <cell r="F3556">
            <v>7384.9267</v>
          </cell>
          <cell r="G3556">
            <v>0</v>
          </cell>
          <cell r="H3556">
            <v>0</v>
          </cell>
          <cell r="I3556">
            <v>0</v>
          </cell>
          <cell r="J3556">
            <v>0</v>
          </cell>
          <cell r="K3556">
            <v>1</v>
          </cell>
          <cell r="L3556">
            <v>2</v>
          </cell>
        </row>
        <row r="3557">
          <cell r="A3557" t="str">
            <v>20497.10880</v>
          </cell>
          <cell r="B3557" t="str">
            <v>JEU DE GRAISSEUR</v>
          </cell>
          <cell r="C3557" t="str">
            <v>MILTON ROY MIXING TYPE G5,260-200/53 PLAN 17235-5 REP2250/2500</v>
          </cell>
          <cell r="D3557" t="str">
            <v>PE</v>
          </cell>
          <cell r="E3557" t="str">
            <v>515.51514</v>
          </cell>
          <cell r="F3557">
            <v>105.342</v>
          </cell>
          <cell r="G3557">
            <v>0</v>
          </cell>
          <cell r="H3557">
            <v>0</v>
          </cell>
          <cell r="I3557">
            <v>0</v>
          </cell>
          <cell r="J3557">
            <v>0</v>
          </cell>
          <cell r="K3557">
            <v>2</v>
          </cell>
          <cell r="L3557">
            <v>2</v>
          </cell>
        </row>
        <row r="3558">
          <cell r="A3558" t="str">
            <v>20497.10881</v>
          </cell>
          <cell r="B3558" t="str">
            <v>JEU DE RALLONGES GRAISSEUR</v>
          </cell>
          <cell r="C3558" t="str">
            <v>MILTON ROY MIXING TYPE G5,260-200/53 PLAN 17235-5 REP2260/2510</v>
          </cell>
          <cell r="D3558" t="str">
            <v>PE</v>
          </cell>
          <cell r="E3558" t="str">
            <v>515.51514</v>
          </cell>
          <cell r="F3558">
            <v>118.7448</v>
          </cell>
          <cell r="G3558">
            <v>0</v>
          </cell>
          <cell r="H3558">
            <v>0</v>
          </cell>
          <cell r="I3558">
            <v>0</v>
          </cell>
          <cell r="J3558">
            <v>0</v>
          </cell>
          <cell r="K3558">
            <v>1</v>
          </cell>
          <cell r="L3558">
            <v>9</v>
          </cell>
        </row>
        <row r="3559">
          <cell r="A3559" t="str">
            <v>20497.10882</v>
          </cell>
          <cell r="B3559" t="str">
            <v>SOUPAPE DE COMPRESSION</v>
          </cell>
          <cell r="C3559" t="str">
            <v>MILTON ROY MIXING TYPE G5,260-200/53 PLAN 17235-5 REP2310</v>
          </cell>
          <cell r="D3559" t="str">
            <v>PE</v>
          </cell>
          <cell r="E3559" t="str">
            <v>515.51514</v>
          </cell>
          <cell r="F3559">
            <v>52.670999999999999</v>
          </cell>
          <cell r="G3559">
            <v>0</v>
          </cell>
          <cell r="H3559">
            <v>0</v>
          </cell>
          <cell r="I3559">
            <v>0</v>
          </cell>
          <cell r="J3559">
            <v>0</v>
          </cell>
          <cell r="K3559">
            <v>2</v>
          </cell>
          <cell r="L3559">
            <v>2</v>
          </cell>
        </row>
        <row r="3560">
          <cell r="A3560" t="str">
            <v>20497.10883</v>
          </cell>
          <cell r="B3560" t="str">
            <v>BAGUE SOUS ROULEMENT</v>
          </cell>
          <cell r="C3560" t="str">
            <v>MILTON ROY MIXING TYPE G5,260-200/53 PLAN 17235-5 REP2320</v>
          </cell>
          <cell r="D3560" t="str">
            <v>PE</v>
          </cell>
          <cell r="E3560" t="str">
            <v>515.51514</v>
          </cell>
          <cell r="F3560">
            <v>1928.3814</v>
          </cell>
          <cell r="G3560">
            <v>0</v>
          </cell>
          <cell r="H3560">
            <v>0</v>
          </cell>
          <cell r="I3560">
            <v>0</v>
          </cell>
          <cell r="J3560">
            <v>0</v>
          </cell>
          <cell r="K3560">
            <v>1</v>
          </cell>
          <cell r="L3560">
            <v>2</v>
          </cell>
        </row>
        <row r="3561">
          <cell r="A3561" t="str">
            <v>20497.10884</v>
          </cell>
          <cell r="B3561" t="str">
            <v>ECROU</v>
          </cell>
          <cell r="C3561" t="str">
            <v>MILTON ROY MIXING TYPE G5,260-200/53 PLAN 17235-5 REP2400</v>
          </cell>
          <cell r="D3561" t="str">
            <v>PE</v>
          </cell>
          <cell r="E3561" t="str">
            <v>515.51514</v>
          </cell>
          <cell r="F3561">
            <v>2512.279</v>
          </cell>
          <cell r="G3561">
            <v>0</v>
          </cell>
          <cell r="H3561">
            <v>0</v>
          </cell>
          <cell r="I3561">
            <v>0</v>
          </cell>
          <cell r="J3561">
            <v>0</v>
          </cell>
          <cell r="K3561">
            <v>1</v>
          </cell>
          <cell r="L3561">
            <v>2</v>
          </cell>
        </row>
        <row r="3562">
          <cell r="A3562" t="str">
            <v>20497.10885</v>
          </cell>
          <cell r="B3562" t="str">
            <v>COUVERCLE SUPERIEUR DE PALIER GUIDE</v>
          </cell>
          <cell r="C3562" t="str">
            <v>MILTON ROY MIXING TYPE G5,260-200/53 PLAN 17235-5 REP2420</v>
          </cell>
          <cell r="D3562" t="str">
            <v>PE</v>
          </cell>
          <cell r="E3562" t="str">
            <v>515.51514</v>
          </cell>
          <cell r="F3562">
            <v>26754.826799999999</v>
          </cell>
          <cell r="G3562">
            <v>0</v>
          </cell>
          <cell r="H3562">
            <v>0</v>
          </cell>
          <cell r="I3562">
            <v>0</v>
          </cell>
          <cell r="J3562">
            <v>0</v>
          </cell>
          <cell r="K3562">
            <v>1</v>
          </cell>
          <cell r="L3562">
            <v>2</v>
          </cell>
        </row>
        <row r="3563">
          <cell r="A3563" t="str">
            <v>20497.10886</v>
          </cell>
          <cell r="B3563" t="str">
            <v>COUVERCLE INFERIEUR DE PALIER GUIDE</v>
          </cell>
          <cell r="C3563" t="str">
            <v>MILTON ROY MIXING TYPE G5,260-200/53 PLAN 17235-5 REP2460</v>
          </cell>
          <cell r="D3563" t="str">
            <v>PE</v>
          </cell>
          <cell r="E3563" t="str">
            <v>515.51514</v>
          </cell>
          <cell r="F3563">
            <v>6578.3523999999998</v>
          </cell>
          <cell r="G3563">
            <v>0</v>
          </cell>
          <cell r="H3563">
            <v>0</v>
          </cell>
          <cell r="I3563">
            <v>0</v>
          </cell>
          <cell r="J3563">
            <v>0</v>
          </cell>
          <cell r="K3563">
            <v>1</v>
          </cell>
          <cell r="L3563">
            <v>2</v>
          </cell>
        </row>
        <row r="3564">
          <cell r="A3564" t="str">
            <v>20497.10887</v>
          </cell>
          <cell r="B3564" t="str">
            <v>JEU DE VISSERIE</v>
          </cell>
          <cell r="C3564" t="str">
            <v>MILTON ROY MIXING TYPE G5,260-200/53 PLAN 17235-5 REP2440/2450</v>
          </cell>
          <cell r="D3564" t="str">
            <v>PE</v>
          </cell>
          <cell r="E3564" t="str">
            <v>515.51514</v>
          </cell>
          <cell r="F3564">
            <v>368.697</v>
          </cell>
          <cell r="G3564">
            <v>0</v>
          </cell>
          <cell r="H3564">
            <v>0</v>
          </cell>
          <cell r="I3564">
            <v>0</v>
          </cell>
          <cell r="J3564">
            <v>0</v>
          </cell>
          <cell r="K3564">
            <v>6</v>
          </cell>
          <cell r="L3564">
            <v>12</v>
          </cell>
        </row>
        <row r="3565">
          <cell r="A3565" t="str">
            <v>20497.10888</v>
          </cell>
          <cell r="B3565" t="str">
            <v>ARBRE SUPERIEUR</v>
          </cell>
          <cell r="C3565" t="str">
            <v>MILTON ROY MIXING TYPE G5,260-200/53 PLAN 17235-5 REP3010</v>
          </cell>
          <cell r="D3565" t="str">
            <v>PE</v>
          </cell>
          <cell r="E3565" t="str">
            <v>515.51514</v>
          </cell>
          <cell r="F3565">
            <v>99245.621700000003</v>
          </cell>
          <cell r="G3565">
            <v>0</v>
          </cell>
          <cell r="H3565">
            <v>0</v>
          </cell>
          <cell r="I3565">
            <v>0</v>
          </cell>
          <cell r="J3565">
            <v>0</v>
          </cell>
          <cell r="K3565">
            <v>1</v>
          </cell>
          <cell r="L3565">
            <v>0</v>
          </cell>
        </row>
        <row r="3566">
          <cell r="A3566" t="str">
            <v>20497.10889</v>
          </cell>
          <cell r="B3566" t="str">
            <v>JEU DE JOINT</v>
          </cell>
          <cell r="C3566" t="str">
            <v>MILTON ROY MIXING TYPE G5,260-200/53 PLAN 17235-5 REP2100/2190/2300/2410</v>
          </cell>
          <cell r="D3566" t="str">
            <v>PE</v>
          </cell>
          <cell r="E3566" t="str">
            <v>515.51514</v>
          </cell>
          <cell r="F3566">
            <v>2475.5369999999998</v>
          </cell>
          <cell r="G3566">
            <v>0</v>
          </cell>
          <cell r="H3566">
            <v>0</v>
          </cell>
          <cell r="I3566">
            <v>0</v>
          </cell>
          <cell r="J3566">
            <v>1</v>
          </cell>
          <cell r="K3566">
            <v>1</v>
          </cell>
          <cell r="L3566">
            <v>1</v>
          </cell>
        </row>
        <row r="3567">
          <cell r="A3567" t="str">
            <v>20497.10890</v>
          </cell>
          <cell r="B3567" t="str">
            <v>ARBRE INFERIEUR</v>
          </cell>
          <cell r="C3567" t="str">
            <v>MILTON ROY MIXING TYPE G5,260-200/53 PLAN 17235-7 REP5010</v>
          </cell>
          <cell r="D3567" t="str">
            <v>PE</v>
          </cell>
          <cell r="E3567" t="str">
            <v>515.51514</v>
          </cell>
          <cell r="F3567">
            <v>770356.26890000002</v>
          </cell>
          <cell r="G3567">
            <v>0</v>
          </cell>
          <cell r="H3567">
            <v>0</v>
          </cell>
          <cell r="I3567">
            <v>0</v>
          </cell>
          <cell r="J3567">
            <v>0</v>
          </cell>
          <cell r="K3567">
            <v>0</v>
          </cell>
          <cell r="L3567">
            <v>1</v>
          </cell>
        </row>
        <row r="3568">
          <cell r="A3568" t="str">
            <v>20497.10891</v>
          </cell>
          <cell r="B3568" t="str">
            <v>JEU DE VISSERIE</v>
          </cell>
          <cell r="C3568" t="str">
            <v>MILTON ROY MIXING TYPE G5,260-200/53 PLAN 17235-7 REP3310/3320/3330</v>
          </cell>
          <cell r="D3568" t="str">
            <v>PE</v>
          </cell>
          <cell r="E3568" t="str">
            <v>515.51514</v>
          </cell>
          <cell r="F3568">
            <v>5153.5884999999998</v>
          </cell>
          <cell r="G3568">
            <v>0</v>
          </cell>
          <cell r="H3568">
            <v>0</v>
          </cell>
          <cell r="I3568">
            <v>0</v>
          </cell>
          <cell r="J3568">
            <v>1</v>
          </cell>
          <cell r="K3568">
            <v>0</v>
          </cell>
          <cell r="L3568">
            <v>1</v>
          </cell>
        </row>
        <row r="3569">
          <cell r="A3569" t="str">
            <v>20497.10892</v>
          </cell>
          <cell r="B3569" t="str">
            <v>TURBINE DE 4 PALES DEMONTABLE SUR PLATINE</v>
          </cell>
          <cell r="C3569" t="str">
            <v>MILTON ROY MIXING TYPE G5,260-200/53 PLAN 17235-7 REP6190</v>
          </cell>
          <cell r="D3569" t="str">
            <v>PE</v>
          </cell>
          <cell r="E3569" t="str">
            <v>515.51514</v>
          </cell>
          <cell r="F3569">
            <v>235299.05739999999</v>
          </cell>
          <cell r="G3569">
            <v>0</v>
          </cell>
          <cell r="H3569">
            <v>0</v>
          </cell>
          <cell r="I3569">
            <v>0</v>
          </cell>
          <cell r="J3569">
            <v>0</v>
          </cell>
          <cell r="K3569">
            <v>0</v>
          </cell>
          <cell r="L3569">
            <v>0</v>
          </cell>
        </row>
        <row r="3570">
          <cell r="A3570" t="str">
            <v>20497.10893</v>
          </cell>
          <cell r="B3570" t="str">
            <v>JEU DE VISSERIE</v>
          </cell>
          <cell r="C3570" t="str">
            <v>MILTON ROY MIXING TYPE G5,260-200/53 PLAN 17235-7 REP6191/6192/6193</v>
          </cell>
          <cell r="D3570" t="str">
            <v>PE</v>
          </cell>
          <cell r="E3570" t="str">
            <v>515.51514</v>
          </cell>
          <cell r="F3570">
            <v>69830.687999999995</v>
          </cell>
          <cell r="G3570">
            <v>0</v>
          </cell>
          <cell r="H3570">
            <v>0</v>
          </cell>
          <cell r="I3570">
            <v>0</v>
          </cell>
          <cell r="J3570">
            <v>0</v>
          </cell>
          <cell r="K3570">
            <v>0</v>
          </cell>
          <cell r="L3570">
            <v>0</v>
          </cell>
        </row>
        <row r="3571">
          <cell r="A3571" t="str">
            <v>20497.10894</v>
          </cell>
          <cell r="B3571" t="str">
            <v>ARBRE INFERIEUR</v>
          </cell>
          <cell r="C3571" t="str">
            <v>MILTON ROY MIXING TYPE G5,240-160/52,8 PLAN 17236-7 REP5010</v>
          </cell>
          <cell r="D3571" t="str">
            <v>PE</v>
          </cell>
          <cell r="E3571" t="str">
            <v>515.51514</v>
          </cell>
          <cell r="F3571">
            <v>365797.0232</v>
          </cell>
          <cell r="G3571">
            <v>0</v>
          </cell>
          <cell r="H3571">
            <v>0</v>
          </cell>
          <cell r="I3571">
            <v>0</v>
          </cell>
          <cell r="J3571">
            <v>1</v>
          </cell>
          <cell r="K3571">
            <v>0</v>
          </cell>
          <cell r="L3571">
            <v>0</v>
          </cell>
        </row>
        <row r="3572">
          <cell r="A3572" t="str">
            <v>20497.10895</v>
          </cell>
          <cell r="B3572" t="str">
            <v>JEU DE VISSERIE</v>
          </cell>
          <cell r="C3572" t="str">
            <v>MILTON ROY MIXING TYPE G5,240-160/52,8 PLAN 17236-7 REP3310/3320/3330</v>
          </cell>
          <cell r="D3572" t="str">
            <v>PE</v>
          </cell>
          <cell r="E3572" t="str">
            <v>515.51514</v>
          </cell>
          <cell r="F3572">
            <v>4616.7551000000003</v>
          </cell>
          <cell r="G3572">
            <v>0</v>
          </cell>
          <cell r="H3572">
            <v>2</v>
          </cell>
          <cell r="I3572">
            <v>0</v>
          </cell>
          <cell r="J3572">
            <v>2</v>
          </cell>
          <cell r="K3572">
            <v>0</v>
          </cell>
          <cell r="L3572">
            <v>0</v>
          </cell>
        </row>
        <row r="3573">
          <cell r="A3573" t="str">
            <v>20497.10896</v>
          </cell>
          <cell r="B3573" t="str">
            <v>TURBINE DE 4 PALES DEMONTABLE SUR PLATINE</v>
          </cell>
          <cell r="C3573" t="str">
            <v>MILTON ROY MIXING TYPE G5,240-160/52,8 PLAN 17236-7 REP6020</v>
          </cell>
          <cell r="D3573" t="str">
            <v>PE</v>
          </cell>
          <cell r="E3573" t="str">
            <v>515.51514</v>
          </cell>
          <cell r="F3573">
            <v>459500.78619999997</v>
          </cell>
          <cell r="G3573">
            <v>0</v>
          </cell>
          <cell r="H3573">
            <v>0</v>
          </cell>
          <cell r="I3573">
            <v>0</v>
          </cell>
          <cell r="J3573">
            <v>3</v>
          </cell>
          <cell r="K3573">
            <v>0</v>
          </cell>
          <cell r="L3573">
            <v>0</v>
          </cell>
        </row>
        <row r="3574">
          <cell r="A3574" t="str">
            <v>20497.10897</v>
          </cell>
          <cell r="B3574" t="str">
            <v>JEU DE VISSERIE</v>
          </cell>
          <cell r="C3574" t="str">
            <v>MILTON ROY MIXING TYPE G5,240-160/52,8 PLAN 17236-7 REP6021/6022/6023</v>
          </cell>
          <cell r="D3574" t="str">
            <v>PE</v>
          </cell>
          <cell r="E3574" t="str">
            <v>515.51514</v>
          </cell>
          <cell r="F3574">
            <v>68167.277700000006</v>
          </cell>
          <cell r="G3574">
            <v>0</v>
          </cell>
          <cell r="H3574">
            <v>0</v>
          </cell>
          <cell r="I3574">
            <v>0</v>
          </cell>
          <cell r="J3574">
            <v>0</v>
          </cell>
          <cell r="K3574">
            <v>0</v>
          </cell>
          <cell r="L3574">
            <v>0</v>
          </cell>
        </row>
        <row r="3575">
          <cell r="A3575" t="str">
            <v>20497.11307</v>
          </cell>
          <cell r="B3575" t="str">
            <v>JEU DES BOULONS DE FOULOIR</v>
          </cell>
          <cell r="C3575" t="str">
            <v>WARMAN TYPE:64-DA5-A-M2-5CM2-XM2 N° DE SERIE:68863 REF D045M-C22</v>
          </cell>
          <cell r="D3575" t="str">
            <v>PE</v>
          </cell>
          <cell r="E3575" t="str">
            <v>515.51517</v>
          </cell>
          <cell r="F3575">
            <v>340.68810000000002</v>
          </cell>
          <cell r="G3575">
            <v>0</v>
          </cell>
          <cell r="H3575">
            <v>0</v>
          </cell>
          <cell r="I3575">
            <v>0</v>
          </cell>
          <cell r="J3575">
            <v>0</v>
          </cell>
          <cell r="K3575">
            <v>0</v>
          </cell>
          <cell r="L3575">
            <v>1</v>
          </cell>
        </row>
        <row r="3576">
          <cell r="A3576" t="str">
            <v>20497.11308</v>
          </cell>
          <cell r="B3576" t="str">
            <v>LANTERNE</v>
          </cell>
          <cell r="C3576" t="str">
            <v>WARMAN TYPE:64-DA5-A-M2-5CM2-XM2 N° DE SERIE:68863 REF D063X-K31</v>
          </cell>
          <cell r="D3576" t="str">
            <v>PE</v>
          </cell>
          <cell r="E3576" t="str">
            <v>515.51517</v>
          </cell>
          <cell r="F3576">
            <v>3043.5106000000001</v>
          </cell>
          <cell r="G3576">
            <v>0</v>
          </cell>
          <cell r="H3576">
            <v>0</v>
          </cell>
          <cell r="I3576">
            <v>0</v>
          </cell>
          <cell r="J3576">
            <v>1</v>
          </cell>
          <cell r="K3576">
            <v>0</v>
          </cell>
          <cell r="L3576">
            <v>0</v>
          </cell>
        </row>
        <row r="3577">
          <cell r="A3577" t="str">
            <v>20497.11309</v>
          </cell>
          <cell r="B3577" t="str">
            <v>JOINT DE BRIDE D'ASPIRATION</v>
          </cell>
          <cell r="C3577" t="str">
            <v>WARMAN TYPE:64-DA5-A-M2-5CM2-XM2 N° DE SERIE:68863 REF E4060-U13A</v>
          </cell>
          <cell r="D3577" t="str">
            <v>PE</v>
          </cell>
          <cell r="E3577" t="str">
            <v>515.51517</v>
          </cell>
          <cell r="F3577">
            <v>100</v>
          </cell>
          <cell r="G3577">
            <v>0</v>
          </cell>
          <cell r="H3577">
            <v>0</v>
          </cell>
          <cell r="I3577">
            <v>0</v>
          </cell>
          <cell r="J3577">
            <v>0</v>
          </cell>
          <cell r="K3577">
            <v>1</v>
          </cell>
          <cell r="L3577">
            <v>2</v>
          </cell>
        </row>
        <row r="3578">
          <cell r="A3578" t="str">
            <v>20497.11310</v>
          </cell>
          <cell r="B3578" t="str">
            <v>JOINT DE BRIDE DE REFOULEMENT</v>
          </cell>
          <cell r="C3578" t="str">
            <v>WARMAN TYPE:64-DA5-A-M2-5CM2-XM2 N° DE SERIE:68863 REF E4132L-U13A</v>
          </cell>
          <cell r="D3578" t="str">
            <v>PE</v>
          </cell>
          <cell r="E3578" t="str">
            <v>515.51517</v>
          </cell>
          <cell r="F3578">
            <v>492.41149999999999</v>
          </cell>
          <cell r="G3578">
            <v>0</v>
          </cell>
          <cell r="H3578">
            <v>0</v>
          </cell>
          <cell r="I3578">
            <v>0</v>
          </cell>
          <cell r="J3578">
            <v>0</v>
          </cell>
          <cell r="K3578">
            <v>1</v>
          </cell>
          <cell r="L3578">
            <v>3</v>
          </cell>
        </row>
        <row r="3579">
          <cell r="A3579" t="str">
            <v>20497.11311</v>
          </cell>
          <cell r="B3579" t="str">
            <v>JEU DE VISSERIE DU COUVERCLE D'EXTREMITE</v>
          </cell>
          <cell r="C3579" t="str">
            <v>WARMAN TYPE:64-DA5-A-M2-5CM2-XM2 N° DE SERIE:68863 REF D027M-1-E62</v>
          </cell>
          <cell r="D3579" t="str">
            <v>PE</v>
          </cell>
          <cell r="E3579" t="str">
            <v>515.51517</v>
          </cell>
          <cell r="F3579">
            <v>93.982900000000001</v>
          </cell>
          <cell r="G3579">
            <v>0</v>
          </cell>
          <cell r="H3579">
            <v>0</v>
          </cell>
          <cell r="I3579">
            <v>0</v>
          </cell>
          <cell r="J3579">
            <v>0</v>
          </cell>
          <cell r="K3579">
            <v>0</v>
          </cell>
          <cell r="L3579">
            <v>3</v>
          </cell>
        </row>
        <row r="3580">
          <cell r="A3580" t="str">
            <v>20497.11312</v>
          </cell>
          <cell r="B3580" t="str">
            <v>ROULEMENT</v>
          </cell>
          <cell r="C3580" t="str">
            <v>WARMAN TYPE:64-DA5-A-M2-5CM2-XM2 N° DE SERIE:68863 REF D009</v>
          </cell>
          <cell r="D3580" t="str">
            <v>PE</v>
          </cell>
          <cell r="E3580" t="str">
            <v>515.51517</v>
          </cell>
          <cell r="F3580">
            <v>1609.6351</v>
          </cell>
          <cell r="G3580">
            <v>0</v>
          </cell>
          <cell r="H3580">
            <v>0</v>
          </cell>
          <cell r="I3580">
            <v>0</v>
          </cell>
          <cell r="J3580">
            <v>2</v>
          </cell>
          <cell r="K3580">
            <v>0</v>
          </cell>
          <cell r="L3580">
            <v>0</v>
          </cell>
        </row>
        <row r="3581">
          <cell r="A3581" t="str">
            <v>20497.11313</v>
          </cell>
          <cell r="B3581" t="str">
            <v>CALE</v>
          </cell>
          <cell r="C3581" t="str">
            <v>WARMAN TYPE:64-DA5-A-M2-5CM2-XM2 N° DE SERIE:68863 REF D025-P30</v>
          </cell>
          <cell r="D3581" t="str">
            <v>PE</v>
          </cell>
          <cell r="E3581" t="str">
            <v>515.51517</v>
          </cell>
          <cell r="F3581">
            <v>328.94029999999998</v>
          </cell>
          <cell r="G3581">
            <v>0</v>
          </cell>
          <cell r="H3581">
            <v>0</v>
          </cell>
          <cell r="I3581">
            <v>0</v>
          </cell>
          <cell r="J3581">
            <v>1</v>
          </cell>
          <cell r="K3581">
            <v>0</v>
          </cell>
          <cell r="L3581">
            <v>7</v>
          </cell>
        </row>
        <row r="3582">
          <cell r="A3582" t="str">
            <v>20497.11314</v>
          </cell>
          <cell r="B3582" t="str">
            <v>COUPELLE DE RETENUE DE GRAISSE</v>
          </cell>
          <cell r="C3582" t="str">
            <v>WARMAN TYPE:64-DA5-A-M2-5CM2-XM2 N° DE SERIE:68863 REF D046-E62</v>
          </cell>
          <cell r="D3582" t="str">
            <v>PE</v>
          </cell>
          <cell r="E3582" t="str">
            <v>515.51517</v>
          </cell>
          <cell r="F3582">
            <v>1386.2482</v>
          </cell>
          <cell r="G3582">
            <v>0</v>
          </cell>
          <cell r="H3582">
            <v>0</v>
          </cell>
          <cell r="I3582">
            <v>0</v>
          </cell>
          <cell r="J3582">
            <v>2</v>
          </cell>
          <cell r="K3582">
            <v>0</v>
          </cell>
          <cell r="L3582">
            <v>6</v>
          </cell>
        </row>
        <row r="3583">
          <cell r="A3583" t="str">
            <v>20497.11315</v>
          </cell>
          <cell r="B3583" t="str">
            <v>CONTRE ECROU DE LABYRINTHE</v>
          </cell>
          <cell r="C3583" t="str">
            <v>WARMAN TYPE:64-DA5-A-M2-5CM2-XM2 N° DE SERIE:68863 REF D061-E62</v>
          </cell>
          <cell r="D3583" t="str">
            <v>PE</v>
          </cell>
          <cell r="E3583" t="str">
            <v>515.51517</v>
          </cell>
          <cell r="F3583">
            <v>634.38480000000004</v>
          </cell>
          <cell r="G3583">
            <v>0</v>
          </cell>
          <cell r="H3583">
            <v>0</v>
          </cell>
          <cell r="I3583">
            <v>0</v>
          </cell>
          <cell r="J3583">
            <v>1</v>
          </cell>
          <cell r="K3583">
            <v>0</v>
          </cell>
          <cell r="L3583">
            <v>2</v>
          </cell>
        </row>
        <row r="3584">
          <cell r="A3584" t="str">
            <v>20497.11316</v>
          </cell>
          <cell r="B3584" t="str">
            <v>LABYRINTHE</v>
          </cell>
          <cell r="C3584" t="str">
            <v>WARMAN TYPE:64-DA5-A-M2-5CM2-XM2 N° DE SERIE:68863 REF D062-10-E62</v>
          </cell>
          <cell r="D3584" t="str">
            <v>PE</v>
          </cell>
          <cell r="E3584" t="str">
            <v>515.51517</v>
          </cell>
          <cell r="F3584">
            <v>2079.3724000000002</v>
          </cell>
          <cell r="G3584">
            <v>0</v>
          </cell>
          <cell r="H3584">
            <v>0</v>
          </cell>
          <cell r="I3584">
            <v>0</v>
          </cell>
          <cell r="J3584">
            <v>2</v>
          </cell>
          <cell r="K3584">
            <v>0</v>
          </cell>
          <cell r="L3584">
            <v>4</v>
          </cell>
        </row>
        <row r="3585">
          <cell r="A3585" t="str">
            <v>20497.11317</v>
          </cell>
          <cell r="B3585" t="str">
            <v>CLAVETTE D'ARBRE</v>
          </cell>
          <cell r="C3585" t="str">
            <v>WARMAN TYPE:64-DA5-A-M2-5CM2-XM2 N° DE SERIE:68863 REF D070-E02</v>
          </cell>
          <cell r="D3585" t="str">
            <v>PE</v>
          </cell>
          <cell r="E3585" t="str">
            <v>515.51517</v>
          </cell>
          <cell r="F3585">
            <v>46.991500000000002</v>
          </cell>
          <cell r="G3585">
            <v>0</v>
          </cell>
          <cell r="H3585">
            <v>0</v>
          </cell>
          <cell r="I3585">
            <v>0</v>
          </cell>
          <cell r="J3585">
            <v>0</v>
          </cell>
          <cell r="K3585">
            <v>2</v>
          </cell>
          <cell r="L3585">
            <v>0</v>
          </cell>
        </row>
        <row r="3586">
          <cell r="A3586" t="str">
            <v>20497.11318</v>
          </cell>
          <cell r="B3586" t="str">
            <v>JOINT DE PALIER</v>
          </cell>
          <cell r="C3586" t="str">
            <v>WARMAN TYPE:64-DA5-A-M2-5CM2-XM2 N° DE SERIE:68863 REF D089-10-S10</v>
          </cell>
          <cell r="D3586" t="str">
            <v>PE</v>
          </cell>
          <cell r="E3586" t="str">
            <v>515.51517</v>
          </cell>
          <cell r="F3586">
            <v>105.7308</v>
          </cell>
          <cell r="G3586">
            <v>0</v>
          </cell>
          <cell r="H3586">
            <v>0</v>
          </cell>
          <cell r="I3586">
            <v>0</v>
          </cell>
          <cell r="J3586">
            <v>2</v>
          </cell>
          <cell r="K3586">
            <v>0</v>
          </cell>
          <cell r="L3586">
            <v>4</v>
          </cell>
        </row>
        <row r="3587">
          <cell r="A3587" t="str">
            <v>20497.11319</v>
          </cell>
          <cell r="B3587" t="str">
            <v>ARBRE</v>
          </cell>
          <cell r="C3587" t="str">
            <v>WARMAN TYPE:64-DA5-A-M2-5CM2-XM2 N° DE SERIE:68863 REF DAM073-E05</v>
          </cell>
          <cell r="D3587" t="str">
            <v>PE</v>
          </cell>
          <cell r="E3587" t="str">
            <v>515.51517</v>
          </cell>
          <cell r="F3587">
            <v>9104.5964999999997</v>
          </cell>
          <cell r="G3587">
            <v>0</v>
          </cell>
          <cell r="H3587">
            <v>0</v>
          </cell>
          <cell r="I3587">
            <v>0</v>
          </cell>
          <cell r="J3587">
            <v>0</v>
          </cell>
          <cell r="K3587">
            <v>0</v>
          </cell>
          <cell r="L3587">
            <v>1</v>
          </cell>
        </row>
        <row r="3588">
          <cell r="A3588" t="str">
            <v>20497.11320</v>
          </cell>
          <cell r="B3588" t="str">
            <v>GRAISSEUR</v>
          </cell>
          <cell r="C3588" t="str">
            <v>WARMAN TYPE:64-DA5-A-M2-5CM2-XM2 N° DE SERIE:68863 REF UF4L73-Z</v>
          </cell>
          <cell r="D3588" t="str">
            <v>PE</v>
          </cell>
          <cell r="E3588" t="str">
            <v>515.51517</v>
          </cell>
          <cell r="F3588">
            <v>70.487200000000001</v>
          </cell>
          <cell r="G3588">
            <v>0</v>
          </cell>
          <cell r="H3588">
            <v>0</v>
          </cell>
          <cell r="I3588">
            <v>0</v>
          </cell>
          <cell r="J3588">
            <v>0</v>
          </cell>
          <cell r="K3588">
            <v>2</v>
          </cell>
          <cell r="L3588">
            <v>0</v>
          </cell>
        </row>
        <row r="3589">
          <cell r="A3589" t="str">
            <v>20497.11321</v>
          </cell>
          <cell r="B3589" t="str">
            <v>GRAISSEUR</v>
          </cell>
          <cell r="C3589" t="str">
            <v>WARMAN TYPE:64-DA5-A-M2-5CM2-XM2 N° DE SERIE:68863 REF UF4L73-Z</v>
          </cell>
          <cell r="D3589" t="str">
            <v>PE</v>
          </cell>
          <cell r="E3589" t="str">
            <v>515.51517</v>
          </cell>
          <cell r="F3589">
            <v>70.487200000000001</v>
          </cell>
          <cell r="G3589">
            <v>0</v>
          </cell>
          <cell r="H3589">
            <v>0</v>
          </cell>
          <cell r="I3589">
            <v>0</v>
          </cell>
          <cell r="J3589">
            <v>0</v>
          </cell>
          <cell r="K3589">
            <v>0</v>
          </cell>
          <cell r="L3589">
            <v>4</v>
          </cell>
        </row>
        <row r="3590">
          <cell r="A3590" t="str">
            <v>20498.00531</v>
          </cell>
          <cell r="B3590" t="str">
            <v>CONNECTEUR DE DEBUT DE LIGNE CHAUFFEE</v>
          </cell>
          <cell r="C3590" t="str">
            <v>EMERSON  REF : 03 B 1020L  TYPE : C</v>
          </cell>
          <cell r="D3590" t="str">
            <v>PE</v>
          </cell>
          <cell r="E3590" t="str">
            <v>512.51201</v>
          </cell>
          <cell r="F3590">
            <v>3611.92</v>
          </cell>
          <cell r="G3590">
            <v>0</v>
          </cell>
          <cell r="H3590">
            <v>0</v>
          </cell>
          <cell r="I3590">
            <v>0</v>
          </cell>
          <cell r="J3590">
            <v>0</v>
          </cell>
          <cell r="K3590">
            <v>1</v>
          </cell>
          <cell r="L3590">
            <v>0</v>
          </cell>
        </row>
        <row r="3591">
          <cell r="A3591" t="str">
            <v>20498.00788</v>
          </cell>
          <cell r="B3591" t="str">
            <v>CARTE ELECTRONIQUE</v>
          </cell>
          <cell r="C3591" t="str">
            <v>CORROSION SERVICE   REF : TPCC-CB  PLAN D-4546-05/E/0</v>
          </cell>
          <cell r="D3591" t="str">
            <v>PE</v>
          </cell>
          <cell r="E3591" t="str">
            <v>522.52206</v>
          </cell>
          <cell r="F3591">
            <v>18887</v>
          </cell>
          <cell r="G3591">
            <v>0</v>
          </cell>
          <cell r="H3591">
            <v>0</v>
          </cell>
          <cell r="I3591">
            <v>1</v>
          </cell>
          <cell r="J3591">
            <v>0</v>
          </cell>
          <cell r="K3591">
            <v>0</v>
          </cell>
          <cell r="L3591">
            <v>0</v>
          </cell>
        </row>
        <row r="3592">
          <cell r="A3592" t="str">
            <v>20498.00790</v>
          </cell>
          <cell r="B3592" t="str">
            <v>ELECTRODE DE REFERENCE COMPLETE</v>
          </cell>
          <cell r="C3592" t="str">
            <v>CORROSION SERVICE  REF : RE1  PLAN D-4544-04/A/O</v>
          </cell>
          <cell r="D3592" t="str">
            <v>PE</v>
          </cell>
          <cell r="E3592" t="str">
            <v>522.52206</v>
          </cell>
          <cell r="F3592">
            <v>23829</v>
          </cell>
          <cell r="G3592">
            <v>0</v>
          </cell>
          <cell r="H3592">
            <v>0</v>
          </cell>
          <cell r="I3592">
            <v>0</v>
          </cell>
          <cell r="J3592">
            <v>0</v>
          </cell>
          <cell r="K3592">
            <v>0</v>
          </cell>
          <cell r="L3592">
            <v>1</v>
          </cell>
        </row>
        <row r="3593">
          <cell r="A3593" t="str">
            <v>20498.00791</v>
          </cell>
          <cell r="B3593" t="str">
            <v>CATHODE COMPLETE</v>
          </cell>
          <cell r="C3593" t="str">
            <v>CORROSION SERVICE   REF : C1    PLAN D-4544-04/A/O</v>
          </cell>
          <cell r="D3593" t="str">
            <v>PE</v>
          </cell>
          <cell r="E3593" t="str">
            <v>522.52206</v>
          </cell>
          <cell r="F3593">
            <v>67245</v>
          </cell>
          <cell r="G3593">
            <v>0</v>
          </cell>
          <cell r="H3593">
            <v>0</v>
          </cell>
          <cell r="I3593">
            <v>0</v>
          </cell>
          <cell r="J3593">
            <v>0</v>
          </cell>
          <cell r="K3593">
            <v>0</v>
          </cell>
          <cell r="L3593">
            <v>1</v>
          </cell>
        </row>
        <row r="3594">
          <cell r="A3594" t="str">
            <v>20497.11027</v>
          </cell>
          <cell r="B3594" t="str">
            <v>SOUPAPE DE SURETE</v>
          </cell>
          <cell r="C3594" t="str">
            <v>DRESSER PLAN 454017 TYPE 1900T-4 MODEL 1920-00TT-4-CC-TD-34-RF-SS-HP  DN8"S 300RF x 10" S 150RF PRESSION DE TARAGE 7,3 Bar SERIE CO7575</v>
          </cell>
          <cell r="D3594" t="str">
            <v>PE</v>
          </cell>
          <cell r="E3594" t="str">
            <v>512.51201</v>
          </cell>
          <cell r="F3594">
            <v>121380</v>
          </cell>
          <cell r="G3594">
            <v>0</v>
          </cell>
          <cell r="H3594">
            <v>0</v>
          </cell>
          <cell r="I3594">
            <v>0</v>
          </cell>
          <cell r="J3594">
            <v>1</v>
          </cell>
          <cell r="K3594">
            <v>0</v>
          </cell>
          <cell r="L3594">
            <v>0</v>
          </cell>
        </row>
        <row r="3595">
          <cell r="A3595" t="str">
            <v>20497.11028</v>
          </cell>
          <cell r="B3595" t="str">
            <v>SOUPAPE DE SURETE</v>
          </cell>
          <cell r="C3595" t="str">
            <v>DRESSER PLAN 454017 TYPE 1900T-4 MODEL 1920-00TT-4-CC-TD-34-RF-SS-HP DN8"S 300RF x 10" S 150RF PRESSION DE TARAGE 7,4 Bar SERIE CO7576</v>
          </cell>
          <cell r="D3595" t="str">
            <v>PE</v>
          </cell>
          <cell r="E3595" t="str">
            <v>512.51201</v>
          </cell>
          <cell r="F3595">
            <v>121380</v>
          </cell>
          <cell r="G3595">
            <v>0</v>
          </cell>
          <cell r="H3595">
            <v>0</v>
          </cell>
          <cell r="I3595">
            <v>0</v>
          </cell>
          <cell r="J3595">
            <v>1</v>
          </cell>
          <cell r="K3595">
            <v>0</v>
          </cell>
          <cell r="L3595">
            <v>0</v>
          </cell>
        </row>
        <row r="3596">
          <cell r="A3596" t="str">
            <v>20497.11030</v>
          </cell>
          <cell r="B3596" t="str">
            <v>SOUPAPE DE SURETE</v>
          </cell>
          <cell r="C3596" t="str">
            <v>DRESSER PLAN 415112 TYPE 1900P-2 MODEL 1905-OOPC-2-CC-MS-31-RF-LA DN4"S 150RF x 6" S 150RF PRESSION DE TARAGE 4 Bar SERIE CO7594</v>
          </cell>
          <cell r="D3596" t="str">
            <v>PE</v>
          </cell>
          <cell r="E3596" t="str">
            <v>512.51201</v>
          </cell>
          <cell r="F3596">
            <v>45920</v>
          </cell>
          <cell r="G3596">
            <v>0</v>
          </cell>
          <cell r="H3596">
            <v>0</v>
          </cell>
          <cell r="I3596">
            <v>0</v>
          </cell>
          <cell r="J3596">
            <v>1</v>
          </cell>
          <cell r="K3596">
            <v>0</v>
          </cell>
          <cell r="L3596">
            <v>0</v>
          </cell>
        </row>
        <row r="3597">
          <cell r="A3597" t="str">
            <v>20498.01836</v>
          </cell>
          <cell r="B3597" t="str">
            <v>CAPTEUR DE VITESSE</v>
          </cell>
          <cell r="C3597" t="str">
            <v>SCHENCK FGA 20 RSLE EN ZINC</v>
          </cell>
          <cell r="D3597" t="str">
            <v>PE</v>
          </cell>
          <cell r="E3597" t="str">
            <v>512.51201</v>
          </cell>
          <cell r="F3597">
            <v>8100</v>
          </cell>
          <cell r="G3597">
            <v>0</v>
          </cell>
          <cell r="H3597">
            <v>0</v>
          </cell>
          <cell r="I3597">
            <v>0</v>
          </cell>
          <cell r="J3597">
            <v>0</v>
          </cell>
          <cell r="K3597">
            <v>0</v>
          </cell>
          <cell r="L3597">
            <v>0</v>
          </cell>
        </row>
        <row r="3598">
          <cell r="A3598" t="str">
            <v>20498.02594</v>
          </cell>
          <cell r="B3598" t="str">
            <v>CAPTEUR TEMPERATURE</v>
          </cell>
          <cell r="C3598" t="str">
            <v>CMR MP10 CCN 400 M12 F1E</v>
          </cell>
          <cell r="D3598" t="str">
            <v>PE</v>
          </cell>
          <cell r="E3598" t="str">
            <v>00.00</v>
          </cell>
          <cell r="F3598">
            <v>1760</v>
          </cell>
          <cell r="G3598">
            <v>0</v>
          </cell>
          <cell r="H3598">
            <v>0</v>
          </cell>
          <cell r="I3598">
            <v>0</v>
          </cell>
          <cell r="J3598">
            <v>0</v>
          </cell>
          <cell r="K3598">
            <v>0</v>
          </cell>
          <cell r="L3598">
            <v>0</v>
          </cell>
        </row>
        <row r="3599">
          <cell r="A3599" t="str">
            <v>20497.13112</v>
          </cell>
          <cell r="B3599" t="str">
            <v>ANNEAU D'USURE</v>
          </cell>
          <cell r="C3599" t="str">
            <v>FL SMIDTH KREBS MILLMAX TYPE : MM200C43U REF: MM200-083-00001</v>
          </cell>
          <cell r="D3599" t="str">
            <v>PE</v>
          </cell>
          <cell r="E3599" t="str">
            <v>515.51517</v>
          </cell>
          <cell r="F3599">
            <v>8931.9951999999994</v>
          </cell>
          <cell r="G3599">
            <v>0</v>
          </cell>
          <cell r="H3599">
            <v>0</v>
          </cell>
          <cell r="I3599">
            <v>0</v>
          </cell>
          <cell r="J3599">
            <v>0</v>
          </cell>
          <cell r="K3599">
            <v>0</v>
          </cell>
          <cell r="L3599">
            <v>2</v>
          </cell>
        </row>
        <row r="3600">
          <cell r="A3600" t="str">
            <v>20498.02510</v>
          </cell>
          <cell r="B3600" t="str">
            <v>THERMOCOUPLE AVEC DOIGT DE GANT</v>
          </cell>
          <cell r="C3600" t="str">
            <v>PYROCONTROLE PLAN N° 10 LONG 254mm</v>
          </cell>
          <cell r="D3600" t="str">
            <v>PE</v>
          </cell>
          <cell r="E3600" t="str">
            <v>512.51201</v>
          </cell>
          <cell r="F3600">
            <v>4056.1314000000002</v>
          </cell>
          <cell r="G3600">
            <v>1</v>
          </cell>
          <cell r="H3600">
            <v>2</v>
          </cell>
          <cell r="I3600">
            <v>0</v>
          </cell>
          <cell r="J3600">
            <v>0</v>
          </cell>
          <cell r="K3600">
            <v>0</v>
          </cell>
          <cell r="L3600">
            <v>2</v>
          </cell>
        </row>
        <row r="3601">
          <cell r="A3601" t="str">
            <v>20498.02611</v>
          </cell>
          <cell r="B3601" t="str">
            <v>THERMOCOUPLE AVEC DOIGT DE GANT</v>
          </cell>
          <cell r="C3601" t="str">
            <v>PYROCONTROLE PLAN N° 10 LONG 356mm</v>
          </cell>
          <cell r="D3601" t="str">
            <v>PE</v>
          </cell>
          <cell r="E3601" t="str">
            <v>512.51201</v>
          </cell>
          <cell r="F3601">
            <v>3635.28</v>
          </cell>
          <cell r="G3601">
            <v>0</v>
          </cell>
          <cell r="H3601">
            <v>0</v>
          </cell>
          <cell r="I3601">
            <v>0</v>
          </cell>
          <cell r="J3601">
            <v>0</v>
          </cell>
          <cell r="K3601">
            <v>0</v>
          </cell>
          <cell r="L3601">
            <v>1</v>
          </cell>
        </row>
        <row r="3602">
          <cell r="A3602" t="str">
            <v>20498.02612</v>
          </cell>
          <cell r="B3602" t="str">
            <v>THERMOCOUPLE AVEC DOIGT DE GANT</v>
          </cell>
          <cell r="C3602" t="str">
            <v>PYROCONTROLE PLAN N° 10 LONG 356mm RECCORDEMENT 1"1/2 AINSI 900 RF FLG</v>
          </cell>
          <cell r="D3602" t="str">
            <v>PE</v>
          </cell>
          <cell r="E3602" t="str">
            <v>512.51201</v>
          </cell>
          <cell r="F3602">
            <v>6028.6498000000001</v>
          </cell>
          <cell r="G3602">
            <v>0</v>
          </cell>
          <cell r="H3602">
            <v>0</v>
          </cell>
          <cell r="I3602">
            <v>0</v>
          </cell>
          <cell r="J3602">
            <v>0</v>
          </cell>
          <cell r="K3602">
            <v>0</v>
          </cell>
          <cell r="L3602">
            <v>2</v>
          </cell>
        </row>
        <row r="3603">
          <cell r="A3603" t="str">
            <v>20498.02616</v>
          </cell>
          <cell r="B3603" t="str">
            <v>THERMOCOUPLE AVEC DOIGT DE GANT</v>
          </cell>
          <cell r="C3603" t="str">
            <v>PYROCONTROLE PLAN N° 10 LONG 356mm RECCORDEMENT 3/4" 150 RF</v>
          </cell>
          <cell r="D3603" t="str">
            <v>PE</v>
          </cell>
          <cell r="E3603" t="str">
            <v>512.51201</v>
          </cell>
          <cell r="F3603">
            <v>5525</v>
          </cell>
          <cell r="G3603">
            <v>0</v>
          </cell>
          <cell r="H3603">
            <v>0</v>
          </cell>
          <cell r="I3603">
            <v>1</v>
          </cell>
          <cell r="J3603">
            <v>1</v>
          </cell>
          <cell r="K3603">
            <v>0</v>
          </cell>
          <cell r="L3603">
            <v>0</v>
          </cell>
        </row>
        <row r="3604">
          <cell r="A3604" t="str">
            <v>20497.10743</v>
          </cell>
          <cell r="B3604" t="str">
            <v>SEGMENT DE PISTON</v>
          </cell>
          <cell r="C3604" t="str">
            <v>WARMAN E108-G02  TYPE 8/6 E-AH</v>
          </cell>
          <cell r="D3604" t="str">
            <v>PE</v>
          </cell>
          <cell r="E3604" t="str">
            <v>515.51517</v>
          </cell>
          <cell r="F3604">
            <v>141.0121</v>
          </cell>
          <cell r="G3604">
            <v>0</v>
          </cell>
          <cell r="H3604">
            <v>0</v>
          </cell>
          <cell r="I3604">
            <v>0</v>
          </cell>
          <cell r="J3604">
            <v>0</v>
          </cell>
          <cell r="K3604">
            <v>0</v>
          </cell>
          <cell r="L3604">
            <v>4</v>
          </cell>
        </row>
        <row r="3605">
          <cell r="A3605" t="str">
            <v>20499.00646</v>
          </cell>
          <cell r="B3605" t="str">
            <v>MANCHON COMPENSATEUR ELASTOMERE</v>
          </cell>
          <cell r="C3605" t="str">
            <v xml:space="preserve">STENFLEX TYPE A-1- ANSI B.16.5-150LB   DN100   LONG 150MM   ENTAXE 190,5MM   PRESSION DE SERVICE 16 BARS   TEMPERATURE 90°C    BRIDES EN ACIER E24-2 ZINGUE PERCEES SELON ANSI B.16.5  </v>
          </cell>
          <cell r="D3605" t="str">
            <v>PE</v>
          </cell>
          <cell r="E3605" t="str">
            <v>522.52207</v>
          </cell>
          <cell r="F3605">
            <v>855</v>
          </cell>
          <cell r="G3605">
            <v>0</v>
          </cell>
          <cell r="H3605">
            <v>2</v>
          </cell>
          <cell r="I3605">
            <v>0</v>
          </cell>
          <cell r="J3605">
            <v>0</v>
          </cell>
          <cell r="K3605">
            <v>0</v>
          </cell>
          <cell r="L3605">
            <v>2</v>
          </cell>
        </row>
        <row r="3606">
          <cell r="A3606" t="str">
            <v>20497.10571</v>
          </cell>
          <cell r="B3606" t="str">
            <v>HUILEUR A NIVEAU CONSTANT</v>
          </cell>
          <cell r="C3606" t="str">
            <v>SULZER TYPE A 32-80 SERIE 100038243/100038244/100038245 REP638,31</v>
          </cell>
          <cell r="D3606" t="str">
            <v>PE</v>
          </cell>
          <cell r="E3606" t="str">
            <v>515.51505</v>
          </cell>
          <cell r="F3606">
            <v>335.75119999999998</v>
          </cell>
          <cell r="G3606">
            <v>0</v>
          </cell>
          <cell r="H3606">
            <v>0</v>
          </cell>
          <cell r="I3606">
            <v>0</v>
          </cell>
          <cell r="J3606">
            <v>0</v>
          </cell>
          <cell r="K3606">
            <v>0</v>
          </cell>
          <cell r="L3606">
            <v>3</v>
          </cell>
        </row>
        <row r="3607">
          <cell r="A3607" t="str">
            <v>20497.10573</v>
          </cell>
          <cell r="B3607" t="str">
            <v>ECROU DE ROULEMENT</v>
          </cell>
          <cell r="C3607" t="str">
            <v>SULZER TYPE A 32-80 SERIE 100038243/100038244/100038245 REP923,31</v>
          </cell>
          <cell r="D3607" t="str">
            <v>PE</v>
          </cell>
          <cell r="E3607" t="str">
            <v>515.51505</v>
          </cell>
          <cell r="F3607">
            <v>203.5241</v>
          </cell>
          <cell r="G3607">
            <v>0</v>
          </cell>
          <cell r="H3607">
            <v>0</v>
          </cell>
          <cell r="I3607">
            <v>0</v>
          </cell>
          <cell r="J3607">
            <v>0</v>
          </cell>
          <cell r="K3607">
            <v>0</v>
          </cell>
          <cell r="L3607">
            <v>5</v>
          </cell>
        </row>
        <row r="3608">
          <cell r="A3608" t="str">
            <v>20497.10574</v>
          </cell>
          <cell r="B3608" t="str">
            <v>RONDELLE DE SECURITE</v>
          </cell>
          <cell r="C3608" t="str">
            <v>SULZER TYPE A 32-80 SERIE 100038243/100038244/100038245 REP931,31</v>
          </cell>
          <cell r="D3608" t="str">
            <v>PE</v>
          </cell>
          <cell r="E3608" t="str">
            <v>515.51505</v>
          </cell>
          <cell r="F3608">
            <v>113.0689</v>
          </cell>
          <cell r="G3608">
            <v>0</v>
          </cell>
          <cell r="H3608">
            <v>0</v>
          </cell>
          <cell r="I3608">
            <v>2</v>
          </cell>
          <cell r="J3608">
            <v>0</v>
          </cell>
          <cell r="K3608">
            <v>0</v>
          </cell>
          <cell r="L3608">
            <v>2</v>
          </cell>
        </row>
        <row r="3609">
          <cell r="A3609" t="str">
            <v>20497.10575</v>
          </cell>
          <cell r="B3609" t="str">
            <v>COUVERCLE DE PALIER</v>
          </cell>
          <cell r="C3609" t="str">
            <v>SULZER TYPE A 32-80 SERIE 100038243/100038244/100038245 REP360,31</v>
          </cell>
          <cell r="D3609" t="str">
            <v>PE</v>
          </cell>
          <cell r="E3609" t="str">
            <v>515.51505</v>
          </cell>
          <cell r="F3609">
            <v>4308.2061000000003</v>
          </cell>
          <cell r="G3609">
            <v>0</v>
          </cell>
          <cell r="H3609">
            <v>0</v>
          </cell>
          <cell r="I3609">
            <v>0</v>
          </cell>
          <cell r="J3609">
            <v>0</v>
          </cell>
          <cell r="K3609">
            <v>0</v>
          </cell>
          <cell r="L3609">
            <v>3</v>
          </cell>
        </row>
        <row r="3610">
          <cell r="A3610" t="str">
            <v>20497.10576</v>
          </cell>
          <cell r="B3610" t="str">
            <v>CLAVETTE</v>
          </cell>
          <cell r="C3610" t="str">
            <v>SULZER TYPE A 32-80 SERIE 100038243/100038244/100038245 REP940,31</v>
          </cell>
          <cell r="D3610" t="str">
            <v>PE</v>
          </cell>
          <cell r="E3610" t="str">
            <v>515.51505</v>
          </cell>
          <cell r="F3610">
            <v>113.0111</v>
          </cell>
          <cell r="G3610">
            <v>0</v>
          </cell>
          <cell r="H3610">
            <v>0</v>
          </cell>
          <cell r="I3610">
            <v>0</v>
          </cell>
          <cell r="J3610">
            <v>0</v>
          </cell>
          <cell r="K3610">
            <v>0</v>
          </cell>
          <cell r="L3610">
            <v>4</v>
          </cell>
        </row>
        <row r="3611">
          <cell r="A3611" t="str">
            <v>20497.10577</v>
          </cell>
          <cell r="B3611" t="str">
            <v>JEU DE VISSERIE VIS DE ROUEVIS DE REGLAGE</v>
          </cell>
          <cell r="C3611" t="str">
            <v>SULZER TYPE A 32-80 SERIE 100038243/100038244/100038245 REPSANS</v>
          </cell>
          <cell r="D3611" t="str">
            <v>PE</v>
          </cell>
          <cell r="E3611" t="str">
            <v>515.51505</v>
          </cell>
          <cell r="F3611">
            <v>15850.689</v>
          </cell>
          <cell r="G3611">
            <v>0</v>
          </cell>
          <cell r="H3611">
            <v>0</v>
          </cell>
          <cell r="I3611">
            <v>0</v>
          </cell>
          <cell r="J3611">
            <v>0</v>
          </cell>
          <cell r="K3611">
            <v>0</v>
          </cell>
          <cell r="L3611">
            <v>2</v>
          </cell>
        </row>
        <row r="3612">
          <cell r="A3612" t="str">
            <v>20497.10578</v>
          </cell>
          <cell r="B3612" t="str">
            <v>VOYANT D'HUILE</v>
          </cell>
          <cell r="C3612" t="str">
            <v>SULZER TYPE A 32-80 SERIE 100038243/100038244/100038245 REP642,31</v>
          </cell>
          <cell r="D3612" t="str">
            <v>PE</v>
          </cell>
          <cell r="E3612" t="str">
            <v>515.51505</v>
          </cell>
          <cell r="F3612">
            <v>144.34209999999999</v>
          </cell>
          <cell r="G3612">
            <v>0</v>
          </cell>
          <cell r="H3612">
            <v>0</v>
          </cell>
          <cell r="I3612">
            <v>0</v>
          </cell>
          <cell r="J3612">
            <v>0</v>
          </cell>
          <cell r="K3612">
            <v>0</v>
          </cell>
          <cell r="L3612">
            <v>4</v>
          </cell>
        </row>
        <row r="3613">
          <cell r="A3613" t="str">
            <v>20497.10579</v>
          </cell>
          <cell r="B3613" t="str">
            <v>CORPS DE POMPE</v>
          </cell>
          <cell r="C3613" t="str">
            <v>SULZER TYPE A 22-50 SERIE 100038250/100038251/100038252/100038253/100038254 REP102,11</v>
          </cell>
          <cell r="D3613" t="str">
            <v>PE</v>
          </cell>
          <cell r="E3613" t="str">
            <v>515.51505</v>
          </cell>
          <cell r="F3613">
            <v>78086.814199999993</v>
          </cell>
          <cell r="G3613">
            <v>0</v>
          </cell>
          <cell r="H3613">
            <v>0</v>
          </cell>
          <cell r="I3613">
            <v>0</v>
          </cell>
          <cell r="J3613">
            <v>0</v>
          </cell>
          <cell r="K3613">
            <v>0</v>
          </cell>
          <cell r="L3613">
            <v>2</v>
          </cell>
        </row>
        <row r="3614">
          <cell r="A3614" t="str">
            <v>20497.10580</v>
          </cell>
          <cell r="B3614" t="str">
            <v>PLAQUE LATERALE</v>
          </cell>
          <cell r="C3614" t="str">
            <v>SULZER TYPE A 22-50 SERIE 100038250/100038251/100038252/100038253/100038254 REP135,11</v>
          </cell>
          <cell r="D3614" t="str">
            <v>PE</v>
          </cell>
          <cell r="E3614" t="str">
            <v>515.51505</v>
          </cell>
          <cell r="F3614">
            <v>19538.368999999999</v>
          </cell>
          <cell r="G3614">
            <v>0</v>
          </cell>
          <cell r="H3614">
            <v>1</v>
          </cell>
          <cell r="I3614">
            <v>0</v>
          </cell>
          <cell r="J3614">
            <v>0</v>
          </cell>
          <cell r="K3614">
            <v>0</v>
          </cell>
          <cell r="L3614">
            <v>2</v>
          </cell>
        </row>
        <row r="3615">
          <cell r="A3615" t="str">
            <v>20497.10581</v>
          </cell>
          <cell r="B3615" t="str">
            <v>COUVERCLE DE CORPS</v>
          </cell>
          <cell r="C3615" t="str">
            <v>SULZER TYPE A 22-50 SERIE 100038250/100038251/100038252/100038253/100038254 REP161,21</v>
          </cell>
          <cell r="D3615" t="str">
            <v>PE</v>
          </cell>
          <cell r="E3615" t="str">
            <v>515.51505</v>
          </cell>
          <cell r="F3615">
            <v>34441.605199999998</v>
          </cell>
          <cell r="G3615">
            <v>0</v>
          </cell>
          <cell r="H3615">
            <v>0</v>
          </cell>
          <cell r="I3615">
            <v>0</v>
          </cell>
          <cell r="J3615">
            <v>0</v>
          </cell>
          <cell r="K3615">
            <v>0</v>
          </cell>
          <cell r="L3615">
            <v>3</v>
          </cell>
        </row>
        <row r="3616">
          <cell r="A3616" t="str">
            <v>20497.12532</v>
          </cell>
          <cell r="B3616" t="str">
            <v>DEFLECTEUR</v>
          </cell>
          <cell r="C3616" t="str">
            <v>GOULDS PUMPS IC-125-80-200 S1 VV  1A SERIE I 601E 34/35 REP 507</v>
          </cell>
          <cell r="D3616" t="str">
            <v>PE</v>
          </cell>
          <cell r="E3616" t="str">
            <v>515.51517</v>
          </cell>
          <cell r="F3616">
            <v>1709.67</v>
          </cell>
          <cell r="G3616">
            <v>0</v>
          </cell>
          <cell r="H3616">
            <v>0</v>
          </cell>
          <cell r="I3616">
            <v>0</v>
          </cell>
          <cell r="J3616">
            <v>0</v>
          </cell>
          <cell r="K3616">
            <v>0</v>
          </cell>
          <cell r="L3616">
            <v>1</v>
          </cell>
        </row>
        <row r="3617">
          <cell r="A3617" t="str">
            <v>20497.10582</v>
          </cell>
          <cell r="B3617" t="str">
            <v>ARBRE</v>
          </cell>
          <cell r="C3617" t="str">
            <v>SULZER TYPE A 22-50 SERIE 100038250/100038251/100038252/100038253/100038254 REP210,31</v>
          </cell>
          <cell r="D3617" t="str">
            <v>PE</v>
          </cell>
          <cell r="E3617" t="str">
            <v>515.51505</v>
          </cell>
          <cell r="F3617">
            <v>10471.941000000001</v>
          </cell>
          <cell r="G3617">
            <v>0</v>
          </cell>
          <cell r="H3617">
            <v>1</v>
          </cell>
          <cell r="I3617">
            <v>0</v>
          </cell>
          <cell r="J3617">
            <v>0</v>
          </cell>
          <cell r="K3617">
            <v>2</v>
          </cell>
          <cell r="L3617">
            <v>0</v>
          </cell>
        </row>
        <row r="3618">
          <cell r="A3618" t="str">
            <v>20497.10583</v>
          </cell>
          <cell r="B3618" t="str">
            <v>ROUE</v>
          </cell>
          <cell r="C3618" t="str">
            <v>SULZER TYPE A 22-50 SERIE 100038250/100038251/100038252/100038253/100038254 REP230,11</v>
          </cell>
          <cell r="D3618" t="str">
            <v>PE</v>
          </cell>
          <cell r="E3618" t="str">
            <v>515.51505</v>
          </cell>
          <cell r="F3618">
            <v>40874.202700000002</v>
          </cell>
          <cell r="G3618">
            <v>0</v>
          </cell>
          <cell r="H3618">
            <v>1</v>
          </cell>
          <cell r="I3618">
            <v>1</v>
          </cell>
          <cell r="J3618">
            <v>0</v>
          </cell>
          <cell r="K3618">
            <v>0</v>
          </cell>
          <cell r="L3618">
            <v>1</v>
          </cell>
        </row>
        <row r="3619">
          <cell r="A3619" t="str">
            <v>20497.12533</v>
          </cell>
          <cell r="B3619" t="str">
            <v>BOUCHON</v>
          </cell>
          <cell r="C3619" t="str">
            <v>GOULDS PUMPS IC-125-80-200 S1 VV  1A SERIE I 601E 34/35 REP 903.51</v>
          </cell>
          <cell r="D3619" t="str">
            <v>PE</v>
          </cell>
          <cell r="E3619" t="str">
            <v>515.51517</v>
          </cell>
          <cell r="F3619">
            <v>974.51</v>
          </cell>
          <cell r="G3619">
            <v>0</v>
          </cell>
          <cell r="H3619">
            <v>0</v>
          </cell>
          <cell r="I3619">
            <v>0</v>
          </cell>
          <cell r="J3619">
            <v>0</v>
          </cell>
          <cell r="K3619">
            <v>0</v>
          </cell>
          <cell r="L3619">
            <v>1</v>
          </cell>
        </row>
        <row r="3620">
          <cell r="A3620" t="str">
            <v>20497.10584</v>
          </cell>
          <cell r="B3620" t="str">
            <v>JEU DE JOINTS</v>
          </cell>
          <cell r="C3620" t="str">
            <v>SULZER TYPE A 22-50 SERIE 100038250/100038251/100038252/100038253/100038254 REP400,21/410,21/412,11/412,12/412,14/412,21</v>
          </cell>
          <cell r="D3620" t="str">
            <v>PE</v>
          </cell>
          <cell r="E3620" t="str">
            <v>515.51505</v>
          </cell>
          <cell r="F3620">
            <v>1188.6514999999999</v>
          </cell>
          <cell r="G3620">
            <v>0</v>
          </cell>
          <cell r="H3620">
            <v>0</v>
          </cell>
          <cell r="I3620">
            <v>1</v>
          </cell>
          <cell r="J3620">
            <v>0</v>
          </cell>
          <cell r="K3620">
            <v>4</v>
          </cell>
          <cell r="L3620">
            <v>2</v>
          </cell>
        </row>
        <row r="3621">
          <cell r="A3621" t="str">
            <v>20492.13156</v>
          </cell>
          <cell r="B3621" t="str">
            <v>BUSE EN PPH POUR PULVERISATEUR DE CONDENSEUR FILTRE</v>
          </cell>
          <cell r="C3621" t="str">
            <v>LECHLER   421.606.53 PLAN 061205SC04  REP 2</v>
          </cell>
          <cell r="D3621" t="str">
            <v>PE</v>
          </cell>
          <cell r="E3621" t="str">
            <v>515.51502</v>
          </cell>
          <cell r="F3621">
            <v>15096.811100000001</v>
          </cell>
          <cell r="G3621">
            <v>0</v>
          </cell>
          <cell r="H3621">
            <v>0</v>
          </cell>
          <cell r="I3621">
            <v>0</v>
          </cell>
          <cell r="J3621">
            <v>0</v>
          </cell>
          <cell r="K3621">
            <v>0</v>
          </cell>
          <cell r="L3621">
            <v>0</v>
          </cell>
        </row>
        <row r="3622">
          <cell r="A3622" t="str">
            <v>20497.10585</v>
          </cell>
          <cell r="B3622" t="str">
            <v>BAGUE D'ETANCHEITE</v>
          </cell>
          <cell r="C3622" t="str">
            <v>SULZER TYPE A 22-50 SERIE 100038250/100038251/100038252/100038253/100038254 REP411,21</v>
          </cell>
          <cell r="D3622" t="str">
            <v>PE</v>
          </cell>
          <cell r="E3622" t="str">
            <v>515.51505</v>
          </cell>
          <cell r="F3622">
            <v>552.18020000000001</v>
          </cell>
          <cell r="G3622">
            <v>0</v>
          </cell>
          <cell r="H3622">
            <v>0</v>
          </cell>
          <cell r="I3622">
            <v>1</v>
          </cell>
          <cell r="J3622">
            <v>0</v>
          </cell>
          <cell r="K3622">
            <v>1</v>
          </cell>
          <cell r="L3622">
            <v>3</v>
          </cell>
        </row>
        <row r="3623">
          <cell r="A3623" t="str">
            <v>20497.12534</v>
          </cell>
          <cell r="B3623" t="str">
            <v>GARNITURE MECANIQUE</v>
          </cell>
          <cell r="C3623" t="str">
            <v>GOULDS PUMPS IC-125-100-200 S1 VV  1A SERIE I 601E 36/37 REP 433</v>
          </cell>
          <cell r="D3623" t="str">
            <v>PE</v>
          </cell>
          <cell r="E3623" t="str">
            <v>515.51517</v>
          </cell>
          <cell r="F3623">
            <v>10136.24</v>
          </cell>
          <cell r="G3623">
            <v>0</v>
          </cell>
          <cell r="H3623">
            <v>0</v>
          </cell>
          <cell r="I3623">
            <v>0</v>
          </cell>
          <cell r="J3623">
            <v>0</v>
          </cell>
          <cell r="K3623">
            <v>0</v>
          </cell>
          <cell r="L3623">
            <v>2</v>
          </cell>
        </row>
        <row r="3624">
          <cell r="A3624" t="str">
            <v>20497.10586</v>
          </cell>
          <cell r="B3624" t="str">
            <v>BAGUE D'ETANCHEITE</v>
          </cell>
          <cell r="C3624" t="str">
            <v>SULZER TYPE A 22-50 SERIE 100038250/100038251/100038252/100038253/100038254 REP411,31</v>
          </cell>
          <cell r="D3624" t="str">
            <v>PE</v>
          </cell>
          <cell r="E3624" t="str">
            <v>515.51505</v>
          </cell>
          <cell r="F3624">
            <v>60.349699999999999</v>
          </cell>
          <cell r="G3624">
            <v>0</v>
          </cell>
          <cell r="H3624">
            <v>0</v>
          </cell>
          <cell r="I3624">
            <v>1</v>
          </cell>
          <cell r="J3624">
            <v>0</v>
          </cell>
          <cell r="K3624">
            <v>2</v>
          </cell>
          <cell r="L3624">
            <v>3</v>
          </cell>
        </row>
        <row r="3625">
          <cell r="A3625" t="str">
            <v>20497.10587</v>
          </cell>
          <cell r="B3625" t="str">
            <v>BAGUE LABYRINTHE</v>
          </cell>
          <cell r="C3625" t="str">
            <v>SULZER TYPE A 22-50 SERIE 100038250/100038251/100038252/100038253/100038254 REP423,31</v>
          </cell>
          <cell r="D3625" t="str">
            <v>PE</v>
          </cell>
          <cell r="E3625" t="str">
            <v>515.51505</v>
          </cell>
          <cell r="F3625">
            <v>620.16600000000005</v>
          </cell>
          <cell r="G3625">
            <v>0</v>
          </cell>
          <cell r="H3625">
            <v>0</v>
          </cell>
          <cell r="I3625">
            <v>1</v>
          </cell>
          <cell r="J3625">
            <v>0</v>
          </cell>
          <cell r="K3625">
            <v>5</v>
          </cell>
          <cell r="L3625">
            <v>2</v>
          </cell>
        </row>
        <row r="3626">
          <cell r="A3626" t="str">
            <v>20497.12536</v>
          </cell>
          <cell r="B3626" t="str">
            <v>DEFLECTEUR</v>
          </cell>
          <cell r="C3626" t="str">
            <v>GOULDS PUMPS IC-125-100-200 S1 VV  1A SERIE I 601E 36/37 REP 507</v>
          </cell>
          <cell r="D3626" t="str">
            <v>PE</v>
          </cell>
          <cell r="E3626" t="str">
            <v>515.51517</v>
          </cell>
          <cell r="F3626">
            <v>1709.67</v>
          </cell>
          <cell r="G3626">
            <v>0</v>
          </cell>
          <cell r="H3626">
            <v>0</v>
          </cell>
          <cell r="I3626">
            <v>0</v>
          </cell>
          <cell r="J3626">
            <v>0</v>
          </cell>
          <cell r="K3626">
            <v>0</v>
          </cell>
          <cell r="L3626">
            <v>1</v>
          </cell>
        </row>
        <row r="3627">
          <cell r="A3627" t="str">
            <v>20498.02788</v>
          </cell>
          <cell r="B3627" t="str">
            <v>ELECTROVANNE</v>
          </cell>
          <cell r="C3627" t="str">
            <v>BURKERT TYPE 0330  REF: 124 937</v>
          </cell>
          <cell r="D3627" t="str">
            <v>PE</v>
          </cell>
          <cell r="E3627" t="str">
            <v>512.51201</v>
          </cell>
          <cell r="F3627">
            <v>1812.1097</v>
          </cell>
          <cell r="G3627">
            <v>0</v>
          </cell>
          <cell r="H3627">
            <v>0</v>
          </cell>
          <cell r="I3627">
            <v>0</v>
          </cell>
          <cell r="J3627">
            <v>0</v>
          </cell>
          <cell r="K3627">
            <v>4</v>
          </cell>
          <cell r="L3627">
            <v>0</v>
          </cell>
        </row>
        <row r="3628">
          <cell r="A3628" t="str">
            <v>20497.12484</v>
          </cell>
          <cell r="B3628" t="str">
            <v>PRESSE ETOUPE</v>
          </cell>
          <cell r="C3628" t="str">
            <v>GOULDS PUMPS VIT-CATM TS10X14RHMC (4ETAGES) SERIE 513368.1/2 REP 618</v>
          </cell>
          <cell r="D3628" t="str">
            <v>PE</v>
          </cell>
          <cell r="E3628" t="str">
            <v>515.51517</v>
          </cell>
          <cell r="F3628">
            <v>7548</v>
          </cell>
          <cell r="G3628">
            <v>0</v>
          </cell>
          <cell r="H3628">
            <v>0</v>
          </cell>
          <cell r="I3628">
            <v>0</v>
          </cell>
          <cell r="J3628">
            <v>0</v>
          </cell>
          <cell r="K3628">
            <v>0</v>
          </cell>
          <cell r="L3628">
            <v>1</v>
          </cell>
        </row>
        <row r="3629">
          <cell r="A3629" t="str">
            <v>20498.02789</v>
          </cell>
          <cell r="B3629" t="str">
            <v>ELECTROVANNE</v>
          </cell>
          <cell r="C3629" t="str">
            <v>BURKERT TYPE 0330  REF: 024 563</v>
          </cell>
          <cell r="D3629" t="str">
            <v>PE</v>
          </cell>
          <cell r="E3629" t="str">
            <v>512.51201</v>
          </cell>
          <cell r="F3629">
            <v>1812.1097</v>
          </cell>
          <cell r="G3629">
            <v>0</v>
          </cell>
          <cell r="H3629">
            <v>0</v>
          </cell>
          <cell r="I3629">
            <v>0</v>
          </cell>
          <cell r="J3629">
            <v>0</v>
          </cell>
          <cell r="K3629">
            <v>4</v>
          </cell>
          <cell r="L3629">
            <v>0</v>
          </cell>
        </row>
        <row r="3630">
          <cell r="A3630" t="str">
            <v>20497.10839</v>
          </cell>
          <cell r="B3630" t="str">
            <v>TOURELLE</v>
          </cell>
          <cell r="C3630" t="str">
            <v>MILTON ROY MIXING TYPE G5,220-110/53,6 PLAN 17237-5 REP2010</v>
          </cell>
          <cell r="D3630" t="str">
            <v>PE</v>
          </cell>
          <cell r="E3630" t="str">
            <v>515.51514</v>
          </cell>
          <cell r="F3630">
            <v>234700.27489999999</v>
          </cell>
          <cell r="G3630">
            <v>0</v>
          </cell>
          <cell r="H3630">
            <v>0</v>
          </cell>
          <cell r="I3630">
            <v>0</v>
          </cell>
          <cell r="J3630">
            <v>0</v>
          </cell>
          <cell r="K3630">
            <v>0</v>
          </cell>
          <cell r="L3630">
            <v>0</v>
          </cell>
        </row>
        <row r="3631">
          <cell r="A3631" t="str">
            <v>20497.12513</v>
          </cell>
          <cell r="B3631" t="str">
            <v>ECROU DE ROUE</v>
          </cell>
          <cell r="C3631" t="str">
            <v>GOULDS PUMPS IC-100-65-200 S1 VV  1A SERIE I 601E 25/26/27 REP 922</v>
          </cell>
          <cell r="D3631" t="str">
            <v>PE</v>
          </cell>
          <cell r="E3631" t="str">
            <v>515.51517</v>
          </cell>
          <cell r="F3631">
            <v>2059.85</v>
          </cell>
          <cell r="G3631">
            <v>0</v>
          </cell>
          <cell r="H3631">
            <v>0</v>
          </cell>
          <cell r="I3631">
            <v>0</v>
          </cell>
          <cell r="J3631">
            <v>0</v>
          </cell>
          <cell r="K3631">
            <v>0</v>
          </cell>
          <cell r="L3631">
            <v>2</v>
          </cell>
        </row>
        <row r="3632">
          <cell r="A3632" t="str">
            <v>20497.10840</v>
          </cell>
          <cell r="B3632" t="str">
            <v>COUVERCLE SUPERIEUR DE PALIER GUIDE</v>
          </cell>
          <cell r="C3632" t="str">
            <v>MILTON ROY MIXING TYPE G5,220-110/53,6 PLAN 17237-5 REP2120</v>
          </cell>
          <cell r="D3632" t="str">
            <v>PE</v>
          </cell>
          <cell r="E3632" t="str">
            <v>515.51514</v>
          </cell>
          <cell r="F3632">
            <v>6287.0487000000003</v>
          </cell>
          <cell r="G3632">
            <v>0</v>
          </cell>
          <cell r="H3632">
            <v>0</v>
          </cell>
          <cell r="I3632">
            <v>0</v>
          </cell>
          <cell r="J3632">
            <v>0</v>
          </cell>
          <cell r="K3632">
            <v>0</v>
          </cell>
          <cell r="L3632">
            <v>2</v>
          </cell>
        </row>
        <row r="3633">
          <cell r="A3633" t="str">
            <v>20497.10841</v>
          </cell>
          <cell r="B3633" t="str">
            <v>COUVERCLE INFERIEUR DE PALIER GUIDE</v>
          </cell>
          <cell r="C3633" t="str">
            <v>MILTON ROY MIXING TYPE G5,220-110/53,6 PLAN 17237-5 REP2180</v>
          </cell>
          <cell r="D3633" t="str">
            <v>PE</v>
          </cell>
          <cell r="E3633" t="str">
            <v>515.51514</v>
          </cell>
          <cell r="F3633">
            <v>11279.939</v>
          </cell>
          <cell r="G3633">
            <v>0</v>
          </cell>
          <cell r="H3633">
            <v>0</v>
          </cell>
          <cell r="I3633">
            <v>0</v>
          </cell>
          <cell r="J3633">
            <v>0</v>
          </cell>
          <cell r="K3633">
            <v>0</v>
          </cell>
          <cell r="L3633">
            <v>2</v>
          </cell>
        </row>
        <row r="3634">
          <cell r="A3634" t="str">
            <v>20499.00647</v>
          </cell>
          <cell r="B3634" t="str">
            <v>MANCHON COMPENSATEUR ELASTOMERE</v>
          </cell>
          <cell r="C3634" t="str">
            <v xml:space="preserve">STENFLEX  TYPE A-1- ANSI B.16.5-150LB   DN80   LONG150MM   ENTAXE152,4MM   PRESSION DE SEVICE 16 BARS   TEMPERATURE 90°C   BRIDES EN ACIER E24-2 ZINGUE PERCEES SELON ANSI B.16.5 </v>
          </cell>
          <cell r="D3634" t="str">
            <v>PE</v>
          </cell>
          <cell r="E3634" t="str">
            <v>522.52207</v>
          </cell>
          <cell r="F3634">
            <v>1376</v>
          </cell>
          <cell r="G3634">
            <v>0</v>
          </cell>
          <cell r="H3634">
            <v>4</v>
          </cell>
          <cell r="I3634">
            <v>4</v>
          </cell>
          <cell r="J3634">
            <v>0</v>
          </cell>
          <cell r="K3634">
            <v>0</v>
          </cell>
          <cell r="L3634">
            <v>0</v>
          </cell>
        </row>
        <row r="3635">
          <cell r="A3635" t="str">
            <v>20499.00648</v>
          </cell>
          <cell r="B3635" t="str">
            <v>MANCHON COMPENSATEUR ELASTOMERE</v>
          </cell>
          <cell r="C3635" t="str">
            <v>STENFLEX  TYPE A-1- ANSI B.16.5-150LB   DN250   LONG175MM ENTAXE361,9MM   PRESSION DE SERVICE 16 BARS   TEMPERATURE 90°C   BRIDES EN ACIER E24-2 ZINGUE PERCEES SELON ANSI B.16.5</v>
          </cell>
          <cell r="D3635" t="str">
            <v>PE</v>
          </cell>
          <cell r="E3635" t="str">
            <v>522.52207</v>
          </cell>
          <cell r="F3635">
            <v>3774.8321999999998</v>
          </cell>
          <cell r="G3635">
            <v>0</v>
          </cell>
          <cell r="H3635">
            <v>0</v>
          </cell>
          <cell r="I3635">
            <v>0</v>
          </cell>
          <cell r="J3635">
            <v>0</v>
          </cell>
          <cell r="K3635">
            <v>1</v>
          </cell>
          <cell r="L3635">
            <v>2</v>
          </cell>
        </row>
        <row r="3636">
          <cell r="A3636" t="str">
            <v>20499.00041</v>
          </cell>
          <cell r="B3636" t="str">
            <v>ACTUATOR</v>
          </cell>
          <cell r="C3636" t="str">
            <v>IMTECH-KIEKENS  PLAN 2C-20049 REP 90</v>
          </cell>
          <cell r="D3636" t="str">
            <v>PE</v>
          </cell>
          <cell r="E3636" t="str">
            <v>512.51202</v>
          </cell>
          <cell r="F3636">
            <v>86160</v>
          </cell>
          <cell r="G3636">
            <v>0</v>
          </cell>
          <cell r="H3636">
            <v>1</v>
          </cell>
          <cell r="I3636">
            <v>0</v>
          </cell>
          <cell r="J3636">
            <v>0</v>
          </cell>
          <cell r="K3636">
            <v>0</v>
          </cell>
          <cell r="L3636">
            <v>0</v>
          </cell>
        </row>
        <row r="3637">
          <cell r="A3637" t="str">
            <v>20497.10588</v>
          </cell>
          <cell r="B3637" t="str">
            <v>BAGUE LABYRINTHE</v>
          </cell>
          <cell r="C3637" t="str">
            <v>SULZER TYPE A 22-50 SERIE 100038250/100038251/100038252/100038253/100038254 REP423,32</v>
          </cell>
          <cell r="D3637" t="str">
            <v>PE</v>
          </cell>
          <cell r="E3637" t="str">
            <v>515.51505</v>
          </cell>
          <cell r="F3637">
            <v>620.16600000000005</v>
          </cell>
          <cell r="G3637">
            <v>0</v>
          </cell>
          <cell r="H3637">
            <v>0</v>
          </cell>
          <cell r="I3637">
            <v>0</v>
          </cell>
          <cell r="J3637">
            <v>0</v>
          </cell>
          <cell r="K3637">
            <v>0</v>
          </cell>
          <cell r="L3637">
            <v>3</v>
          </cell>
        </row>
        <row r="3638">
          <cell r="A3638" t="str">
            <v>20499.00042</v>
          </cell>
          <cell r="B3638" t="str">
            <v>CYLINDRE SUPERIEUR</v>
          </cell>
          <cell r="C3638" t="str">
            <v>IMTECH-KIEKENS  PLAN 2C-20049 REP 25</v>
          </cell>
          <cell r="D3638" t="str">
            <v>PE</v>
          </cell>
          <cell r="E3638" t="str">
            <v>512.51202</v>
          </cell>
          <cell r="F3638">
            <v>84368</v>
          </cell>
          <cell r="G3638">
            <v>0</v>
          </cell>
          <cell r="H3638">
            <v>1</v>
          </cell>
          <cell r="I3638">
            <v>0</v>
          </cell>
          <cell r="J3638">
            <v>0</v>
          </cell>
          <cell r="K3638">
            <v>0</v>
          </cell>
          <cell r="L3638">
            <v>0</v>
          </cell>
        </row>
        <row r="3639">
          <cell r="A3639" t="str">
            <v>20499.00043</v>
          </cell>
          <cell r="B3639" t="str">
            <v>CAGE</v>
          </cell>
          <cell r="C3639" t="str">
            <v>IMTECH-KIEKENS  PLAN 2C-20049 REP 26</v>
          </cell>
          <cell r="D3639" t="str">
            <v>PE</v>
          </cell>
          <cell r="E3639" t="str">
            <v>512.51202</v>
          </cell>
          <cell r="F3639">
            <v>48479</v>
          </cell>
          <cell r="G3639">
            <v>0</v>
          </cell>
          <cell r="H3639">
            <v>1</v>
          </cell>
          <cell r="I3639">
            <v>0</v>
          </cell>
          <cell r="J3639">
            <v>0</v>
          </cell>
          <cell r="K3639">
            <v>0</v>
          </cell>
          <cell r="L3639">
            <v>0</v>
          </cell>
        </row>
        <row r="3640">
          <cell r="A3640" t="str">
            <v>20497.10589</v>
          </cell>
          <cell r="B3640" t="str">
            <v>HUILEUR A NIVEAU CONSTANT</v>
          </cell>
          <cell r="C3640" t="str">
            <v>SULZER TYPE A 22-50 SERIE 100038250/100038251/100038252/100038253/100038254 REP638,31</v>
          </cell>
          <cell r="D3640" t="str">
            <v>PE</v>
          </cell>
          <cell r="E3640" t="str">
            <v>515.51505</v>
          </cell>
          <cell r="F3640">
            <v>423.8383</v>
          </cell>
          <cell r="G3640">
            <v>0</v>
          </cell>
          <cell r="H3640">
            <v>0</v>
          </cell>
          <cell r="I3640">
            <v>0</v>
          </cell>
          <cell r="J3640">
            <v>0</v>
          </cell>
          <cell r="K3640">
            <v>3</v>
          </cell>
          <cell r="L3640">
            <v>2</v>
          </cell>
        </row>
        <row r="3641">
          <cell r="A3641" t="str">
            <v>20497.10590</v>
          </cell>
          <cell r="B3641" t="str">
            <v>ECROU DE ROULEMENT</v>
          </cell>
          <cell r="C3641" t="str">
            <v>SULZER TYPE A 22-50 SERIE 100038250/100038251/100038252/100038253/100038254 REP923,31</v>
          </cell>
          <cell r="D3641" t="str">
            <v>PE</v>
          </cell>
          <cell r="E3641" t="str">
            <v>515.51505</v>
          </cell>
          <cell r="F3641">
            <v>180.86920000000001</v>
          </cell>
          <cell r="G3641">
            <v>0</v>
          </cell>
          <cell r="H3641">
            <v>0</v>
          </cell>
          <cell r="I3641">
            <v>2</v>
          </cell>
          <cell r="J3641">
            <v>0</v>
          </cell>
          <cell r="K3641">
            <v>3</v>
          </cell>
          <cell r="L3641">
            <v>1</v>
          </cell>
        </row>
        <row r="3642">
          <cell r="A3642" t="str">
            <v>20497.10591</v>
          </cell>
          <cell r="B3642" t="str">
            <v>RONDELLE DE SECURITE</v>
          </cell>
          <cell r="C3642" t="str">
            <v>SULZER TYPE A 22-50 SERIE 100038250/100038251/100038252/100038253/100038254 REP931,31</v>
          </cell>
          <cell r="D3642" t="str">
            <v>PE</v>
          </cell>
          <cell r="E3642" t="str">
            <v>515.51505</v>
          </cell>
          <cell r="F3642">
            <v>113.0432</v>
          </cell>
          <cell r="G3642">
            <v>0</v>
          </cell>
          <cell r="H3642">
            <v>0</v>
          </cell>
          <cell r="I3642">
            <v>2</v>
          </cell>
          <cell r="J3642">
            <v>0</v>
          </cell>
          <cell r="K3642">
            <v>3</v>
          </cell>
          <cell r="L3642">
            <v>1</v>
          </cell>
        </row>
        <row r="3643">
          <cell r="A3643" t="str">
            <v>20497.10592</v>
          </cell>
          <cell r="B3643" t="str">
            <v>CLAVETTE</v>
          </cell>
          <cell r="C3643" t="str">
            <v>SULZER TYPE A 22-50 SERIE 100038250/100038251/100038252/100038253/100038254 REP940,31</v>
          </cell>
          <cell r="D3643" t="str">
            <v>PE</v>
          </cell>
          <cell r="E3643" t="str">
            <v>515.51505</v>
          </cell>
          <cell r="F3643">
            <v>105.51560000000001</v>
          </cell>
          <cell r="G3643">
            <v>0</v>
          </cell>
          <cell r="H3643">
            <v>0</v>
          </cell>
          <cell r="I3643">
            <v>0</v>
          </cell>
          <cell r="J3643">
            <v>0</v>
          </cell>
          <cell r="K3643">
            <v>0</v>
          </cell>
          <cell r="L3643">
            <v>6</v>
          </cell>
        </row>
        <row r="3644">
          <cell r="A3644" t="str">
            <v>20497.10593</v>
          </cell>
          <cell r="B3644" t="str">
            <v>JEU DE VISSERIE VIS DE ROUEVIS DE REGLAGE</v>
          </cell>
          <cell r="C3644" t="str">
            <v>SULZER TYPE A 22-50 SERIE 100038250/100038251/100038252/100038253/100038254 REPSANS</v>
          </cell>
          <cell r="D3644" t="str">
            <v>PE</v>
          </cell>
          <cell r="E3644" t="str">
            <v>515.51505</v>
          </cell>
          <cell r="F3644">
            <v>10140.479600000001</v>
          </cell>
          <cell r="G3644">
            <v>0</v>
          </cell>
          <cell r="H3644">
            <v>0</v>
          </cell>
          <cell r="I3644">
            <v>0</v>
          </cell>
          <cell r="J3644">
            <v>0</v>
          </cell>
          <cell r="K3644">
            <v>1</v>
          </cell>
          <cell r="L3644">
            <v>3</v>
          </cell>
        </row>
        <row r="3645">
          <cell r="A3645" t="str">
            <v>20497.10594</v>
          </cell>
          <cell r="B3645" t="str">
            <v>VOYANT D'HUILE</v>
          </cell>
          <cell r="C3645" t="str">
            <v>SULZER TYPE A 22-50 SERIE 100038250/100038251/100038252/100038253/100038254 REP642,31</v>
          </cell>
          <cell r="D3645" t="str">
            <v>PE</v>
          </cell>
          <cell r="E3645" t="str">
            <v>515.51505</v>
          </cell>
          <cell r="F3645">
            <v>142.57320000000001</v>
          </cell>
          <cell r="G3645">
            <v>0</v>
          </cell>
          <cell r="H3645">
            <v>0</v>
          </cell>
          <cell r="I3645">
            <v>0</v>
          </cell>
          <cell r="J3645">
            <v>0</v>
          </cell>
          <cell r="K3645">
            <v>0</v>
          </cell>
          <cell r="L3645">
            <v>5</v>
          </cell>
        </row>
        <row r="3646">
          <cell r="A3646" t="str">
            <v>20497.10595</v>
          </cell>
          <cell r="B3646" t="str">
            <v>CORPS DE POMPE</v>
          </cell>
          <cell r="C3646" t="str">
            <v>SULZER TYPE A 23-40 SERIE 100038256 REP102,11</v>
          </cell>
          <cell r="D3646" t="str">
            <v>PE</v>
          </cell>
          <cell r="E3646" t="str">
            <v>515.51505</v>
          </cell>
          <cell r="F3646">
            <v>98973.100600000005</v>
          </cell>
          <cell r="G3646">
            <v>0</v>
          </cell>
          <cell r="H3646">
            <v>0</v>
          </cell>
          <cell r="I3646">
            <v>0</v>
          </cell>
          <cell r="J3646">
            <v>0</v>
          </cell>
          <cell r="K3646">
            <v>0</v>
          </cell>
          <cell r="L3646">
            <v>2</v>
          </cell>
        </row>
        <row r="3647">
          <cell r="A3647" t="str">
            <v>20497.10030</v>
          </cell>
          <cell r="B3647" t="str">
            <v>SOUFLET</v>
          </cell>
          <cell r="C3647" t="str">
            <v>MILTON ROY SERIE G MODEL CEGA 5P1T3 PLAN 226.IP.16 REP 41</v>
          </cell>
          <cell r="D3647" t="str">
            <v>PE</v>
          </cell>
          <cell r="E3647" t="str">
            <v>515.51511</v>
          </cell>
          <cell r="F3647">
            <v>714.2133</v>
          </cell>
          <cell r="G3647">
            <v>0</v>
          </cell>
          <cell r="H3647">
            <v>0</v>
          </cell>
          <cell r="I3647">
            <v>0</v>
          </cell>
          <cell r="J3647">
            <v>0</v>
          </cell>
          <cell r="K3647">
            <v>0</v>
          </cell>
          <cell r="L3647">
            <v>3</v>
          </cell>
        </row>
        <row r="3648">
          <cell r="A3648" t="str">
            <v>20497.10031</v>
          </cell>
          <cell r="B3648" t="str">
            <v>MEMBRANE</v>
          </cell>
          <cell r="C3648" t="str">
            <v>MILTON ROY SERIE G MODEL CEGA 5P1T3 PLAN 226.IP.16 REP 45</v>
          </cell>
          <cell r="D3648" t="str">
            <v>PE</v>
          </cell>
          <cell r="E3648" t="str">
            <v>515.51511</v>
          </cell>
          <cell r="F3648">
            <v>1300</v>
          </cell>
          <cell r="G3648">
            <v>0</v>
          </cell>
          <cell r="H3648">
            <v>1</v>
          </cell>
          <cell r="I3648">
            <v>0</v>
          </cell>
          <cell r="J3648">
            <v>0</v>
          </cell>
          <cell r="K3648">
            <v>0</v>
          </cell>
          <cell r="L3648">
            <v>3</v>
          </cell>
        </row>
        <row r="3649">
          <cell r="A3649" t="str">
            <v>20497.10032</v>
          </cell>
          <cell r="B3649" t="str">
            <v>MEMBRANE</v>
          </cell>
          <cell r="C3649" t="str">
            <v>MILTON ROY SERIE G MODEL CEGA 120P6P3 PLAN 226.IP.18 REP 45</v>
          </cell>
          <cell r="D3649" t="str">
            <v>PE</v>
          </cell>
          <cell r="E3649" t="str">
            <v>515.51511</v>
          </cell>
          <cell r="F3649">
            <v>3234</v>
          </cell>
          <cell r="G3649">
            <v>0</v>
          </cell>
          <cell r="H3649">
            <v>0</v>
          </cell>
          <cell r="I3649">
            <v>0</v>
          </cell>
          <cell r="J3649">
            <v>0</v>
          </cell>
          <cell r="K3649">
            <v>0</v>
          </cell>
          <cell r="L3649">
            <v>4</v>
          </cell>
        </row>
        <row r="3650">
          <cell r="A3650" t="str">
            <v>20497.10033</v>
          </cell>
          <cell r="B3650" t="str">
            <v>SOUFLET</v>
          </cell>
          <cell r="C3650" t="str">
            <v>MILTON ROY SERIE G MODEL CEGA 120P6P3 PLAN 226.IP.18 REP 41</v>
          </cell>
          <cell r="D3650" t="str">
            <v>PE</v>
          </cell>
          <cell r="E3650" t="str">
            <v>515.51511</v>
          </cell>
          <cell r="F3650">
            <v>3328.08</v>
          </cell>
          <cell r="G3650">
            <v>0</v>
          </cell>
          <cell r="H3650">
            <v>0</v>
          </cell>
          <cell r="I3650">
            <v>0</v>
          </cell>
          <cell r="J3650">
            <v>0</v>
          </cell>
          <cell r="K3650">
            <v>0</v>
          </cell>
          <cell r="L3650">
            <v>4</v>
          </cell>
        </row>
        <row r="3651">
          <cell r="A3651" t="str">
            <v>20497.12537</v>
          </cell>
          <cell r="B3651" t="str">
            <v>BOUCHON</v>
          </cell>
          <cell r="C3651" t="str">
            <v>GOULDS PUMPS IC-125-100-200 S1 VV  1A SERIE I 601E 36/37 REP 903.51</v>
          </cell>
          <cell r="D3651" t="str">
            <v>PE</v>
          </cell>
          <cell r="E3651" t="str">
            <v>515.51517</v>
          </cell>
          <cell r="F3651">
            <v>974.51</v>
          </cell>
          <cell r="G3651">
            <v>0</v>
          </cell>
          <cell r="H3651">
            <v>0</v>
          </cell>
          <cell r="I3651">
            <v>0</v>
          </cell>
          <cell r="J3651">
            <v>0</v>
          </cell>
          <cell r="K3651">
            <v>0</v>
          </cell>
          <cell r="L3651">
            <v>1</v>
          </cell>
        </row>
        <row r="3652">
          <cell r="A3652" t="str">
            <v>20497.12539</v>
          </cell>
          <cell r="B3652" t="str">
            <v>ECROU DE BLOCAGE</v>
          </cell>
          <cell r="C3652" t="str">
            <v>GOULDS PUMPS MODELE 3171GROUPE M TAILLE 1-1/2X3-13M POMPES SERIE 441417-2  REP 136</v>
          </cell>
          <cell r="D3652" t="str">
            <v>PE</v>
          </cell>
          <cell r="E3652" t="str">
            <v>515.51517</v>
          </cell>
          <cell r="F3652">
            <v>331.06</v>
          </cell>
          <cell r="G3652">
            <v>0</v>
          </cell>
          <cell r="H3652">
            <v>0</v>
          </cell>
          <cell r="I3652">
            <v>0</v>
          </cell>
          <cell r="J3652">
            <v>0</v>
          </cell>
          <cell r="K3652">
            <v>0</v>
          </cell>
          <cell r="L3652">
            <v>1</v>
          </cell>
        </row>
        <row r="3653">
          <cell r="A3653" t="str">
            <v>20497.12540</v>
          </cell>
          <cell r="B3653" t="str">
            <v>CHAPEAU D'ASPIRATION</v>
          </cell>
          <cell r="C3653" t="str">
            <v>GOULDS PUMPS MODELE 3171GROUPE M TAILLE 1-1/2X3-13M POMPES SERIE 441417-2  REP 182</v>
          </cell>
          <cell r="D3653" t="str">
            <v>PE</v>
          </cell>
          <cell r="E3653" t="str">
            <v>515.51517</v>
          </cell>
          <cell r="F3653">
            <v>128317.27</v>
          </cell>
          <cell r="G3653">
            <v>0</v>
          </cell>
          <cell r="H3653">
            <v>0</v>
          </cell>
          <cell r="I3653">
            <v>0</v>
          </cell>
          <cell r="J3653">
            <v>0</v>
          </cell>
          <cell r="K3653">
            <v>0</v>
          </cell>
          <cell r="L3653">
            <v>1</v>
          </cell>
        </row>
        <row r="3654">
          <cell r="A3654" t="str">
            <v>20497.12541</v>
          </cell>
          <cell r="B3654" t="str">
            <v>ECROUE DE BLOCAGE</v>
          </cell>
          <cell r="C3654" t="str">
            <v>GOULDS PUMPS MODELE 3171GROUPE M TAILLE 1-1/2X3-13M POMPES SERIE 441417-2  REP 242</v>
          </cell>
          <cell r="D3654" t="str">
            <v>PE</v>
          </cell>
          <cell r="E3654" t="str">
            <v>515.51517</v>
          </cell>
          <cell r="F3654">
            <v>11742.93</v>
          </cell>
          <cell r="G3654">
            <v>0</v>
          </cell>
          <cell r="H3654">
            <v>0</v>
          </cell>
          <cell r="I3654">
            <v>0</v>
          </cell>
          <cell r="J3654">
            <v>0</v>
          </cell>
          <cell r="K3654">
            <v>0</v>
          </cell>
          <cell r="L3654">
            <v>2</v>
          </cell>
        </row>
        <row r="3655">
          <cell r="A3655" t="str">
            <v>20497.12543</v>
          </cell>
          <cell r="B3655" t="str">
            <v>GARNITURE MECANIQUE</v>
          </cell>
          <cell r="C3655" t="str">
            <v>GOULDS PUMPS IC-80-50-250 S1 VV  1A SERIE I 601E 38 REP 433</v>
          </cell>
          <cell r="D3655" t="str">
            <v>PE</v>
          </cell>
          <cell r="E3655" t="str">
            <v>515.51517</v>
          </cell>
          <cell r="F3655">
            <v>49949.8</v>
          </cell>
          <cell r="G3655">
            <v>0</v>
          </cell>
          <cell r="H3655">
            <v>0</v>
          </cell>
          <cell r="I3655">
            <v>0</v>
          </cell>
          <cell r="J3655">
            <v>0</v>
          </cell>
          <cell r="K3655">
            <v>0</v>
          </cell>
          <cell r="L3655">
            <v>0</v>
          </cell>
        </row>
        <row r="3656">
          <cell r="A3656" t="str">
            <v>20498.21268</v>
          </cell>
          <cell r="B3656" t="str">
            <v xml:space="preserve">KIT DE GLACE+JOINTS ET MICA </v>
          </cell>
          <cell r="C3656" t="str">
            <v>KLINGER GLACE 340X34X17 TYPE B+JOINTS+MICA</v>
          </cell>
          <cell r="D3656" t="str">
            <v>PE</v>
          </cell>
          <cell r="E3656" t="str">
            <v>512.51201</v>
          </cell>
          <cell r="F3656">
            <v>1943</v>
          </cell>
          <cell r="G3656">
            <v>0</v>
          </cell>
          <cell r="H3656">
            <v>0</v>
          </cell>
          <cell r="I3656">
            <v>0</v>
          </cell>
          <cell r="J3656">
            <v>0</v>
          </cell>
          <cell r="K3656">
            <v>0</v>
          </cell>
          <cell r="L3656">
            <v>0</v>
          </cell>
        </row>
        <row r="3657">
          <cell r="A3657" t="str">
            <v>20498.21062</v>
          </cell>
          <cell r="B3657" t="str">
            <v xml:space="preserve">ELECTRODE AVEC LOGEMENT PROTECTEUR </v>
          </cell>
          <cell r="C3657" t="str">
            <v>AKER  REFERENCE  C78854-4</v>
          </cell>
          <cell r="D3657" t="str">
            <v>PE</v>
          </cell>
          <cell r="E3657" t="str">
            <v>522.52206</v>
          </cell>
          <cell r="F3657">
            <v>17206.560000000001</v>
          </cell>
          <cell r="G3657">
            <v>0</v>
          </cell>
          <cell r="H3657">
            <v>0</v>
          </cell>
          <cell r="I3657">
            <v>0</v>
          </cell>
          <cell r="J3657">
            <v>4</v>
          </cell>
          <cell r="K3657">
            <v>0</v>
          </cell>
          <cell r="L3657">
            <v>0</v>
          </cell>
        </row>
        <row r="3658">
          <cell r="A3658" t="str">
            <v>20498.21063</v>
          </cell>
          <cell r="B3658" t="str">
            <v xml:space="preserve">ADAPTEUR POUR  RECONSTRUIRE LA GAINE </v>
          </cell>
          <cell r="C3658" t="str">
            <v>AKER  REFERENCE  104-1</v>
          </cell>
          <cell r="D3658" t="str">
            <v>PE</v>
          </cell>
          <cell r="E3658" t="str">
            <v>522.52206</v>
          </cell>
          <cell r="F3658">
            <v>6471.36</v>
          </cell>
          <cell r="G3658">
            <v>0</v>
          </cell>
          <cell r="H3658">
            <v>0</v>
          </cell>
          <cell r="I3658">
            <v>0</v>
          </cell>
          <cell r="J3658">
            <v>0</v>
          </cell>
          <cell r="K3658">
            <v>0</v>
          </cell>
          <cell r="L3658">
            <v>2</v>
          </cell>
        </row>
        <row r="3659">
          <cell r="A3659" t="str">
            <v>20498.00392</v>
          </cell>
          <cell r="B3659" t="str">
            <v>SERVOMOTEUR DOUBLE EFFET</v>
          </cell>
          <cell r="C3659" t="str">
            <v>REMOTE CONTROL   REF : 203038   MODEL : RCGI100-DAM</v>
          </cell>
          <cell r="D3659" t="str">
            <v>PE</v>
          </cell>
          <cell r="E3659" t="str">
            <v>512.51202</v>
          </cell>
          <cell r="F3659">
            <v>168372</v>
          </cell>
          <cell r="G3659">
            <v>0</v>
          </cell>
          <cell r="H3659">
            <v>0</v>
          </cell>
          <cell r="I3659">
            <v>0</v>
          </cell>
          <cell r="J3659">
            <v>1</v>
          </cell>
          <cell r="K3659">
            <v>0</v>
          </cell>
          <cell r="L3659">
            <v>1</v>
          </cell>
        </row>
        <row r="3660">
          <cell r="A3660" t="str">
            <v>20498.00393</v>
          </cell>
          <cell r="B3660" t="str">
            <v>SERVOMOTEUR DOUBLE EFFET</v>
          </cell>
          <cell r="C3660" t="str">
            <v>REMOTE CONTROL  REF : 183442   MODEL : RCI0280-DA F12/F16/F25-46</v>
          </cell>
          <cell r="D3660" t="str">
            <v>PE</v>
          </cell>
          <cell r="E3660" t="str">
            <v>512.51202</v>
          </cell>
          <cell r="F3660">
            <v>22140</v>
          </cell>
          <cell r="G3660">
            <v>0</v>
          </cell>
          <cell r="H3660">
            <v>0</v>
          </cell>
          <cell r="I3660">
            <v>0</v>
          </cell>
          <cell r="J3660">
            <v>1</v>
          </cell>
          <cell r="K3660">
            <v>0</v>
          </cell>
          <cell r="L3660">
            <v>1</v>
          </cell>
        </row>
        <row r="3661">
          <cell r="A3661" t="str">
            <v>20497.11408</v>
          </cell>
          <cell r="B3661" t="str">
            <v>ARBRE DE SORTIE</v>
          </cell>
          <cell r="C3661" t="str">
            <v>SEEPEX TYPE RF20/1/PAM90 PLAN BA.SPA,20DEF REP6 SERIE 194345</v>
          </cell>
          <cell r="D3661" t="str">
            <v>PE</v>
          </cell>
          <cell r="E3661" t="str">
            <v>515.51503</v>
          </cell>
          <cell r="F3661">
            <v>19026.4283</v>
          </cell>
          <cell r="G3661">
            <v>0</v>
          </cell>
          <cell r="H3661">
            <v>0</v>
          </cell>
          <cell r="I3661">
            <v>0</v>
          </cell>
          <cell r="J3661">
            <v>0</v>
          </cell>
          <cell r="K3661">
            <v>0</v>
          </cell>
          <cell r="L3661">
            <v>0</v>
          </cell>
        </row>
        <row r="3662">
          <cell r="A3662" t="str">
            <v>20498.05335</v>
          </cell>
          <cell r="B3662" t="str">
            <v>ELECTROVANNE 1-16 BARS</v>
          </cell>
          <cell r="C3662" t="str">
            <v>HERION REF 7032130</v>
          </cell>
          <cell r="D3662" t="str">
            <v>PE</v>
          </cell>
          <cell r="E3662" t="str">
            <v>512.51201</v>
          </cell>
          <cell r="F3662">
            <v>3976.5439999999999</v>
          </cell>
          <cell r="G3662">
            <v>0</v>
          </cell>
          <cell r="H3662">
            <v>0</v>
          </cell>
          <cell r="I3662">
            <v>0</v>
          </cell>
          <cell r="J3662">
            <v>0</v>
          </cell>
          <cell r="K3662">
            <v>0</v>
          </cell>
          <cell r="L3662">
            <v>0</v>
          </cell>
        </row>
        <row r="3663">
          <cell r="A3663" t="str">
            <v>20498.21080</v>
          </cell>
          <cell r="B3663" t="str">
            <v>CANNE PROCESS TETE DIN IP65</v>
          </cell>
          <cell r="C3663" t="str">
            <v xml:space="preserve">PYROCONTROLE  PLAN 8  THERMOCOUPLE TYPE R DIAMETRE 0,5MM  LONGUEUR SOUS BRIDE 915MM </v>
          </cell>
          <cell r="D3663" t="str">
            <v>PE</v>
          </cell>
          <cell r="E3663" t="str">
            <v>512.51201</v>
          </cell>
          <cell r="F3663">
            <v>57963</v>
          </cell>
          <cell r="G3663">
            <v>0</v>
          </cell>
          <cell r="H3663">
            <v>2</v>
          </cell>
          <cell r="I3663">
            <v>0</v>
          </cell>
          <cell r="J3663">
            <v>0</v>
          </cell>
          <cell r="K3663">
            <v>0</v>
          </cell>
          <cell r="L3663">
            <v>0</v>
          </cell>
        </row>
        <row r="3664">
          <cell r="A3664" t="str">
            <v>20498.21081</v>
          </cell>
          <cell r="B3664" t="str">
            <v>UNION MALE ¿ CONIQUE 6MM X 1/8" NPT DOUBLE BAGUES INOX</v>
          </cell>
          <cell r="C3664" t="str">
            <v>SAGANA, REF : UMSI 6 1/8N</v>
          </cell>
          <cell r="D3664" t="str">
            <v>PE</v>
          </cell>
          <cell r="E3664" t="str">
            <v>515.51511</v>
          </cell>
          <cell r="F3664">
            <v>58</v>
          </cell>
          <cell r="G3664">
            <v>0</v>
          </cell>
          <cell r="H3664">
            <v>0</v>
          </cell>
          <cell r="I3664">
            <v>0</v>
          </cell>
          <cell r="J3664">
            <v>0</v>
          </cell>
          <cell r="K3664">
            <v>0</v>
          </cell>
          <cell r="L3664">
            <v>0</v>
          </cell>
        </row>
        <row r="3665">
          <cell r="A3665" t="str">
            <v>20497.00584</v>
          </cell>
          <cell r="B3665" t="str">
            <v>GARNITURE MECANIQUE</v>
          </cell>
          <cell r="C3665" t="str">
            <v>STEIBLE TYPE MF 42 REP 457 REF:EDG43</v>
          </cell>
          <cell r="D3665" t="str">
            <v>PE</v>
          </cell>
          <cell r="E3665" t="str">
            <v>515.51517</v>
          </cell>
          <cell r="F3665">
            <v>9474.2510000000002</v>
          </cell>
          <cell r="G3665">
            <v>0</v>
          </cell>
          <cell r="H3665">
            <v>0</v>
          </cell>
          <cell r="I3665">
            <v>0</v>
          </cell>
          <cell r="J3665">
            <v>1</v>
          </cell>
          <cell r="K3665">
            <v>0</v>
          </cell>
          <cell r="L3665">
            <v>1</v>
          </cell>
        </row>
        <row r="3666">
          <cell r="A3666" t="str">
            <v>20497.00585</v>
          </cell>
          <cell r="B3666" t="str">
            <v>JEU DE JOINTS</v>
          </cell>
          <cell r="C3666" t="str">
            <v>STEIBLE TYPE MF 42 REP 222.1 222.2 REF:HPD25/HPD27</v>
          </cell>
          <cell r="D3666" t="str">
            <v>PE</v>
          </cell>
          <cell r="E3666" t="str">
            <v>515.51517</v>
          </cell>
          <cell r="F3666">
            <v>1278.2</v>
          </cell>
          <cell r="G3666">
            <v>0</v>
          </cell>
          <cell r="H3666">
            <v>0</v>
          </cell>
          <cell r="I3666">
            <v>0</v>
          </cell>
          <cell r="J3666">
            <v>1</v>
          </cell>
          <cell r="K3666">
            <v>0</v>
          </cell>
          <cell r="L3666">
            <v>1</v>
          </cell>
        </row>
        <row r="3667">
          <cell r="A3667" t="str">
            <v>20497.00586</v>
          </cell>
          <cell r="B3667" t="str">
            <v>JEU DE JOINTS</v>
          </cell>
          <cell r="C3667" t="str">
            <v>STEIBLE TYPE MF 42 REP 730.1+730.2 REF: DDF01/DDF02</v>
          </cell>
          <cell r="D3667" t="str">
            <v>PE</v>
          </cell>
          <cell r="E3667" t="str">
            <v>515.51517</v>
          </cell>
          <cell r="F3667">
            <v>451.60019999999997</v>
          </cell>
          <cell r="G3667">
            <v>0</v>
          </cell>
          <cell r="H3667">
            <v>0</v>
          </cell>
          <cell r="I3667">
            <v>0</v>
          </cell>
          <cell r="J3667">
            <v>0</v>
          </cell>
          <cell r="K3667">
            <v>0</v>
          </cell>
          <cell r="L3667">
            <v>3</v>
          </cell>
        </row>
        <row r="3668">
          <cell r="A3668" t="str">
            <v>20497.00587</v>
          </cell>
          <cell r="B3668" t="str">
            <v>ROULEMENT</v>
          </cell>
          <cell r="C3668" t="str">
            <v>STEIBLE TYPE MF 42 REP 817 REF:DLR04</v>
          </cell>
          <cell r="D3668" t="str">
            <v>PE</v>
          </cell>
          <cell r="E3668" t="str">
            <v>515.51517</v>
          </cell>
          <cell r="F3668">
            <v>346.16930000000002</v>
          </cell>
          <cell r="G3668">
            <v>0</v>
          </cell>
          <cell r="H3668">
            <v>0</v>
          </cell>
          <cell r="I3668">
            <v>0</v>
          </cell>
          <cell r="J3668">
            <v>0</v>
          </cell>
          <cell r="K3668">
            <v>3</v>
          </cell>
          <cell r="L3668">
            <v>0</v>
          </cell>
        </row>
        <row r="3669">
          <cell r="A3669" t="str">
            <v>20498.05337</v>
          </cell>
          <cell r="B3669" t="str">
            <v>ELECTROVANNE 3/2V-48V-50H</v>
          </cell>
          <cell r="C3669" t="str">
            <v>HERION REF 9301800-0200</v>
          </cell>
          <cell r="D3669" t="str">
            <v>PE</v>
          </cell>
          <cell r="E3669" t="str">
            <v>512.51201</v>
          </cell>
          <cell r="F3669">
            <v>2064.7440000000001</v>
          </cell>
          <cell r="G3669">
            <v>0</v>
          </cell>
          <cell r="H3669">
            <v>0</v>
          </cell>
          <cell r="I3669">
            <v>0</v>
          </cell>
          <cell r="J3669">
            <v>0</v>
          </cell>
          <cell r="K3669">
            <v>0</v>
          </cell>
          <cell r="L3669">
            <v>0</v>
          </cell>
        </row>
        <row r="3670">
          <cell r="A3670" t="str">
            <v>20497.00588</v>
          </cell>
          <cell r="B3670" t="str">
            <v>ENTRETOISE</v>
          </cell>
          <cell r="C3670" t="str">
            <v>STEIBLE TYPE MF 42 REP 042 REF:HBH09</v>
          </cell>
          <cell r="D3670" t="str">
            <v>PE</v>
          </cell>
          <cell r="E3670" t="str">
            <v>515.51517</v>
          </cell>
          <cell r="F3670">
            <v>572.96990000000005</v>
          </cell>
          <cell r="G3670">
            <v>0</v>
          </cell>
          <cell r="H3670">
            <v>0</v>
          </cell>
          <cell r="I3670">
            <v>0</v>
          </cell>
          <cell r="J3670">
            <v>0</v>
          </cell>
          <cell r="K3670">
            <v>2</v>
          </cell>
          <cell r="L3670">
            <v>0</v>
          </cell>
        </row>
        <row r="3671">
          <cell r="A3671" t="str">
            <v>20497.00589</v>
          </cell>
          <cell r="B3671" t="str">
            <v>CIRCLIPS</v>
          </cell>
          <cell r="C3671" t="str">
            <v>STEIBLE TYPE MF 42 REP:869  REF: DSS01</v>
          </cell>
          <cell r="D3671" t="str">
            <v>PE</v>
          </cell>
          <cell r="E3671" t="str">
            <v>515.51517</v>
          </cell>
          <cell r="F3671">
            <v>47.747500000000002</v>
          </cell>
          <cell r="G3671">
            <v>0</v>
          </cell>
          <cell r="H3671">
            <v>0</v>
          </cell>
          <cell r="I3671">
            <v>0</v>
          </cell>
          <cell r="J3671">
            <v>0</v>
          </cell>
          <cell r="K3671">
            <v>4</v>
          </cell>
          <cell r="L3671">
            <v>0</v>
          </cell>
        </row>
        <row r="3672">
          <cell r="A3672" t="str">
            <v>20497.00590</v>
          </cell>
          <cell r="B3672" t="str">
            <v>JEU DE 3 VIS SANS FIN</v>
          </cell>
          <cell r="C3672" t="str">
            <v>STEIBLE TYPE MF 42 REP:668 REF: BSM46</v>
          </cell>
          <cell r="D3672" t="str">
            <v>PE</v>
          </cell>
          <cell r="E3672" t="str">
            <v>515.51517</v>
          </cell>
          <cell r="F3672">
            <v>11459.398499999999</v>
          </cell>
          <cell r="G3672">
            <v>0</v>
          </cell>
          <cell r="H3672">
            <v>0</v>
          </cell>
          <cell r="I3672">
            <v>0</v>
          </cell>
          <cell r="J3672">
            <v>0</v>
          </cell>
          <cell r="K3672">
            <v>1</v>
          </cell>
          <cell r="L3672">
            <v>0</v>
          </cell>
        </row>
        <row r="3673">
          <cell r="A3673" t="str">
            <v>20497.00591</v>
          </cell>
          <cell r="B3673" t="str">
            <v>JEU DE PIECE POUR SOUPAPE</v>
          </cell>
          <cell r="C3673" t="str">
            <v xml:space="preserve">STEIBLE TYPE MF 42 REP:751.2+ 809.2+166+301 </v>
          </cell>
          <cell r="D3673" t="str">
            <v>PE</v>
          </cell>
          <cell r="E3673" t="str">
            <v>515.51517</v>
          </cell>
          <cell r="F3673">
            <v>1468.2354</v>
          </cell>
          <cell r="G3673">
            <v>0</v>
          </cell>
          <cell r="H3673">
            <v>0</v>
          </cell>
          <cell r="I3673">
            <v>0</v>
          </cell>
          <cell r="J3673">
            <v>0</v>
          </cell>
          <cell r="K3673">
            <v>1</v>
          </cell>
          <cell r="L3673">
            <v>0</v>
          </cell>
        </row>
        <row r="3674">
          <cell r="A3674" t="str">
            <v>20497.00592</v>
          </cell>
          <cell r="B3674" t="str">
            <v>BAGUE D'ARBRE</v>
          </cell>
          <cell r="C3674" t="str">
            <v>GOULDS PUMPS IC-125-100-315 P2 VL 1A   SERIE I 601E18/19  REP 421.41</v>
          </cell>
          <cell r="D3674" t="str">
            <v>PE</v>
          </cell>
          <cell r="E3674" t="str">
            <v>515.51517</v>
          </cell>
          <cell r="F3674">
            <v>613.59299999999996</v>
          </cell>
          <cell r="G3674">
            <v>0</v>
          </cell>
          <cell r="H3674">
            <v>0</v>
          </cell>
          <cell r="I3674">
            <v>0</v>
          </cell>
          <cell r="J3674">
            <v>0</v>
          </cell>
          <cell r="K3674">
            <v>0</v>
          </cell>
          <cell r="L3674">
            <v>2</v>
          </cell>
        </row>
        <row r="3675">
          <cell r="A3675" t="str">
            <v>20497.00593</v>
          </cell>
          <cell r="B3675" t="str">
            <v>BAGUE D'ARBRE</v>
          </cell>
          <cell r="C3675" t="str">
            <v>GOULDS PUMPS  IC-125-100-315 P2 VL 1A   SERIE I 601E18/19  REP 421.51</v>
          </cell>
          <cell r="D3675" t="str">
            <v>PE</v>
          </cell>
          <cell r="E3675" t="str">
            <v>515.51517</v>
          </cell>
          <cell r="F3675">
            <v>551.43709999999999</v>
          </cell>
          <cell r="G3675">
            <v>0</v>
          </cell>
          <cell r="H3675">
            <v>0</v>
          </cell>
          <cell r="I3675">
            <v>0</v>
          </cell>
          <cell r="J3675">
            <v>0</v>
          </cell>
          <cell r="K3675">
            <v>0</v>
          </cell>
          <cell r="L3675">
            <v>1</v>
          </cell>
        </row>
        <row r="3676">
          <cell r="A3676" t="str">
            <v>20497.13290</v>
          </cell>
          <cell r="B3676" t="str">
            <v xml:space="preserve">GOUPILLE  </v>
          </cell>
          <cell r="C3676" t="str">
            <v>LEWA 083294.0133</v>
          </cell>
          <cell r="D3676" t="str">
            <v>PE</v>
          </cell>
          <cell r="E3676" t="str">
            <v>515.51503</v>
          </cell>
          <cell r="F3676">
            <v>43</v>
          </cell>
          <cell r="G3676">
            <v>0</v>
          </cell>
          <cell r="H3676">
            <v>0</v>
          </cell>
          <cell r="I3676">
            <v>0</v>
          </cell>
          <cell r="J3676">
            <v>0</v>
          </cell>
          <cell r="K3676">
            <v>2</v>
          </cell>
          <cell r="L3676">
            <v>0</v>
          </cell>
        </row>
        <row r="3677">
          <cell r="A3677" t="str">
            <v>20497.13291</v>
          </cell>
          <cell r="B3677" t="str">
            <v xml:space="preserve">BAGUE ETANCHEITE </v>
          </cell>
          <cell r="C3677" t="str">
            <v>LEWA 071307.0135</v>
          </cell>
          <cell r="D3677" t="str">
            <v>PE</v>
          </cell>
          <cell r="E3677" t="str">
            <v>515.51503</v>
          </cell>
          <cell r="F3677">
            <v>83</v>
          </cell>
          <cell r="G3677">
            <v>0</v>
          </cell>
          <cell r="H3677">
            <v>0</v>
          </cell>
          <cell r="I3677">
            <v>0</v>
          </cell>
          <cell r="J3677">
            <v>0</v>
          </cell>
          <cell r="K3677">
            <v>0</v>
          </cell>
          <cell r="L3677">
            <v>4</v>
          </cell>
        </row>
        <row r="3678">
          <cell r="A3678" t="str">
            <v>20497.13293</v>
          </cell>
          <cell r="B3678" t="str">
            <v xml:space="preserve">GOUPILLE </v>
          </cell>
          <cell r="C3678" t="str">
            <v>LEWA 070973.0133</v>
          </cell>
          <cell r="D3678" t="str">
            <v>PE</v>
          </cell>
          <cell r="E3678" t="str">
            <v>515.51503</v>
          </cell>
          <cell r="F3678">
            <v>248</v>
          </cell>
          <cell r="G3678">
            <v>0</v>
          </cell>
          <cell r="H3678">
            <v>0</v>
          </cell>
          <cell r="I3678">
            <v>0</v>
          </cell>
          <cell r="J3678">
            <v>0</v>
          </cell>
          <cell r="K3678">
            <v>0</v>
          </cell>
          <cell r="L3678">
            <v>2</v>
          </cell>
        </row>
        <row r="3679">
          <cell r="A3679" t="str">
            <v>20497.00601</v>
          </cell>
          <cell r="B3679" t="str">
            <v>SEGMENT D'ARRÊT</v>
          </cell>
          <cell r="C3679" t="str">
            <v>GOULDS PUMPS IC-125-100-315 P2 VL 1A   SERIE I 601E18/19  REP 932.51</v>
          </cell>
          <cell r="D3679" t="str">
            <v>PE</v>
          </cell>
          <cell r="E3679" t="str">
            <v>515.51517</v>
          </cell>
          <cell r="F3679">
            <v>103.37990000000001</v>
          </cell>
          <cell r="G3679">
            <v>0</v>
          </cell>
          <cell r="H3679">
            <v>0</v>
          </cell>
          <cell r="I3679">
            <v>0</v>
          </cell>
          <cell r="J3679">
            <v>0</v>
          </cell>
          <cell r="K3679">
            <v>0</v>
          </cell>
          <cell r="L3679">
            <v>2</v>
          </cell>
        </row>
        <row r="3680">
          <cell r="A3680" t="str">
            <v>20497.00604</v>
          </cell>
          <cell r="B3680" t="str">
            <v>BAGUE RADIALE D'ARBRE</v>
          </cell>
          <cell r="C3680" t="str">
            <v>GOULDS PUMPSIC-100-65-200  SERIE I 601E 25/26/27  REP 421.51</v>
          </cell>
          <cell r="D3680" t="str">
            <v>PE</v>
          </cell>
          <cell r="E3680" t="str">
            <v>515.51517</v>
          </cell>
          <cell r="F3680">
            <v>370.4932</v>
          </cell>
          <cell r="G3680">
            <v>0</v>
          </cell>
          <cell r="H3680">
            <v>0</v>
          </cell>
          <cell r="I3680">
            <v>0</v>
          </cell>
          <cell r="J3680">
            <v>0</v>
          </cell>
          <cell r="K3680">
            <v>0</v>
          </cell>
          <cell r="L3680">
            <v>1</v>
          </cell>
        </row>
        <row r="3681">
          <cell r="A3681" t="str">
            <v>20497.00596</v>
          </cell>
          <cell r="B3681" t="str">
            <v>CHEMISE SOUS GARNITURE</v>
          </cell>
          <cell r="C3681" t="str">
            <v>GOULDS PUMPS IC-125-100-315 P2 VL 1A   SERIE I 601E18/19  REP 524</v>
          </cell>
          <cell r="D3681" t="str">
            <v>PE</v>
          </cell>
          <cell r="E3681" t="str">
            <v>515.51517</v>
          </cell>
          <cell r="F3681">
            <v>3395.0825</v>
          </cell>
          <cell r="G3681">
            <v>0</v>
          </cell>
          <cell r="H3681">
            <v>0</v>
          </cell>
          <cell r="I3681">
            <v>0</v>
          </cell>
          <cell r="J3681">
            <v>0</v>
          </cell>
          <cell r="K3681">
            <v>0</v>
          </cell>
          <cell r="L3681">
            <v>1</v>
          </cell>
        </row>
        <row r="3682">
          <cell r="A3682" t="str">
            <v>20497.00597</v>
          </cell>
          <cell r="B3682" t="str">
            <v>ECROU DE ROUE</v>
          </cell>
          <cell r="C3682" t="str">
            <v>GOULDS PUMPS IC-125-100-315 P2 VL 1A   SERIE I 601E18/19  REP 922</v>
          </cell>
          <cell r="D3682" t="str">
            <v>PE</v>
          </cell>
          <cell r="E3682" t="str">
            <v>515.51517</v>
          </cell>
          <cell r="F3682">
            <v>2636.7692999999999</v>
          </cell>
          <cell r="G3682">
            <v>0</v>
          </cell>
          <cell r="H3682">
            <v>0</v>
          </cell>
          <cell r="I3682">
            <v>0</v>
          </cell>
          <cell r="J3682">
            <v>0</v>
          </cell>
          <cell r="K3682">
            <v>0</v>
          </cell>
          <cell r="L3682">
            <v>2</v>
          </cell>
        </row>
        <row r="3683">
          <cell r="A3683" t="str">
            <v>20497.00598</v>
          </cell>
          <cell r="B3683" t="str">
            <v>ECROU DE ROULEMENT</v>
          </cell>
          <cell r="C3683" t="str">
            <v>GOULDS PUMPS IC-125-100-315 P2 VL 1A   SERIE I 601E18/19  REP 923.51</v>
          </cell>
          <cell r="D3683" t="str">
            <v>PE</v>
          </cell>
          <cell r="E3683" t="str">
            <v>515.51517</v>
          </cell>
          <cell r="F3683">
            <v>913.44119999999998</v>
          </cell>
          <cell r="G3683">
            <v>0</v>
          </cell>
          <cell r="H3683">
            <v>0</v>
          </cell>
          <cell r="I3683">
            <v>0</v>
          </cell>
          <cell r="J3683">
            <v>0</v>
          </cell>
          <cell r="K3683">
            <v>0</v>
          </cell>
          <cell r="L3683">
            <v>1</v>
          </cell>
        </row>
        <row r="3684">
          <cell r="A3684" t="str">
            <v>20497.00599</v>
          </cell>
          <cell r="B3684" t="str">
            <v>LANTERNE</v>
          </cell>
          <cell r="C3684" t="str">
            <v>GOULDS PUMPS IC-125-100-315 P2 VL 1A   SERIE I 601E18/19  REP 458</v>
          </cell>
          <cell r="D3684" t="str">
            <v>PE</v>
          </cell>
          <cell r="E3684" t="str">
            <v>515.51517</v>
          </cell>
          <cell r="F3684">
            <v>2274.8233</v>
          </cell>
          <cell r="G3684">
            <v>0</v>
          </cell>
          <cell r="H3684">
            <v>0</v>
          </cell>
          <cell r="I3684">
            <v>0</v>
          </cell>
          <cell r="J3684">
            <v>0</v>
          </cell>
          <cell r="K3684">
            <v>0</v>
          </cell>
          <cell r="L3684">
            <v>1</v>
          </cell>
        </row>
        <row r="3685">
          <cell r="A3685" t="str">
            <v>20497.00600</v>
          </cell>
          <cell r="B3685" t="str">
            <v>ROUE</v>
          </cell>
          <cell r="C3685" t="str">
            <v>GOULDS PUMPS IC-125-100-315 P2 VL 1A   SERIE I 601E18/19  REP 230</v>
          </cell>
          <cell r="D3685" t="str">
            <v>PE</v>
          </cell>
          <cell r="E3685" t="str">
            <v>515.51517</v>
          </cell>
          <cell r="F3685">
            <v>50775.005599999997</v>
          </cell>
          <cell r="G3685">
            <v>0</v>
          </cell>
          <cell r="H3685">
            <v>0</v>
          </cell>
          <cell r="I3685">
            <v>0</v>
          </cell>
          <cell r="J3685">
            <v>0</v>
          </cell>
          <cell r="K3685">
            <v>0</v>
          </cell>
          <cell r="L3685">
            <v>1</v>
          </cell>
        </row>
        <row r="3686">
          <cell r="A3686" t="str">
            <v>20499.00655</v>
          </cell>
          <cell r="B3686" t="str">
            <v>JOINT</v>
          </cell>
          <cell r="C3686" t="str">
            <v>ARCA REGLER PLAN 6H-HH-CI-PAA-OMB-2B-XN-12 REP 58 P/VANNE 6H8-L2-LS2 SERIE 1024666</v>
          </cell>
          <cell r="D3686" t="str">
            <v>PE</v>
          </cell>
          <cell r="E3686" t="str">
            <v>512.51202</v>
          </cell>
          <cell r="F3686">
            <v>179.55500000000001</v>
          </cell>
          <cell r="G3686">
            <v>0</v>
          </cell>
          <cell r="H3686">
            <v>0</v>
          </cell>
          <cell r="I3686">
            <v>0</v>
          </cell>
          <cell r="J3686">
            <v>1</v>
          </cell>
          <cell r="K3686">
            <v>0</v>
          </cell>
          <cell r="L3686">
            <v>3</v>
          </cell>
        </row>
        <row r="3687">
          <cell r="A3687" t="str">
            <v>20497.13844</v>
          </cell>
          <cell r="B3687" t="str">
            <v>BOITIER DE ROULEMENT</v>
          </cell>
          <cell r="C3687" t="str">
            <v>WARMAN / D004MD21 / Type 4D-AHF / SERIE N° WP54212-3 / PLAN N° AHF4D-CCM-B2 / REP 9</v>
          </cell>
          <cell r="D3687" t="str">
            <v>PE</v>
          </cell>
          <cell r="E3687" t="str">
            <v>515.51517</v>
          </cell>
          <cell r="F3687">
            <v>1220.2782</v>
          </cell>
          <cell r="G3687">
            <v>0</v>
          </cell>
          <cell r="H3687">
            <v>0</v>
          </cell>
          <cell r="I3687">
            <v>1</v>
          </cell>
          <cell r="J3687">
            <v>0</v>
          </cell>
          <cell r="K3687">
            <v>0</v>
          </cell>
          <cell r="L3687">
            <v>0</v>
          </cell>
        </row>
        <row r="3688">
          <cell r="A3688" t="str">
            <v>20497.13294</v>
          </cell>
          <cell r="B3688" t="str">
            <v xml:space="preserve">VIS SANS TETE </v>
          </cell>
          <cell r="C3688" t="str">
            <v>LEWA 081735.0482</v>
          </cell>
          <cell r="D3688" t="str">
            <v>PE</v>
          </cell>
          <cell r="E3688" t="str">
            <v>515.51503</v>
          </cell>
          <cell r="F3688">
            <v>46</v>
          </cell>
          <cell r="G3688">
            <v>0</v>
          </cell>
          <cell r="H3688">
            <v>0</v>
          </cell>
          <cell r="I3688">
            <v>0</v>
          </cell>
          <cell r="J3688">
            <v>0</v>
          </cell>
          <cell r="K3688">
            <v>2</v>
          </cell>
          <cell r="L3688">
            <v>0</v>
          </cell>
        </row>
        <row r="3689">
          <cell r="A3689" t="str">
            <v>20497.00367</v>
          </cell>
          <cell r="B3689" t="str">
            <v>POULIE DE POMPE</v>
          </cell>
          <cell r="C3689" t="str">
            <v>WARMAN TYPE:200 EM A05/A/A05A/FF N° DE SERIE: 044063/044064 REP:3</v>
          </cell>
          <cell r="D3689" t="str">
            <v>PE</v>
          </cell>
          <cell r="E3689" t="str">
            <v>515.51517</v>
          </cell>
          <cell r="F3689">
            <v>6970.3357999999998</v>
          </cell>
          <cell r="G3689">
            <v>0</v>
          </cell>
          <cell r="H3689">
            <v>0</v>
          </cell>
          <cell r="I3689">
            <v>0</v>
          </cell>
          <cell r="J3689">
            <v>0</v>
          </cell>
          <cell r="K3689">
            <v>1</v>
          </cell>
          <cell r="L3689">
            <v>0</v>
          </cell>
        </row>
        <row r="3690">
          <cell r="A3690" t="str">
            <v>20497.13295</v>
          </cell>
          <cell r="B3690" t="str">
            <v xml:space="preserve">CLAVETTE </v>
          </cell>
          <cell r="C3690" t="str">
            <v>LEWA 072522.0126</v>
          </cell>
          <cell r="D3690" t="str">
            <v>PE</v>
          </cell>
          <cell r="E3690" t="str">
            <v>515.51503</v>
          </cell>
          <cell r="F3690">
            <v>23</v>
          </cell>
          <cell r="G3690">
            <v>0</v>
          </cell>
          <cell r="H3690">
            <v>0</v>
          </cell>
          <cell r="I3690">
            <v>0</v>
          </cell>
          <cell r="J3690">
            <v>0</v>
          </cell>
          <cell r="K3690">
            <v>2</v>
          </cell>
          <cell r="L3690">
            <v>0</v>
          </cell>
        </row>
        <row r="3691">
          <cell r="A3691" t="str">
            <v>20497.13296</v>
          </cell>
          <cell r="B3691" t="str">
            <v xml:space="preserve">CLAVETTE </v>
          </cell>
          <cell r="C3691" t="str">
            <v>LEWA 072518.0126</v>
          </cell>
          <cell r="D3691" t="str">
            <v>PE</v>
          </cell>
          <cell r="E3691" t="str">
            <v>515.51503</v>
          </cell>
          <cell r="F3691">
            <v>23</v>
          </cell>
          <cell r="G3691">
            <v>0</v>
          </cell>
          <cell r="H3691">
            <v>0</v>
          </cell>
          <cell r="I3691">
            <v>0</v>
          </cell>
          <cell r="J3691">
            <v>0</v>
          </cell>
          <cell r="K3691">
            <v>2</v>
          </cell>
          <cell r="L3691">
            <v>0</v>
          </cell>
        </row>
        <row r="3692">
          <cell r="A3692" t="str">
            <v>20497.00615</v>
          </cell>
          <cell r="B3692" t="str">
            <v>BAGUE RADIALE D'ARBRE</v>
          </cell>
          <cell r="C3692" t="str">
            <v>GOULDS PUMPS IC-100-65-250 SERIE I 601E 30/31  REP 421.51</v>
          </cell>
          <cell r="D3692" t="str">
            <v>PE</v>
          </cell>
          <cell r="E3692" t="str">
            <v>515.51517</v>
          </cell>
          <cell r="F3692">
            <v>370.55130000000003</v>
          </cell>
          <cell r="G3692">
            <v>0</v>
          </cell>
          <cell r="H3692">
            <v>0</v>
          </cell>
          <cell r="I3692">
            <v>0</v>
          </cell>
          <cell r="J3692">
            <v>0</v>
          </cell>
          <cell r="K3692">
            <v>0</v>
          </cell>
          <cell r="L3692">
            <v>2</v>
          </cell>
        </row>
        <row r="3693">
          <cell r="A3693" t="str">
            <v>20497.00638</v>
          </cell>
          <cell r="B3693" t="str">
            <v>CHEMISE D'ARBRE</v>
          </cell>
          <cell r="C3693" t="str">
            <v>GOULDS PUMPS IC-125-80-200   SERIE I 601E 22/23/24  REP 524</v>
          </cell>
          <cell r="D3693" t="str">
            <v>PE</v>
          </cell>
          <cell r="E3693" t="str">
            <v>515.51517</v>
          </cell>
          <cell r="F3693">
            <v>2602.29</v>
          </cell>
          <cell r="G3693">
            <v>0</v>
          </cell>
          <cell r="H3693">
            <v>0</v>
          </cell>
          <cell r="I3693">
            <v>0</v>
          </cell>
          <cell r="J3693">
            <v>0</v>
          </cell>
          <cell r="K3693">
            <v>0</v>
          </cell>
          <cell r="L3693">
            <v>1</v>
          </cell>
        </row>
        <row r="3694">
          <cell r="A3694" t="str">
            <v>20497.13297</v>
          </cell>
          <cell r="B3694" t="str">
            <v xml:space="preserve">TETE POMPE A PISTON </v>
          </cell>
          <cell r="C3694" t="str">
            <v>LEWA 114224.0000 S.GR-L</v>
          </cell>
          <cell r="D3694" t="str">
            <v>PE</v>
          </cell>
          <cell r="E3694" t="str">
            <v>515.51503</v>
          </cell>
          <cell r="F3694">
            <v>46235</v>
          </cell>
          <cell r="G3694">
            <v>0</v>
          </cell>
          <cell r="H3694">
            <v>0</v>
          </cell>
          <cell r="I3694">
            <v>0</v>
          </cell>
          <cell r="J3694">
            <v>0</v>
          </cell>
          <cell r="K3694">
            <v>0</v>
          </cell>
          <cell r="L3694">
            <v>1</v>
          </cell>
        </row>
        <row r="3695">
          <cell r="A3695" t="str">
            <v>20497.00639</v>
          </cell>
          <cell r="B3695" t="str">
            <v>CIRCLIPS</v>
          </cell>
          <cell r="C3695" t="str">
            <v>GOULDS PUMPS IC-125-80-200   SERIE I 601E 22/23/24  REP 932.51</v>
          </cell>
          <cell r="D3695" t="str">
            <v>PE</v>
          </cell>
          <cell r="E3695" t="str">
            <v>515.51517</v>
          </cell>
          <cell r="F3695">
            <v>514.91999999999996</v>
          </cell>
          <cell r="G3695">
            <v>0</v>
          </cell>
          <cell r="H3695">
            <v>0</v>
          </cell>
          <cell r="I3695">
            <v>0</v>
          </cell>
          <cell r="J3695">
            <v>0</v>
          </cell>
          <cell r="K3695">
            <v>0</v>
          </cell>
          <cell r="L3695">
            <v>2</v>
          </cell>
        </row>
        <row r="3696">
          <cell r="A3696" t="str">
            <v>20497.00658</v>
          </cell>
          <cell r="B3696" t="str">
            <v>BAGUE RADIALE D'ARBRE</v>
          </cell>
          <cell r="C3696" t="str">
            <v>GOULDS PUMPS IC-200-150-250   SERIE I 601E 20/21  REP 421.41</v>
          </cell>
          <cell r="D3696" t="str">
            <v>PE</v>
          </cell>
          <cell r="E3696" t="str">
            <v>515.51517</v>
          </cell>
          <cell r="F3696">
            <v>613.53480000000002</v>
          </cell>
          <cell r="G3696">
            <v>0</v>
          </cell>
          <cell r="H3696">
            <v>0</v>
          </cell>
          <cell r="I3696">
            <v>0</v>
          </cell>
          <cell r="J3696">
            <v>0</v>
          </cell>
          <cell r="K3696">
            <v>0</v>
          </cell>
          <cell r="L3696">
            <v>1</v>
          </cell>
        </row>
        <row r="3697">
          <cell r="A3697" t="str">
            <v>20497.00659</v>
          </cell>
          <cell r="B3697" t="str">
            <v>BAGUE RADIALE D'ARBRE</v>
          </cell>
          <cell r="C3697" t="str">
            <v>GOULDS PUMPS IC-200-150-250  SERIE I 601E 20/21  REP 421.51</v>
          </cell>
          <cell r="D3697" t="str">
            <v>PE</v>
          </cell>
          <cell r="E3697" t="str">
            <v>515.51517</v>
          </cell>
          <cell r="F3697">
            <v>551.43709999999999</v>
          </cell>
          <cell r="G3697">
            <v>0</v>
          </cell>
          <cell r="H3697">
            <v>0</v>
          </cell>
          <cell r="I3697">
            <v>0</v>
          </cell>
          <cell r="J3697">
            <v>0</v>
          </cell>
          <cell r="K3697">
            <v>0</v>
          </cell>
          <cell r="L3697">
            <v>1</v>
          </cell>
        </row>
        <row r="3698">
          <cell r="A3698" t="str">
            <v>20497.00722</v>
          </cell>
          <cell r="B3698" t="str">
            <v>ROUE</v>
          </cell>
          <cell r="C3698" t="str">
            <v>GOULDS PUMPS IC-80-50-250   SERIE I 601E 38  REP 230</v>
          </cell>
          <cell r="D3698" t="str">
            <v>PE</v>
          </cell>
          <cell r="E3698" t="str">
            <v>515.51517</v>
          </cell>
          <cell r="F3698">
            <v>40884.480000000003</v>
          </cell>
          <cell r="G3698">
            <v>0</v>
          </cell>
          <cell r="H3698">
            <v>0</v>
          </cell>
          <cell r="I3698">
            <v>0</v>
          </cell>
          <cell r="J3698">
            <v>0</v>
          </cell>
          <cell r="K3698">
            <v>0</v>
          </cell>
          <cell r="L3698">
            <v>1</v>
          </cell>
        </row>
        <row r="3699">
          <cell r="A3699" t="str">
            <v>20497.13298</v>
          </cell>
          <cell r="B3699" t="str">
            <v xml:space="preserve">CORPS DE POMPE </v>
          </cell>
          <cell r="C3699" t="str">
            <v>LEWA 114167.0802</v>
          </cell>
          <cell r="D3699" t="str">
            <v>PE</v>
          </cell>
          <cell r="E3699" t="str">
            <v>515.51503</v>
          </cell>
          <cell r="F3699">
            <v>13412</v>
          </cell>
          <cell r="G3699">
            <v>0</v>
          </cell>
          <cell r="H3699">
            <v>0</v>
          </cell>
          <cell r="I3699">
            <v>0</v>
          </cell>
          <cell r="J3699">
            <v>0</v>
          </cell>
          <cell r="K3699">
            <v>0</v>
          </cell>
          <cell r="L3699">
            <v>1</v>
          </cell>
        </row>
        <row r="3700">
          <cell r="A3700" t="str">
            <v>20497.00660</v>
          </cell>
          <cell r="B3700" t="str">
            <v>CHEMISE D'ARBRE</v>
          </cell>
          <cell r="C3700" t="str">
            <v>GOULDS PUMPS IC-200-150-250   SERIE I 601E 20/21  REP 524</v>
          </cell>
          <cell r="D3700" t="str">
            <v>PE</v>
          </cell>
          <cell r="E3700" t="str">
            <v>515.51517</v>
          </cell>
          <cell r="F3700">
            <v>3171.0540000000001</v>
          </cell>
          <cell r="G3700">
            <v>0</v>
          </cell>
          <cell r="H3700">
            <v>0</v>
          </cell>
          <cell r="I3700">
            <v>0</v>
          </cell>
          <cell r="J3700">
            <v>0</v>
          </cell>
          <cell r="K3700">
            <v>0</v>
          </cell>
          <cell r="L3700">
            <v>1</v>
          </cell>
        </row>
        <row r="3701">
          <cell r="A3701" t="str">
            <v>20497.00661</v>
          </cell>
          <cell r="B3701" t="str">
            <v>CIRCLIPS</v>
          </cell>
          <cell r="C3701" t="str">
            <v>GOULDS PUMPS IC-200-150-250  SERIE I 601E 20/21  REP 932.51</v>
          </cell>
          <cell r="D3701" t="str">
            <v>PE</v>
          </cell>
          <cell r="E3701" t="str">
            <v>515.51517</v>
          </cell>
          <cell r="F3701">
            <v>103.37990000000001</v>
          </cell>
          <cell r="G3701">
            <v>0</v>
          </cell>
          <cell r="H3701">
            <v>0</v>
          </cell>
          <cell r="I3701">
            <v>0</v>
          </cell>
          <cell r="J3701">
            <v>0</v>
          </cell>
          <cell r="K3701">
            <v>1</v>
          </cell>
          <cell r="L3701">
            <v>0</v>
          </cell>
        </row>
        <row r="3702">
          <cell r="A3702" t="str">
            <v>20497.13299</v>
          </cell>
          <cell r="B3702" t="str">
            <v xml:space="preserve">CORPS DE CLAPET </v>
          </cell>
          <cell r="C3702" t="str">
            <v>LEWA 005219.0001</v>
          </cell>
          <cell r="D3702" t="str">
            <v>PE</v>
          </cell>
          <cell r="E3702" t="str">
            <v>515.51503</v>
          </cell>
          <cell r="F3702">
            <v>3610</v>
          </cell>
          <cell r="G3702">
            <v>0</v>
          </cell>
          <cell r="H3702">
            <v>0</v>
          </cell>
          <cell r="I3702">
            <v>0</v>
          </cell>
          <cell r="J3702">
            <v>0</v>
          </cell>
          <cell r="K3702">
            <v>0</v>
          </cell>
          <cell r="L3702">
            <v>1</v>
          </cell>
        </row>
        <row r="3703">
          <cell r="A3703" t="str">
            <v>20497.10034</v>
          </cell>
          <cell r="B3703" t="str">
            <v>RESSORT</v>
          </cell>
          <cell r="C3703" t="str">
            <v>MILTON ROY SERIE G MODEL CEGA 120P6P3 PLAN 226.IP.18 REP 34</v>
          </cell>
          <cell r="D3703" t="str">
            <v>PE</v>
          </cell>
          <cell r="E3703" t="str">
            <v>515.51511</v>
          </cell>
          <cell r="F3703">
            <v>529.20000000000005</v>
          </cell>
          <cell r="G3703">
            <v>0</v>
          </cell>
          <cell r="H3703">
            <v>0</v>
          </cell>
          <cell r="I3703">
            <v>0</v>
          </cell>
          <cell r="J3703">
            <v>0</v>
          </cell>
          <cell r="K3703">
            <v>0</v>
          </cell>
          <cell r="L3703">
            <v>6</v>
          </cell>
        </row>
        <row r="3704">
          <cell r="A3704" t="str">
            <v>20497.10035</v>
          </cell>
          <cell r="B3704" t="str">
            <v>RONDELLE</v>
          </cell>
          <cell r="C3704" t="str">
            <v>MILTON ROY SERIE G MODEL CEGA 120P6P3 PLAN 226.IP.18 REP 33</v>
          </cell>
          <cell r="D3704" t="str">
            <v>PE</v>
          </cell>
          <cell r="E3704" t="str">
            <v>515.51511</v>
          </cell>
          <cell r="F3704">
            <v>329.28</v>
          </cell>
          <cell r="G3704">
            <v>0</v>
          </cell>
          <cell r="H3704">
            <v>0</v>
          </cell>
          <cell r="I3704">
            <v>0</v>
          </cell>
          <cell r="J3704">
            <v>0</v>
          </cell>
          <cell r="K3704">
            <v>0</v>
          </cell>
          <cell r="L3704">
            <v>6</v>
          </cell>
        </row>
        <row r="3705">
          <cell r="A3705" t="str">
            <v>20499.00658</v>
          </cell>
          <cell r="B3705" t="str">
            <v>JOINT</v>
          </cell>
          <cell r="C3705" t="str">
            <v>ARCA REGLER PLAN 6H-HH-CI-PAA-OMB-2B-XN-12 REP 143 P/VANNE 6H8-L2-LS2 SERIE 1024666</v>
          </cell>
          <cell r="D3705" t="str">
            <v>PE</v>
          </cell>
          <cell r="E3705" t="str">
            <v>512.51202</v>
          </cell>
          <cell r="F3705">
            <v>2940</v>
          </cell>
          <cell r="G3705">
            <v>0</v>
          </cell>
          <cell r="H3705">
            <v>1</v>
          </cell>
          <cell r="I3705">
            <v>0</v>
          </cell>
          <cell r="J3705">
            <v>1</v>
          </cell>
          <cell r="K3705">
            <v>0</v>
          </cell>
          <cell r="L3705">
            <v>0</v>
          </cell>
        </row>
        <row r="3706">
          <cell r="A3706" t="str">
            <v>20497.10036</v>
          </cell>
          <cell r="B3706" t="str">
            <v>ROUE TANGEANTE</v>
          </cell>
          <cell r="C3706" t="str">
            <v>MILTON ROY SERIE G MODEL CEGA 120P6P3 PLAN 226.IP.18 REP 4</v>
          </cell>
          <cell r="D3706" t="str">
            <v>PE</v>
          </cell>
          <cell r="E3706" t="str">
            <v>515.51511</v>
          </cell>
          <cell r="F3706">
            <v>376.32</v>
          </cell>
          <cell r="G3706">
            <v>0</v>
          </cell>
          <cell r="H3706">
            <v>0</v>
          </cell>
          <cell r="I3706">
            <v>0</v>
          </cell>
          <cell r="J3706">
            <v>0</v>
          </cell>
          <cell r="K3706">
            <v>0</v>
          </cell>
          <cell r="L3706">
            <v>6</v>
          </cell>
        </row>
        <row r="3707">
          <cell r="A3707" t="str">
            <v>20499.00659</v>
          </cell>
          <cell r="B3707" t="str">
            <v>JOINT</v>
          </cell>
          <cell r="C3707" t="str">
            <v>ARCA REGLER PLAN 6H-HH-CI-PAA-OMB-2B-XN-12 REP 144 P/VANNE 6H8-L2-LS2 SERIE 1024666</v>
          </cell>
          <cell r="D3707" t="str">
            <v>PE</v>
          </cell>
          <cell r="E3707" t="str">
            <v>512.51202</v>
          </cell>
          <cell r="F3707">
            <v>2940</v>
          </cell>
          <cell r="G3707">
            <v>0</v>
          </cell>
          <cell r="H3707">
            <v>1</v>
          </cell>
          <cell r="I3707">
            <v>0</v>
          </cell>
          <cell r="J3707">
            <v>1</v>
          </cell>
          <cell r="K3707">
            <v>0</v>
          </cell>
          <cell r="L3707">
            <v>0</v>
          </cell>
        </row>
        <row r="3708">
          <cell r="A3708" t="str">
            <v>20497.10037</v>
          </cell>
          <cell r="B3708" t="str">
            <v>ROUE TANGEANTE</v>
          </cell>
          <cell r="C3708" t="str">
            <v>MILTON ROY SERIE G MODEL CEGA 120P6P3 PLAN 226.IP.18 REP 5</v>
          </cell>
          <cell r="D3708" t="str">
            <v>PE</v>
          </cell>
          <cell r="E3708" t="str">
            <v>515.51511</v>
          </cell>
          <cell r="F3708">
            <v>376.32</v>
          </cell>
          <cell r="G3708">
            <v>0</v>
          </cell>
          <cell r="H3708">
            <v>0</v>
          </cell>
          <cell r="I3708">
            <v>0</v>
          </cell>
          <cell r="J3708">
            <v>0</v>
          </cell>
          <cell r="K3708">
            <v>0</v>
          </cell>
          <cell r="L3708">
            <v>6</v>
          </cell>
        </row>
        <row r="3709">
          <cell r="A3709" t="str">
            <v>20499.00660</v>
          </cell>
          <cell r="B3709" t="str">
            <v>BAGUE DE FOND</v>
          </cell>
          <cell r="C3709" t="str">
            <v>ARCA REGLER PLAN 6H-HH-CI-PAA-OMB-2B-XN-12 REP 154 P/VANNE 6H8-L2-LS2 SERIE 1024666</v>
          </cell>
          <cell r="D3709" t="str">
            <v>PE</v>
          </cell>
          <cell r="E3709" t="str">
            <v>512.51202</v>
          </cell>
          <cell r="F3709">
            <v>1604.7149999999999</v>
          </cell>
          <cell r="G3709">
            <v>0</v>
          </cell>
          <cell r="H3709">
            <v>0</v>
          </cell>
          <cell r="I3709">
            <v>0</v>
          </cell>
          <cell r="J3709">
            <v>2</v>
          </cell>
          <cell r="K3709">
            <v>0</v>
          </cell>
          <cell r="L3709">
            <v>2</v>
          </cell>
        </row>
        <row r="3710">
          <cell r="A3710" t="str">
            <v>20499.00661</v>
          </cell>
          <cell r="B3710" t="str">
            <v>JEU DE GARNITURE</v>
          </cell>
          <cell r="C3710" t="str">
            <v>ARCA REGLER PLAN 6H-HH-CI-PAA-OMB-2B-XN-12 REP 156 P/VANNE 6H8-L2-LS2 SERIE 1024666</v>
          </cell>
          <cell r="D3710" t="str">
            <v>PE</v>
          </cell>
          <cell r="E3710" t="str">
            <v>512.51202</v>
          </cell>
          <cell r="F3710">
            <v>2476.16</v>
          </cell>
          <cell r="G3710">
            <v>0</v>
          </cell>
          <cell r="H3710">
            <v>0</v>
          </cell>
          <cell r="I3710">
            <v>0</v>
          </cell>
          <cell r="J3710">
            <v>0</v>
          </cell>
          <cell r="K3710">
            <v>0</v>
          </cell>
          <cell r="L3710">
            <v>3</v>
          </cell>
        </row>
        <row r="3711">
          <cell r="A3711" t="str">
            <v>20497.10038</v>
          </cell>
          <cell r="B3711" t="str">
            <v>BIELLE</v>
          </cell>
          <cell r="C3711" t="str">
            <v>MILTON ROY SERIE G MODEL CEGA 120P6P3 PLAN 226.IP.18 REP 6</v>
          </cell>
          <cell r="D3711" t="str">
            <v>PE</v>
          </cell>
          <cell r="E3711" t="str">
            <v>515.51511</v>
          </cell>
          <cell r="F3711">
            <v>964.32</v>
          </cell>
          <cell r="G3711">
            <v>0</v>
          </cell>
          <cell r="H3711">
            <v>0</v>
          </cell>
          <cell r="I3711">
            <v>0</v>
          </cell>
          <cell r="J3711">
            <v>0</v>
          </cell>
          <cell r="K3711">
            <v>0</v>
          </cell>
          <cell r="L3711">
            <v>6</v>
          </cell>
        </row>
        <row r="3712">
          <cell r="A3712" t="str">
            <v>20499.00662</v>
          </cell>
          <cell r="B3712" t="str">
            <v>PALIER LISSE</v>
          </cell>
          <cell r="C3712" t="str">
            <v>ARCA REGLER PLAN 6H-HH-CI-PAA-OMB-2B-XN-12 REP 164 P/VANNE 6H8-L2-LS2 SERIE 1024666</v>
          </cell>
          <cell r="D3712" t="str">
            <v>PE</v>
          </cell>
          <cell r="E3712" t="str">
            <v>512.51202</v>
          </cell>
          <cell r="F3712">
            <v>758.34</v>
          </cell>
          <cell r="G3712">
            <v>0</v>
          </cell>
          <cell r="H3712">
            <v>0</v>
          </cell>
          <cell r="I3712">
            <v>0</v>
          </cell>
          <cell r="J3712">
            <v>1</v>
          </cell>
          <cell r="K3712">
            <v>0</v>
          </cell>
          <cell r="L3712">
            <v>0</v>
          </cell>
        </row>
        <row r="3713">
          <cell r="A3713" t="str">
            <v>20499.00663</v>
          </cell>
          <cell r="B3713" t="str">
            <v>JOINT</v>
          </cell>
          <cell r="C3713" t="str">
            <v>ARCA REGLER PLAN 6H-HH-CI-PAA-OMB-2B-XN-12 REP 168 P/VANNE 6H8-L2-LS2 SERIE 1024666</v>
          </cell>
          <cell r="D3713" t="str">
            <v>PE</v>
          </cell>
          <cell r="E3713" t="str">
            <v>512.51202</v>
          </cell>
          <cell r="F3713">
            <v>110.935</v>
          </cell>
          <cell r="G3713">
            <v>0</v>
          </cell>
          <cell r="H3713">
            <v>0</v>
          </cell>
          <cell r="I3713">
            <v>0</v>
          </cell>
          <cell r="J3713">
            <v>1</v>
          </cell>
          <cell r="K3713">
            <v>0</v>
          </cell>
          <cell r="L3713">
            <v>3</v>
          </cell>
        </row>
        <row r="3714">
          <cell r="A3714" t="str">
            <v>20497.10039</v>
          </cell>
          <cell r="B3714" t="str">
            <v>RESSORT</v>
          </cell>
          <cell r="C3714" t="str">
            <v>MILTON ROY SERIE G MODEL CEGA 120P6P3 PLAN 226.IP.18 REP 7</v>
          </cell>
          <cell r="D3714" t="str">
            <v>PE</v>
          </cell>
          <cell r="E3714" t="str">
            <v>515.51511</v>
          </cell>
          <cell r="F3714">
            <v>411.6</v>
          </cell>
          <cell r="G3714">
            <v>0</v>
          </cell>
          <cell r="H3714">
            <v>0</v>
          </cell>
          <cell r="I3714">
            <v>0</v>
          </cell>
          <cell r="J3714">
            <v>0</v>
          </cell>
          <cell r="K3714">
            <v>0</v>
          </cell>
          <cell r="L3714">
            <v>6</v>
          </cell>
        </row>
        <row r="3715">
          <cell r="A3715" t="str">
            <v>20497.10040</v>
          </cell>
          <cell r="B3715" t="str">
            <v>BUTEE</v>
          </cell>
          <cell r="C3715" t="str">
            <v>MILTON ROY SERIE G MODEL CEGA 120P6P3 PLAN 226.IP.18 REP 8</v>
          </cell>
          <cell r="D3715" t="str">
            <v>PE</v>
          </cell>
          <cell r="E3715" t="str">
            <v>515.51511</v>
          </cell>
          <cell r="F3715">
            <v>341.04</v>
          </cell>
          <cell r="G3715">
            <v>0</v>
          </cell>
          <cell r="H3715">
            <v>0</v>
          </cell>
          <cell r="I3715">
            <v>0</v>
          </cell>
          <cell r="J3715">
            <v>0</v>
          </cell>
          <cell r="K3715">
            <v>0</v>
          </cell>
          <cell r="L3715">
            <v>6</v>
          </cell>
        </row>
        <row r="3716">
          <cell r="A3716" t="str">
            <v>20497.10041</v>
          </cell>
          <cell r="B3716" t="str">
            <v>ROULEMENT</v>
          </cell>
          <cell r="C3716" t="str">
            <v>MILTON ROY SERIE G MODEL CEGA 120P6P3 PLAN 226.IP.18 REP 9</v>
          </cell>
          <cell r="D3716" t="str">
            <v>PE</v>
          </cell>
          <cell r="E3716" t="str">
            <v>515.51511</v>
          </cell>
          <cell r="F3716">
            <v>423.36</v>
          </cell>
          <cell r="G3716">
            <v>0</v>
          </cell>
          <cell r="H3716">
            <v>0</v>
          </cell>
          <cell r="I3716">
            <v>0</v>
          </cell>
          <cell r="J3716">
            <v>0</v>
          </cell>
          <cell r="K3716">
            <v>0</v>
          </cell>
          <cell r="L3716">
            <v>6</v>
          </cell>
        </row>
        <row r="3717">
          <cell r="A3717" t="str">
            <v>20497.10042</v>
          </cell>
          <cell r="B3717" t="str">
            <v>COULISSEAU</v>
          </cell>
          <cell r="C3717" t="str">
            <v>MILTON ROY SERIE G MODEL CEGA 120P6P3 PLAN 226.IP.18 REP 12</v>
          </cell>
          <cell r="D3717" t="str">
            <v>PE</v>
          </cell>
          <cell r="E3717" t="str">
            <v>515.51511</v>
          </cell>
          <cell r="F3717">
            <v>2469.6</v>
          </cell>
          <cell r="G3717">
            <v>0</v>
          </cell>
          <cell r="H3717">
            <v>0</v>
          </cell>
          <cell r="I3717">
            <v>0</v>
          </cell>
          <cell r="J3717">
            <v>0</v>
          </cell>
          <cell r="K3717">
            <v>0</v>
          </cell>
          <cell r="L3717">
            <v>6</v>
          </cell>
        </row>
        <row r="3718">
          <cell r="A3718" t="str">
            <v>20497.10043</v>
          </cell>
          <cell r="B3718" t="str">
            <v>VIS DE REGLAGE</v>
          </cell>
          <cell r="C3718" t="str">
            <v>MILTON ROY SERIE G MODEL CEGA 120P6P3 PLAN 226.IP.18 REP 15</v>
          </cell>
          <cell r="D3718" t="str">
            <v>PE</v>
          </cell>
          <cell r="E3718" t="str">
            <v>515.51511</v>
          </cell>
          <cell r="F3718">
            <v>1411.2</v>
          </cell>
          <cell r="G3718">
            <v>0</v>
          </cell>
          <cell r="H3718">
            <v>0</v>
          </cell>
          <cell r="I3718">
            <v>0</v>
          </cell>
          <cell r="J3718">
            <v>0</v>
          </cell>
          <cell r="K3718">
            <v>0</v>
          </cell>
          <cell r="L3718">
            <v>6</v>
          </cell>
        </row>
        <row r="3719">
          <cell r="A3719" t="str">
            <v>20497.10044</v>
          </cell>
          <cell r="B3719" t="str">
            <v>AXE</v>
          </cell>
          <cell r="C3719" t="str">
            <v>MILTON ROY SERIE G MODEL CEGA 120P6P3 PLAN 226.IP.18 REP 29</v>
          </cell>
          <cell r="D3719" t="str">
            <v>PE</v>
          </cell>
          <cell r="E3719" t="str">
            <v>515.51511</v>
          </cell>
          <cell r="F3719">
            <v>752.64</v>
          </cell>
          <cell r="G3719">
            <v>0</v>
          </cell>
          <cell r="H3719">
            <v>0</v>
          </cell>
          <cell r="I3719">
            <v>0</v>
          </cell>
          <cell r="J3719">
            <v>0</v>
          </cell>
          <cell r="K3719">
            <v>0</v>
          </cell>
          <cell r="L3719">
            <v>6</v>
          </cell>
        </row>
        <row r="3720">
          <cell r="A3720" t="str">
            <v>20497.10045</v>
          </cell>
          <cell r="B3720" t="str">
            <v>ENSEMBLE MECANIQUE</v>
          </cell>
          <cell r="C3720" t="str">
            <v>MILTON ROY SERIE G MODEL CEGA 120P6P3 PLAN 226.IP.15 REP 2</v>
          </cell>
          <cell r="D3720" t="str">
            <v>PE</v>
          </cell>
          <cell r="E3720" t="str">
            <v>515.51511</v>
          </cell>
          <cell r="F3720">
            <v>9613.7999999999993</v>
          </cell>
          <cell r="G3720">
            <v>0</v>
          </cell>
          <cell r="H3720">
            <v>0</v>
          </cell>
          <cell r="I3720">
            <v>0</v>
          </cell>
          <cell r="J3720">
            <v>0</v>
          </cell>
          <cell r="K3720">
            <v>0</v>
          </cell>
          <cell r="L3720">
            <v>2</v>
          </cell>
        </row>
        <row r="3721">
          <cell r="A3721" t="str">
            <v>20497.10046</v>
          </cell>
          <cell r="B3721" t="str">
            <v>DOSEUR</v>
          </cell>
          <cell r="C3721" t="str">
            <v>MILTON ROY SERIE G MODEL CEGA 120P6P3 PLAN 226.IP.15 REP 3</v>
          </cell>
          <cell r="D3721" t="str">
            <v>PE</v>
          </cell>
          <cell r="E3721" t="str">
            <v>515.51511</v>
          </cell>
          <cell r="F3721">
            <v>3892.56</v>
          </cell>
          <cell r="G3721">
            <v>0</v>
          </cell>
          <cell r="H3721">
            <v>0</v>
          </cell>
          <cell r="I3721">
            <v>0</v>
          </cell>
          <cell r="J3721">
            <v>0</v>
          </cell>
          <cell r="K3721">
            <v>0</v>
          </cell>
          <cell r="L3721">
            <v>2</v>
          </cell>
        </row>
        <row r="3722">
          <cell r="A3722" t="str">
            <v>20497.12050</v>
          </cell>
          <cell r="B3722" t="str">
            <v xml:space="preserve">JOINT BACKLINER </v>
          </cell>
          <cell r="C3722" t="str">
            <v>FL SMIDTH KREBS MILLMAX TYPE : PA250-C42 REF: MM250-225-35001</v>
          </cell>
          <cell r="D3722" t="str">
            <v>PE</v>
          </cell>
          <cell r="E3722" t="str">
            <v>515.51517</v>
          </cell>
          <cell r="F3722">
            <v>1</v>
          </cell>
          <cell r="G3722">
            <v>0</v>
          </cell>
          <cell r="H3722">
            <v>0</v>
          </cell>
          <cell r="I3722">
            <v>0</v>
          </cell>
          <cell r="J3722">
            <v>0</v>
          </cell>
          <cell r="K3722">
            <v>0</v>
          </cell>
          <cell r="L3722">
            <v>2</v>
          </cell>
        </row>
        <row r="3723">
          <cell r="A3723" t="str">
            <v>20497.12051</v>
          </cell>
          <cell r="B3723" t="str">
            <v xml:space="preserve">JOINT DE CUVELAGE </v>
          </cell>
          <cell r="C3723" t="str">
            <v>FL SMIDTH KREBS MILLMAX TYPE : PA250-C42 REF: MM250-125-35001</v>
          </cell>
          <cell r="D3723" t="str">
            <v>PE</v>
          </cell>
          <cell r="E3723" t="str">
            <v>515.51517</v>
          </cell>
          <cell r="F3723">
            <v>486.22300000000001</v>
          </cell>
          <cell r="G3723">
            <v>0</v>
          </cell>
          <cell r="H3723">
            <v>0</v>
          </cell>
          <cell r="I3723">
            <v>0</v>
          </cell>
          <cell r="J3723">
            <v>0</v>
          </cell>
          <cell r="K3723">
            <v>0</v>
          </cell>
          <cell r="L3723">
            <v>5</v>
          </cell>
        </row>
        <row r="3724">
          <cell r="A3724" t="str">
            <v>20497.00721</v>
          </cell>
          <cell r="B3724" t="str">
            <v>JOINT</v>
          </cell>
          <cell r="C3724" t="str">
            <v>GOULDS PUMPS IC-80-50-250  SERIE I 601E 38  REP 412.21</v>
          </cell>
          <cell r="D3724" t="str">
            <v>PE</v>
          </cell>
          <cell r="E3724" t="str">
            <v>515.51517</v>
          </cell>
          <cell r="F3724">
            <v>235.44</v>
          </cell>
          <cell r="G3724">
            <v>0</v>
          </cell>
          <cell r="H3724">
            <v>0</v>
          </cell>
          <cell r="I3724">
            <v>0</v>
          </cell>
          <cell r="J3724">
            <v>0</v>
          </cell>
          <cell r="K3724">
            <v>0</v>
          </cell>
          <cell r="L3724">
            <v>1</v>
          </cell>
        </row>
        <row r="3725">
          <cell r="A3725" t="str">
            <v>20497.00662</v>
          </cell>
          <cell r="B3725" t="str">
            <v>ECROU DE ROUE</v>
          </cell>
          <cell r="C3725" t="str">
            <v>GOULDS PUMPS IC-200-150-250   SERIE I 601E 20/21  REP 922</v>
          </cell>
          <cell r="D3725" t="str">
            <v>PE</v>
          </cell>
          <cell r="E3725" t="str">
            <v>515.51517</v>
          </cell>
          <cell r="F3725">
            <v>2636.8274999999999</v>
          </cell>
          <cell r="G3725">
            <v>0</v>
          </cell>
          <cell r="H3725">
            <v>0</v>
          </cell>
          <cell r="I3725">
            <v>0</v>
          </cell>
          <cell r="J3725">
            <v>0</v>
          </cell>
          <cell r="K3725">
            <v>0</v>
          </cell>
          <cell r="L3725">
            <v>1</v>
          </cell>
        </row>
        <row r="3726">
          <cell r="A3726" t="str">
            <v>20497.00663</v>
          </cell>
          <cell r="B3726" t="str">
            <v>ECROU DE ROULEMENT</v>
          </cell>
          <cell r="C3726" t="str">
            <v>GOULDS PUMPS IC-200-150-250  SERIE I 601E 20/21  REP 923.51</v>
          </cell>
          <cell r="D3726" t="str">
            <v>PE</v>
          </cell>
          <cell r="E3726" t="str">
            <v>515.51517</v>
          </cell>
          <cell r="F3726">
            <v>913.44119999999998</v>
          </cell>
          <cell r="G3726">
            <v>0</v>
          </cell>
          <cell r="H3726">
            <v>0</v>
          </cell>
          <cell r="I3726">
            <v>0</v>
          </cell>
          <cell r="J3726">
            <v>0</v>
          </cell>
          <cell r="K3726">
            <v>0</v>
          </cell>
          <cell r="L3726">
            <v>1</v>
          </cell>
        </row>
        <row r="3727">
          <cell r="A3727" t="str">
            <v>20497.00664</v>
          </cell>
          <cell r="B3727" t="str">
            <v>JOINT</v>
          </cell>
          <cell r="C3727" t="str">
            <v>GOULDS PUMPS IC-200-150-250   SERIE I 601E 20/21  REP 400</v>
          </cell>
          <cell r="D3727" t="str">
            <v>PE</v>
          </cell>
          <cell r="E3727" t="str">
            <v>515.51517</v>
          </cell>
          <cell r="F3727">
            <v>723.77570000000003</v>
          </cell>
          <cell r="G3727">
            <v>0</v>
          </cell>
          <cell r="H3727">
            <v>0</v>
          </cell>
          <cell r="I3727">
            <v>0</v>
          </cell>
          <cell r="J3727">
            <v>0</v>
          </cell>
          <cell r="K3727">
            <v>0</v>
          </cell>
          <cell r="L3727">
            <v>1</v>
          </cell>
        </row>
        <row r="3728">
          <cell r="A3728" t="str">
            <v>20497.00720</v>
          </cell>
          <cell r="B3728" t="str">
            <v>JOINT</v>
          </cell>
          <cell r="C3728" t="str">
            <v>GOULDS PUMPS IC-80-50-250   SERIE I 601E 38  REP 400A</v>
          </cell>
          <cell r="D3728" t="str">
            <v>PE</v>
          </cell>
          <cell r="E3728" t="str">
            <v>515.51517</v>
          </cell>
          <cell r="F3728">
            <v>91.7</v>
          </cell>
          <cell r="G3728">
            <v>0</v>
          </cell>
          <cell r="H3728">
            <v>0</v>
          </cell>
          <cell r="I3728">
            <v>0</v>
          </cell>
          <cell r="J3728">
            <v>0</v>
          </cell>
          <cell r="K3728">
            <v>0</v>
          </cell>
          <cell r="L3728">
            <v>1</v>
          </cell>
        </row>
        <row r="3729">
          <cell r="A3729" t="str">
            <v>20497.00665</v>
          </cell>
          <cell r="B3729" t="str">
            <v>JOINT</v>
          </cell>
          <cell r="C3729" t="str">
            <v>GOULDS PUMPS IC-200-150-250  SERIE I 601E 20/21  REP 400A</v>
          </cell>
          <cell r="D3729" t="str">
            <v>PE</v>
          </cell>
          <cell r="E3729" t="str">
            <v>515.51517</v>
          </cell>
          <cell r="F3729">
            <v>68.958699999999993</v>
          </cell>
          <cell r="G3729">
            <v>0</v>
          </cell>
          <cell r="H3729">
            <v>0</v>
          </cell>
          <cell r="I3729">
            <v>0</v>
          </cell>
          <cell r="J3729">
            <v>0</v>
          </cell>
          <cell r="K3729">
            <v>2</v>
          </cell>
          <cell r="L3729">
            <v>0</v>
          </cell>
        </row>
        <row r="3730">
          <cell r="A3730" t="str">
            <v>20497.00719</v>
          </cell>
          <cell r="B3730" t="str">
            <v>JOINT</v>
          </cell>
          <cell r="C3730" t="str">
            <v>GOULDS PUMPS IC-80-50-250   SERIE I 601E 38  REP 400</v>
          </cell>
          <cell r="D3730" t="str">
            <v>PE</v>
          </cell>
          <cell r="E3730" t="str">
            <v>515.51517</v>
          </cell>
          <cell r="F3730">
            <v>735.63</v>
          </cell>
          <cell r="G3730">
            <v>0</v>
          </cell>
          <cell r="H3730">
            <v>0</v>
          </cell>
          <cell r="I3730">
            <v>0</v>
          </cell>
          <cell r="J3730">
            <v>0</v>
          </cell>
          <cell r="K3730">
            <v>0</v>
          </cell>
          <cell r="L3730">
            <v>1</v>
          </cell>
        </row>
        <row r="3731">
          <cell r="A3731" t="str">
            <v>20497.00666</v>
          </cell>
          <cell r="B3731" t="str">
            <v>JOINT</v>
          </cell>
          <cell r="C3731" t="str">
            <v>GOULDS PUMPS IC-200-150-250  SERIE I 601E 20/21  REP 412.21</v>
          </cell>
          <cell r="D3731" t="str">
            <v>PE</v>
          </cell>
          <cell r="E3731" t="str">
            <v>515.51517</v>
          </cell>
          <cell r="F3731">
            <v>86.169300000000007</v>
          </cell>
          <cell r="G3731">
            <v>0</v>
          </cell>
          <cell r="H3731">
            <v>0</v>
          </cell>
          <cell r="I3731">
            <v>0</v>
          </cell>
          <cell r="J3731">
            <v>0</v>
          </cell>
          <cell r="K3731">
            <v>0</v>
          </cell>
          <cell r="L3731">
            <v>2</v>
          </cell>
        </row>
        <row r="3732">
          <cell r="A3732" t="str">
            <v>20497.00667</v>
          </cell>
          <cell r="B3732" t="str">
            <v>ROUE</v>
          </cell>
          <cell r="C3732" t="str">
            <v>GOULDS PUMPS IC-200-150-250  SERIE I 601E 20/21  REP 230</v>
          </cell>
          <cell r="D3732" t="str">
            <v>PE</v>
          </cell>
          <cell r="E3732" t="str">
            <v>515.51517</v>
          </cell>
          <cell r="F3732">
            <v>46238.499499999998</v>
          </cell>
          <cell r="G3732">
            <v>0</v>
          </cell>
          <cell r="H3732">
            <v>0</v>
          </cell>
          <cell r="I3732">
            <v>0</v>
          </cell>
          <cell r="J3732">
            <v>0</v>
          </cell>
          <cell r="K3732">
            <v>0</v>
          </cell>
          <cell r="L3732">
            <v>1</v>
          </cell>
        </row>
        <row r="3733">
          <cell r="A3733" t="str">
            <v>20498.21082</v>
          </cell>
          <cell r="B3733" t="str">
            <v>UNION MALE ¿ CONIQUE 8MM X 1/8" NPT DOUBLE BAGUES INOX</v>
          </cell>
          <cell r="C3733" t="str">
            <v>SAGANA, REF : UMSI 8 1/8N</v>
          </cell>
          <cell r="D3733" t="str">
            <v>PE</v>
          </cell>
          <cell r="E3733" t="str">
            <v>515.51511</v>
          </cell>
          <cell r="F3733">
            <v>67</v>
          </cell>
          <cell r="G3733">
            <v>0</v>
          </cell>
          <cell r="H3733">
            <v>0</v>
          </cell>
          <cell r="I3733">
            <v>0</v>
          </cell>
          <cell r="J3733">
            <v>0</v>
          </cell>
          <cell r="K3733">
            <v>0</v>
          </cell>
          <cell r="L3733">
            <v>0</v>
          </cell>
        </row>
        <row r="3734">
          <cell r="A3734" t="str">
            <v>20498.21083</v>
          </cell>
          <cell r="B3734" t="str">
            <v>UNION MALE ¿ CONIQUE 10MM X 1/8" NPT DOUBLE BAGUES INOX</v>
          </cell>
          <cell r="C3734" t="str">
            <v>SAGANA, REF : UMSI 10 1/8N</v>
          </cell>
          <cell r="D3734" t="str">
            <v>PE</v>
          </cell>
          <cell r="E3734" t="str">
            <v>515.51511</v>
          </cell>
          <cell r="F3734">
            <v>76</v>
          </cell>
          <cell r="G3734">
            <v>0</v>
          </cell>
          <cell r="H3734">
            <v>0</v>
          </cell>
          <cell r="I3734">
            <v>0</v>
          </cell>
          <cell r="J3734">
            <v>0</v>
          </cell>
          <cell r="K3734">
            <v>0</v>
          </cell>
          <cell r="L3734">
            <v>0</v>
          </cell>
        </row>
        <row r="3735">
          <cell r="A3735" t="str">
            <v>20497.08822</v>
          </cell>
          <cell r="B3735" t="str">
            <v>BOITIER COTE COMMANDE</v>
          </cell>
          <cell r="C3735" t="str">
            <v>HIBON P544001118                    TYPE AL 140</v>
          </cell>
          <cell r="D3735" t="str">
            <v>PE</v>
          </cell>
          <cell r="E3735" t="str">
            <v>515.51503</v>
          </cell>
          <cell r="F3735">
            <v>11711.757100000001</v>
          </cell>
          <cell r="G3735">
            <v>0</v>
          </cell>
          <cell r="H3735">
            <v>0</v>
          </cell>
          <cell r="I3735">
            <v>0</v>
          </cell>
          <cell r="J3735">
            <v>0</v>
          </cell>
          <cell r="K3735">
            <v>1</v>
          </cell>
          <cell r="L3735">
            <v>1</v>
          </cell>
        </row>
        <row r="3736">
          <cell r="A3736" t="str">
            <v>20498.21084</v>
          </cell>
          <cell r="B3736" t="str">
            <v>UNION MALE ¿ CONIQUE 6MM X 1/4" NPT DOUBLE BAGUES INOX</v>
          </cell>
          <cell r="C3736" t="str">
            <v>SAGANA, REF : UMSI 6 1/4N</v>
          </cell>
          <cell r="D3736" t="str">
            <v>PE</v>
          </cell>
          <cell r="E3736" t="str">
            <v>515.51511</v>
          </cell>
          <cell r="F3736">
            <v>59</v>
          </cell>
          <cell r="G3736">
            <v>0</v>
          </cell>
          <cell r="H3736">
            <v>0</v>
          </cell>
          <cell r="I3736">
            <v>0</v>
          </cell>
          <cell r="J3736">
            <v>0</v>
          </cell>
          <cell r="K3736">
            <v>0</v>
          </cell>
          <cell r="L3736">
            <v>0</v>
          </cell>
        </row>
        <row r="3737">
          <cell r="A3737" t="str">
            <v>20498.21085</v>
          </cell>
          <cell r="B3737" t="str">
            <v>UNION MALE ¿ CONIQUE 8MM X 1/4" NPT DOUBLE BAGUES INOX</v>
          </cell>
          <cell r="C3737" t="str">
            <v>SAGANA, REF : UMSI 8 1/4N</v>
          </cell>
          <cell r="D3737" t="str">
            <v>PE</v>
          </cell>
          <cell r="E3737" t="str">
            <v>515.51511</v>
          </cell>
          <cell r="F3737">
            <v>76</v>
          </cell>
          <cell r="G3737">
            <v>0</v>
          </cell>
          <cell r="H3737">
            <v>0</v>
          </cell>
          <cell r="I3737">
            <v>0</v>
          </cell>
          <cell r="J3737">
            <v>0</v>
          </cell>
          <cell r="K3737">
            <v>0</v>
          </cell>
          <cell r="L3737">
            <v>0</v>
          </cell>
        </row>
        <row r="3738">
          <cell r="A3738" t="str">
            <v>20498.21086</v>
          </cell>
          <cell r="B3738" t="str">
            <v>UNION MALE ¿ CONIQUE 10MM X 1/4" NPT DOUBLE BAGUES INOX</v>
          </cell>
          <cell r="C3738" t="str">
            <v>SAGANA, REF : UMSI 10 1/4N</v>
          </cell>
          <cell r="D3738" t="str">
            <v>PE</v>
          </cell>
          <cell r="E3738" t="str">
            <v>515.51511</v>
          </cell>
          <cell r="F3738">
            <v>83</v>
          </cell>
          <cell r="G3738">
            <v>0</v>
          </cell>
          <cell r="H3738">
            <v>0</v>
          </cell>
          <cell r="I3738">
            <v>0</v>
          </cell>
          <cell r="J3738">
            <v>0</v>
          </cell>
          <cell r="K3738">
            <v>0</v>
          </cell>
          <cell r="L3738">
            <v>0</v>
          </cell>
        </row>
        <row r="3739">
          <cell r="A3739" t="str">
            <v>20498.21087</v>
          </cell>
          <cell r="B3739" t="str">
            <v>UNION MALE ¿ CONIQUE 12MM X 1/4" NPT DOUBLE BAGUES INOX</v>
          </cell>
          <cell r="C3739" t="str">
            <v>SAGANA, REF : UMSI 12 1/4N</v>
          </cell>
          <cell r="D3739" t="str">
            <v>PE</v>
          </cell>
          <cell r="E3739" t="str">
            <v>515.51511</v>
          </cell>
          <cell r="F3739">
            <v>118</v>
          </cell>
          <cell r="G3739">
            <v>0</v>
          </cell>
          <cell r="H3739">
            <v>0</v>
          </cell>
          <cell r="I3739">
            <v>0</v>
          </cell>
          <cell r="J3739">
            <v>0</v>
          </cell>
          <cell r="K3739">
            <v>0</v>
          </cell>
          <cell r="L3739">
            <v>0</v>
          </cell>
        </row>
        <row r="3740">
          <cell r="A3740" t="str">
            <v>20497.00718</v>
          </cell>
          <cell r="B3740" t="str">
            <v>ECROU DE ROULEMENT</v>
          </cell>
          <cell r="C3740" t="str">
            <v>GOULDS PUMPS IC-80-50-250  SERIE I 601E 38  REP 923.51</v>
          </cell>
          <cell r="D3740" t="str">
            <v>PE</v>
          </cell>
          <cell r="E3740" t="str">
            <v>515.51517</v>
          </cell>
          <cell r="F3740">
            <v>514.91999999999996</v>
          </cell>
          <cell r="G3740">
            <v>0</v>
          </cell>
          <cell r="H3740">
            <v>0</v>
          </cell>
          <cell r="I3740">
            <v>0</v>
          </cell>
          <cell r="J3740">
            <v>0</v>
          </cell>
          <cell r="K3740">
            <v>0</v>
          </cell>
          <cell r="L3740">
            <v>1</v>
          </cell>
        </row>
        <row r="3741">
          <cell r="A3741" t="str">
            <v>20498.21088</v>
          </cell>
          <cell r="B3741" t="str">
            <v>UNION MALE ¿ CONIQUE 6MM X 3/8" NPT DOUBLE BAGUES INOX</v>
          </cell>
          <cell r="C3741" t="str">
            <v>SAGANA, REF : UMSI 6 3/8N</v>
          </cell>
          <cell r="D3741" t="str">
            <v>PE</v>
          </cell>
          <cell r="E3741" t="str">
            <v>515.51511</v>
          </cell>
          <cell r="F3741">
            <v>76</v>
          </cell>
          <cell r="G3741">
            <v>0</v>
          </cell>
          <cell r="H3741">
            <v>0</v>
          </cell>
          <cell r="I3741">
            <v>0</v>
          </cell>
          <cell r="J3741">
            <v>0</v>
          </cell>
          <cell r="K3741">
            <v>0</v>
          </cell>
          <cell r="L3741">
            <v>0</v>
          </cell>
        </row>
        <row r="3742">
          <cell r="A3742" t="str">
            <v>20498.21089</v>
          </cell>
          <cell r="B3742" t="str">
            <v>UNION MALE ¿ CONIQUE 8MM X 3/8" NPT DOUBLE BAGUES INOX</v>
          </cell>
          <cell r="C3742" t="str">
            <v>SAGANA, REF : UMSI 8 3/8N</v>
          </cell>
          <cell r="D3742" t="str">
            <v>PE</v>
          </cell>
          <cell r="E3742" t="str">
            <v>515.51511</v>
          </cell>
          <cell r="F3742">
            <v>93</v>
          </cell>
          <cell r="G3742">
            <v>0</v>
          </cell>
          <cell r="H3742">
            <v>0</v>
          </cell>
          <cell r="I3742">
            <v>0</v>
          </cell>
          <cell r="J3742">
            <v>0</v>
          </cell>
          <cell r="K3742">
            <v>0</v>
          </cell>
          <cell r="L3742">
            <v>0</v>
          </cell>
        </row>
        <row r="3743">
          <cell r="A3743" t="str">
            <v>20497.00717</v>
          </cell>
          <cell r="B3743" t="str">
            <v>ECROU DE ROUE</v>
          </cell>
          <cell r="C3743" t="str">
            <v>GOULDS PUMPS IC-80-50-250 SERIE I 601E 38  REP 922</v>
          </cell>
          <cell r="D3743" t="str">
            <v>PE</v>
          </cell>
          <cell r="E3743" t="str">
            <v>515.51517</v>
          </cell>
          <cell r="F3743">
            <v>2059.85</v>
          </cell>
          <cell r="G3743">
            <v>0</v>
          </cell>
          <cell r="H3743">
            <v>0</v>
          </cell>
          <cell r="I3743">
            <v>0</v>
          </cell>
          <cell r="J3743">
            <v>0</v>
          </cell>
          <cell r="K3743">
            <v>0</v>
          </cell>
          <cell r="L3743">
            <v>1</v>
          </cell>
        </row>
        <row r="3744">
          <cell r="A3744" t="str">
            <v>20498.21090</v>
          </cell>
          <cell r="B3744" t="str">
            <v>UNION MALE ¿ CONIQUE 10MM X 3/8" NPT DOUBLE BAGUES INOX</v>
          </cell>
          <cell r="C3744" t="str">
            <v>SAGANA, REF : UMSI 10 3/8N</v>
          </cell>
          <cell r="D3744" t="str">
            <v>PE</v>
          </cell>
          <cell r="E3744" t="str">
            <v>515.51511</v>
          </cell>
          <cell r="F3744">
            <v>93</v>
          </cell>
          <cell r="G3744">
            <v>0</v>
          </cell>
          <cell r="H3744">
            <v>0</v>
          </cell>
          <cell r="I3744">
            <v>0</v>
          </cell>
          <cell r="J3744">
            <v>0</v>
          </cell>
          <cell r="K3744">
            <v>0</v>
          </cell>
          <cell r="L3744">
            <v>0</v>
          </cell>
        </row>
        <row r="3745">
          <cell r="A3745" t="str">
            <v>20498.21091</v>
          </cell>
          <cell r="B3745" t="str">
            <v>UNION MALE ¿ CONIQUE 12MM X 3/8" NPT DOUBLE BAGUES INOX</v>
          </cell>
          <cell r="C3745" t="str">
            <v>SAGANA, REF : UMSI 12 3/8N</v>
          </cell>
          <cell r="D3745" t="str">
            <v>PE</v>
          </cell>
          <cell r="E3745" t="str">
            <v>515.51511</v>
          </cell>
          <cell r="F3745">
            <v>122</v>
          </cell>
          <cell r="G3745">
            <v>0</v>
          </cell>
          <cell r="H3745">
            <v>0</v>
          </cell>
          <cell r="I3745">
            <v>0</v>
          </cell>
          <cell r="J3745">
            <v>0</v>
          </cell>
          <cell r="K3745">
            <v>0</v>
          </cell>
          <cell r="L3745">
            <v>0</v>
          </cell>
        </row>
        <row r="3746">
          <cell r="A3746" t="str">
            <v>20498.21092</v>
          </cell>
          <cell r="B3746" t="str">
            <v>UNION MALE ¿ CONIQUE 6MM X 1/2" NPT DOUBLE BAGUES INOX</v>
          </cell>
          <cell r="C3746" t="str">
            <v>SAGANA, REF : UMSI 6 1/2N)</v>
          </cell>
          <cell r="D3746" t="str">
            <v>PE</v>
          </cell>
          <cell r="E3746" t="str">
            <v>515.51511</v>
          </cell>
          <cell r="F3746">
            <v>103</v>
          </cell>
          <cell r="G3746">
            <v>0</v>
          </cell>
          <cell r="H3746">
            <v>0</v>
          </cell>
          <cell r="I3746">
            <v>0</v>
          </cell>
          <cell r="J3746">
            <v>0</v>
          </cell>
          <cell r="K3746">
            <v>0</v>
          </cell>
          <cell r="L3746">
            <v>0</v>
          </cell>
        </row>
        <row r="3747">
          <cell r="A3747" t="str">
            <v>20498.21093</v>
          </cell>
          <cell r="B3747" t="str">
            <v>UNION MALE ¿ CONIQUE 8MM X 1/2" NPT DOUBLE BAGUES INOX</v>
          </cell>
          <cell r="C3747" t="str">
            <v>SAGANA, REF : UMSI 8 1/2N)</v>
          </cell>
          <cell r="D3747" t="str">
            <v>PE</v>
          </cell>
          <cell r="E3747" t="str">
            <v>515.51511</v>
          </cell>
          <cell r="F3747">
            <v>113</v>
          </cell>
          <cell r="G3747">
            <v>0</v>
          </cell>
          <cell r="H3747">
            <v>0</v>
          </cell>
          <cell r="I3747">
            <v>0</v>
          </cell>
          <cell r="J3747">
            <v>0</v>
          </cell>
          <cell r="K3747">
            <v>0</v>
          </cell>
          <cell r="L3747">
            <v>0</v>
          </cell>
        </row>
        <row r="3748">
          <cell r="A3748" t="str">
            <v>20498.21094</v>
          </cell>
          <cell r="B3748" t="str">
            <v>UNION MALE ¿ CONIQUE 10MM X 1/2" NPT DOUBLE BAGUES INOX</v>
          </cell>
          <cell r="C3748" t="str">
            <v>SAGANA, REF : UMSI 10 1/2N)</v>
          </cell>
          <cell r="D3748" t="str">
            <v>PE</v>
          </cell>
          <cell r="E3748" t="str">
            <v>515.51511</v>
          </cell>
          <cell r="F3748">
            <v>110</v>
          </cell>
          <cell r="G3748">
            <v>0</v>
          </cell>
          <cell r="H3748">
            <v>0</v>
          </cell>
          <cell r="I3748">
            <v>0</v>
          </cell>
          <cell r="J3748">
            <v>0</v>
          </cell>
          <cell r="K3748">
            <v>20</v>
          </cell>
          <cell r="L3748">
            <v>0</v>
          </cell>
        </row>
        <row r="3749">
          <cell r="A3749" t="str">
            <v>20498.21095</v>
          </cell>
          <cell r="B3749" t="str">
            <v>MA</v>
          </cell>
          <cell r="C3749" t="str">
            <v>SAGANA, REF : UMSI 12 1/2N)</v>
          </cell>
          <cell r="D3749" t="str">
            <v>PE</v>
          </cell>
          <cell r="E3749" t="str">
            <v>515.51511</v>
          </cell>
          <cell r="F3749">
            <v>141</v>
          </cell>
          <cell r="G3749">
            <v>0</v>
          </cell>
          <cell r="H3749">
            <v>0</v>
          </cell>
          <cell r="I3749">
            <v>0</v>
          </cell>
          <cell r="J3749">
            <v>0</v>
          </cell>
          <cell r="K3749">
            <v>0</v>
          </cell>
          <cell r="L3749">
            <v>0</v>
          </cell>
        </row>
        <row r="3750">
          <cell r="A3750" t="str">
            <v>20498.21096</v>
          </cell>
          <cell r="B3750" t="str">
            <v>UNION MALE ¿ CONIQUE 14MM X 1/2" NPT DOUBLE BAGUES INOX</v>
          </cell>
          <cell r="C3750" t="str">
            <v>SAGANA, REF : UMSI 14 1/2N)</v>
          </cell>
          <cell r="D3750" t="str">
            <v>PE</v>
          </cell>
          <cell r="E3750" t="str">
            <v>515.51511</v>
          </cell>
          <cell r="F3750">
            <v>154</v>
          </cell>
          <cell r="G3750">
            <v>0</v>
          </cell>
          <cell r="H3750">
            <v>0</v>
          </cell>
          <cell r="I3750">
            <v>0</v>
          </cell>
          <cell r="J3750">
            <v>0</v>
          </cell>
          <cell r="K3750">
            <v>0</v>
          </cell>
          <cell r="L3750">
            <v>0</v>
          </cell>
        </row>
        <row r="3751">
          <cell r="A3751" t="str">
            <v>20498.21097</v>
          </cell>
          <cell r="B3751" t="str">
            <v>UNION MALE ¿ CONIQUE 10MM X 3/4" NPT DOUBLE BAGUES INOX</v>
          </cell>
          <cell r="C3751" t="str">
            <v>SAGANA, REF : UMSI 10 3/4N</v>
          </cell>
          <cell r="D3751" t="str">
            <v>PE</v>
          </cell>
          <cell r="E3751" t="str">
            <v>515.51511</v>
          </cell>
          <cell r="F3751">
            <v>120</v>
          </cell>
          <cell r="G3751">
            <v>0</v>
          </cell>
          <cell r="H3751">
            <v>0</v>
          </cell>
          <cell r="I3751">
            <v>0</v>
          </cell>
          <cell r="J3751">
            <v>0</v>
          </cell>
          <cell r="K3751">
            <v>0</v>
          </cell>
          <cell r="L3751">
            <v>0</v>
          </cell>
        </row>
        <row r="3752">
          <cell r="A3752" t="str">
            <v>20498.21098</v>
          </cell>
          <cell r="B3752" t="str">
            <v>UNION MALE ¿ CONIQUE 12MM X 3/4" NPT DOUBLE BAGUES INOX</v>
          </cell>
          <cell r="C3752" t="str">
            <v>SAGANA, REF : UMSI 12 3/4N</v>
          </cell>
          <cell r="D3752" t="str">
            <v>PE</v>
          </cell>
          <cell r="E3752" t="str">
            <v>515.51511</v>
          </cell>
          <cell r="F3752">
            <v>166</v>
          </cell>
          <cell r="G3752">
            <v>0</v>
          </cell>
          <cell r="H3752">
            <v>0</v>
          </cell>
          <cell r="I3752">
            <v>0</v>
          </cell>
          <cell r="J3752">
            <v>0</v>
          </cell>
          <cell r="K3752">
            <v>0</v>
          </cell>
          <cell r="L3752">
            <v>0</v>
          </cell>
        </row>
        <row r="3753">
          <cell r="A3753" t="str">
            <v>20498.20901</v>
          </cell>
          <cell r="B3753" t="str">
            <v>CONNECTEUR</v>
          </cell>
          <cell r="C3753" t="str">
            <v>SUCO  1-1-80-652-002</v>
          </cell>
          <cell r="D3753" t="str">
            <v>PE</v>
          </cell>
          <cell r="E3753" t="str">
            <v>512.51201</v>
          </cell>
          <cell r="F3753">
            <v>115.9164</v>
          </cell>
          <cell r="G3753">
            <v>0</v>
          </cell>
          <cell r="H3753">
            <v>0</v>
          </cell>
          <cell r="I3753">
            <v>0</v>
          </cell>
          <cell r="J3753">
            <v>0</v>
          </cell>
          <cell r="K3753">
            <v>0</v>
          </cell>
          <cell r="L3753">
            <v>0</v>
          </cell>
        </row>
        <row r="3754">
          <cell r="A3754" t="str">
            <v>20497.00715</v>
          </cell>
          <cell r="B3754" t="str">
            <v>CHEMISE D'ARBRE</v>
          </cell>
          <cell r="C3754" t="str">
            <v>GOULDS PUMPS IC-80-50-250  SERIE I 601E 38  REP 524</v>
          </cell>
          <cell r="D3754" t="str">
            <v>PE</v>
          </cell>
          <cell r="E3754" t="str">
            <v>515.51517</v>
          </cell>
          <cell r="F3754">
            <v>4340.41</v>
          </cell>
          <cell r="G3754">
            <v>0</v>
          </cell>
          <cell r="H3754">
            <v>0</v>
          </cell>
          <cell r="I3754">
            <v>0</v>
          </cell>
          <cell r="J3754">
            <v>0</v>
          </cell>
          <cell r="K3754">
            <v>0</v>
          </cell>
          <cell r="L3754">
            <v>1</v>
          </cell>
        </row>
        <row r="3755">
          <cell r="A3755" t="str">
            <v>20498.21099</v>
          </cell>
          <cell r="B3755" t="str">
            <v>UNION MALE PARALLELE (RP) 12MM X 1/2" BSPP DOUBLE BAGUES INOX</v>
          </cell>
          <cell r="C3755" t="str">
            <v>SAGANA, REF : UMSI 12 1/2RP</v>
          </cell>
          <cell r="D3755" t="str">
            <v>PE</v>
          </cell>
          <cell r="E3755" t="str">
            <v>515.51511</v>
          </cell>
          <cell r="F3755">
            <v>143</v>
          </cell>
          <cell r="G3755">
            <v>0</v>
          </cell>
          <cell r="H3755">
            <v>0</v>
          </cell>
          <cell r="I3755">
            <v>0</v>
          </cell>
          <cell r="J3755">
            <v>0</v>
          </cell>
          <cell r="K3755">
            <v>0</v>
          </cell>
          <cell r="L3755">
            <v>0</v>
          </cell>
        </row>
        <row r="3756">
          <cell r="A3756" t="str">
            <v>20497.00714</v>
          </cell>
          <cell r="B3756" t="str">
            <v>BAGUE RADIALE D'ARBRE</v>
          </cell>
          <cell r="C3756" t="str">
            <v>GOULDS PUMPS IC-80-50-250   SERIE I 601E 38  REP 421.51</v>
          </cell>
          <cell r="D3756" t="str">
            <v>PE</v>
          </cell>
          <cell r="E3756" t="str">
            <v>515.51517</v>
          </cell>
          <cell r="F3756">
            <v>1508.09</v>
          </cell>
          <cell r="G3756">
            <v>0</v>
          </cell>
          <cell r="H3756">
            <v>0</v>
          </cell>
          <cell r="I3756">
            <v>0</v>
          </cell>
          <cell r="J3756">
            <v>0</v>
          </cell>
          <cell r="K3756">
            <v>0</v>
          </cell>
          <cell r="L3756">
            <v>1</v>
          </cell>
        </row>
        <row r="3757">
          <cell r="A3757" t="str">
            <v>20498.21100</v>
          </cell>
          <cell r="B3757" t="str">
            <v>UNION MALE PARALLELE (RS) 12MM X 1/2" BSPP DOUBLE BAGUES INOX</v>
          </cell>
          <cell r="C3757" t="str">
            <v>SAGANA, REF : UMSI 12 1/2RS</v>
          </cell>
          <cell r="D3757" t="str">
            <v>PE</v>
          </cell>
          <cell r="E3757" t="str">
            <v>515.51511</v>
          </cell>
          <cell r="F3757">
            <v>155</v>
          </cell>
          <cell r="G3757">
            <v>0</v>
          </cell>
          <cell r="H3757">
            <v>0</v>
          </cell>
          <cell r="I3757">
            <v>0</v>
          </cell>
          <cell r="J3757">
            <v>0</v>
          </cell>
          <cell r="K3757">
            <v>0</v>
          </cell>
          <cell r="L3757">
            <v>0</v>
          </cell>
        </row>
        <row r="3758">
          <cell r="A3758" t="str">
            <v>20497.00680</v>
          </cell>
          <cell r="B3758" t="str">
            <v>BAGUE RADIALE D'ARBRE</v>
          </cell>
          <cell r="C3758" t="str">
            <v>GOULDS PUMPS IC-50-32-160  SERIE I 601E 32/33  REP 421.41</v>
          </cell>
          <cell r="D3758" t="str">
            <v>PE</v>
          </cell>
          <cell r="E3758" t="str">
            <v>515.51517</v>
          </cell>
          <cell r="F3758">
            <v>258.50790000000001</v>
          </cell>
          <cell r="G3758">
            <v>0</v>
          </cell>
          <cell r="H3758">
            <v>0</v>
          </cell>
          <cell r="I3758">
            <v>1</v>
          </cell>
          <cell r="J3758">
            <v>0</v>
          </cell>
          <cell r="K3758">
            <v>0</v>
          </cell>
          <cell r="L3758">
            <v>1</v>
          </cell>
        </row>
        <row r="3759">
          <cell r="A3759" t="str">
            <v>20497.00713</v>
          </cell>
          <cell r="B3759" t="str">
            <v>BAGUE RADIALE D'ARBRE</v>
          </cell>
          <cell r="C3759" t="str">
            <v>GOULDS PUMPS IC-80-50-250   SERIE I 601E 38  REP 421.41</v>
          </cell>
          <cell r="D3759" t="str">
            <v>PE</v>
          </cell>
          <cell r="E3759" t="str">
            <v>515.51517</v>
          </cell>
          <cell r="F3759">
            <v>1324.22</v>
          </cell>
          <cell r="G3759">
            <v>0</v>
          </cell>
          <cell r="H3759">
            <v>0</v>
          </cell>
          <cell r="I3759">
            <v>0</v>
          </cell>
          <cell r="J3759">
            <v>0</v>
          </cell>
          <cell r="K3759">
            <v>0</v>
          </cell>
          <cell r="L3759">
            <v>1</v>
          </cell>
        </row>
        <row r="3760">
          <cell r="A3760" t="str">
            <v>20498.21101</v>
          </cell>
          <cell r="B3760" t="str">
            <v>UNION MALE PARALLELE (RP)14MM X 1/2" BSPP DOUBLE BAGUES INOX</v>
          </cell>
          <cell r="C3760" t="str">
            <v>SAGANA, REF : UMSI 14 1/2RP</v>
          </cell>
          <cell r="D3760" t="str">
            <v>PE</v>
          </cell>
          <cell r="E3760" t="str">
            <v>515.51511</v>
          </cell>
          <cell r="F3760">
            <v>162</v>
          </cell>
          <cell r="G3760">
            <v>0</v>
          </cell>
          <cell r="H3760">
            <v>0</v>
          </cell>
          <cell r="I3760">
            <v>0</v>
          </cell>
          <cell r="J3760">
            <v>0</v>
          </cell>
          <cell r="K3760">
            <v>0</v>
          </cell>
          <cell r="L3760">
            <v>0</v>
          </cell>
        </row>
        <row r="3761">
          <cell r="A3761" t="str">
            <v>20498.21102</v>
          </cell>
          <cell r="B3761" t="str">
            <v>UNION MALE PARALLELE (RS) 14MM X 1/2" BSPP DOUBLE BAGUES INOX</v>
          </cell>
          <cell r="C3761" t="str">
            <v>SAGANA, REF : UMSI 14 1/2RS</v>
          </cell>
          <cell r="D3761" t="str">
            <v>PE</v>
          </cell>
          <cell r="E3761" t="str">
            <v>515.51511</v>
          </cell>
          <cell r="F3761">
            <v>190</v>
          </cell>
          <cell r="G3761">
            <v>0</v>
          </cell>
          <cell r="H3761">
            <v>0</v>
          </cell>
          <cell r="I3761">
            <v>0</v>
          </cell>
          <cell r="J3761">
            <v>0</v>
          </cell>
          <cell r="K3761">
            <v>0</v>
          </cell>
          <cell r="L3761">
            <v>0</v>
          </cell>
        </row>
        <row r="3762">
          <cell r="A3762" t="str">
            <v>20498.21103</v>
          </cell>
          <cell r="B3762" t="str">
            <v>UNION FEMELLE ¿ CONIQUE 6MM X 1/8" NPT DOUBLE BAGUES INOX</v>
          </cell>
          <cell r="C3762" t="str">
            <v>SAGANA, REF : UFSI 6 1/8N</v>
          </cell>
          <cell r="D3762" t="str">
            <v>PE</v>
          </cell>
          <cell r="E3762" t="str">
            <v>515.51511</v>
          </cell>
          <cell r="F3762">
            <v>76</v>
          </cell>
          <cell r="G3762">
            <v>0</v>
          </cell>
          <cell r="H3762">
            <v>0</v>
          </cell>
          <cell r="I3762">
            <v>0</v>
          </cell>
          <cell r="J3762">
            <v>0</v>
          </cell>
          <cell r="K3762">
            <v>0</v>
          </cell>
          <cell r="L3762">
            <v>0</v>
          </cell>
        </row>
        <row r="3763">
          <cell r="A3763" t="str">
            <v>20498.21104</v>
          </cell>
          <cell r="B3763" t="str">
            <v>UNION FEMELLE ¿ CONIQUE 8MM X 1/8" NPT DOUBLE BAGUES INOX</v>
          </cell>
          <cell r="C3763" t="str">
            <v>SAGANA, REF : UFSI 8 1/8N</v>
          </cell>
          <cell r="D3763" t="str">
            <v>PE</v>
          </cell>
          <cell r="E3763" t="str">
            <v>515.51511</v>
          </cell>
          <cell r="F3763">
            <v>91</v>
          </cell>
          <cell r="G3763">
            <v>0</v>
          </cell>
          <cell r="H3763">
            <v>0</v>
          </cell>
          <cell r="I3763">
            <v>0</v>
          </cell>
          <cell r="J3763">
            <v>0</v>
          </cell>
          <cell r="K3763">
            <v>0</v>
          </cell>
          <cell r="L3763">
            <v>0</v>
          </cell>
        </row>
        <row r="3764">
          <cell r="A3764" t="str">
            <v>20498.21105</v>
          </cell>
          <cell r="B3764" t="str">
            <v>UNION FEMELLE ¿ CONIQUE 10MM X 1/8" NPT DOUBLE BAGUES INOX</v>
          </cell>
          <cell r="C3764" t="str">
            <v>SAGANA, REF : UFSI 10 1/8N</v>
          </cell>
          <cell r="D3764" t="str">
            <v>PE</v>
          </cell>
          <cell r="E3764" t="str">
            <v>515.51511</v>
          </cell>
          <cell r="F3764">
            <v>93</v>
          </cell>
          <cell r="G3764">
            <v>0</v>
          </cell>
          <cell r="H3764">
            <v>0</v>
          </cell>
          <cell r="I3764">
            <v>0</v>
          </cell>
          <cell r="J3764">
            <v>0</v>
          </cell>
          <cell r="K3764">
            <v>0</v>
          </cell>
          <cell r="L3764">
            <v>0</v>
          </cell>
        </row>
        <row r="3765">
          <cell r="A3765" t="str">
            <v>20498.21106</v>
          </cell>
          <cell r="B3765" t="str">
            <v>UNION FEMELLE ¿ CONIQUE 6MM X 1/4" NPT DOUBLE BAGUES INOX</v>
          </cell>
          <cell r="C3765" t="str">
            <v>SAGANA, REF : UFSI 6 1/4N</v>
          </cell>
          <cell r="D3765" t="str">
            <v>PE</v>
          </cell>
          <cell r="E3765" t="str">
            <v>515.51511</v>
          </cell>
          <cell r="F3765">
            <v>94</v>
          </cell>
          <cell r="G3765">
            <v>0</v>
          </cell>
          <cell r="H3765">
            <v>0</v>
          </cell>
          <cell r="I3765">
            <v>0</v>
          </cell>
          <cell r="J3765">
            <v>0</v>
          </cell>
          <cell r="K3765">
            <v>0</v>
          </cell>
          <cell r="L3765">
            <v>0</v>
          </cell>
        </row>
        <row r="3766">
          <cell r="A3766" t="str">
            <v>20498.21107</v>
          </cell>
          <cell r="B3766" t="str">
            <v>UNION FEMELLE ¿ CONIQUE 8MM X 1/4" NPT DOUBLE BAGUES INOX</v>
          </cell>
          <cell r="C3766" t="str">
            <v>SAGANA, REF : UFSI 8 1/4N</v>
          </cell>
          <cell r="D3766" t="str">
            <v>PE</v>
          </cell>
          <cell r="E3766" t="str">
            <v>515.51511</v>
          </cell>
          <cell r="F3766">
            <v>103</v>
          </cell>
          <cell r="G3766">
            <v>0</v>
          </cell>
          <cell r="H3766">
            <v>0</v>
          </cell>
          <cell r="I3766">
            <v>0</v>
          </cell>
          <cell r="J3766">
            <v>0</v>
          </cell>
          <cell r="K3766">
            <v>0</v>
          </cell>
          <cell r="L3766">
            <v>0</v>
          </cell>
        </row>
        <row r="3767">
          <cell r="A3767" t="str">
            <v>20492.04627</v>
          </cell>
          <cell r="B3767" t="str">
            <v>BLINDAGE COMPLET P/BROYEUR A BOULET 9'X14'</v>
          </cell>
          <cell r="C3767" t="str">
            <v>METSO REF 31-945675 PLAN:94567500</v>
          </cell>
          <cell r="D3767" t="str">
            <v>PE</v>
          </cell>
          <cell r="E3767" t="str">
            <v>522.52207</v>
          </cell>
          <cell r="F3767">
            <v>780716.04379999998</v>
          </cell>
          <cell r="G3767">
            <v>0</v>
          </cell>
          <cell r="H3767">
            <v>0</v>
          </cell>
          <cell r="I3767">
            <v>0</v>
          </cell>
          <cell r="J3767">
            <v>0</v>
          </cell>
          <cell r="K3767">
            <v>0</v>
          </cell>
          <cell r="L3767">
            <v>0</v>
          </cell>
        </row>
        <row r="3768">
          <cell r="A3768" t="str">
            <v>20492.15868</v>
          </cell>
          <cell r="B3768" t="str">
            <v>GARNITURE MECANIQUE</v>
          </cell>
          <cell r="C3768" t="str">
            <v>DRESSER RAND 1A15061-1 NOMENCLATURE OR29641 REP11</v>
          </cell>
          <cell r="D3768" t="str">
            <v>PE</v>
          </cell>
          <cell r="E3768" t="str">
            <v>515.51517</v>
          </cell>
          <cell r="F3768">
            <v>112528.58</v>
          </cell>
          <cell r="G3768">
            <v>0</v>
          </cell>
          <cell r="H3768">
            <v>0</v>
          </cell>
          <cell r="I3768">
            <v>0</v>
          </cell>
          <cell r="J3768">
            <v>0</v>
          </cell>
          <cell r="K3768">
            <v>0</v>
          </cell>
          <cell r="L3768">
            <v>0</v>
          </cell>
        </row>
        <row r="3769">
          <cell r="A3769" t="str">
            <v>20492.15869</v>
          </cell>
          <cell r="B3769" t="str">
            <v>ANNEAU</v>
          </cell>
          <cell r="C3769" t="str">
            <v>DRESSER ROOTS  REF 13402007 REP501</v>
          </cell>
          <cell r="D3769" t="str">
            <v>PE</v>
          </cell>
          <cell r="E3769" t="str">
            <v>515.51517</v>
          </cell>
          <cell r="F3769">
            <v>39642.011899999998</v>
          </cell>
          <cell r="G3769">
            <v>0</v>
          </cell>
          <cell r="H3769">
            <v>0</v>
          </cell>
          <cell r="I3769">
            <v>0</v>
          </cell>
          <cell r="J3769">
            <v>0</v>
          </cell>
          <cell r="K3769">
            <v>0</v>
          </cell>
          <cell r="L3769">
            <v>0</v>
          </cell>
        </row>
        <row r="3770">
          <cell r="A3770" t="str">
            <v>20492.15870</v>
          </cell>
          <cell r="B3770" t="str">
            <v>ANNEAU</v>
          </cell>
          <cell r="C3770" t="str">
            <v>DRESSER ROOTS REF 13402008 REP501</v>
          </cell>
          <cell r="D3770" t="str">
            <v>PE</v>
          </cell>
          <cell r="E3770" t="str">
            <v>515.51517</v>
          </cell>
          <cell r="F3770">
            <v>27766.737400000002</v>
          </cell>
          <cell r="G3770">
            <v>0</v>
          </cell>
          <cell r="H3770">
            <v>0</v>
          </cell>
          <cell r="I3770">
            <v>0</v>
          </cell>
          <cell r="J3770">
            <v>0</v>
          </cell>
          <cell r="K3770">
            <v>0</v>
          </cell>
          <cell r="L3770">
            <v>0</v>
          </cell>
        </row>
        <row r="3771">
          <cell r="A3771" t="str">
            <v>20492.15878</v>
          </cell>
          <cell r="B3771" t="str">
            <v>GARNITURE</v>
          </cell>
          <cell r="C3771" t="str">
            <v>DRESSER ROOTS REF 91056032 REP209</v>
          </cell>
          <cell r="D3771" t="str">
            <v>PE</v>
          </cell>
          <cell r="E3771" t="str">
            <v>515.51517</v>
          </cell>
          <cell r="F3771">
            <v>76166.883000000002</v>
          </cell>
          <cell r="G3771">
            <v>0</v>
          </cell>
          <cell r="H3771">
            <v>0</v>
          </cell>
          <cell r="I3771">
            <v>0</v>
          </cell>
          <cell r="J3771">
            <v>0</v>
          </cell>
          <cell r="K3771">
            <v>0</v>
          </cell>
          <cell r="L3771">
            <v>1</v>
          </cell>
        </row>
        <row r="3772">
          <cell r="A3772" t="str">
            <v>20492.15879</v>
          </cell>
          <cell r="B3772" t="str">
            <v>ROTULE UNIBALE</v>
          </cell>
          <cell r="C3772" t="str">
            <v>DRESSER RAND 1S616-3 NOMENCLATURE OR28524 REP10</v>
          </cell>
          <cell r="D3772" t="str">
            <v>PE</v>
          </cell>
          <cell r="E3772" t="str">
            <v>515.51517</v>
          </cell>
          <cell r="F3772">
            <v>1983.1934000000001</v>
          </cell>
          <cell r="G3772">
            <v>0</v>
          </cell>
          <cell r="H3772">
            <v>0</v>
          </cell>
          <cell r="I3772">
            <v>0</v>
          </cell>
          <cell r="J3772">
            <v>0</v>
          </cell>
          <cell r="K3772">
            <v>0</v>
          </cell>
          <cell r="L3772">
            <v>2</v>
          </cell>
        </row>
        <row r="3773">
          <cell r="A3773" t="str">
            <v>20492.12597</v>
          </cell>
          <cell r="B3773" t="str">
            <v>PERCHE DE COURT CIRCUITAGE</v>
          </cell>
          <cell r="C3773" t="str">
            <v>CATU CE-4-21-C</v>
          </cell>
          <cell r="D3773" t="str">
            <v>PE</v>
          </cell>
          <cell r="E3773" t="str">
            <v>522.52217</v>
          </cell>
          <cell r="F3773">
            <v>0</v>
          </cell>
          <cell r="G3773">
            <v>0</v>
          </cell>
          <cell r="H3773">
            <v>0</v>
          </cell>
          <cell r="I3773">
            <v>0</v>
          </cell>
          <cell r="J3773">
            <v>0</v>
          </cell>
          <cell r="K3773">
            <v>0</v>
          </cell>
          <cell r="L3773">
            <v>0</v>
          </cell>
        </row>
        <row r="3774">
          <cell r="A3774" t="str">
            <v>20492.15867</v>
          </cell>
          <cell r="B3774" t="str">
            <v>COUSSINET</v>
          </cell>
          <cell r="C3774" t="str">
            <v>DRESSER RAND 1A15075-1 NOMENCLATURE OR29641 REP10</v>
          </cell>
          <cell r="D3774" t="str">
            <v>PE</v>
          </cell>
          <cell r="E3774" t="str">
            <v>515.51517</v>
          </cell>
          <cell r="F3774">
            <v>147217.8933</v>
          </cell>
          <cell r="G3774">
            <v>0</v>
          </cell>
          <cell r="H3774">
            <v>0</v>
          </cell>
          <cell r="I3774">
            <v>0</v>
          </cell>
          <cell r="J3774">
            <v>0</v>
          </cell>
          <cell r="K3774">
            <v>0</v>
          </cell>
          <cell r="L3774">
            <v>0</v>
          </cell>
        </row>
        <row r="3775">
          <cell r="A3775" t="str">
            <v>20492.15885</v>
          </cell>
          <cell r="B3775" t="str">
            <v>RONDELLE</v>
          </cell>
          <cell r="C3775" t="str">
            <v>DRESSER RAND 1R8998-1 NOMENCLATURE OR29666 REP16</v>
          </cell>
          <cell r="D3775" t="str">
            <v>PE</v>
          </cell>
          <cell r="E3775" t="str">
            <v>515.51517</v>
          </cell>
          <cell r="F3775">
            <v>2722.2233000000001</v>
          </cell>
          <cell r="G3775">
            <v>0</v>
          </cell>
          <cell r="H3775">
            <v>0</v>
          </cell>
          <cell r="I3775">
            <v>0</v>
          </cell>
          <cell r="J3775">
            <v>0</v>
          </cell>
          <cell r="K3775">
            <v>0</v>
          </cell>
          <cell r="L3775">
            <v>5</v>
          </cell>
        </row>
        <row r="3776">
          <cell r="A3776" t="str">
            <v>20492.15886</v>
          </cell>
          <cell r="B3776" t="str">
            <v>RONDELLE</v>
          </cell>
          <cell r="C3776" t="str">
            <v>DRESSER RAND 1A7795-1 NOMENCLATURE OR29666 REP22</v>
          </cell>
          <cell r="D3776" t="str">
            <v>PE</v>
          </cell>
          <cell r="E3776" t="str">
            <v>515.51517</v>
          </cell>
          <cell r="F3776">
            <v>6984.0254000000004</v>
          </cell>
          <cell r="G3776">
            <v>0</v>
          </cell>
          <cell r="H3776">
            <v>0</v>
          </cell>
          <cell r="I3776">
            <v>0</v>
          </cell>
          <cell r="J3776">
            <v>1</v>
          </cell>
          <cell r="K3776">
            <v>0</v>
          </cell>
          <cell r="L3776">
            <v>1</v>
          </cell>
        </row>
        <row r="3777">
          <cell r="A3777" t="str">
            <v>20492.15880</v>
          </cell>
          <cell r="B3777" t="str">
            <v>AXE</v>
          </cell>
          <cell r="C3777" t="str">
            <v>DRESSER RAND 1A7048-1 NOMENCLATURE OR28524 REP20</v>
          </cell>
          <cell r="D3777" t="str">
            <v>PE</v>
          </cell>
          <cell r="E3777" t="str">
            <v>515.51517</v>
          </cell>
          <cell r="F3777">
            <v>10822.38</v>
          </cell>
          <cell r="G3777">
            <v>0</v>
          </cell>
          <cell r="H3777">
            <v>0</v>
          </cell>
          <cell r="I3777">
            <v>0</v>
          </cell>
          <cell r="J3777">
            <v>0</v>
          </cell>
          <cell r="K3777">
            <v>0</v>
          </cell>
          <cell r="L3777">
            <v>1</v>
          </cell>
        </row>
        <row r="3778">
          <cell r="A3778" t="str">
            <v>20492.15881</v>
          </cell>
          <cell r="B3778" t="str">
            <v>GRAISSEUR</v>
          </cell>
          <cell r="C3778" t="str">
            <v>DRESSER RAND 1A6533-1 NOMENCLATURE OR28524 REP21</v>
          </cell>
          <cell r="D3778" t="str">
            <v>PE</v>
          </cell>
          <cell r="E3778" t="str">
            <v>515.51517</v>
          </cell>
          <cell r="F3778">
            <v>90.111400000000003</v>
          </cell>
          <cell r="G3778">
            <v>0</v>
          </cell>
          <cell r="H3778">
            <v>0</v>
          </cell>
          <cell r="I3778">
            <v>0</v>
          </cell>
          <cell r="J3778">
            <v>0</v>
          </cell>
          <cell r="K3778">
            <v>0</v>
          </cell>
          <cell r="L3778">
            <v>20</v>
          </cell>
        </row>
        <row r="3779">
          <cell r="A3779" t="str">
            <v>20498.21108</v>
          </cell>
          <cell r="B3779" t="str">
            <v>UNION FEMELLE ¿ CONIQUE 10MM X 1/4" NPT DOUBLE BAGUES INOX</v>
          </cell>
          <cell r="C3779" t="str">
            <v>SAGANA, REF : UFSI 10 1/4N</v>
          </cell>
          <cell r="D3779" t="str">
            <v>PE</v>
          </cell>
          <cell r="E3779" t="str">
            <v>515.51511</v>
          </cell>
          <cell r="F3779">
            <v>95</v>
          </cell>
          <cell r="G3779">
            <v>0</v>
          </cell>
          <cell r="H3779">
            <v>0</v>
          </cell>
          <cell r="I3779">
            <v>0</v>
          </cell>
          <cell r="J3779">
            <v>0</v>
          </cell>
          <cell r="K3779">
            <v>0</v>
          </cell>
          <cell r="L3779">
            <v>0</v>
          </cell>
        </row>
        <row r="3780">
          <cell r="A3780" t="str">
            <v>20492.15882</v>
          </cell>
          <cell r="B3780" t="str">
            <v>VIS DE PRESSION</v>
          </cell>
          <cell r="C3780" t="str">
            <v>DRESSER RAND 1S286-18 NOMENCLATURE OR28524 REP22</v>
          </cell>
          <cell r="D3780" t="str">
            <v>PE</v>
          </cell>
          <cell r="E3780" t="str">
            <v>515.51517</v>
          </cell>
          <cell r="F3780">
            <v>79.611800000000002</v>
          </cell>
          <cell r="G3780">
            <v>0</v>
          </cell>
          <cell r="H3780">
            <v>0</v>
          </cell>
          <cell r="I3780">
            <v>0</v>
          </cell>
          <cell r="J3780">
            <v>0</v>
          </cell>
          <cell r="K3780">
            <v>2</v>
          </cell>
          <cell r="L3780">
            <v>0</v>
          </cell>
        </row>
        <row r="3781">
          <cell r="A3781" t="str">
            <v>20492.15883</v>
          </cell>
          <cell r="B3781" t="str">
            <v>BAGUE</v>
          </cell>
          <cell r="C3781" t="str">
            <v>DRESSER RAND 1A7050-1 NOMENCLATURE OR28524 REP25</v>
          </cell>
          <cell r="D3781" t="str">
            <v>PE</v>
          </cell>
          <cell r="E3781" t="str">
            <v>515.51517</v>
          </cell>
          <cell r="F3781">
            <v>32931.938999999998</v>
          </cell>
          <cell r="G3781">
            <v>0</v>
          </cell>
          <cell r="H3781">
            <v>0</v>
          </cell>
          <cell r="I3781">
            <v>0</v>
          </cell>
          <cell r="J3781">
            <v>0</v>
          </cell>
          <cell r="K3781">
            <v>0</v>
          </cell>
          <cell r="L3781">
            <v>2</v>
          </cell>
        </row>
        <row r="3782">
          <cell r="A3782" t="str">
            <v>20492.15884</v>
          </cell>
          <cell r="B3782" t="str">
            <v>JEU DE TRESSE</v>
          </cell>
          <cell r="C3782" t="str">
            <v>DRESSER RAND 1A6895-1 NOMENCLATURE OR29666 REP15</v>
          </cell>
          <cell r="D3782" t="str">
            <v>PE</v>
          </cell>
          <cell r="E3782" t="str">
            <v>515.51517</v>
          </cell>
          <cell r="F3782">
            <v>858.64210000000003</v>
          </cell>
          <cell r="G3782">
            <v>0</v>
          </cell>
          <cell r="H3782">
            <v>0</v>
          </cell>
          <cell r="I3782">
            <v>0</v>
          </cell>
          <cell r="J3782">
            <v>11</v>
          </cell>
          <cell r="K3782">
            <v>0</v>
          </cell>
          <cell r="L3782">
            <v>13</v>
          </cell>
        </row>
        <row r="3783">
          <cell r="A3783" t="str">
            <v>20498.21109</v>
          </cell>
          <cell r="B3783" t="str">
            <v>UNION FEMELLE ¿ CONIQUE 12MM X 1/4" NPT DOUBLE BAGUES INOX</v>
          </cell>
          <cell r="C3783" t="str">
            <v>SAGANA, REF : UFSI 12 1/4N</v>
          </cell>
          <cell r="D3783" t="str">
            <v>PE</v>
          </cell>
          <cell r="E3783" t="str">
            <v>515.51511</v>
          </cell>
          <cell r="F3783">
            <v>133</v>
          </cell>
          <cell r="G3783">
            <v>0</v>
          </cell>
          <cell r="H3783">
            <v>0</v>
          </cell>
          <cell r="I3783">
            <v>0</v>
          </cell>
          <cell r="J3783">
            <v>0</v>
          </cell>
          <cell r="K3783">
            <v>0</v>
          </cell>
          <cell r="L3783">
            <v>0</v>
          </cell>
        </row>
        <row r="3784">
          <cell r="A3784" t="str">
            <v>20498.21110</v>
          </cell>
          <cell r="B3784" t="str">
            <v>UNION FEMELLE ¿ CONIQUE 6MM X 3/8" NPT DOUBLE BAGUES INOX</v>
          </cell>
          <cell r="C3784" t="str">
            <v>SAGANA, REF : UFSI 6 3/8N</v>
          </cell>
          <cell r="D3784" t="str">
            <v>PE</v>
          </cell>
          <cell r="E3784" t="str">
            <v>515.51511</v>
          </cell>
          <cell r="F3784">
            <v>118</v>
          </cell>
          <cell r="G3784">
            <v>0</v>
          </cell>
          <cell r="H3784">
            <v>0</v>
          </cell>
          <cell r="I3784">
            <v>0</v>
          </cell>
          <cell r="J3784">
            <v>0</v>
          </cell>
          <cell r="K3784">
            <v>0</v>
          </cell>
          <cell r="L3784">
            <v>0</v>
          </cell>
        </row>
        <row r="3785">
          <cell r="A3785" t="str">
            <v>20498.21111</v>
          </cell>
          <cell r="B3785" t="str">
            <v>UNION FEMELLE ¿ CONIQUE 10MM X 3/8" NPT DOUBLE BAGUES INOX</v>
          </cell>
          <cell r="C3785" t="str">
            <v>SAGANA, REF : UFSI 10 3/8N</v>
          </cell>
          <cell r="D3785" t="str">
            <v>PE</v>
          </cell>
          <cell r="E3785" t="str">
            <v>515.51511</v>
          </cell>
          <cell r="F3785">
            <v>122</v>
          </cell>
          <cell r="G3785">
            <v>0</v>
          </cell>
          <cell r="H3785">
            <v>0</v>
          </cell>
          <cell r="I3785">
            <v>0</v>
          </cell>
          <cell r="J3785">
            <v>0</v>
          </cell>
          <cell r="K3785">
            <v>0</v>
          </cell>
          <cell r="L3785">
            <v>0</v>
          </cell>
        </row>
        <row r="3786">
          <cell r="A3786" t="str">
            <v>20498.00886</v>
          </cell>
          <cell r="B3786" t="str">
            <v xml:space="preserve">RELAIS DE NIVEAU </v>
          </cell>
          <cell r="C3786" t="str">
            <v>VEGA REF:VEGAMET 391 SORTIE 6 X RELAIS POUR DETECTION NIVEAU</v>
          </cell>
          <cell r="D3786" t="str">
            <v>PE</v>
          </cell>
          <cell r="E3786" t="str">
            <v>512.51201</v>
          </cell>
          <cell r="F3786">
            <v>8420</v>
          </cell>
          <cell r="G3786">
            <v>0</v>
          </cell>
          <cell r="H3786">
            <v>1</v>
          </cell>
          <cell r="I3786">
            <v>0</v>
          </cell>
          <cell r="J3786">
            <v>0</v>
          </cell>
          <cell r="K3786">
            <v>0</v>
          </cell>
          <cell r="L3786">
            <v>1</v>
          </cell>
        </row>
        <row r="3787">
          <cell r="A3787" t="str">
            <v>20498.21112</v>
          </cell>
          <cell r="B3787" t="str">
            <v>UNION FEMELLE ¿ CONIQUE 12MM X 3/8" NPT DOUBLE BAGUES INOX</v>
          </cell>
          <cell r="C3787" t="str">
            <v>SAGANA, REF : UFSI 12 3/8N</v>
          </cell>
          <cell r="D3787" t="str">
            <v>PE</v>
          </cell>
          <cell r="E3787" t="str">
            <v>515.51511</v>
          </cell>
          <cell r="F3787">
            <v>137</v>
          </cell>
          <cell r="G3787">
            <v>0</v>
          </cell>
          <cell r="H3787">
            <v>0</v>
          </cell>
          <cell r="I3787">
            <v>0</v>
          </cell>
          <cell r="J3787">
            <v>0</v>
          </cell>
          <cell r="K3787">
            <v>0</v>
          </cell>
          <cell r="L3787">
            <v>0</v>
          </cell>
        </row>
        <row r="3788">
          <cell r="A3788" t="str">
            <v>20497.00710</v>
          </cell>
          <cell r="B3788" t="str">
            <v>JOINT</v>
          </cell>
          <cell r="C3788" t="str">
            <v>GOULDS PUMPS IC-65-40-200   SERIE I 601E 39/40  REP 412.21</v>
          </cell>
          <cell r="D3788" t="str">
            <v>PE</v>
          </cell>
          <cell r="E3788" t="str">
            <v>515.51517</v>
          </cell>
          <cell r="F3788">
            <v>34.479399999999998</v>
          </cell>
          <cell r="G3788">
            <v>0</v>
          </cell>
          <cell r="H3788">
            <v>0</v>
          </cell>
          <cell r="I3788">
            <v>0</v>
          </cell>
          <cell r="J3788">
            <v>0</v>
          </cell>
          <cell r="K3788">
            <v>4</v>
          </cell>
          <cell r="L3788">
            <v>0</v>
          </cell>
        </row>
        <row r="3789">
          <cell r="A3789" t="str">
            <v>20497.00681</v>
          </cell>
          <cell r="B3789" t="str">
            <v>BAGUE RADIALE D'ARBRE</v>
          </cell>
          <cell r="C3789" t="str">
            <v>GOULDS PUMPS IC-50-32-160   SERIE I 601E 32/33  REP 421.51</v>
          </cell>
          <cell r="D3789" t="str">
            <v>PE</v>
          </cell>
          <cell r="E3789" t="str">
            <v>515.51517</v>
          </cell>
          <cell r="F3789">
            <v>361.8879</v>
          </cell>
          <cell r="G3789">
            <v>0</v>
          </cell>
          <cell r="H3789">
            <v>0</v>
          </cell>
          <cell r="I3789">
            <v>0</v>
          </cell>
          <cell r="J3789">
            <v>0</v>
          </cell>
          <cell r="K3789">
            <v>1</v>
          </cell>
          <cell r="L3789">
            <v>1</v>
          </cell>
        </row>
        <row r="3790">
          <cell r="A3790" t="str">
            <v>20498.21113</v>
          </cell>
          <cell r="B3790" t="str">
            <v>UNION FEMELLE ¿ CONIQUE 6MM X 1/2" NPT DOUBLE BAGUES INOX</v>
          </cell>
          <cell r="C3790" t="str">
            <v>SAGANA, REF : UFSI 6 1/2N</v>
          </cell>
          <cell r="D3790" t="str">
            <v>PE</v>
          </cell>
          <cell r="E3790" t="str">
            <v>515.51511</v>
          </cell>
          <cell r="F3790">
            <v>131</v>
          </cell>
          <cell r="G3790">
            <v>0</v>
          </cell>
          <cell r="H3790">
            <v>0</v>
          </cell>
          <cell r="I3790">
            <v>0</v>
          </cell>
          <cell r="J3790">
            <v>0</v>
          </cell>
          <cell r="K3790">
            <v>0</v>
          </cell>
          <cell r="L3790">
            <v>0</v>
          </cell>
        </row>
        <row r="3791">
          <cell r="A3791" t="str">
            <v>20497.00682</v>
          </cell>
          <cell r="B3791" t="str">
            <v>CHEMISE D'ARBRE</v>
          </cell>
          <cell r="C3791" t="str">
            <v>GOULDS PUMPS IC-50-32-160   SERIE I 601E 32/33  REP 524</v>
          </cell>
          <cell r="D3791" t="str">
            <v>PE</v>
          </cell>
          <cell r="E3791" t="str">
            <v>515.51517</v>
          </cell>
          <cell r="F3791">
            <v>2464.4888000000001</v>
          </cell>
          <cell r="G3791">
            <v>0</v>
          </cell>
          <cell r="H3791">
            <v>0</v>
          </cell>
          <cell r="I3791">
            <v>0</v>
          </cell>
          <cell r="J3791">
            <v>0</v>
          </cell>
          <cell r="K3791">
            <v>0</v>
          </cell>
          <cell r="L3791">
            <v>1</v>
          </cell>
        </row>
        <row r="3792">
          <cell r="A3792" t="str">
            <v>20497.00683</v>
          </cell>
          <cell r="B3792" t="str">
            <v>CIRCLIPS</v>
          </cell>
          <cell r="C3792" t="str">
            <v>GOULDS PUMPS IC-50-32-160  SERIE I 601E 32/33  REP 932.51</v>
          </cell>
          <cell r="D3792" t="str">
            <v>PE</v>
          </cell>
          <cell r="E3792" t="str">
            <v>515.51517</v>
          </cell>
          <cell r="F3792">
            <v>155.12799999999999</v>
          </cell>
          <cell r="G3792">
            <v>0</v>
          </cell>
          <cell r="H3792">
            <v>0</v>
          </cell>
          <cell r="I3792">
            <v>0</v>
          </cell>
          <cell r="J3792">
            <v>0</v>
          </cell>
          <cell r="K3792">
            <v>0</v>
          </cell>
          <cell r="L3792">
            <v>2</v>
          </cell>
        </row>
        <row r="3793">
          <cell r="A3793" t="str">
            <v>20498.21114</v>
          </cell>
          <cell r="B3793" t="str">
            <v>UNION FEMELLE ¿ CONIQUE 8MM X 1/2" NPT DOUBLE BAGUES INOX</v>
          </cell>
          <cell r="C3793" t="str">
            <v>SAGANA, REF : UFSI 8 1/2N</v>
          </cell>
          <cell r="D3793" t="str">
            <v>PE</v>
          </cell>
          <cell r="E3793" t="str">
            <v>515.51511</v>
          </cell>
          <cell r="F3793">
            <v>122</v>
          </cell>
          <cell r="G3793">
            <v>0</v>
          </cell>
          <cell r="H3793">
            <v>0</v>
          </cell>
          <cell r="I3793">
            <v>0</v>
          </cell>
          <cell r="J3793">
            <v>0</v>
          </cell>
          <cell r="K3793">
            <v>0</v>
          </cell>
          <cell r="L3793">
            <v>0</v>
          </cell>
        </row>
        <row r="3794">
          <cell r="A3794" t="str">
            <v>20497.00684</v>
          </cell>
          <cell r="B3794" t="str">
            <v>ECROU DE ROUE</v>
          </cell>
          <cell r="C3794" t="str">
            <v>GOULDS PUMPS IC-50-32-160   SERIE I 601E 32/33  REP 922</v>
          </cell>
          <cell r="D3794" t="str">
            <v>PE</v>
          </cell>
          <cell r="E3794" t="str">
            <v>515.51517</v>
          </cell>
          <cell r="F3794">
            <v>465.26780000000002</v>
          </cell>
          <cell r="G3794">
            <v>0</v>
          </cell>
          <cell r="H3794">
            <v>0</v>
          </cell>
          <cell r="I3794">
            <v>0</v>
          </cell>
          <cell r="J3794">
            <v>0</v>
          </cell>
          <cell r="K3794">
            <v>0</v>
          </cell>
          <cell r="L3794">
            <v>1</v>
          </cell>
        </row>
        <row r="3795">
          <cell r="A3795" t="str">
            <v>20498.21115</v>
          </cell>
          <cell r="B3795" t="str">
            <v>UNION FEMELLE ¿ CONIQUE 10MM X 1/2" NPT DOUBLE BAGUES INOX</v>
          </cell>
          <cell r="C3795" t="str">
            <v>SAGANA, REF : UFSI 10 1/2N</v>
          </cell>
          <cell r="D3795" t="str">
            <v>PE</v>
          </cell>
          <cell r="E3795" t="str">
            <v>515.51511</v>
          </cell>
          <cell r="F3795">
            <v>164</v>
          </cell>
          <cell r="G3795">
            <v>0</v>
          </cell>
          <cell r="H3795">
            <v>0</v>
          </cell>
          <cell r="I3795">
            <v>0</v>
          </cell>
          <cell r="J3795">
            <v>0</v>
          </cell>
          <cell r="K3795">
            <v>0</v>
          </cell>
          <cell r="L3795">
            <v>0</v>
          </cell>
        </row>
        <row r="3796">
          <cell r="A3796" t="str">
            <v>20497.10596</v>
          </cell>
          <cell r="B3796" t="str">
            <v>PLAQUE LATERALE</v>
          </cell>
          <cell r="C3796" t="str">
            <v>SULZER TYPE A 23-40 SERIE 100038256 REP135,11</v>
          </cell>
          <cell r="D3796" t="str">
            <v>PE</v>
          </cell>
          <cell r="E3796" t="str">
            <v>515.51505</v>
          </cell>
          <cell r="F3796">
            <v>23047.453399999999</v>
          </cell>
          <cell r="G3796">
            <v>0</v>
          </cell>
          <cell r="H3796">
            <v>0</v>
          </cell>
          <cell r="I3796">
            <v>0</v>
          </cell>
          <cell r="J3796">
            <v>0</v>
          </cell>
          <cell r="K3796">
            <v>0</v>
          </cell>
          <cell r="L3796">
            <v>2</v>
          </cell>
        </row>
        <row r="3797">
          <cell r="A3797" t="str">
            <v>20497.10597</v>
          </cell>
          <cell r="B3797" t="str">
            <v>COUVERCLE DE CORPS</v>
          </cell>
          <cell r="C3797" t="str">
            <v>SULZER TYPE A 23-40 SERIE 100038256 REP161,21</v>
          </cell>
          <cell r="D3797" t="str">
            <v>PE</v>
          </cell>
          <cell r="E3797" t="str">
            <v>515.51505</v>
          </cell>
          <cell r="F3797">
            <v>64010.9473</v>
          </cell>
          <cell r="G3797">
            <v>0</v>
          </cell>
          <cell r="H3797">
            <v>0</v>
          </cell>
          <cell r="I3797">
            <v>0</v>
          </cell>
          <cell r="J3797">
            <v>0</v>
          </cell>
          <cell r="K3797">
            <v>0</v>
          </cell>
          <cell r="L3797">
            <v>2</v>
          </cell>
        </row>
        <row r="3798">
          <cell r="A3798" t="str">
            <v>20497.10598</v>
          </cell>
          <cell r="B3798" t="str">
            <v>ARBRE</v>
          </cell>
          <cell r="C3798" t="str">
            <v>SULZER TYPE A 23-40 SERIE 100038256 REP210,31</v>
          </cell>
          <cell r="D3798" t="str">
            <v>PE</v>
          </cell>
          <cell r="E3798" t="str">
            <v>515.51505</v>
          </cell>
          <cell r="F3798">
            <v>12936</v>
          </cell>
          <cell r="G3798">
            <v>0</v>
          </cell>
          <cell r="H3798">
            <v>0</v>
          </cell>
          <cell r="I3798">
            <v>0</v>
          </cell>
          <cell r="J3798">
            <v>0</v>
          </cell>
          <cell r="K3798">
            <v>0</v>
          </cell>
          <cell r="L3798">
            <v>1</v>
          </cell>
        </row>
        <row r="3799">
          <cell r="A3799" t="str">
            <v>20497.10599</v>
          </cell>
          <cell r="B3799" t="str">
            <v>ROUE</v>
          </cell>
          <cell r="C3799" t="str">
            <v>SULZER TYPE A 23-40 SERIE 100038256 REP230,11</v>
          </cell>
          <cell r="D3799" t="str">
            <v>PE</v>
          </cell>
          <cell r="E3799" t="str">
            <v>515.51505</v>
          </cell>
          <cell r="F3799">
            <v>48796.604399999997</v>
          </cell>
          <cell r="G3799">
            <v>0</v>
          </cell>
          <cell r="H3799">
            <v>0</v>
          </cell>
          <cell r="I3799">
            <v>0</v>
          </cell>
          <cell r="J3799">
            <v>0</v>
          </cell>
          <cell r="K3799">
            <v>0</v>
          </cell>
          <cell r="L3799">
            <v>2</v>
          </cell>
        </row>
        <row r="3800">
          <cell r="A3800" t="str">
            <v>20497.10600</v>
          </cell>
          <cell r="B3800" t="str">
            <v>JEU DE JOINTS</v>
          </cell>
          <cell r="C3800" t="str">
            <v>SULZER TYPE A 23-40 SERIE 100038256 REP400,21/410,21/412,11/412,12/412,14/412,21</v>
          </cell>
          <cell r="D3800" t="str">
            <v>PE</v>
          </cell>
          <cell r="E3800" t="str">
            <v>515.51505</v>
          </cell>
          <cell r="F3800">
            <v>4055.7728000000002</v>
          </cell>
          <cell r="G3800">
            <v>0</v>
          </cell>
          <cell r="H3800">
            <v>0</v>
          </cell>
          <cell r="I3800">
            <v>2</v>
          </cell>
          <cell r="J3800">
            <v>0</v>
          </cell>
          <cell r="K3800">
            <v>0</v>
          </cell>
          <cell r="L3800">
            <v>1</v>
          </cell>
        </row>
        <row r="3801">
          <cell r="A3801" t="str">
            <v>20497.10601</v>
          </cell>
          <cell r="B3801" t="str">
            <v>BAGUE D'ETANCHEITE</v>
          </cell>
          <cell r="C3801" t="str">
            <v>SULZER TYPE A 23-40 SERIE 100038256 REP411,21</v>
          </cell>
          <cell r="D3801" t="str">
            <v>PE</v>
          </cell>
          <cell r="E3801" t="str">
            <v>515.51505</v>
          </cell>
          <cell r="F3801">
            <v>548.6001</v>
          </cell>
          <cell r="G3801">
            <v>0</v>
          </cell>
          <cell r="H3801">
            <v>0</v>
          </cell>
          <cell r="I3801">
            <v>0</v>
          </cell>
          <cell r="J3801">
            <v>0</v>
          </cell>
          <cell r="K3801">
            <v>0</v>
          </cell>
          <cell r="L3801">
            <v>2</v>
          </cell>
        </row>
        <row r="3802">
          <cell r="A3802" t="str">
            <v>20497.10602</v>
          </cell>
          <cell r="B3802" t="str">
            <v>BAGUE D'ETANCHEITE</v>
          </cell>
          <cell r="C3802" t="str">
            <v>SULZER TYPE A 23-40 SERIE 100038256 REP411,31</v>
          </cell>
          <cell r="D3802" t="str">
            <v>PE</v>
          </cell>
          <cell r="E3802" t="str">
            <v>515.51505</v>
          </cell>
          <cell r="F3802">
            <v>86.8249</v>
          </cell>
          <cell r="G3802">
            <v>0</v>
          </cell>
          <cell r="H3802">
            <v>0</v>
          </cell>
          <cell r="I3802">
            <v>0</v>
          </cell>
          <cell r="J3802">
            <v>0</v>
          </cell>
          <cell r="K3802">
            <v>0</v>
          </cell>
          <cell r="L3802">
            <v>3</v>
          </cell>
        </row>
        <row r="3803">
          <cell r="A3803" t="str">
            <v>20497.10603</v>
          </cell>
          <cell r="B3803" t="str">
            <v>BAGUE LABYRINTHE</v>
          </cell>
          <cell r="C3803" t="str">
            <v>SULZER TYPE A 23-40 SERIE 100038256 REP423,31</v>
          </cell>
          <cell r="D3803" t="str">
            <v>PE</v>
          </cell>
          <cell r="E3803" t="str">
            <v>515.51505</v>
          </cell>
          <cell r="F3803">
            <v>3172.6995999999999</v>
          </cell>
          <cell r="G3803">
            <v>0</v>
          </cell>
          <cell r="H3803">
            <v>0</v>
          </cell>
          <cell r="I3803">
            <v>1</v>
          </cell>
          <cell r="J3803">
            <v>0</v>
          </cell>
          <cell r="K3803">
            <v>0</v>
          </cell>
          <cell r="L3803">
            <v>0</v>
          </cell>
        </row>
        <row r="3804">
          <cell r="A3804" t="str">
            <v>20497.10604</v>
          </cell>
          <cell r="B3804" t="str">
            <v>BAGUE LABYRINTHE</v>
          </cell>
          <cell r="C3804" t="str">
            <v>SULZER TYPE A 23-40 SERIE 100038256 REP423,32</v>
          </cell>
          <cell r="D3804" t="str">
            <v>PE</v>
          </cell>
          <cell r="E3804" t="str">
            <v>515.51505</v>
          </cell>
          <cell r="F3804">
            <v>10780</v>
          </cell>
          <cell r="G3804">
            <v>0</v>
          </cell>
          <cell r="H3804">
            <v>0</v>
          </cell>
          <cell r="I3804">
            <v>2</v>
          </cell>
          <cell r="J3804">
            <v>0</v>
          </cell>
          <cell r="K3804">
            <v>0</v>
          </cell>
          <cell r="L3804">
            <v>0</v>
          </cell>
        </row>
        <row r="3805">
          <cell r="A3805" t="str">
            <v>20498.01000</v>
          </cell>
          <cell r="B3805" t="str">
            <v xml:space="preserve">BOOSTER RELAYS </v>
          </cell>
          <cell r="C3805" t="str">
            <v>YOUNG-TECH CO MODELE YT-300</v>
          </cell>
          <cell r="D3805" t="str">
            <v>PE</v>
          </cell>
          <cell r="E3805" t="str">
            <v>512.51201</v>
          </cell>
          <cell r="F3805">
            <v>4926.6000000000004</v>
          </cell>
          <cell r="G3805">
            <v>0</v>
          </cell>
          <cell r="H3805">
            <v>0</v>
          </cell>
          <cell r="I3805">
            <v>0</v>
          </cell>
          <cell r="J3805">
            <v>0</v>
          </cell>
          <cell r="K3805">
            <v>0</v>
          </cell>
          <cell r="L3805">
            <v>1</v>
          </cell>
        </row>
        <row r="3806">
          <cell r="A3806" t="str">
            <v>20497.10047</v>
          </cell>
          <cell r="B3806" t="str">
            <v>VERNIER</v>
          </cell>
          <cell r="C3806" t="str">
            <v>MILTON ROY SERIE G MODEL CEGA 120P6P3 PLAN 226.IP.15 REP 4</v>
          </cell>
          <cell r="D3806" t="str">
            <v>PE</v>
          </cell>
          <cell r="E3806" t="str">
            <v>515.51511</v>
          </cell>
          <cell r="F3806">
            <v>1552.32</v>
          </cell>
          <cell r="G3806">
            <v>0</v>
          </cell>
          <cell r="H3806">
            <v>0</v>
          </cell>
          <cell r="I3806">
            <v>0</v>
          </cell>
          <cell r="J3806">
            <v>0</v>
          </cell>
          <cell r="K3806">
            <v>0</v>
          </cell>
          <cell r="L3806">
            <v>2</v>
          </cell>
        </row>
        <row r="3807">
          <cell r="A3807" t="str">
            <v>20498.01001</v>
          </cell>
          <cell r="B3807" t="str">
            <v xml:space="preserve">BOOSTER RELAYS </v>
          </cell>
          <cell r="C3807" t="str">
            <v>YOUNG-TECH CO MODELE YT-305</v>
          </cell>
          <cell r="D3807" t="str">
            <v>PE</v>
          </cell>
          <cell r="E3807" t="str">
            <v>512.51201</v>
          </cell>
          <cell r="F3807">
            <v>4990.0258999999996</v>
          </cell>
          <cell r="G3807">
            <v>0</v>
          </cell>
          <cell r="H3807">
            <v>0</v>
          </cell>
          <cell r="I3807">
            <v>0</v>
          </cell>
          <cell r="J3807">
            <v>0</v>
          </cell>
          <cell r="K3807">
            <v>0</v>
          </cell>
          <cell r="L3807">
            <v>1</v>
          </cell>
        </row>
        <row r="3808">
          <cell r="A3808" t="str">
            <v>20497.10048</v>
          </cell>
          <cell r="B3808" t="str">
            <v>SOUPAPE 4 FONCTIONS</v>
          </cell>
          <cell r="C3808" t="str">
            <v>MILTON ROY SERIE G MODEL CEGA 120P6P3 PLAN 226.IP.15 REP 10</v>
          </cell>
          <cell r="D3808" t="str">
            <v>PE</v>
          </cell>
          <cell r="E3808" t="str">
            <v>515.51511</v>
          </cell>
          <cell r="F3808">
            <v>2034.48</v>
          </cell>
          <cell r="G3808">
            <v>0</v>
          </cell>
          <cell r="H3808">
            <v>0</v>
          </cell>
          <cell r="I3808">
            <v>0</v>
          </cell>
          <cell r="J3808">
            <v>0</v>
          </cell>
          <cell r="K3808">
            <v>0</v>
          </cell>
          <cell r="L3808">
            <v>3</v>
          </cell>
        </row>
        <row r="3809">
          <cell r="A3809" t="str">
            <v>20497.10049</v>
          </cell>
          <cell r="B3809" t="str">
            <v>BOITE A CLAPETS ASPIRATION</v>
          </cell>
          <cell r="C3809" t="str">
            <v>MILTON ROY SERIE G MODEL CEGA 120P6P3 PLAN 226.IP.15 REP 11</v>
          </cell>
          <cell r="D3809" t="str">
            <v>PE</v>
          </cell>
          <cell r="E3809" t="str">
            <v>515.51511</v>
          </cell>
          <cell r="F3809">
            <v>1381.8</v>
          </cell>
          <cell r="G3809">
            <v>0</v>
          </cell>
          <cell r="H3809">
            <v>0</v>
          </cell>
          <cell r="I3809">
            <v>2</v>
          </cell>
          <cell r="J3809">
            <v>0</v>
          </cell>
          <cell r="K3809">
            <v>0</v>
          </cell>
          <cell r="L3809">
            <v>6</v>
          </cell>
        </row>
        <row r="3810">
          <cell r="A3810" t="str">
            <v>20497.10050</v>
          </cell>
          <cell r="B3810" t="str">
            <v>BOITE A CLAPETS REFOULEMENT</v>
          </cell>
          <cell r="C3810" t="str">
            <v>MILTON ROY SERIE G MODEL CEGA 120P6P3 PLAN 226.IP.15 REP 12</v>
          </cell>
          <cell r="D3810" t="str">
            <v>PE</v>
          </cell>
          <cell r="E3810" t="str">
            <v>515.51511</v>
          </cell>
          <cell r="F3810">
            <v>1381.8</v>
          </cell>
          <cell r="G3810">
            <v>0</v>
          </cell>
          <cell r="H3810">
            <v>0</v>
          </cell>
          <cell r="I3810">
            <v>0</v>
          </cell>
          <cell r="J3810">
            <v>0</v>
          </cell>
          <cell r="K3810">
            <v>0</v>
          </cell>
          <cell r="L3810">
            <v>8</v>
          </cell>
        </row>
        <row r="3811">
          <cell r="A3811" t="str">
            <v>20497.10069</v>
          </cell>
          <cell r="B3811" t="str">
            <v>CHAMBRE COTE LIQUIDE</v>
          </cell>
          <cell r="C3811" t="str">
            <v>WILDEN 08-5005-20</v>
          </cell>
          <cell r="D3811" t="str">
            <v>PE</v>
          </cell>
          <cell r="E3811" t="str">
            <v>515.51517</v>
          </cell>
          <cell r="F3811">
            <v>11192.275</v>
          </cell>
          <cell r="G3811">
            <v>0</v>
          </cell>
          <cell r="H3811">
            <v>0</v>
          </cell>
          <cell r="I3811">
            <v>0</v>
          </cell>
          <cell r="J3811">
            <v>0</v>
          </cell>
          <cell r="K3811">
            <v>0</v>
          </cell>
          <cell r="L3811">
            <v>1</v>
          </cell>
        </row>
        <row r="3812">
          <cell r="A3812" t="str">
            <v>20497.10070</v>
          </cell>
          <cell r="B3812" t="str">
            <v>COLLECTEUR DE REFOULEMENT</v>
          </cell>
          <cell r="C3812" t="str">
            <v>WILDEN 08-5030-20/08-5031-20</v>
          </cell>
          <cell r="D3812" t="str">
            <v>PE</v>
          </cell>
          <cell r="E3812" t="str">
            <v>515.51517</v>
          </cell>
          <cell r="F3812">
            <v>14586</v>
          </cell>
          <cell r="G3812">
            <v>0</v>
          </cell>
          <cell r="H3812">
            <v>0</v>
          </cell>
          <cell r="I3812">
            <v>0</v>
          </cell>
          <cell r="J3812">
            <v>0</v>
          </cell>
          <cell r="K3812">
            <v>0</v>
          </cell>
          <cell r="L3812">
            <v>0</v>
          </cell>
        </row>
        <row r="3813">
          <cell r="A3813" t="str">
            <v>20497.10051</v>
          </cell>
          <cell r="B3813" t="str">
            <v>SYSTEME DE DOSAGE COMPLET AVEC SOUPAPE Q MAX : 6L/H P MAX : 10.3 BARS. 230 V;1.20A</v>
          </cell>
          <cell r="C3813" t="str">
            <v>MILTON ROY MODEL CEB913-392S3 PLAN 225.62.IP05 REP 13</v>
          </cell>
          <cell r="D3813" t="str">
            <v>PE</v>
          </cell>
          <cell r="E3813" t="str">
            <v>515.51511</v>
          </cell>
          <cell r="F3813">
            <v>14800</v>
          </cell>
          <cell r="G3813">
            <v>0</v>
          </cell>
          <cell r="H3813">
            <v>0</v>
          </cell>
          <cell r="I3813">
            <v>1</v>
          </cell>
          <cell r="J3813">
            <v>0</v>
          </cell>
          <cell r="K3813">
            <v>0</v>
          </cell>
          <cell r="L3813">
            <v>1</v>
          </cell>
        </row>
        <row r="3814">
          <cell r="A3814" t="str">
            <v>20497.10053</v>
          </cell>
          <cell r="B3814" t="str">
            <v>JOINT TORIQUE</v>
          </cell>
          <cell r="C3814" t="str">
            <v>WILDEN 04-2390-52-700</v>
          </cell>
          <cell r="D3814" t="str">
            <v>PE</v>
          </cell>
          <cell r="E3814" t="str">
            <v>515.51517</v>
          </cell>
          <cell r="F3814">
            <v>24</v>
          </cell>
          <cell r="G3814">
            <v>0</v>
          </cell>
          <cell r="H3814">
            <v>0</v>
          </cell>
          <cell r="I3814">
            <v>0</v>
          </cell>
          <cell r="J3814">
            <v>0</v>
          </cell>
          <cell r="K3814">
            <v>3</v>
          </cell>
          <cell r="L3814">
            <v>0</v>
          </cell>
        </row>
        <row r="3815">
          <cell r="A3815" t="str">
            <v>20497.10054</v>
          </cell>
          <cell r="B3815" t="str">
            <v>PLAQUE D'ECHAPPEMENT</v>
          </cell>
          <cell r="C3815" t="str">
            <v>WILDEN 04-3180-20-700</v>
          </cell>
          <cell r="D3815" t="str">
            <v>PE</v>
          </cell>
          <cell r="E3815" t="str">
            <v>515.51517</v>
          </cell>
          <cell r="F3815">
            <v>593.1463</v>
          </cell>
          <cell r="G3815">
            <v>0</v>
          </cell>
          <cell r="H3815">
            <v>0</v>
          </cell>
          <cell r="I3815">
            <v>0</v>
          </cell>
          <cell r="J3815">
            <v>0</v>
          </cell>
          <cell r="K3815">
            <v>0</v>
          </cell>
          <cell r="L3815">
            <v>0</v>
          </cell>
        </row>
        <row r="3816">
          <cell r="A3816" t="str">
            <v>20497.10055</v>
          </cell>
          <cell r="B3816" t="str">
            <v>JOINT DE PLAQUE D'ECHAPPEMENT</v>
          </cell>
          <cell r="C3816" t="str">
            <v>WILDEN 04-3500-52-700</v>
          </cell>
          <cell r="D3816" t="str">
            <v>PE</v>
          </cell>
          <cell r="E3816" t="str">
            <v>515.51517</v>
          </cell>
          <cell r="F3816">
            <v>232</v>
          </cell>
          <cell r="G3816">
            <v>0</v>
          </cell>
          <cell r="H3816">
            <v>0</v>
          </cell>
          <cell r="I3816">
            <v>0</v>
          </cell>
          <cell r="J3816">
            <v>0</v>
          </cell>
          <cell r="K3816">
            <v>0</v>
          </cell>
          <cell r="L3816">
            <v>0</v>
          </cell>
        </row>
        <row r="3817">
          <cell r="A3817" t="str">
            <v>20497.10071</v>
          </cell>
          <cell r="B3817" t="str">
            <v>BOULE DE CLAPET</v>
          </cell>
          <cell r="C3817" t="str">
            <v>WILDEN 08-1080-55</v>
          </cell>
          <cell r="D3817" t="str">
            <v>PE</v>
          </cell>
          <cell r="E3817" t="str">
            <v>515.51517</v>
          </cell>
          <cell r="F3817">
            <v>1062.9449999999999</v>
          </cell>
          <cell r="G3817">
            <v>0</v>
          </cell>
          <cell r="H3817">
            <v>0</v>
          </cell>
          <cell r="I3817">
            <v>14</v>
          </cell>
          <cell r="J3817">
            <v>0</v>
          </cell>
          <cell r="K3817">
            <v>0</v>
          </cell>
          <cell r="L3817">
            <v>2</v>
          </cell>
        </row>
        <row r="3818">
          <cell r="A3818" t="str">
            <v>20497.10072</v>
          </cell>
          <cell r="B3818" t="str">
            <v>JOINT TORIQUE</v>
          </cell>
          <cell r="C3818" t="str">
            <v>WILDEN 08-1205-60</v>
          </cell>
          <cell r="D3818" t="str">
            <v>PE</v>
          </cell>
          <cell r="E3818" t="str">
            <v>515.51517</v>
          </cell>
          <cell r="F3818">
            <v>322.2</v>
          </cell>
          <cell r="G3818">
            <v>0</v>
          </cell>
          <cell r="H3818">
            <v>0</v>
          </cell>
          <cell r="I3818">
            <v>4</v>
          </cell>
          <cell r="J3818">
            <v>0</v>
          </cell>
          <cell r="K3818">
            <v>0</v>
          </cell>
          <cell r="L3818">
            <v>4</v>
          </cell>
        </row>
        <row r="3819">
          <cell r="A3819" t="str">
            <v>20497.10073</v>
          </cell>
          <cell r="B3819" t="str">
            <v>SIEGE DE CLAPET</v>
          </cell>
          <cell r="C3819" t="str">
            <v>WILDEN 08-1125-20</v>
          </cell>
          <cell r="D3819" t="str">
            <v>PE</v>
          </cell>
          <cell r="E3819" t="str">
            <v>515.51517</v>
          </cell>
          <cell r="F3819">
            <v>739.92</v>
          </cell>
          <cell r="G3819">
            <v>0</v>
          </cell>
          <cell r="H3819">
            <v>0</v>
          </cell>
          <cell r="I3819">
            <v>12</v>
          </cell>
          <cell r="J3819">
            <v>0</v>
          </cell>
          <cell r="K3819">
            <v>0</v>
          </cell>
          <cell r="L3819">
            <v>4</v>
          </cell>
        </row>
        <row r="3820">
          <cell r="A3820" t="str">
            <v>20497.10074</v>
          </cell>
          <cell r="B3820" t="str">
            <v>JOINT TORIQUE DE COLLECTEUR</v>
          </cell>
          <cell r="C3820" t="str">
            <v>WILDEN 08-1371-60</v>
          </cell>
          <cell r="D3820" t="str">
            <v>PE</v>
          </cell>
          <cell r="E3820" t="str">
            <v>515.51517</v>
          </cell>
          <cell r="F3820">
            <v>420.63749999999999</v>
          </cell>
          <cell r="G3820">
            <v>0</v>
          </cell>
          <cell r="H3820">
            <v>0</v>
          </cell>
          <cell r="I3820">
            <v>4</v>
          </cell>
          <cell r="J3820">
            <v>0</v>
          </cell>
          <cell r="K3820">
            <v>0</v>
          </cell>
          <cell r="L3820">
            <v>4</v>
          </cell>
        </row>
        <row r="3821">
          <cell r="A3821" t="str">
            <v>20497.10163</v>
          </cell>
          <cell r="B3821" t="str">
            <v>RESSORT</v>
          </cell>
          <cell r="C3821" t="str">
            <v>DRESSER P/SOUPAPE 8" MODEL 1920-00TT-4CC-TD-34</v>
          </cell>
          <cell r="D3821" t="str">
            <v>PE</v>
          </cell>
          <cell r="E3821" t="str">
            <v>512.51201</v>
          </cell>
          <cell r="F3821">
            <v>82002.498399999997</v>
          </cell>
          <cell r="G3821">
            <v>0</v>
          </cell>
          <cell r="H3821">
            <v>0</v>
          </cell>
          <cell r="I3821">
            <v>0</v>
          </cell>
          <cell r="J3821">
            <v>0</v>
          </cell>
          <cell r="K3821">
            <v>0</v>
          </cell>
          <cell r="L3821">
            <v>2</v>
          </cell>
        </row>
        <row r="3822">
          <cell r="A3822" t="str">
            <v>20497.10158</v>
          </cell>
          <cell r="B3822" t="str">
            <v>SOUPAPE</v>
          </cell>
          <cell r="C3822" t="str">
            <v>DRESSER 1" 150 RF MODEL 1905-00DC-2-CC-MS-34-RF-GS-LP SERIE CO7593</v>
          </cell>
          <cell r="D3822" t="str">
            <v>PE</v>
          </cell>
          <cell r="E3822" t="str">
            <v>512.51201</v>
          </cell>
          <cell r="F3822">
            <v>10395.1582</v>
          </cell>
          <cell r="G3822">
            <v>0</v>
          </cell>
          <cell r="H3822">
            <v>0</v>
          </cell>
          <cell r="I3822">
            <v>0</v>
          </cell>
          <cell r="J3822">
            <v>0</v>
          </cell>
          <cell r="K3822">
            <v>0</v>
          </cell>
          <cell r="L3822">
            <v>0</v>
          </cell>
        </row>
        <row r="3823">
          <cell r="A3823" t="str">
            <v>20497.10159</v>
          </cell>
          <cell r="B3823" t="str">
            <v>CLAPET</v>
          </cell>
          <cell r="C3823" t="str">
            <v>DRESSER P/SOUPAPE 4" MODEL 1905-00PC-2-CC-MS-31-RF-LA REF CO 113335</v>
          </cell>
          <cell r="D3823" t="str">
            <v>PE</v>
          </cell>
          <cell r="E3823" t="str">
            <v>512.51201</v>
          </cell>
          <cell r="F3823">
            <v>7920.1206000000002</v>
          </cell>
          <cell r="G3823">
            <v>0</v>
          </cell>
          <cell r="H3823">
            <v>0</v>
          </cell>
          <cell r="I3823">
            <v>0</v>
          </cell>
          <cell r="J3823">
            <v>0</v>
          </cell>
          <cell r="K3823">
            <v>0</v>
          </cell>
          <cell r="L3823">
            <v>1</v>
          </cell>
        </row>
        <row r="3824">
          <cell r="A3824" t="str">
            <v>20497.10164</v>
          </cell>
          <cell r="B3824" t="str">
            <v>JOINT DE CHAPEAU</v>
          </cell>
          <cell r="C3824" t="str">
            <v>DRESSER P/SOUPAPE 8" MODEL 1905-00PC-2-CC-MS-31-RF-LA</v>
          </cell>
          <cell r="D3824" t="str">
            <v>PE</v>
          </cell>
          <cell r="E3824" t="str">
            <v>512.51201</v>
          </cell>
          <cell r="F3824">
            <v>607.50919999999996</v>
          </cell>
          <cell r="G3824">
            <v>0</v>
          </cell>
          <cell r="H3824">
            <v>0</v>
          </cell>
          <cell r="I3824">
            <v>0</v>
          </cell>
          <cell r="J3824">
            <v>0</v>
          </cell>
          <cell r="K3824">
            <v>0</v>
          </cell>
          <cell r="L3824">
            <v>2</v>
          </cell>
        </row>
        <row r="3825">
          <cell r="A3825" t="str">
            <v>20497.10160</v>
          </cell>
          <cell r="B3825" t="str">
            <v>RESSORT</v>
          </cell>
          <cell r="C3825" t="str">
            <v>DRESSER P/SOUPAPE 4" MODEL 1905-00PC-2-CC-MS-31-RF-LA REF CO 113335</v>
          </cell>
          <cell r="D3825" t="str">
            <v>PE</v>
          </cell>
          <cell r="E3825" t="str">
            <v>512.51201</v>
          </cell>
          <cell r="F3825">
            <v>19080.290499999999</v>
          </cell>
          <cell r="G3825">
            <v>0</v>
          </cell>
          <cell r="H3825">
            <v>0</v>
          </cell>
          <cell r="I3825">
            <v>0</v>
          </cell>
          <cell r="J3825">
            <v>0</v>
          </cell>
          <cell r="K3825">
            <v>0</v>
          </cell>
          <cell r="L3825">
            <v>1</v>
          </cell>
        </row>
        <row r="3826">
          <cell r="A3826" t="str">
            <v>20497.10161</v>
          </cell>
          <cell r="B3826" t="str">
            <v>JOINT DE CHAPEAU</v>
          </cell>
          <cell r="C3826" t="str">
            <v>DRESSER P/SOUPAPE 4" MODEL 1905-00PC-2-CC-MS-31-RF-LA REF CO 113335</v>
          </cell>
          <cell r="D3826" t="str">
            <v>PE</v>
          </cell>
          <cell r="E3826" t="str">
            <v>512.51201</v>
          </cell>
          <cell r="F3826">
            <v>382.50580000000002</v>
          </cell>
          <cell r="G3826">
            <v>0</v>
          </cell>
          <cell r="H3826">
            <v>0</v>
          </cell>
          <cell r="I3826">
            <v>0</v>
          </cell>
          <cell r="J3826">
            <v>0</v>
          </cell>
          <cell r="K3826">
            <v>0</v>
          </cell>
          <cell r="L3826">
            <v>1</v>
          </cell>
        </row>
        <row r="3827">
          <cell r="A3827" t="str">
            <v>20492.15902</v>
          </cell>
          <cell r="B3827" t="str">
            <v>JOINT</v>
          </cell>
          <cell r="C3827" t="str">
            <v>DRESSER RAND 3R4452-1 NOMENCLATURE OR29666 REP2</v>
          </cell>
          <cell r="D3827" t="str">
            <v>PE</v>
          </cell>
          <cell r="E3827" t="str">
            <v>515.51517</v>
          </cell>
          <cell r="F3827">
            <v>23227.7245</v>
          </cell>
          <cell r="G3827">
            <v>0</v>
          </cell>
          <cell r="H3827">
            <v>1</v>
          </cell>
          <cell r="I3827">
            <v>0</v>
          </cell>
          <cell r="J3827">
            <v>1</v>
          </cell>
          <cell r="K3827">
            <v>0</v>
          </cell>
          <cell r="L3827">
            <v>3</v>
          </cell>
        </row>
        <row r="3828">
          <cell r="A3828" t="str">
            <v>20497.10056</v>
          </cell>
          <cell r="B3828" t="str">
            <v>JOINT DE DISTRIBUTEUR</v>
          </cell>
          <cell r="C3828" t="str">
            <v>WILDEN 04-2600-52-700</v>
          </cell>
          <cell r="D3828" t="str">
            <v>PE</v>
          </cell>
          <cell r="E3828" t="str">
            <v>515.51517</v>
          </cell>
          <cell r="F3828">
            <v>261.22500000000002</v>
          </cell>
          <cell r="G3828">
            <v>0</v>
          </cell>
          <cell r="H3828">
            <v>0</v>
          </cell>
          <cell r="I3828">
            <v>0</v>
          </cell>
          <cell r="J3828">
            <v>0</v>
          </cell>
          <cell r="K3828">
            <v>0</v>
          </cell>
          <cell r="L3828">
            <v>3</v>
          </cell>
        </row>
        <row r="3829">
          <cell r="A3829" t="str">
            <v>20497.10057</v>
          </cell>
          <cell r="B3829" t="str">
            <v>BLOC CENTRAL</v>
          </cell>
          <cell r="C3829" t="str">
            <v>WILDEN 04-3110-20</v>
          </cell>
          <cell r="D3829" t="str">
            <v>PE</v>
          </cell>
          <cell r="E3829" t="str">
            <v>515.51517</v>
          </cell>
          <cell r="F3829">
            <v>9493.11</v>
          </cell>
          <cell r="G3829">
            <v>0</v>
          </cell>
          <cell r="H3829">
            <v>0</v>
          </cell>
          <cell r="I3829">
            <v>2</v>
          </cell>
          <cell r="J3829">
            <v>0</v>
          </cell>
          <cell r="K3829">
            <v>1</v>
          </cell>
          <cell r="L3829">
            <v>0</v>
          </cell>
        </row>
        <row r="3830">
          <cell r="A3830" t="str">
            <v>20497.10058</v>
          </cell>
          <cell r="B3830" t="str">
            <v>REDUCTION</v>
          </cell>
          <cell r="C3830" t="str">
            <v>WILDEN 04-6950-20-700</v>
          </cell>
          <cell r="D3830" t="str">
            <v>PE</v>
          </cell>
          <cell r="E3830" t="str">
            <v>515.51517</v>
          </cell>
          <cell r="F3830">
            <v>185.88499999999999</v>
          </cell>
          <cell r="G3830">
            <v>0</v>
          </cell>
          <cell r="H3830">
            <v>0</v>
          </cell>
          <cell r="I3830">
            <v>0</v>
          </cell>
          <cell r="J3830">
            <v>0</v>
          </cell>
          <cell r="K3830">
            <v>0</v>
          </cell>
          <cell r="L3830">
            <v>2</v>
          </cell>
        </row>
        <row r="3831">
          <cell r="A3831" t="str">
            <v>20497.10059</v>
          </cell>
          <cell r="B3831" t="str">
            <v>INSERT FILETE DE BLOC CENTRAL</v>
          </cell>
          <cell r="C3831" t="str">
            <v>WILDEN 04-7710-08</v>
          </cell>
          <cell r="D3831" t="str">
            <v>PE</v>
          </cell>
          <cell r="E3831" t="str">
            <v>515.51517</v>
          </cell>
          <cell r="F3831">
            <v>96</v>
          </cell>
          <cell r="G3831">
            <v>0</v>
          </cell>
          <cell r="H3831">
            <v>0</v>
          </cell>
          <cell r="I3831">
            <v>0</v>
          </cell>
          <cell r="J3831">
            <v>0</v>
          </cell>
          <cell r="K3831">
            <v>0</v>
          </cell>
          <cell r="L3831">
            <v>8</v>
          </cell>
        </row>
        <row r="3832">
          <cell r="A3832" t="str">
            <v>20497.10060</v>
          </cell>
          <cell r="B3832" t="str">
            <v>TIROIRE PILOTE</v>
          </cell>
          <cell r="C3832" t="str">
            <v>WILDEN 04-3882-99</v>
          </cell>
          <cell r="D3832" t="str">
            <v>PE</v>
          </cell>
          <cell r="E3832" t="str">
            <v>515.51517</v>
          </cell>
          <cell r="F3832">
            <v>1647.54</v>
          </cell>
          <cell r="G3832">
            <v>0</v>
          </cell>
          <cell r="H3832">
            <v>0</v>
          </cell>
          <cell r="I3832">
            <v>0</v>
          </cell>
          <cell r="J3832">
            <v>0</v>
          </cell>
          <cell r="K3832">
            <v>1</v>
          </cell>
          <cell r="L3832">
            <v>0</v>
          </cell>
        </row>
        <row r="3833">
          <cell r="A3833" t="str">
            <v>20497.10075</v>
          </cell>
          <cell r="B3833" t="str">
            <v>COLLECTEUR D'ASPIRATION</v>
          </cell>
          <cell r="C3833" t="str">
            <v>WILDEN 08-5090-20/08-5091-20</v>
          </cell>
          <cell r="D3833" t="str">
            <v>PE</v>
          </cell>
          <cell r="E3833" t="str">
            <v>515.51517</v>
          </cell>
          <cell r="F3833">
            <v>19543.25</v>
          </cell>
          <cell r="G3833">
            <v>0</v>
          </cell>
          <cell r="H3833">
            <v>0</v>
          </cell>
          <cell r="I3833">
            <v>1</v>
          </cell>
          <cell r="J3833">
            <v>0</v>
          </cell>
          <cell r="K3833">
            <v>0</v>
          </cell>
          <cell r="L3833">
            <v>1</v>
          </cell>
        </row>
        <row r="3834">
          <cell r="A3834" t="str">
            <v>20497.10076</v>
          </cell>
          <cell r="B3834" t="str">
            <v>SILENCIEUX</v>
          </cell>
          <cell r="C3834" t="str">
            <v>WILDEN 08-3510-99</v>
          </cell>
          <cell r="D3834" t="str">
            <v>PE</v>
          </cell>
          <cell r="E3834" t="str">
            <v>515.51517</v>
          </cell>
          <cell r="F3834">
            <v>868.30499999999995</v>
          </cell>
          <cell r="G3834">
            <v>0</v>
          </cell>
          <cell r="H3834">
            <v>0</v>
          </cell>
          <cell r="I3834">
            <v>0</v>
          </cell>
          <cell r="J3834">
            <v>0</v>
          </cell>
          <cell r="K3834">
            <v>0</v>
          </cell>
          <cell r="L3834">
            <v>4</v>
          </cell>
        </row>
        <row r="3835">
          <cell r="A3835" t="str">
            <v>20497.10117</v>
          </cell>
          <cell r="B3835" t="str">
            <v>GARNITURE MECANIQUE</v>
          </cell>
          <cell r="C3835" t="str">
            <v>BLACKMER  REF 300639  REP 600 BLOCDIR CARBONE/INOX  JOINT VITON, P/POMPE BLACKMER  AL-HB-CARB APG VT+VT C/5 584782</v>
          </cell>
          <cell r="D3835" t="str">
            <v>PE</v>
          </cell>
          <cell r="E3835" t="str">
            <v>515.51507</v>
          </cell>
          <cell r="F3835">
            <v>3304.8735999999999</v>
          </cell>
          <cell r="G3835">
            <v>0</v>
          </cell>
          <cell r="H3835">
            <v>0</v>
          </cell>
          <cell r="I3835">
            <v>0</v>
          </cell>
          <cell r="J3835">
            <v>0</v>
          </cell>
          <cell r="K3835">
            <v>0</v>
          </cell>
          <cell r="L3835">
            <v>2</v>
          </cell>
        </row>
        <row r="3836">
          <cell r="A3836" t="str">
            <v>20497.10118</v>
          </cell>
          <cell r="B3836" t="str">
            <v>GARNITURE MECANIQUE</v>
          </cell>
          <cell r="C3836" t="str">
            <v>BLACKMER  REF 300054 REP 600 BLOCDIR CARBONE/INOX  JOINT VITON, P/POMPE BLACKMER  AK-HP-O BC APG VT+VT C/4 584775/776</v>
          </cell>
          <cell r="D3836" t="str">
            <v>PE</v>
          </cell>
          <cell r="E3836" t="str">
            <v>515.51507</v>
          </cell>
          <cell r="F3836">
            <v>2555.0167999999999</v>
          </cell>
          <cell r="G3836">
            <v>0</v>
          </cell>
          <cell r="H3836">
            <v>0</v>
          </cell>
          <cell r="I3836">
            <v>0</v>
          </cell>
          <cell r="J3836">
            <v>0</v>
          </cell>
          <cell r="K3836">
            <v>0</v>
          </cell>
          <cell r="L3836">
            <v>4</v>
          </cell>
        </row>
        <row r="3837">
          <cell r="A3837" t="str">
            <v>20497.10640</v>
          </cell>
          <cell r="B3837" t="str">
            <v>BAGUE D'ETANCHEITE</v>
          </cell>
          <cell r="C3837" t="str">
            <v>SULZER TYPE A 22-65 SERIE 100038257/100038258 REP411,31</v>
          </cell>
          <cell r="D3837" t="str">
            <v>PE</v>
          </cell>
          <cell r="E3837" t="str">
            <v>515.51505</v>
          </cell>
          <cell r="F3837">
            <v>73.587299999999999</v>
          </cell>
          <cell r="G3837">
            <v>0</v>
          </cell>
          <cell r="H3837">
            <v>0</v>
          </cell>
          <cell r="I3837">
            <v>0</v>
          </cell>
          <cell r="J3837">
            <v>0</v>
          </cell>
          <cell r="K3837">
            <v>0</v>
          </cell>
          <cell r="L3837">
            <v>4</v>
          </cell>
        </row>
        <row r="3838">
          <cell r="A3838" t="str">
            <v>20497.10641</v>
          </cell>
          <cell r="B3838" t="str">
            <v>BAGUE LABYRINTHE</v>
          </cell>
          <cell r="C3838" t="str">
            <v>SULZER TYPE A 22-65 SERIE 100038257/100038258 REP423,31</v>
          </cell>
          <cell r="D3838" t="str">
            <v>PE</v>
          </cell>
          <cell r="E3838" t="str">
            <v>515.51505</v>
          </cell>
          <cell r="F3838">
            <v>3172.6995999999999</v>
          </cell>
          <cell r="G3838">
            <v>0</v>
          </cell>
          <cell r="H3838">
            <v>0</v>
          </cell>
          <cell r="I3838">
            <v>0</v>
          </cell>
          <cell r="J3838">
            <v>0</v>
          </cell>
          <cell r="K3838">
            <v>0</v>
          </cell>
          <cell r="L3838">
            <v>6</v>
          </cell>
        </row>
        <row r="3839">
          <cell r="A3839" t="str">
            <v>20497.10642</v>
          </cell>
          <cell r="B3839" t="str">
            <v>BAGUE LABYRINTHE</v>
          </cell>
          <cell r="C3839" t="str">
            <v>SULZER TYPE A 22-65 SERIE 100038257/100038258 REP423,32</v>
          </cell>
          <cell r="D3839" t="str">
            <v>PE</v>
          </cell>
          <cell r="E3839" t="str">
            <v>515.51505</v>
          </cell>
          <cell r="F3839">
            <v>620.16600000000005</v>
          </cell>
          <cell r="G3839">
            <v>0</v>
          </cell>
          <cell r="H3839">
            <v>0</v>
          </cell>
          <cell r="I3839">
            <v>0</v>
          </cell>
          <cell r="J3839">
            <v>0</v>
          </cell>
          <cell r="K3839">
            <v>2</v>
          </cell>
          <cell r="L3839">
            <v>2</v>
          </cell>
        </row>
        <row r="3840">
          <cell r="A3840" t="str">
            <v>20497.10643</v>
          </cell>
          <cell r="B3840" t="str">
            <v>HUILEUR A NIVEAU CONSTANT</v>
          </cell>
          <cell r="C3840" t="str">
            <v>SULZER TYPE A 22-65 SERIE 100038257/100038258 REP638,31</v>
          </cell>
          <cell r="D3840" t="str">
            <v>PE</v>
          </cell>
          <cell r="E3840" t="str">
            <v>515.51505</v>
          </cell>
          <cell r="F3840">
            <v>333.67669999999998</v>
          </cell>
          <cell r="G3840">
            <v>0</v>
          </cell>
          <cell r="H3840">
            <v>0</v>
          </cell>
          <cell r="I3840">
            <v>0</v>
          </cell>
          <cell r="J3840">
            <v>0</v>
          </cell>
          <cell r="K3840">
            <v>0</v>
          </cell>
          <cell r="L3840">
            <v>4</v>
          </cell>
        </row>
        <row r="3841">
          <cell r="A3841" t="str">
            <v>20497.10644</v>
          </cell>
          <cell r="B3841" t="str">
            <v>ECROU DE ROULEMENT</v>
          </cell>
          <cell r="C3841" t="str">
            <v>SULZER TYPE A 22-65 SERIE 100038257/100038258 REP923,31</v>
          </cell>
          <cell r="D3841" t="str">
            <v>PE</v>
          </cell>
          <cell r="E3841" t="str">
            <v>515.51505</v>
          </cell>
          <cell r="F3841">
            <v>180.97200000000001</v>
          </cell>
          <cell r="G3841">
            <v>0</v>
          </cell>
          <cell r="H3841">
            <v>0</v>
          </cell>
          <cell r="I3841">
            <v>0</v>
          </cell>
          <cell r="J3841">
            <v>0</v>
          </cell>
          <cell r="K3841">
            <v>0</v>
          </cell>
          <cell r="L3841">
            <v>4</v>
          </cell>
        </row>
        <row r="3842">
          <cell r="A3842" t="str">
            <v>20497.10061</v>
          </cell>
          <cell r="B3842" t="str">
            <v>ARBRE</v>
          </cell>
          <cell r="C3842" t="str">
            <v>WILDEN 08-3842-09</v>
          </cell>
          <cell r="D3842" t="str">
            <v>PE</v>
          </cell>
          <cell r="E3842" t="str">
            <v>515.51517</v>
          </cell>
          <cell r="F3842">
            <v>1422.2249999999999</v>
          </cell>
          <cell r="G3842">
            <v>0</v>
          </cell>
          <cell r="H3842">
            <v>0</v>
          </cell>
          <cell r="I3842">
            <v>1</v>
          </cell>
          <cell r="J3842">
            <v>0</v>
          </cell>
          <cell r="K3842">
            <v>0</v>
          </cell>
          <cell r="L3842">
            <v>0</v>
          </cell>
        </row>
        <row r="3843">
          <cell r="A3843" t="str">
            <v>20497.10062</v>
          </cell>
          <cell r="B3843" t="str">
            <v>JOINT D'ARBRE GLYD RING</v>
          </cell>
          <cell r="C3843" t="str">
            <v>WILDEN 08-3210-55-225</v>
          </cell>
          <cell r="D3843" t="str">
            <v>PE</v>
          </cell>
          <cell r="E3843" t="str">
            <v>515.51517</v>
          </cell>
          <cell r="F3843">
            <v>184.68</v>
          </cell>
          <cell r="G3843">
            <v>0</v>
          </cell>
          <cell r="H3843">
            <v>0</v>
          </cell>
          <cell r="I3843">
            <v>6</v>
          </cell>
          <cell r="J3843">
            <v>0</v>
          </cell>
          <cell r="K3843">
            <v>0</v>
          </cell>
          <cell r="L3843">
            <v>0</v>
          </cell>
        </row>
        <row r="3844">
          <cell r="A3844" t="str">
            <v>20497.10645</v>
          </cell>
          <cell r="B3844" t="str">
            <v>RONDELLE DE SECURITE</v>
          </cell>
          <cell r="C3844" t="str">
            <v>SULZER TYPE A 22-65 SERIE 100038257/100038258 REP931,31</v>
          </cell>
          <cell r="D3844" t="str">
            <v>PE</v>
          </cell>
          <cell r="E3844" t="str">
            <v>515.51505</v>
          </cell>
          <cell r="F3844">
            <v>113.1075</v>
          </cell>
          <cell r="G3844">
            <v>0</v>
          </cell>
          <cell r="H3844">
            <v>0</v>
          </cell>
          <cell r="I3844">
            <v>0</v>
          </cell>
          <cell r="J3844">
            <v>0</v>
          </cell>
          <cell r="K3844">
            <v>0</v>
          </cell>
          <cell r="L3844">
            <v>3</v>
          </cell>
        </row>
        <row r="3845">
          <cell r="A3845" t="str">
            <v>20497.10063</v>
          </cell>
          <cell r="B3845" t="str">
            <v>JOINT PLAT DE BLOC CENTRAL</v>
          </cell>
          <cell r="C3845" t="str">
            <v>WILDEN 04-3526-52</v>
          </cell>
          <cell r="D3845" t="str">
            <v>PE</v>
          </cell>
          <cell r="E3845" t="str">
            <v>515.51517</v>
          </cell>
          <cell r="F3845">
            <v>141.255</v>
          </cell>
          <cell r="G3845">
            <v>0</v>
          </cell>
          <cell r="H3845">
            <v>0</v>
          </cell>
          <cell r="I3845">
            <v>2</v>
          </cell>
          <cell r="J3845">
            <v>0</v>
          </cell>
          <cell r="K3845">
            <v>0</v>
          </cell>
          <cell r="L3845">
            <v>0</v>
          </cell>
        </row>
        <row r="3846">
          <cell r="A3846" t="str">
            <v>20497.10646</v>
          </cell>
          <cell r="B3846" t="str">
            <v>COUVERCLE DE PALIER</v>
          </cell>
          <cell r="C3846" t="str">
            <v>SULZER TYPE A 22-65 SERIE 100038257/100038258 REP360,31</v>
          </cell>
          <cell r="D3846" t="str">
            <v>PE</v>
          </cell>
          <cell r="E3846" t="str">
            <v>515.51505</v>
          </cell>
          <cell r="F3846">
            <v>4243.0268999999998</v>
          </cell>
          <cell r="G3846">
            <v>0</v>
          </cell>
          <cell r="H3846">
            <v>0</v>
          </cell>
          <cell r="I3846">
            <v>0</v>
          </cell>
          <cell r="J3846">
            <v>0</v>
          </cell>
          <cell r="K3846">
            <v>0</v>
          </cell>
          <cell r="L3846">
            <v>3</v>
          </cell>
        </row>
        <row r="3847">
          <cell r="A3847" t="str">
            <v>20497.10064</v>
          </cell>
          <cell r="B3847" t="str">
            <v>CHAMBRE COTE air</v>
          </cell>
          <cell r="C3847" t="str">
            <v>WILDEN 08-3681-20</v>
          </cell>
          <cell r="D3847" t="str">
            <v>PE</v>
          </cell>
          <cell r="E3847" t="str">
            <v>515.51517</v>
          </cell>
          <cell r="F3847">
            <v>4969.9525000000003</v>
          </cell>
          <cell r="G3847">
            <v>0</v>
          </cell>
          <cell r="H3847">
            <v>0</v>
          </cell>
          <cell r="I3847">
            <v>2</v>
          </cell>
          <cell r="J3847">
            <v>0</v>
          </cell>
          <cell r="K3847">
            <v>0</v>
          </cell>
          <cell r="L3847">
            <v>2</v>
          </cell>
        </row>
        <row r="3848">
          <cell r="A3848" t="str">
            <v>20498.00359</v>
          </cell>
          <cell r="B3848" t="str">
            <v>CAPTEUR DE VITESSE</v>
          </cell>
          <cell r="C3848" t="str">
            <v>DYNALCO CORPORATION    M104  PLAN : 8001042</v>
          </cell>
          <cell r="D3848" t="str">
            <v>PE</v>
          </cell>
          <cell r="E3848" t="str">
            <v>512.51201</v>
          </cell>
          <cell r="F3848">
            <v>4000</v>
          </cell>
          <cell r="G3848">
            <v>0</v>
          </cell>
          <cell r="H3848">
            <v>0</v>
          </cell>
          <cell r="I3848">
            <v>0</v>
          </cell>
          <cell r="J3848">
            <v>0</v>
          </cell>
          <cell r="K3848">
            <v>0</v>
          </cell>
          <cell r="L3848">
            <v>2</v>
          </cell>
        </row>
        <row r="3849">
          <cell r="A3849" t="str">
            <v>20498.20792</v>
          </cell>
          <cell r="B3849" t="str">
            <v xml:space="preserve">ELECTROVANNE G 1/4 CORPS INOX DN 10 </v>
          </cell>
          <cell r="C3849" t="str">
            <v>BURKERT REF:141190</v>
          </cell>
          <cell r="D3849" t="str">
            <v>PE</v>
          </cell>
          <cell r="E3849" t="str">
            <v>512.51201</v>
          </cell>
          <cell r="F3849">
            <v>1632</v>
          </cell>
          <cell r="G3849">
            <v>0</v>
          </cell>
          <cell r="H3849">
            <v>2</v>
          </cell>
          <cell r="I3849">
            <v>0</v>
          </cell>
          <cell r="J3849">
            <v>0</v>
          </cell>
          <cell r="K3849">
            <v>0</v>
          </cell>
          <cell r="L3849">
            <v>0</v>
          </cell>
        </row>
        <row r="3850">
          <cell r="A3850" t="str">
            <v>20498.20793</v>
          </cell>
          <cell r="B3850" t="str">
            <v xml:space="preserve">CONNECTEUR SELON DIN EN 175301-803 FORME A </v>
          </cell>
          <cell r="C3850" t="str">
            <v>BURKERT TYPE 2508 REF: 008376</v>
          </cell>
          <cell r="D3850" t="str">
            <v>PE</v>
          </cell>
          <cell r="E3850" t="str">
            <v>512.51201</v>
          </cell>
          <cell r="F3850">
            <v>36</v>
          </cell>
          <cell r="G3850">
            <v>0</v>
          </cell>
          <cell r="H3850">
            <v>4</v>
          </cell>
          <cell r="I3850">
            <v>0</v>
          </cell>
          <cell r="J3850">
            <v>0</v>
          </cell>
          <cell r="K3850">
            <v>0</v>
          </cell>
          <cell r="L3850">
            <v>0</v>
          </cell>
        </row>
        <row r="3851">
          <cell r="A3851" t="str">
            <v>20497.12058</v>
          </cell>
          <cell r="B3851" t="str">
            <v>JOINT DE PRESSE ETOUPE</v>
          </cell>
          <cell r="C3851" t="str">
            <v>FL SMIDTH KREBS MILLMAX TYPE : PA250-C42 REF: MM250-122-35001</v>
          </cell>
          <cell r="D3851" t="str">
            <v>PE</v>
          </cell>
          <cell r="E3851" t="str">
            <v>515.51517</v>
          </cell>
          <cell r="F3851">
            <v>1</v>
          </cell>
          <cell r="G3851">
            <v>0</v>
          </cell>
          <cell r="H3851">
            <v>0</v>
          </cell>
          <cell r="I3851">
            <v>0</v>
          </cell>
          <cell r="J3851">
            <v>0</v>
          </cell>
          <cell r="K3851">
            <v>0</v>
          </cell>
          <cell r="L3851">
            <v>2</v>
          </cell>
        </row>
        <row r="3852">
          <cell r="A3852" t="str">
            <v>20499.00112</v>
          </cell>
          <cell r="B3852" t="str">
            <v>ROBINET A TOURNANT SPHERIQUE EN PPFV</v>
          </cell>
          <cell r="C3852" t="str">
            <v>SAFI REF 2016-10 PLAN 3110C DN 15 PN 10</v>
          </cell>
          <cell r="D3852" t="str">
            <v>PE</v>
          </cell>
          <cell r="E3852" t="str">
            <v>515.51511</v>
          </cell>
          <cell r="F3852">
            <v>422</v>
          </cell>
          <cell r="G3852">
            <v>0</v>
          </cell>
          <cell r="H3852">
            <v>0</v>
          </cell>
          <cell r="I3852">
            <v>0</v>
          </cell>
          <cell r="J3852">
            <v>0</v>
          </cell>
          <cell r="K3852">
            <v>0</v>
          </cell>
          <cell r="L3852">
            <v>2</v>
          </cell>
        </row>
        <row r="3853">
          <cell r="A3853" t="str">
            <v>20499.00113</v>
          </cell>
          <cell r="B3853" t="str">
            <v>ROBINET A TOURNANT SPHERIQUE EN PVDF</v>
          </cell>
          <cell r="C3853" t="str">
            <v>SAFI REF 2029-02 PLAN 3820 DN 25 PN 10</v>
          </cell>
          <cell r="D3853" t="str">
            <v>PE</v>
          </cell>
          <cell r="E3853" t="str">
            <v>515.51511</v>
          </cell>
          <cell r="F3853">
            <v>1668</v>
          </cell>
          <cell r="G3853">
            <v>0</v>
          </cell>
          <cell r="H3853">
            <v>4</v>
          </cell>
          <cell r="I3853">
            <v>0</v>
          </cell>
          <cell r="J3853">
            <v>0</v>
          </cell>
          <cell r="K3853">
            <v>0</v>
          </cell>
          <cell r="L3853">
            <v>0</v>
          </cell>
        </row>
        <row r="3854">
          <cell r="A3854" t="str">
            <v>20499.00114</v>
          </cell>
          <cell r="B3854" t="str">
            <v>ROBINET A TOURNANT SPHERIQUE EN PVDF</v>
          </cell>
          <cell r="C3854" t="str">
            <v>SAFI REF 2029-00 PLAN 3801 DN 15 PN 10</v>
          </cell>
          <cell r="D3854" t="str">
            <v>PE</v>
          </cell>
          <cell r="E3854" t="str">
            <v>515.51511</v>
          </cell>
          <cell r="F3854">
            <v>1136</v>
          </cell>
          <cell r="G3854">
            <v>1</v>
          </cell>
          <cell r="H3854">
            <v>0</v>
          </cell>
          <cell r="I3854">
            <v>0</v>
          </cell>
          <cell r="J3854">
            <v>0</v>
          </cell>
          <cell r="K3854">
            <v>0</v>
          </cell>
          <cell r="L3854">
            <v>0</v>
          </cell>
        </row>
        <row r="3855">
          <cell r="A3855" t="str">
            <v>20499.00115</v>
          </cell>
          <cell r="B3855" t="str">
            <v>ROBINET A TOURNANT SPHERIQUE EN PPFV</v>
          </cell>
          <cell r="C3855" t="str">
            <v>SAFI REF 1003-00 PLAN 3000 DN 15 PN 10</v>
          </cell>
          <cell r="D3855" t="str">
            <v>PE</v>
          </cell>
          <cell r="E3855" t="str">
            <v>515.51511</v>
          </cell>
          <cell r="F3855">
            <v>305</v>
          </cell>
          <cell r="G3855">
            <v>0</v>
          </cell>
          <cell r="H3855">
            <v>1</v>
          </cell>
          <cell r="I3855">
            <v>0</v>
          </cell>
          <cell r="J3855">
            <v>0</v>
          </cell>
          <cell r="K3855">
            <v>0</v>
          </cell>
          <cell r="L3855">
            <v>0</v>
          </cell>
        </row>
        <row r="3856">
          <cell r="A3856" t="str">
            <v>20497.12068</v>
          </cell>
          <cell r="B3856" t="str">
            <v xml:space="preserve">JOINT D'IMPULSSEUR </v>
          </cell>
          <cell r="C3856" t="str">
            <v>FL SMIDTH KREBS MILLMAX TYPE: PA300-C42 REF: MM250-017-29008</v>
          </cell>
          <cell r="D3856" t="str">
            <v>PE</v>
          </cell>
          <cell r="E3856" t="str">
            <v>515.51517</v>
          </cell>
          <cell r="F3856">
            <v>1</v>
          </cell>
          <cell r="G3856">
            <v>0</v>
          </cell>
          <cell r="H3856">
            <v>0</v>
          </cell>
          <cell r="I3856">
            <v>0</v>
          </cell>
          <cell r="J3856">
            <v>0</v>
          </cell>
          <cell r="K3856">
            <v>0</v>
          </cell>
          <cell r="L3856">
            <v>5</v>
          </cell>
        </row>
        <row r="3857">
          <cell r="A3857" t="str">
            <v>20498.01106</v>
          </cell>
          <cell r="B3857" t="str">
            <v>BORNIER A ARRIERE DU RACK</v>
          </cell>
          <cell r="C3857" t="str">
            <v>BENTLY NEVADA REF 3500/92-02-01-00</v>
          </cell>
          <cell r="D3857" t="str">
            <v>PE</v>
          </cell>
          <cell r="E3857" t="str">
            <v>512.51201</v>
          </cell>
          <cell r="F3857">
            <v>19953.0216</v>
          </cell>
          <cell r="G3857">
            <v>0</v>
          </cell>
          <cell r="H3857">
            <v>0</v>
          </cell>
          <cell r="I3857">
            <v>0</v>
          </cell>
          <cell r="J3857">
            <v>0</v>
          </cell>
          <cell r="K3857">
            <v>0</v>
          </cell>
          <cell r="L3857">
            <v>1</v>
          </cell>
        </row>
        <row r="3858">
          <cell r="A3858" t="str">
            <v>20498.01107</v>
          </cell>
          <cell r="B3858" t="str">
            <v>AFFICHEUR LCD A CLAV PROG</v>
          </cell>
          <cell r="C3858" t="str">
            <v>BENTLY NEVADA REF 3500/93-02-01-00</v>
          </cell>
          <cell r="D3858" t="str">
            <v>PE</v>
          </cell>
          <cell r="E3858" t="str">
            <v>512.51201</v>
          </cell>
          <cell r="F3858">
            <v>57066.334199999998</v>
          </cell>
          <cell r="G3858">
            <v>0</v>
          </cell>
          <cell r="H3858">
            <v>0</v>
          </cell>
          <cell r="I3858">
            <v>1</v>
          </cell>
          <cell r="J3858">
            <v>0</v>
          </cell>
          <cell r="K3858">
            <v>0</v>
          </cell>
          <cell r="L3858">
            <v>0</v>
          </cell>
        </row>
        <row r="3859">
          <cell r="A3859" t="str">
            <v>20498.01100</v>
          </cell>
          <cell r="B3859" t="str">
            <v>ALIMENTATION ALTER P/SECT</v>
          </cell>
          <cell r="C3859" t="str">
            <v>BENTLY NEVADA REF 3500/15-02-00-00</v>
          </cell>
          <cell r="D3859" t="str">
            <v>PE</v>
          </cell>
          <cell r="E3859" t="str">
            <v>512.51201</v>
          </cell>
          <cell r="F3859">
            <v>19491.413199999999</v>
          </cell>
          <cell r="G3859">
            <v>0</v>
          </cell>
          <cell r="H3859">
            <v>0</v>
          </cell>
          <cell r="I3859">
            <v>0</v>
          </cell>
          <cell r="J3859">
            <v>0</v>
          </cell>
          <cell r="K3859">
            <v>0</v>
          </cell>
          <cell r="L3859">
            <v>1</v>
          </cell>
        </row>
        <row r="3860">
          <cell r="A3860" t="str">
            <v>20498.01101</v>
          </cell>
          <cell r="B3860" t="str">
            <v>RACK INTERFACE MODULE RIM</v>
          </cell>
          <cell r="C3860" t="str">
            <v>BENTLY NEVADA REF 3500/20-01-02-00</v>
          </cell>
          <cell r="D3860" t="str">
            <v>PE</v>
          </cell>
          <cell r="E3860" t="str">
            <v>512.51201</v>
          </cell>
          <cell r="F3860">
            <v>39894.502999999997</v>
          </cell>
          <cell r="G3860">
            <v>0</v>
          </cell>
          <cell r="H3860">
            <v>0</v>
          </cell>
          <cell r="I3860">
            <v>0</v>
          </cell>
          <cell r="J3860">
            <v>0</v>
          </cell>
          <cell r="K3860">
            <v>0</v>
          </cell>
          <cell r="L3860">
            <v>1</v>
          </cell>
        </row>
        <row r="3861">
          <cell r="A3861" t="str">
            <v>20498.02905</v>
          </cell>
          <cell r="B3861" t="str">
            <v>CONVERTISSEUR DE VITESSE</v>
          </cell>
          <cell r="C3861" t="str">
            <v>EPRO     CON 041 / 9200 - 00021</v>
          </cell>
          <cell r="D3861" t="str">
            <v>PE</v>
          </cell>
          <cell r="E3861" t="str">
            <v>512.51201</v>
          </cell>
          <cell r="F3861">
            <v>5050</v>
          </cell>
          <cell r="G3861">
            <v>0</v>
          </cell>
          <cell r="H3861">
            <v>0</v>
          </cell>
          <cell r="I3861">
            <v>0</v>
          </cell>
          <cell r="J3861">
            <v>0</v>
          </cell>
          <cell r="K3861">
            <v>0</v>
          </cell>
          <cell r="L3861">
            <v>1</v>
          </cell>
        </row>
        <row r="3862">
          <cell r="A3862" t="str">
            <v>20498.01102</v>
          </cell>
          <cell r="B3862" t="str">
            <v>CARTE ENTREE 2 KEYPHASOR</v>
          </cell>
          <cell r="C3862" t="str">
            <v>BENTLY NEVADA REF 3500/25-01-01-00</v>
          </cell>
          <cell r="D3862" t="str">
            <v>PE</v>
          </cell>
          <cell r="E3862" t="str">
            <v>512.51201</v>
          </cell>
          <cell r="F3862">
            <v>22988.096600000001</v>
          </cell>
          <cell r="G3862">
            <v>0</v>
          </cell>
          <cell r="H3862">
            <v>0</v>
          </cell>
          <cell r="I3862">
            <v>0</v>
          </cell>
          <cell r="J3862">
            <v>0</v>
          </cell>
          <cell r="K3862">
            <v>0</v>
          </cell>
          <cell r="L3862">
            <v>1</v>
          </cell>
        </row>
        <row r="3863">
          <cell r="A3863" t="str">
            <v>20498.02906</v>
          </cell>
          <cell r="B3863" t="str">
            <v>SONDE DE TEMPERATURE</v>
          </cell>
          <cell r="C3863" t="str">
            <v>DITTMER     ALST 11473</v>
          </cell>
          <cell r="D3863" t="str">
            <v>PE</v>
          </cell>
          <cell r="E3863" t="str">
            <v>512.51201</v>
          </cell>
          <cell r="F3863">
            <v>6851.9</v>
          </cell>
          <cell r="G3863">
            <v>0</v>
          </cell>
          <cell r="H3863">
            <v>0</v>
          </cell>
          <cell r="I3863">
            <v>1</v>
          </cell>
          <cell r="J3863">
            <v>0</v>
          </cell>
          <cell r="K3863">
            <v>0</v>
          </cell>
          <cell r="L3863">
            <v>0</v>
          </cell>
        </row>
        <row r="3864">
          <cell r="A3864" t="str">
            <v>20497.12517</v>
          </cell>
          <cell r="B3864" t="str">
            <v>CHEMISE D'ARBRE</v>
          </cell>
          <cell r="C3864" t="str">
            <v>GOULDS PUMPS IC-65-40-200 S1 VL  1A SERIE I 601E 39/40 REP 524</v>
          </cell>
          <cell r="D3864" t="str">
            <v>PE</v>
          </cell>
          <cell r="E3864" t="str">
            <v>515.51517</v>
          </cell>
          <cell r="F3864">
            <v>8151.16</v>
          </cell>
          <cell r="G3864">
            <v>0</v>
          </cell>
          <cell r="H3864">
            <v>0</v>
          </cell>
          <cell r="I3864">
            <v>1</v>
          </cell>
          <cell r="J3864">
            <v>0</v>
          </cell>
          <cell r="K3864">
            <v>0</v>
          </cell>
          <cell r="L3864">
            <v>0</v>
          </cell>
        </row>
        <row r="3865">
          <cell r="A3865" t="str">
            <v>20498.01103</v>
          </cell>
          <cell r="B3865" t="str">
            <v>MODULE A 4 RELAIS</v>
          </cell>
          <cell r="C3865" t="str">
            <v>BENTLY NEVADA REF 3500/32-01-00</v>
          </cell>
          <cell r="D3865" t="str">
            <v>PE</v>
          </cell>
          <cell r="E3865" t="str">
            <v>512.51201</v>
          </cell>
          <cell r="F3865">
            <v>15371.5586</v>
          </cell>
          <cell r="G3865">
            <v>0</v>
          </cell>
          <cell r="H3865">
            <v>0</v>
          </cell>
          <cell r="I3865">
            <v>0</v>
          </cell>
          <cell r="J3865">
            <v>0</v>
          </cell>
          <cell r="K3865">
            <v>0</v>
          </cell>
          <cell r="L3865">
            <v>1</v>
          </cell>
        </row>
        <row r="3866">
          <cell r="A3866" t="str">
            <v>20497.12518</v>
          </cell>
          <cell r="B3866" t="str">
            <v>BOUCHON</v>
          </cell>
          <cell r="C3866" t="str">
            <v>GOULDS PUMPS IC-65-40-200 S1 VL  1A SERIE I 601E 39/40 REP 903.51</v>
          </cell>
          <cell r="D3866" t="str">
            <v>PE</v>
          </cell>
          <cell r="E3866" t="str">
            <v>515.51517</v>
          </cell>
          <cell r="F3866">
            <v>974.51</v>
          </cell>
          <cell r="G3866">
            <v>0</v>
          </cell>
          <cell r="H3866">
            <v>0</v>
          </cell>
          <cell r="I3866">
            <v>0</v>
          </cell>
          <cell r="J3866">
            <v>0</v>
          </cell>
          <cell r="K3866">
            <v>0</v>
          </cell>
          <cell r="L3866">
            <v>1</v>
          </cell>
        </row>
        <row r="3867">
          <cell r="A3867" t="str">
            <v>20497.12519</v>
          </cell>
          <cell r="B3867" t="str">
            <v>JOINT</v>
          </cell>
          <cell r="C3867" t="str">
            <v>GOULDS PUMPS IC-65-40-200 S1 VL  1A SERIE I 601E 39/40 REP 412.21</v>
          </cell>
          <cell r="D3867" t="str">
            <v>PE</v>
          </cell>
          <cell r="E3867" t="str">
            <v>515.51517</v>
          </cell>
          <cell r="F3867">
            <v>186.85</v>
          </cell>
          <cell r="G3867">
            <v>0</v>
          </cell>
          <cell r="H3867">
            <v>0</v>
          </cell>
          <cell r="I3867">
            <v>0</v>
          </cell>
          <cell r="J3867">
            <v>0</v>
          </cell>
          <cell r="K3867">
            <v>0</v>
          </cell>
          <cell r="L3867">
            <v>2</v>
          </cell>
        </row>
        <row r="3868">
          <cell r="A3868" t="str">
            <v>20497.12520</v>
          </cell>
          <cell r="B3868" t="str">
            <v>GARNITURE MECANIQUE</v>
          </cell>
          <cell r="C3868" t="str">
            <v>GOULDS PUMPS IC-100-65-250 S1 VV  1A SERIE I 601E 30/31 REP 433</v>
          </cell>
          <cell r="D3868" t="str">
            <v>PE</v>
          </cell>
          <cell r="E3868" t="str">
            <v>515.51517</v>
          </cell>
          <cell r="F3868">
            <v>10136.24</v>
          </cell>
          <cell r="G3868">
            <v>0</v>
          </cell>
          <cell r="H3868">
            <v>0</v>
          </cell>
          <cell r="I3868">
            <v>0</v>
          </cell>
          <cell r="J3868">
            <v>0</v>
          </cell>
          <cell r="K3868">
            <v>0</v>
          </cell>
          <cell r="L3868">
            <v>2</v>
          </cell>
        </row>
        <row r="3869">
          <cell r="A3869" t="str">
            <v>20497.00688</v>
          </cell>
          <cell r="B3869" t="str">
            <v>JOINT</v>
          </cell>
          <cell r="C3869" t="str">
            <v>GOULDS PUMPS IC-50-32-160   SERIE I 601E 32/33  REP 412.21</v>
          </cell>
          <cell r="D3869" t="str">
            <v>PE</v>
          </cell>
          <cell r="E3869" t="str">
            <v>515.51517</v>
          </cell>
          <cell r="F3869">
            <v>34.479399999999998</v>
          </cell>
          <cell r="G3869">
            <v>0</v>
          </cell>
          <cell r="H3869">
            <v>0</v>
          </cell>
          <cell r="I3869">
            <v>0</v>
          </cell>
          <cell r="J3869">
            <v>0</v>
          </cell>
          <cell r="K3869">
            <v>2</v>
          </cell>
          <cell r="L3869">
            <v>0</v>
          </cell>
        </row>
        <row r="3870">
          <cell r="A3870" t="str">
            <v>20499.00118</v>
          </cell>
          <cell r="B3870" t="str">
            <v>ROBINET A TOURNANT SPHERIQUE EN PPFV</v>
          </cell>
          <cell r="C3870" t="str">
            <v>SAFI REF 2014-04 PLAN 3120 DN 40 PN 10</v>
          </cell>
          <cell r="D3870" t="str">
            <v>PE</v>
          </cell>
          <cell r="E3870" t="str">
            <v>515.51511</v>
          </cell>
          <cell r="F3870">
            <v>1132</v>
          </cell>
          <cell r="G3870">
            <v>0</v>
          </cell>
          <cell r="H3870">
            <v>0</v>
          </cell>
          <cell r="I3870">
            <v>0</v>
          </cell>
          <cell r="J3870">
            <v>0</v>
          </cell>
          <cell r="K3870">
            <v>0</v>
          </cell>
          <cell r="L3870">
            <v>1</v>
          </cell>
        </row>
        <row r="3871">
          <cell r="A3871" t="str">
            <v>20497.00689</v>
          </cell>
          <cell r="B3871" t="str">
            <v>ROUE</v>
          </cell>
          <cell r="C3871" t="str">
            <v>GOULDS PUMPS IC-50-32-160   SERIE I 601E 32/33  REP 230</v>
          </cell>
          <cell r="D3871" t="str">
            <v>PE</v>
          </cell>
          <cell r="E3871" t="str">
            <v>515.51517</v>
          </cell>
          <cell r="F3871">
            <v>14562.613799999999</v>
          </cell>
          <cell r="G3871">
            <v>0</v>
          </cell>
          <cell r="H3871">
            <v>0</v>
          </cell>
          <cell r="I3871">
            <v>0</v>
          </cell>
          <cell r="J3871">
            <v>0</v>
          </cell>
          <cell r="K3871">
            <v>0</v>
          </cell>
          <cell r="L3871">
            <v>1</v>
          </cell>
        </row>
        <row r="3872">
          <cell r="A3872" t="str">
            <v>20499.00119</v>
          </cell>
          <cell r="B3872" t="str">
            <v>ROBINET A TOURNANT SPHERIQUE EN PPFV</v>
          </cell>
          <cell r="C3872" t="str">
            <v>SAFI REF 2014-02 PLAN 3120 DN 25 PN 10</v>
          </cell>
          <cell r="D3872" t="str">
            <v>PE</v>
          </cell>
          <cell r="E3872" t="str">
            <v>515.51511</v>
          </cell>
          <cell r="F3872">
            <v>761</v>
          </cell>
          <cell r="G3872">
            <v>0</v>
          </cell>
          <cell r="H3872">
            <v>0</v>
          </cell>
          <cell r="I3872">
            <v>0</v>
          </cell>
          <cell r="J3872">
            <v>1</v>
          </cell>
          <cell r="K3872">
            <v>0</v>
          </cell>
          <cell r="L3872">
            <v>0</v>
          </cell>
        </row>
        <row r="3873">
          <cell r="A3873" t="str">
            <v>20499.00121</v>
          </cell>
          <cell r="B3873" t="str">
            <v>ROBINET A TOURNANT SPHERIQUE EN PPFV</v>
          </cell>
          <cell r="C3873" t="str">
            <v>SAFI REF 1003-04 PLAN 3006 DN 40 PN 10</v>
          </cell>
          <cell r="D3873" t="str">
            <v>PE</v>
          </cell>
          <cell r="E3873" t="str">
            <v>515.51511</v>
          </cell>
          <cell r="F3873">
            <v>820</v>
          </cell>
          <cell r="G3873">
            <v>0</v>
          </cell>
          <cell r="H3873">
            <v>1</v>
          </cell>
          <cell r="I3873">
            <v>0</v>
          </cell>
          <cell r="J3873">
            <v>0</v>
          </cell>
          <cell r="K3873">
            <v>0</v>
          </cell>
          <cell r="L3873">
            <v>0</v>
          </cell>
        </row>
        <row r="3874">
          <cell r="A3874" t="str">
            <v>20497.00691</v>
          </cell>
          <cell r="B3874" t="str">
            <v>BAGUE RADIALE D'ARBRE</v>
          </cell>
          <cell r="C3874" t="str">
            <v>GOULDS PUMPS IC-65-40-200   SERIE I 601E 28/29  REP 421.41</v>
          </cell>
          <cell r="D3874" t="str">
            <v>PE</v>
          </cell>
          <cell r="E3874" t="str">
            <v>515.51517</v>
          </cell>
          <cell r="F3874">
            <v>258.50790000000001</v>
          </cell>
          <cell r="G3874">
            <v>0</v>
          </cell>
          <cell r="H3874">
            <v>0</v>
          </cell>
          <cell r="I3874">
            <v>0</v>
          </cell>
          <cell r="J3874">
            <v>0</v>
          </cell>
          <cell r="K3874">
            <v>1</v>
          </cell>
          <cell r="L3874">
            <v>1</v>
          </cell>
        </row>
        <row r="3875">
          <cell r="A3875" t="str">
            <v>20499.00122</v>
          </cell>
          <cell r="B3875" t="str">
            <v>ROBINET A TOURNANT SPHERIQUE EN PVDF</v>
          </cell>
          <cell r="C3875" t="str">
            <v>SAFI REF 2029-04 PLAN 3820 DN 40 PN 10</v>
          </cell>
          <cell r="D3875" t="str">
            <v>PE</v>
          </cell>
          <cell r="E3875" t="str">
            <v>515.51511</v>
          </cell>
          <cell r="F3875">
            <v>2763</v>
          </cell>
          <cell r="G3875">
            <v>0</v>
          </cell>
          <cell r="H3875">
            <v>0</v>
          </cell>
          <cell r="I3875">
            <v>0</v>
          </cell>
          <cell r="J3875">
            <v>1</v>
          </cell>
          <cell r="K3875">
            <v>0</v>
          </cell>
          <cell r="L3875">
            <v>0</v>
          </cell>
        </row>
        <row r="3876">
          <cell r="A3876" t="str">
            <v>20497.00685</v>
          </cell>
          <cell r="B3876" t="str">
            <v>ECROU DE ROULEMENT</v>
          </cell>
          <cell r="C3876" t="str">
            <v>GOULDS PUMPS IC-50-32-160   SERIE I 601E 32/33  REP 923.51</v>
          </cell>
          <cell r="D3876" t="str">
            <v>PE</v>
          </cell>
          <cell r="E3876" t="str">
            <v>515.51517</v>
          </cell>
          <cell r="F3876">
            <v>163.73330000000001</v>
          </cell>
          <cell r="G3876">
            <v>0</v>
          </cell>
          <cell r="H3876">
            <v>0</v>
          </cell>
          <cell r="I3876">
            <v>0</v>
          </cell>
          <cell r="J3876">
            <v>0</v>
          </cell>
          <cell r="K3876">
            <v>1</v>
          </cell>
          <cell r="L3876">
            <v>0</v>
          </cell>
        </row>
        <row r="3877">
          <cell r="A3877" t="str">
            <v>20499.00116</v>
          </cell>
          <cell r="B3877" t="str">
            <v>ROBINET A TOURNANT SPHERIQUE EN PPFV</v>
          </cell>
          <cell r="C3877" t="str">
            <v>SAFI REF 2014-05 PLAN 3120 DN 50 PN 10</v>
          </cell>
          <cell r="D3877" t="str">
            <v>PE</v>
          </cell>
          <cell r="E3877" t="str">
            <v>515.51511</v>
          </cell>
          <cell r="F3877">
            <v>1239</v>
          </cell>
          <cell r="G3877">
            <v>0</v>
          </cell>
          <cell r="H3877">
            <v>1</v>
          </cell>
          <cell r="I3877">
            <v>0</v>
          </cell>
          <cell r="J3877">
            <v>0</v>
          </cell>
          <cell r="K3877">
            <v>0</v>
          </cell>
          <cell r="L3877">
            <v>0</v>
          </cell>
        </row>
        <row r="3878">
          <cell r="A3878" t="str">
            <v>20499.00117</v>
          </cell>
          <cell r="B3878" t="str">
            <v>ROBINET A TOURNANT SPHERIQUE EN PPFV</v>
          </cell>
          <cell r="C3878" t="str">
            <v>SAFI PLAN 3190 DN 80 PN10</v>
          </cell>
          <cell r="D3878" t="str">
            <v>PE</v>
          </cell>
          <cell r="E3878" t="str">
            <v>515.51511</v>
          </cell>
          <cell r="F3878">
            <v>3690</v>
          </cell>
          <cell r="G3878">
            <v>0</v>
          </cell>
          <cell r="H3878">
            <v>0</v>
          </cell>
          <cell r="I3878">
            <v>0</v>
          </cell>
          <cell r="J3878">
            <v>0</v>
          </cell>
          <cell r="K3878">
            <v>0</v>
          </cell>
          <cell r="L3878">
            <v>4</v>
          </cell>
        </row>
        <row r="3879">
          <cell r="A3879" t="str">
            <v>20497.00686</v>
          </cell>
          <cell r="B3879" t="str">
            <v>JOINT</v>
          </cell>
          <cell r="C3879" t="str">
            <v>GOULDS PUMPS IC-50-32-160   SERIE I 601E 32/33  REP 400</v>
          </cell>
          <cell r="D3879" t="str">
            <v>PE</v>
          </cell>
          <cell r="E3879" t="str">
            <v>515.51517</v>
          </cell>
          <cell r="F3879">
            <v>430.84660000000002</v>
          </cell>
          <cell r="G3879">
            <v>0</v>
          </cell>
          <cell r="H3879">
            <v>0</v>
          </cell>
          <cell r="I3879">
            <v>0</v>
          </cell>
          <cell r="J3879">
            <v>0</v>
          </cell>
          <cell r="K3879">
            <v>0</v>
          </cell>
          <cell r="L3879">
            <v>2</v>
          </cell>
        </row>
        <row r="3880">
          <cell r="A3880" t="str">
            <v>20497.00752</v>
          </cell>
          <cell r="B3880" t="str">
            <v>ROULEMENT CODE 1109</v>
          </cell>
          <cell r="C3880" t="str">
            <v>GOULDS PUMPS VIT-CATM TS10X14RHMC ( 4ETAGES ) SERIE SO 513367/68 REP 791</v>
          </cell>
          <cell r="D3880" t="str">
            <v>PE</v>
          </cell>
          <cell r="E3880" t="str">
            <v>515.51517</v>
          </cell>
          <cell r="F3880">
            <v>2485.6532000000002</v>
          </cell>
          <cell r="G3880">
            <v>0</v>
          </cell>
          <cell r="H3880">
            <v>2</v>
          </cell>
          <cell r="I3880">
            <v>2</v>
          </cell>
          <cell r="J3880">
            <v>0</v>
          </cell>
          <cell r="K3880">
            <v>0</v>
          </cell>
          <cell r="L3880">
            <v>0</v>
          </cell>
        </row>
        <row r="3881">
          <cell r="A3881" t="str">
            <v>20497.00687</v>
          </cell>
          <cell r="B3881" t="str">
            <v>JOINT</v>
          </cell>
          <cell r="C3881" t="str">
            <v>GOULDS PUMPS IC-50-32-160   SERIE I 601E 32/33  REP 400A</v>
          </cell>
          <cell r="D3881" t="str">
            <v>PE</v>
          </cell>
          <cell r="E3881" t="str">
            <v>515.51517</v>
          </cell>
          <cell r="F3881">
            <v>68.958699999999993</v>
          </cell>
          <cell r="G3881">
            <v>0</v>
          </cell>
          <cell r="H3881">
            <v>0</v>
          </cell>
          <cell r="I3881">
            <v>0</v>
          </cell>
          <cell r="J3881">
            <v>0</v>
          </cell>
          <cell r="K3881">
            <v>2</v>
          </cell>
          <cell r="L3881">
            <v>0</v>
          </cell>
        </row>
        <row r="3882">
          <cell r="A3882" t="str">
            <v>20498.02946</v>
          </cell>
          <cell r="B3882" t="str">
            <v>CONVERTISSEUR ADDERLINK X</v>
          </cell>
          <cell r="C3882" t="str">
            <v>ADDER   TYPE  X2-GOLD DUAL ACCESS</v>
          </cell>
          <cell r="D3882" t="str">
            <v>U</v>
          </cell>
          <cell r="E3882" t="str">
            <v>522.52206</v>
          </cell>
          <cell r="F3882">
            <v>15990</v>
          </cell>
          <cell r="G3882">
            <v>0</v>
          </cell>
          <cell r="H3882">
            <v>0</v>
          </cell>
          <cell r="I3882">
            <v>0</v>
          </cell>
          <cell r="J3882">
            <v>0</v>
          </cell>
          <cell r="K3882">
            <v>0</v>
          </cell>
          <cell r="L3882">
            <v>0</v>
          </cell>
        </row>
        <row r="3883">
          <cell r="A3883" t="str">
            <v>20499.00125</v>
          </cell>
          <cell r="B3883" t="str">
            <v>ROBINET A TOURNANT SPHERIQUE EN PVDF</v>
          </cell>
          <cell r="C3883" t="str">
            <v>SAFI REF 2029-05 PLAN 3820 DN 50 PN 10</v>
          </cell>
          <cell r="D3883" t="str">
            <v>PE</v>
          </cell>
          <cell r="E3883" t="str">
            <v>515.51511</v>
          </cell>
          <cell r="F3883">
            <v>3367</v>
          </cell>
          <cell r="G3883">
            <v>0</v>
          </cell>
          <cell r="H3883">
            <v>1</v>
          </cell>
          <cell r="I3883">
            <v>0</v>
          </cell>
          <cell r="J3883">
            <v>0</v>
          </cell>
          <cell r="K3883">
            <v>0</v>
          </cell>
          <cell r="L3883">
            <v>0</v>
          </cell>
        </row>
        <row r="3884">
          <cell r="A3884" t="str">
            <v>20499.07171</v>
          </cell>
          <cell r="B3884" t="str">
            <v>ROBINET A PASSAGE DIRECT</v>
          </cell>
          <cell r="C3884" t="str">
            <v>SACCAP PLAN AV7131W1H1KE DN3/4" CLASSE 1500 RACCORDEMENT SW</v>
          </cell>
          <cell r="D3884" t="str">
            <v>PE</v>
          </cell>
          <cell r="E3884" t="str">
            <v>515.51511</v>
          </cell>
          <cell r="F3884">
            <v>1123</v>
          </cell>
          <cell r="G3884">
            <v>0</v>
          </cell>
          <cell r="H3884">
            <v>2</v>
          </cell>
          <cell r="I3884">
            <v>0</v>
          </cell>
          <cell r="J3884">
            <v>0</v>
          </cell>
          <cell r="K3884">
            <v>0</v>
          </cell>
          <cell r="L3884">
            <v>0</v>
          </cell>
        </row>
        <row r="3885">
          <cell r="A3885" t="str">
            <v>20499.07172</v>
          </cell>
          <cell r="B3885" t="str">
            <v>ROBINET A PASSAGE DIRECT</v>
          </cell>
          <cell r="C3885" t="str">
            <v>SACCAP PLAN AV7131W1H1KE DN1/2" CLASSE 1500 RACCORDEMENT SW</v>
          </cell>
          <cell r="D3885" t="str">
            <v>PE</v>
          </cell>
          <cell r="E3885" t="str">
            <v>515.51511</v>
          </cell>
          <cell r="F3885">
            <v>1070</v>
          </cell>
          <cell r="G3885">
            <v>0</v>
          </cell>
          <cell r="H3885">
            <v>1</v>
          </cell>
          <cell r="I3885">
            <v>0</v>
          </cell>
          <cell r="J3885">
            <v>0</v>
          </cell>
          <cell r="K3885">
            <v>0</v>
          </cell>
          <cell r="L3885">
            <v>0</v>
          </cell>
        </row>
        <row r="3886">
          <cell r="A3886" t="str">
            <v>20497.00695</v>
          </cell>
          <cell r="B3886" t="str">
            <v>ECROU DE ROUE</v>
          </cell>
          <cell r="C3886" t="str">
            <v>GOULDS PUMPS IC-65-40-200  SERIE I 601E 28/29  REP 922</v>
          </cell>
          <cell r="D3886" t="str">
            <v>PE</v>
          </cell>
          <cell r="E3886" t="str">
            <v>515.51517</v>
          </cell>
          <cell r="F3886">
            <v>465.32589999999999</v>
          </cell>
          <cell r="G3886">
            <v>0</v>
          </cell>
          <cell r="H3886">
            <v>0</v>
          </cell>
          <cell r="I3886">
            <v>0</v>
          </cell>
          <cell r="J3886">
            <v>0</v>
          </cell>
          <cell r="K3886">
            <v>0</v>
          </cell>
          <cell r="L3886">
            <v>2</v>
          </cell>
        </row>
        <row r="3887">
          <cell r="A3887" t="str">
            <v>20499.07173</v>
          </cell>
          <cell r="B3887" t="str">
            <v>ROBINET A PASSAGE DIRECT</v>
          </cell>
          <cell r="C3887" t="str">
            <v>SACCAP PLAN AV7131W1A1KE DN1"1/2 CLASSE 1500 RACCORDEMENT SW</v>
          </cell>
          <cell r="D3887" t="str">
            <v>PE</v>
          </cell>
          <cell r="E3887" t="str">
            <v>515.51511</v>
          </cell>
          <cell r="F3887">
            <v>2560</v>
          </cell>
          <cell r="G3887">
            <v>0</v>
          </cell>
          <cell r="H3887">
            <v>0</v>
          </cell>
          <cell r="I3887">
            <v>0</v>
          </cell>
          <cell r="J3887">
            <v>1</v>
          </cell>
          <cell r="K3887">
            <v>0</v>
          </cell>
          <cell r="L3887">
            <v>1</v>
          </cell>
        </row>
        <row r="3888">
          <cell r="A3888" t="str">
            <v>20497.00696</v>
          </cell>
          <cell r="B3888" t="str">
            <v>ECROU DE ROULEMENT</v>
          </cell>
          <cell r="C3888" t="str">
            <v>GOULDS PUMPS IC-65-40-200  SERIE I 601E 28/29  REP 923.51</v>
          </cell>
          <cell r="D3888" t="str">
            <v>PE</v>
          </cell>
          <cell r="E3888" t="str">
            <v>515.51517</v>
          </cell>
          <cell r="F3888">
            <v>163.73330000000001</v>
          </cell>
          <cell r="G3888">
            <v>0</v>
          </cell>
          <cell r="H3888">
            <v>0</v>
          </cell>
          <cell r="I3888">
            <v>0</v>
          </cell>
          <cell r="J3888">
            <v>0</v>
          </cell>
          <cell r="K3888">
            <v>1</v>
          </cell>
          <cell r="L3888">
            <v>1</v>
          </cell>
        </row>
        <row r="3889">
          <cell r="A3889" t="str">
            <v>20497.00750</v>
          </cell>
          <cell r="B3889" t="str">
            <v>PALIER DE CORPS REFOULEMENT</v>
          </cell>
          <cell r="C3889" t="str">
            <v>GOULDS PUMPS VIT-CATM TS10X14RHMC ( 4ETAGES ) SERIE SO 513367/68 REP 664</v>
          </cell>
          <cell r="D3889" t="str">
            <v>PE</v>
          </cell>
          <cell r="E3889" t="str">
            <v>515.51517</v>
          </cell>
          <cell r="F3889">
            <v>2814.8642</v>
          </cell>
          <cell r="G3889">
            <v>0</v>
          </cell>
          <cell r="H3889">
            <v>0</v>
          </cell>
          <cell r="I3889">
            <v>2</v>
          </cell>
          <cell r="J3889">
            <v>0</v>
          </cell>
          <cell r="K3889">
            <v>0</v>
          </cell>
          <cell r="L3889">
            <v>0</v>
          </cell>
        </row>
        <row r="3890">
          <cell r="A3890" t="str">
            <v>20497.00697</v>
          </cell>
          <cell r="B3890" t="str">
            <v>JOINT</v>
          </cell>
          <cell r="C3890" t="str">
            <v>GOULDS PUMPS IC-65-40-200   SERIE I 601E 28/29  REP 400</v>
          </cell>
          <cell r="D3890" t="str">
            <v>PE</v>
          </cell>
          <cell r="E3890" t="str">
            <v>515.51517</v>
          </cell>
          <cell r="F3890">
            <v>560.10050000000001</v>
          </cell>
          <cell r="G3890">
            <v>0</v>
          </cell>
          <cell r="H3890">
            <v>0</v>
          </cell>
          <cell r="I3890">
            <v>0</v>
          </cell>
          <cell r="J3890">
            <v>0</v>
          </cell>
          <cell r="K3890">
            <v>1</v>
          </cell>
          <cell r="L3890">
            <v>0</v>
          </cell>
        </row>
        <row r="3891">
          <cell r="A3891" t="str">
            <v>20497.00692</v>
          </cell>
          <cell r="B3891" t="str">
            <v>BAGUE RADIALE D'ARBRE</v>
          </cell>
          <cell r="C3891" t="str">
            <v>GOULDS PUMPS IC-65-40-200   SERIE I 601E 28/29  REP 421.51</v>
          </cell>
          <cell r="D3891" t="str">
            <v>PE</v>
          </cell>
          <cell r="E3891" t="str">
            <v>515.51517</v>
          </cell>
          <cell r="F3891">
            <v>361.8879</v>
          </cell>
          <cell r="G3891">
            <v>0</v>
          </cell>
          <cell r="H3891">
            <v>0</v>
          </cell>
          <cell r="I3891">
            <v>0</v>
          </cell>
          <cell r="J3891">
            <v>0</v>
          </cell>
          <cell r="K3891">
            <v>1</v>
          </cell>
          <cell r="L3891">
            <v>0</v>
          </cell>
        </row>
        <row r="3892">
          <cell r="A3892" t="str">
            <v>20497.00694</v>
          </cell>
          <cell r="B3892" t="str">
            <v>CIRCLIPS</v>
          </cell>
          <cell r="C3892" t="str">
            <v>GOULDS PUMPS IC-65-40-200  SERIE I 601E 28/29  REP 932.51</v>
          </cell>
          <cell r="D3892" t="str">
            <v>PE</v>
          </cell>
          <cell r="E3892" t="str">
            <v>515.51517</v>
          </cell>
          <cell r="F3892">
            <v>155.12799999999999</v>
          </cell>
          <cell r="G3892">
            <v>0</v>
          </cell>
          <cell r="H3892">
            <v>0</v>
          </cell>
          <cell r="I3892">
            <v>0</v>
          </cell>
          <cell r="J3892">
            <v>0</v>
          </cell>
          <cell r="K3892">
            <v>0</v>
          </cell>
          <cell r="L3892">
            <v>2</v>
          </cell>
        </row>
        <row r="3893">
          <cell r="A3893" t="str">
            <v>20497.00751</v>
          </cell>
          <cell r="B3893" t="str">
            <v>ROUE CODE 1102</v>
          </cell>
          <cell r="C3893" t="str">
            <v>GOULDS PUMPS VIT-CATM TS10X14RHMC ( 4ETAGES ) SERIE SO 513367/68 REP 673</v>
          </cell>
          <cell r="D3893" t="str">
            <v>PE</v>
          </cell>
          <cell r="E3893" t="str">
            <v>515.51517</v>
          </cell>
          <cell r="F3893">
            <v>28119.918900000001</v>
          </cell>
          <cell r="G3893">
            <v>0</v>
          </cell>
          <cell r="H3893">
            <v>0</v>
          </cell>
          <cell r="I3893">
            <v>2</v>
          </cell>
          <cell r="J3893">
            <v>0</v>
          </cell>
          <cell r="K3893">
            <v>0</v>
          </cell>
          <cell r="L3893">
            <v>0</v>
          </cell>
        </row>
        <row r="3894">
          <cell r="A3894" t="str">
            <v>20497.08827</v>
          </cell>
          <cell r="B3894" t="str">
            <v>PALIER</v>
          </cell>
          <cell r="C3894" t="str">
            <v>HIBON P544001018                    TYPE AL 140</v>
          </cell>
          <cell r="D3894" t="str">
            <v>PE</v>
          </cell>
          <cell r="E3894" t="str">
            <v>515.51503</v>
          </cell>
          <cell r="F3894">
            <v>19114.095000000001</v>
          </cell>
          <cell r="G3894">
            <v>0</v>
          </cell>
          <cell r="H3894">
            <v>0</v>
          </cell>
          <cell r="I3894">
            <v>0</v>
          </cell>
          <cell r="J3894">
            <v>0</v>
          </cell>
          <cell r="K3894">
            <v>0</v>
          </cell>
          <cell r="L3894">
            <v>1</v>
          </cell>
        </row>
        <row r="3895">
          <cell r="A3895" t="str">
            <v>20497.08823</v>
          </cell>
          <cell r="B3895" t="str">
            <v>BOITIER OPPOSE COMMANDE</v>
          </cell>
          <cell r="C3895" t="str">
            <v>HIBON P544005718                    TYPE AL 140</v>
          </cell>
          <cell r="D3895" t="str">
            <v>PE</v>
          </cell>
          <cell r="E3895" t="str">
            <v>515.51503</v>
          </cell>
          <cell r="F3895">
            <v>11548.5887</v>
          </cell>
          <cell r="G3895">
            <v>0</v>
          </cell>
          <cell r="H3895">
            <v>0</v>
          </cell>
          <cell r="I3895">
            <v>0</v>
          </cell>
          <cell r="J3895">
            <v>0</v>
          </cell>
          <cell r="K3895">
            <v>1</v>
          </cell>
          <cell r="L3895">
            <v>1</v>
          </cell>
        </row>
        <row r="3896">
          <cell r="A3896" t="str">
            <v>20498.02922</v>
          </cell>
          <cell r="B3896" t="str">
            <v>CAPTEUR DE FORCE</v>
          </cell>
          <cell r="C3896" t="str">
            <v>HBM  TYPE U2B  CHARGE NOMINALE 10KN 2mV/V</v>
          </cell>
          <cell r="D3896" t="str">
            <v>PE</v>
          </cell>
          <cell r="E3896" t="str">
            <v>512.51201</v>
          </cell>
          <cell r="F3896">
            <v>14000</v>
          </cell>
          <cell r="G3896">
            <v>0</v>
          </cell>
          <cell r="H3896">
            <v>0</v>
          </cell>
          <cell r="I3896">
            <v>1</v>
          </cell>
          <cell r="J3896">
            <v>0</v>
          </cell>
          <cell r="K3896">
            <v>0</v>
          </cell>
          <cell r="L3896">
            <v>0</v>
          </cell>
        </row>
        <row r="3897">
          <cell r="A3897" t="str">
            <v>20498.02925</v>
          </cell>
          <cell r="B3897" t="str">
            <v>UNITE DE CONTROLE</v>
          </cell>
          <cell r="C3897" t="str">
            <v>CLARK-RELIANCE  ECIL-10R</v>
          </cell>
          <cell r="D3897" t="str">
            <v>PE</v>
          </cell>
          <cell r="E3897" t="str">
            <v>512.51201</v>
          </cell>
          <cell r="F3897">
            <v>73673.683499999999</v>
          </cell>
          <cell r="G3897">
            <v>0</v>
          </cell>
          <cell r="H3897">
            <v>0</v>
          </cell>
          <cell r="I3897">
            <v>0</v>
          </cell>
          <cell r="J3897">
            <v>0</v>
          </cell>
          <cell r="K3897">
            <v>0</v>
          </cell>
          <cell r="L3897">
            <v>1</v>
          </cell>
        </row>
        <row r="3898">
          <cell r="A3898" t="str">
            <v>20498.00039</v>
          </cell>
          <cell r="B3898" t="str">
            <v>VANNE A BOISSEAU SPHERIQUE AVEC BOUTEILLE</v>
          </cell>
          <cell r="C3898" t="str">
            <v xml:space="preserve">MECA-INOX    TYPE : PS4PE   DN25  PRESSION MAX : 4,5 BAR   MATIERE : INOX 316L-UB6   CONCENTRE 97-99% A UNE  T°:1 20°C  MAX  </v>
          </cell>
          <cell r="D3898" t="str">
            <v>PE</v>
          </cell>
          <cell r="E3898" t="str">
            <v>515.51511</v>
          </cell>
          <cell r="F3898">
            <v>88000</v>
          </cell>
          <cell r="G3898">
            <v>0</v>
          </cell>
          <cell r="H3898">
            <v>0</v>
          </cell>
          <cell r="I3898">
            <v>0</v>
          </cell>
          <cell r="J3898">
            <v>0</v>
          </cell>
          <cell r="K3898">
            <v>0</v>
          </cell>
          <cell r="L3898">
            <v>2</v>
          </cell>
        </row>
        <row r="3899">
          <cell r="A3899" t="str">
            <v>20499.07174</v>
          </cell>
          <cell r="B3899" t="str">
            <v>ROBINET A SOUPAPE</v>
          </cell>
          <cell r="C3899" t="str">
            <v>SACCAP PLAN AR7336S2H1KE DN3/4" CLASSE 1500 RACCORDEMENT NPTF</v>
          </cell>
          <cell r="D3899" t="str">
            <v>PE</v>
          </cell>
          <cell r="E3899" t="str">
            <v>515.51511</v>
          </cell>
          <cell r="F3899">
            <v>1123</v>
          </cell>
          <cell r="G3899">
            <v>0</v>
          </cell>
          <cell r="H3899">
            <v>2</v>
          </cell>
          <cell r="I3899">
            <v>0</v>
          </cell>
          <cell r="J3899">
            <v>0</v>
          </cell>
          <cell r="K3899">
            <v>0</v>
          </cell>
          <cell r="L3899">
            <v>0</v>
          </cell>
        </row>
        <row r="3900">
          <cell r="A3900" t="str">
            <v>20499.07175</v>
          </cell>
          <cell r="B3900" t="str">
            <v>ROBINET A SOUPAPE</v>
          </cell>
          <cell r="C3900" t="str">
            <v>SACCAP PLAN AR7312W1Q3KE DN3/4" CLASSE 1500 RACCORDEMENT SW</v>
          </cell>
          <cell r="D3900" t="str">
            <v>PE</v>
          </cell>
          <cell r="E3900" t="str">
            <v>515.51511</v>
          </cell>
          <cell r="F3900">
            <v>1813</v>
          </cell>
          <cell r="G3900">
            <v>0</v>
          </cell>
          <cell r="H3900">
            <v>0</v>
          </cell>
          <cell r="I3900">
            <v>0</v>
          </cell>
          <cell r="J3900">
            <v>0</v>
          </cell>
          <cell r="K3900">
            <v>0</v>
          </cell>
          <cell r="L3900">
            <v>1</v>
          </cell>
        </row>
        <row r="3901">
          <cell r="A3901" t="str">
            <v>20497.00724</v>
          </cell>
          <cell r="B3901" t="str">
            <v>JOINT LABYRINTHE</v>
          </cell>
          <cell r="C3901" t="str">
            <v>GOULDS PUMPS MODELE 3171GROUPE M TAILLE 1-1/2X3-13M POMPES SERIE 441418  REP 332A</v>
          </cell>
          <cell r="D3901" t="str">
            <v>PE</v>
          </cell>
          <cell r="E3901" t="str">
            <v>515.51517</v>
          </cell>
          <cell r="F3901">
            <v>4635.9323000000004</v>
          </cell>
          <cell r="G3901">
            <v>0</v>
          </cell>
          <cell r="H3901">
            <v>2</v>
          </cell>
          <cell r="I3901">
            <v>0</v>
          </cell>
          <cell r="J3901">
            <v>0</v>
          </cell>
          <cell r="K3901">
            <v>0</v>
          </cell>
          <cell r="L3901">
            <v>0</v>
          </cell>
        </row>
        <row r="3902">
          <cell r="A3902" t="str">
            <v>20497.00725</v>
          </cell>
          <cell r="B3902" t="str">
            <v>JOINT À LÈVRE</v>
          </cell>
          <cell r="C3902" t="str">
            <v>GOULDS PUMPS MODELE 3171GROUPE M TAILLE 1-1/2X3-13M POMPES SERIE 441418  REP 333</v>
          </cell>
          <cell r="D3902" t="str">
            <v>PE</v>
          </cell>
          <cell r="E3902" t="str">
            <v>515.51517</v>
          </cell>
          <cell r="F3902">
            <v>508.41059999999999</v>
          </cell>
          <cell r="G3902">
            <v>0</v>
          </cell>
          <cell r="H3902">
            <v>1</v>
          </cell>
          <cell r="I3902">
            <v>1</v>
          </cell>
          <cell r="J3902">
            <v>0</v>
          </cell>
          <cell r="K3902">
            <v>0</v>
          </cell>
          <cell r="L3902">
            <v>0</v>
          </cell>
        </row>
        <row r="3903">
          <cell r="A3903" t="str">
            <v>20497.00723</v>
          </cell>
          <cell r="B3903" t="str">
            <v>BAGUE DE LAMINAGE</v>
          </cell>
          <cell r="C3903" t="str">
            <v>GOULDS PUMPS  MODELE 3171GROUPE M TAILLE 1-1/2X3-13M POMPES SERIE 441418  REP 155</v>
          </cell>
          <cell r="D3903" t="str">
            <v>PE</v>
          </cell>
          <cell r="E3903" t="str">
            <v>515.51517</v>
          </cell>
          <cell r="F3903">
            <v>1301.145</v>
          </cell>
          <cell r="G3903">
            <v>0</v>
          </cell>
          <cell r="H3903">
            <v>0</v>
          </cell>
          <cell r="I3903">
            <v>1</v>
          </cell>
          <cell r="J3903">
            <v>0</v>
          </cell>
          <cell r="K3903">
            <v>0</v>
          </cell>
          <cell r="L3903">
            <v>0</v>
          </cell>
        </row>
        <row r="3904">
          <cell r="A3904" t="str">
            <v>20497.00698</v>
          </cell>
          <cell r="B3904" t="str">
            <v>JOINT</v>
          </cell>
          <cell r="C3904" t="str">
            <v>GOULDS PUMPS IC-65-40-200  SERIE I 601E 28/29  REP 400A</v>
          </cell>
          <cell r="D3904" t="str">
            <v>PE</v>
          </cell>
          <cell r="E3904" t="str">
            <v>515.51517</v>
          </cell>
          <cell r="F3904">
            <v>68.958699999999993</v>
          </cell>
          <cell r="G3904">
            <v>0</v>
          </cell>
          <cell r="H3904">
            <v>0</v>
          </cell>
          <cell r="I3904">
            <v>0</v>
          </cell>
          <cell r="J3904">
            <v>0</v>
          </cell>
          <cell r="K3904">
            <v>2</v>
          </cell>
          <cell r="L3904">
            <v>0</v>
          </cell>
        </row>
        <row r="3905">
          <cell r="A3905" t="str">
            <v>20497.00749</v>
          </cell>
          <cell r="B3905" t="str">
            <v>PALIER D'ARBRE CODE 5121</v>
          </cell>
          <cell r="C3905" t="str">
            <v>GOULDS PUMPS VIT-CATM TS10X14RHMC ( 4ETAGES ) SERIE SO 513367/68 REP 656</v>
          </cell>
          <cell r="D3905" t="str">
            <v>PE</v>
          </cell>
          <cell r="E3905" t="str">
            <v>515.51517</v>
          </cell>
          <cell r="F3905">
            <v>2794.9789999999998</v>
          </cell>
          <cell r="G3905">
            <v>0</v>
          </cell>
          <cell r="H3905">
            <v>0</v>
          </cell>
          <cell r="I3905">
            <v>0</v>
          </cell>
          <cell r="J3905">
            <v>0</v>
          </cell>
          <cell r="K3905">
            <v>0</v>
          </cell>
          <cell r="L3905">
            <v>2</v>
          </cell>
        </row>
        <row r="3906">
          <cell r="A3906" t="str">
            <v>20497.00700</v>
          </cell>
          <cell r="B3906" t="str">
            <v>ROUE</v>
          </cell>
          <cell r="C3906" t="str">
            <v>GOULDS PUMPS IC-65-40-200   SERIE I 601E 28/29  REP 230</v>
          </cell>
          <cell r="D3906" t="str">
            <v>PE</v>
          </cell>
          <cell r="E3906" t="str">
            <v>515.51517</v>
          </cell>
          <cell r="F3906">
            <v>18991.669900000001</v>
          </cell>
          <cell r="G3906">
            <v>0</v>
          </cell>
          <cell r="H3906">
            <v>0</v>
          </cell>
          <cell r="I3906">
            <v>0</v>
          </cell>
          <cell r="J3906">
            <v>0</v>
          </cell>
          <cell r="K3906">
            <v>0</v>
          </cell>
          <cell r="L3906">
            <v>1</v>
          </cell>
        </row>
        <row r="3907">
          <cell r="A3907" t="str">
            <v>20497.13402</v>
          </cell>
          <cell r="B3907" t="str">
            <v xml:space="preserve">MELANGEUR STATIQUE </v>
          </cell>
          <cell r="C3907" t="str">
            <v>SULZER PLAN 513122101-02 TYPE ASME B16.5 150 IBS DN 40</v>
          </cell>
          <cell r="D3907" t="str">
            <v>PE</v>
          </cell>
          <cell r="E3907" t="str">
            <v>515.51505</v>
          </cell>
          <cell r="F3907">
            <v>22725</v>
          </cell>
          <cell r="G3907">
            <v>0</v>
          </cell>
          <cell r="H3907">
            <v>0</v>
          </cell>
          <cell r="I3907">
            <v>0</v>
          </cell>
          <cell r="J3907">
            <v>0</v>
          </cell>
          <cell r="K3907">
            <v>0</v>
          </cell>
          <cell r="L3907">
            <v>0</v>
          </cell>
        </row>
        <row r="3908">
          <cell r="A3908" t="str">
            <v>20497.00731</v>
          </cell>
          <cell r="B3908" t="str">
            <v>ANNEAU DE BLOCAGE D'ARBRE</v>
          </cell>
          <cell r="C3908" t="str">
            <v>GOULDS PUMPS  MODELE 3171GROUPE M TAILLE 1-1/2X3-13M POMPES SERIE 441418  REP 369A</v>
          </cell>
          <cell r="D3908" t="str">
            <v>PE</v>
          </cell>
          <cell r="E3908" t="str">
            <v>515.51517</v>
          </cell>
          <cell r="F3908">
            <v>361.8879</v>
          </cell>
          <cell r="G3908">
            <v>0</v>
          </cell>
          <cell r="H3908">
            <v>0</v>
          </cell>
          <cell r="I3908">
            <v>0</v>
          </cell>
          <cell r="J3908">
            <v>0</v>
          </cell>
          <cell r="K3908">
            <v>0</v>
          </cell>
          <cell r="L3908">
            <v>2</v>
          </cell>
        </row>
        <row r="3909">
          <cell r="A3909" t="str">
            <v>20497.00726</v>
          </cell>
          <cell r="B3909" t="str">
            <v>PALIER LISSE</v>
          </cell>
          <cell r="C3909" t="str">
            <v>GOULDS PUMPS MODELE 3171GROUPE M TAILLE 1-1/2X3-13M POMPES SERIE 441418  REP 197</v>
          </cell>
          <cell r="D3909" t="str">
            <v>PE</v>
          </cell>
          <cell r="E3909" t="str">
            <v>515.51517</v>
          </cell>
          <cell r="F3909">
            <v>12982.904699999999</v>
          </cell>
          <cell r="G3909">
            <v>0</v>
          </cell>
          <cell r="H3909">
            <v>0</v>
          </cell>
          <cell r="I3909">
            <v>0</v>
          </cell>
          <cell r="J3909">
            <v>0</v>
          </cell>
          <cell r="K3909">
            <v>2</v>
          </cell>
          <cell r="L3909">
            <v>0</v>
          </cell>
        </row>
        <row r="3910">
          <cell r="A3910" t="str">
            <v>20497.00733</v>
          </cell>
          <cell r="B3910" t="str">
            <v>ROUE</v>
          </cell>
          <cell r="C3910" t="str">
            <v>GOULDS PUMPS MODELE 3171GROUPE M TAILLE 1-1/2X3-13M POMPES SERIE 441418  REP 101</v>
          </cell>
          <cell r="D3910" t="str">
            <v>PE</v>
          </cell>
          <cell r="E3910" t="str">
            <v>515.51517</v>
          </cell>
          <cell r="F3910">
            <v>68642.520699999994</v>
          </cell>
          <cell r="G3910">
            <v>0</v>
          </cell>
          <cell r="H3910">
            <v>0</v>
          </cell>
          <cell r="I3910">
            <v>0</v>
          </cell>
          <cell r="J3910">
            <v>0</v>
          </cell>
          <cell r="K3910">
            <v>0</v>
          </cell>
          <cell r="L3910">
            <v>1</v>
          </cell>
        </row>
        <row r="3911">
          <cell r="A3911" t="str">
            <v>20497.00727</v>
          </cell>
          <cell r="B3911" t="str">
            <v>CRÉPINE</v>
          </cell>
          <cell r="C3911" t="str">
            <v>GOULDS PUMPS  MODELE 3171GROUPE M TAILLE 1-1/2X3-13M POMPES SERIE 441418  REP 187</v>
          </cell>
          <cell r="D3911" t="str">
            <v>PE</v>
          </cell>
          <cell r="E3911" t="str">
            <v>515.51517</v>
          </cell>
          <cell r="F3911">
            <v>12494.550300000001</v>
          </cell>
          <cell r="G3911">
            <v>0</v>
          </cell>
          <cell r="H3911">
            <v>0</v>
          </cell>
          <cell r="I3911">
            <v>0</v>
          </cell>
          <cell r="J3911">
            <v>0</v>
          </cell>
          <cell r="K3911">
            <v>0</v>
          </cell>
          <cell r="L3911">
            <v>1</v>
          </cell>
        </row>
        <row r="3912">
          <cell r="A3912" t="str">
            <v>20497.00728</v>
          </cell>
          <cell r="B3912" t="str">
            <v>ECROU DE ROUE</v>
          </cell>
          <cell r="C3912" t="str">
            <v>GOULDS PUMPS MODELE 3171GROUPE M TAILLE 1-1/2X3-13M POMPES SERIE 441418  REP 198</v>
          </cell>
          <cell r="D3912" t="str">
            <v>PE</v>
          </cell>
          <cell r="E3912" t="str">
            <v>515.51517</v>
          </cell>
          <cell r="F3912">
            <v>1671.6768999999999</v>
          </cell>
          <cell r="G3912">
            <v>0</v>
          </cell>
          <cell r="H3912">
            <v>0</v>
          </cell>
          <cell r="I3912">
            <v>0</v>
          </cell>
          <cell r="J3912">
            <v>0</v>
          </cell>
          <cell r="K3912">
            <v>0</v>
          </cell>
          <cell r="L3912">
            <v>3</v>
          </cell>
        </row>
        <row r="3913">
          <cell r="A3913" t="str">
            <v>20497.00730</v>
          </cell>
          <cell r="B3913" t="str">
            <v>ANNEAU DE BLOCAGE ROULEMENT</v>
          </cell>
          <cell r="C3913" t="str">
            <v>GOULDS PUMPS MODELE 3171GROUPE M TAILLE 1-1/2X3-13M POMPES SERIE 441418  REP 361A</v>
          </cell>
          <cell r="D3913" t="str">
            <v>PE</v>
          </cell>
          <cell r="E3913" t="str">
            <v>515.51517</v>
          </cell>
          <cell r="F3913">
            <v>361.8879</v>
          </cell>
          <cell r="G3913">
            <v>0</v>
          </cell>
          <cell r="H3913">
            <v>0</v>
          </cell>
          <cell r="I3913">
            <v>0</v>
          </cell>
          <cell r="J3913">
            <v>0</v>
          </cell>
          <cell r="K3913">
            <v>0</v>
          </cell>
          <cell r="L3913">
            <v>2</v>
          </cell>
        </row>
        <row r="3914">
          <cell r="A3914" t="str">
            <v>20498.21116</v>
          </cell>
          <cell r="B3914" t="str">
            <v>UNION FEMELLE ¿ CONIQUE 12MM X 1/2" NPT DOUBLE BAGUES INOX</v>
          </cell>
          <cell r="C3914" t="str">
            <v>SAGANA, REF : UFSI 12 1/2N</v>
          </cell>
          <cell r="D3914" t="str">
            <v>PE</v>
          </cell>
          <cell r="E3914" t="str">
            <v>515.51511</v>
          </cell>
          <cell r="F3914">
            <v>191</v>
          </cell>
          <cell r="G3914">
            <v>0</v>
          </cell>
          <cell r="H3914">
            <v>0</v>
          </cell>
          <cell r="I3914">
            <v>0</v>
          </cell>
          <cell r="J3914">
            <v>0</v>
          </cell>
          <cell r="K3914">
            <v>0</v>
          </cell>
          <cell r="L3914">
            <v>0</v>
          </cell>
        </row>
        <row r="3915">
          <cell r="A3915" t="str">
            <v>20498.21117</v>
          </cell>
          <cell r="B3915" t="str">
            <v>UNION FEMELLE ¿ CONIQUE 14MM X 1/2" NPT DOUBLE BAGUES INOX</v>
          </cell>
          <cell r="C3915" t="str">
            <v>SAGANA, REF : UFSI 14 1/2N</v>
          </cell>
          <cell r="D3915" t="str">
            <v>PE</v>
          </cell>
          <cell r="E3915" t="str">
            <v>515.51511</v>
          </cell>
          <cell r="F3915">
            <v>234</v>
          </cell>
          <cell r="G3915">
            <v>0</v>
          </cell>
          <cell r="H3915">
            <v>0</v>
          </cell>
          <cell r="I3915">
            <v>0</v>
          </cell>
          <cell r="J3915">
            <v>0</v>
          </cell>
          <cell r="K3915">
            <v>0</v>
          </cell>
          <cell r="L3915">
            <v>0</v>
          </cell>
        </row>
        <row r="3916">
          <cell r="A3916" t="str">
            <v>20498.21118</v>
          </cell>
          <cell r="B3916" t="str">
            <v>UNION FEMELLE ¿ PARALLELE 6MM X 1/4" BSPP MANOMETRE DOUBLE BAGUES INOX</v>
          </cell>
          <cell r="C3916" t="str">
            <v>SAGANA, REF : UFSI 6 1/4 G</v>
          </cell>
          <cell r="D3916" t="str">
            <v>PE</v>
          </cell>
          <cell r="E3916" t="str">
            <v>515.51511</v>
          </cell>
          <cell r="F3916">
            <v>124</v>
          </cell>
          <cell r="G3916">
            <v>0</v>
          </cell>
          <cell r="H3916">
            <v>0</v>
          </cell>
          <cell r="I3916">
            <v>0</v>
          </cell>
          <cell r="J3916">
            <v>0</v>
          </cell>
          <cell r="K3916">
            <v>0</v>
          </cell>
          <cell r="L3916">
            <v>0</v>
          </cell>
        </row>
        <row r="3917">
          <cell r="A3917" t="str">
            <v>20498.21119</v>
          </cell>
          <cell r="B3917" t="str">
            <v>UNION FEMELLE ¿ PARALLELE 8MM X 1/4" BSPP MANOMETRE DOUBLE BAGUES INOX</v>
          </cell>
          <cell r="C3917" t="str">
            <v>SAGANA, REF : UFSI 8 1/4 G</v>
          </cell>
          <cell r="D3917" t="str">
            <v>PE</v>
          </cell>
          <cell r="E3917" t="str">
            <v>515.51511</v>
          </cell>
          <cell r="F3917">
            <v>135</v>
          </cell>
          <cell r="G3917">
            <v>0</v>
          </cell>
          <cell r="H3917">
            <v>0</v>
          </cell>
          <cell r="I3917">
            <v>0</v>
          </cell>
          <cell r="J3917">
            <v>0</v>
          </cell>
          <cell r="K3917">
            <v>0</v>
          </cell>
          <cell r="L3917">
            <v>0</v>
          </cell>
        </row>
        <row r="3918">
          <cell r="A3918" t="str">
            <v>20498.21120</v>
          </cell>
          <cell r="B3918" t="str">
            <v>UNION FEMELLE ¿ PARALLELE 10MM X 1/4" BSPP MANOMETRE DOUBLE BAGUES INOX</v>
          </cell>
          <cell r="C3918" t="str">
            <v>SAGANA, REF : UFSI 10 1/4 G</v>
          </cell>
          <cell r="D3918" t="str">
            <v>PE</v>
          </cell>
          <cell r="E3918" t="str">
            <v>515.51511</v>
          </cell>
          <cell r="F3918">
            <v>124</v>
          </cell>
          <cell r="G3918">
            <v>0</v>
          </cell>
          <cell r="H3918">
            <v>0</v>
          </cell>
          <cell r="I3918">
            <v>0</v>
          </cell>
          <cell r="J3918">
            <v>0</v>
          </cell>
          <cell r="K3918">
            <v>0</v>
          </cell>
          <cell r="L3918">
            <v>0</v>
          </cell>
        </row>
        <row r="3919">
          <cell r="A3919" t="str">
            <v>20498.21121</v>
          </cell>
          <cell r="B3919" t="str">
            <v>UNION FEMELLE ¿ PARALLELE 12MM X 1/4" BSPP MANOMETRE DOUBLE BAGUES INOX</v>
          </cell>
          <cell r="C3919" t="str">
            <v>SAGANA, REF : UFSI 12 1/4 G</v>
          </cell>
          <cell r="D3919" t="str">
            <v>PE</v>
          </cell>
          <cell r="E3919" t="str">
            <v>515.51511</v>
          </cell>
          <cell r="F3919">
            <v>162</v>
          </cell>
          <cell r="G3919">
            <v>0</v>
          </cell>
          <cell r="H3919">
            <v>0</v>
          </cell>
          <cell r="I3919">
            <v>0</v>
          </cell>
          <cell r="J3919">
            <v>0</v>
          </cell>
          <cell r="K3919">
            <v>0</v>
          </cell>
          <cell r="L3919">
            <v>0</v>
          </cell>
        </row>
        <row r="3920">
          <cell r="A3920" t="str">
            <v>20498.21122</v>
          </cell>
          <cell r="B3920" t="str">
            <v>UNION FEMELLE ¿ PARALLELE 6MM X 3/8" BSPP MANOMETRE DOUBLE BAGUES INOX</v>
          </cell>
          <cell r="C3920" t="str">
            <v>SAGANA, REF : UFSI 6 3/8 G</v>
          </cell>
          <cell r="D3920" t="str">
            <v>PE</v>
          </cell>
          <cell r="E3920" t="str">
            <v>515.51511</v>
          </cell>
          <cell r="F3920">
            <v>137</v>
          </cell>
          <cell r="G3920">
            <v>0</v>
          </cell>
          <cell r="H3920">
            <v>0</v>
          </cell>
          <cell r="I3920">
            <v>0</v>
          </cell>
          <cell r="J3920">
            <v>0</v>
          </cell>
          <cell r="K3920">
            <v>0</v>
          </cell>
          <cell r="L3920">
            <v>0</v>
          </cell>
        </row>
        <row r="3921">
          <cell r="A3921" t="str">
            <v>20498.21123</v>
          </cell>
          <cell r="B3921" t="str">
            <v>UNION FEMELLE ¿ PARALLELE 10MM X 3/8" BSPP MANOMETRE DOUBLE BAGUES INOX</v>
          </cell>
          <cell r="C3921" t="str">
            <v>SAGANA, REF : UFSI 10 3/8 G</v>
          </cell>
          <cell r="D3921" t="str">
            <v>PE</v>
          </cell>
          <cell r="E3921" t="str">
            <v>515.51511</v>
          </cell>
          <cell r="F3921">
            <v>135</v>
          </cell>
          <cell r="G3921">
            <v>0</v>
          </cell>
          <cell r="H3921">
            <v>0</v>
          </cell>
          <cell r="I3921">
            <v>0</v>
          </cell>
          <cell r="J3921">
            <v>0</v>
          </cell>
          <cell r="K3921">
            <v>0</v>
          </cell>
          <cell r="L3921">
            <v>0</v>
          </cell>
        </row>
        <row r="3922">
          <cell r="A3922" t="str">
            <v>20498.21124</v>
          </cell>
          <cell r="B3922" t="str">
            <v>UNION FEMELLE ¿ PARALLELE 12MM X 3/8" BSPP MANOMETRE DOUBLE BAGUES INOX</v>
          </cell>
          <cell r="C3922" t="str">
            <v>SAGANA  REF : UFSI 12 3/8 G)</v>
          </cell>
          <cell r="D3922" t="str">
            <v>PE</v>
          </cell>
          <cell r="E3922" t="str">
            <v>515.51511</v>
          </cell>
          <cell r="F3922">
            <v>178</v>
          </cell>
          <cell r="G3922">
            <v>0</v>
          </cell>
          <cell r="H3922">
            <v>0</v>
          </cell>
          <cell r="I3922">
            <v>0</v>
          </cell>
          <cell r="J3922">
            <v>0</v>
          </cell>
          <cell r="K3922">
            <v>0</v>
          </cell>
          <cell r="L3922">
            <v>0</v>
          </cell>
        </row>
        <row r="3923">
          <cell r="A3923" t="str">
            <v>20497.01032</v>
          </cell>
          <cell r="B3923" t="str">
            <v>ENSEMBLE APPUI COMPLET</v>
          </cell>
          <cell r="C3923" t="str">
            <v>BLACKMER PLAN 1003-H01 04 04 AL O -AL I REP399 REF 300595.00</v>
          </cell>
          <cell r="D3923" t="str">
            <v>PE</v>
          </cell>
          <cell r="E3923" t="str">
            <v>515.51507</v>
          </cell>
          <cell r="F3923">
            <v>905.43179999999995</v>
          </cell>
          <cell r="G3923">
            <v>0</v>
          </cell>
          <cell r="H3923">
            <v>0</v>
          </cell>
          <cell r="I3923">
            <v>0</v>
          </cell>
          <cell r="J3923">
            <v>0</v>
          </cell>
          <cell r="K3923">
            <v>0</v>
          </cell>
          <cell r="L3923">
            <v>1</v>
          </cell>
        </row>
        <row r="3924">
          <cell r="A3924" t="str">
            <v>20497.01033</v>
          </cell>
          <cell r="B3924" t="str">
            <v>JOINT DE FOND VITON</v>
          </cell>
          <cell r="C3924" t="str">
            <v>BLACKMER PLAN 1003-H01 04 04 AL O -AL I REP403 REF 200840</v>
          </cell>
          <cell r="D3924" t="str">
            <v>PE</v>
          </cell>
          <cell r="E3924" t="str">
            <v>515.51507</v>
          </cell>
          <cell r="F3924">
            <v>501.76</v>
          </cell>
          <cell r="G3924">
            <v>0</v>
          </cell>
          <cell r="H3924">
            <v>0</v>
          </cell>
          <cell r="I3924">
            <v>0</v>
          </cell>
          <cell r="J3924">
            <v>0</v>
          </cell>
          <cell r="K3924">
            <v>0</v>
          </cell>
          <cell r="L3924">
            <v>2</v>
          </cell>
        </row>
        <row r="3925">
          <cell r="A3925" t="str">
            <v>20497.01034</v>
          </cell>
          <cell r="B3925" t="str">
            <v>ENSEMBLE COUSSINET DE FOND BAGUE CARBONE</v>
          </cell>
          <cell r="C3925" t="str">
            <v>BLACKMER PLAN 1003-H01 04 04 AL O -AL I REP413 REF 307654.00</v>
          </cell>
          <cell r="D3925" t="str">
            <v>PE</v>
          </cell>
          <cell r="E3925" t="str">
            <v>515.51507</v>
          </cell>
          <cell r="F3925">
            <v>2703.2222000000002</v>
          </cell>
          <cell r="G3925">
            <v>0</v>
          </cell>
          <cell r="H3925">
            <v>0</v>
          </cell>
          <cell r="I3925">
            <v>0</v>
          </cell>
          <cell r="J3925">
            <v>0</v>
          </cell>
          <cell r="K3925">
            <v>0</v>
          </cell>
          <cell r="L3925">
            <v>1</v>
          </cell>
        </row>
        <row r="3926">
          <cell r="A3926" t="str">
            <v>20497.01035</v>
          </cell>
          <cell r="B3926" t="str">
            <v>ENSEMBLE ARBRE BLOCDIR COMPLET</v>
          </cell>
          <cell r="C3926" t="str">
            <v>BLACKMER PLAN 1003-H01 04 04 AL O -AL I REP500 REF 312274.00</v>
          </cell>
          <cell r="D3926" t="str">
            <v>PE</v>
          </cell>
          <cell r="E3926" t="str">
            <v>515.51507</v>
          </cell>
          <cell r="F3926">
            <v>6559.14</v>
          </cell>
          <cell r="G3926">
            <v>0</v>
          </cell>
          <cell r="H3926">
            <v>0</v>
          </cell>
          <cell r="I3926">
            <v>0</v>
          </cell>
          <cell r="J3926">
            <v>0</v>
          </cell>
          <cell r="K3926">
            <v>0</v>
          </cell>
          <cell r="L3926">
            <v>1</v>
          </cell>
        </row>
        <row r="3927">
          <cell r="A3927" t="str">
            <v>20497.01036</v>
          </cell>
          <cell r="B3927" t="str">
            <v>ENSEMBLE PALIER A BILLES COMPLET</v>
          </cell>
          <cell r="C3927" t="str">
            <v>BLACKMER PLAN 1003-H01 04 04 AL O -AL I REP700 REF 300631.00</v>
          </cell>
          <cell r="D3927" t="str">
            <v>PE</v>
          </cell>
          <cell r="E3927" t="str">
            <v>515.51507</v>
          </cell>
          <cell r="F3927">
            <v>2174.6592000000001</v>
          </cell>
          <cell r="G3927">
            <v>0</v>
          </cell>
          <cell r="H3927">
            <v>0</v>
          </cell>
          <cell r="I3927">
            <v>0</v>
          </cell>
          <cell r="J3927">
            <v>0</v>
          </cell>
          <cell r="K3927">
            <v>0</v>
          </cell>
          <cell r="L3927">
            <v>1</v>
          </cell>
        </row>
        <row r="3928">
          <cell r="A3928" t="str">
            <v>20497.01037</v>
          </cell>
          <cell r="B3928" t="str">
            <v>ENSEMBLE BIPASSE C/5 VITON COMPLET</v>
          </cell>
          <cell r="C3928" t="str">
            <v>BLACKMER PLAN 1003-H01 04 04 AL O -AL I REP820 REF 306696.00</v>
          </cell>
          <cell r="D3928" t="str">
            <v>PE</v>
          </cell>
          <cell r="E3928" t="str">
            <v>515.51507</v>
          </cell>
          <cell r="F3928">
            <v>6525.33</v>
          </cell>
          <cell r="G3928">
            <v>0</v>
          </cell>
          <cell r="H3928">
            <v>0</v>
          </cell>
          <cell r="I3928">
            <v>0</v>
          </cell>
          <cell r="J3928">
            <v>0</v>
          </cell>
          <cell r="K3928">
            <v>0</v>
          </cell>
          <cell r="L3928">
            <v>1</v>
          </cell>
        </row>
        <row r="3929">
          <cell r="A3929" t="str">
            <v>20497.01038</v>
          </cell>
          <cell r="B3929" t="str">
            <v>ENSEMBLE FRETTE COMPLETE</v>
          </cell>
          <cell r="C3929" t="str">
            <v>BLACKMER PLAN 1003-H01 04 04 AL O -AL I REP515 REF 300716.00</v>
          </cell>
          <cell r="D3929" t="str">
            <v>PE</v>
          </cell>
          <cell r="E3929" t="str">
            <v>515.51507</v>
          </cell>
          <cell r="F3929">
            <v>1293.1590000000001</v>
          </cell>
          <cell r="G3929">
            <v>0</v>
          </cell>
          <cell r="H3929">
            <v>0</v>
          </cell>
          <cell r="I3929">
            <v>0</v>
          </cell>
          <cell r="J3929">
            <v>0</v>
          </cell>
          <cell r="K3929">
            <v>0</v>
          </cell>
          <cell r="L3929">
            <v>1</v>
          </cell>
        </row>
        <row r="3930">
          <cell r="A3930" t="str">
            <v>20498.21125</v>
          </cell>
          <cell r="B3930" t="str">
            <v>UNION FEMELLE ¿ PARALLELE 6MM X 1/2" BSPP MANOMETRE DOUBLE BAGUES INOX</v>
          </cell>
          <cell r="C3930" t="str">
            <v>SAGANA, REF : UFSI 6 1/2 G</v>
          </cell>
          <cell r="D3930" t="str">
            <v>PE</v>
          </cell>
          <cell r="E3930" t="str">
            <v>515.51511</v>
          </cell>
          <cell r="F3930">
            <v>140</v>
          </cell>
          <cell r="G3930">
            <v>0</v>
          </cell>
          <cell r="H3930">
            <v>0</v>
          </cell>
          <cell r="I3930">
            <v>0</v>
          </cell>
          <cell r="J3930">
            <v>0</v>
          </cell>
          <cell r="K3930">
            <v>0</v>
          </cell>
          <cell r="L3930">
            <v>0</v>
          </cell>
        </row>
        <row r="3931">
          <cell r="A3931" t="str">
            <v>20498.21126</v>
          </cell>
          <cell r="B3931" t="str">
            <v>UNION FEMELLE ¿ PARALLELE 8MM X 1/2" BSPP MANOMETRE DOUBLE BAGUES INOX</v>
          </cell>
          <cell r="C3931" t="str">
            <v>SAGANA, REF : UFSI 8 1/2 G</v>
          </cell>
          <cell r="D3931" t="str">
            <v>PE</v>
          </cell>
          <cell r="E3931" t="str">
            <v>515.51511</v>
          </cell>
          <cell r="F3931">
            <v>163</v>
          </cell>
          <cell r="G3931">
            <v>0</v>
          </cell>
          <cell r="H3931">
            <v>0</v>
          </cell>
          <cell r="I3931">
            <v>0</v>
          </cell>
          <cell r="J3931">
            <v>0</v>
          </cell>
          <cell r="K3931">
            <v>0</v>
          </cell>
          <cell r="L3931">
            <v>0</v>
          </cell>
        </row>
        <row r="3932">
          <cell r="A3932" t="str">
            <v>20498.21128</v>
          </cell>
          <cell r="B3932" t="str">
            <v>UNION FEMELLE ¿ PARALLELE 12MM X 1/2" BSPP MANOMETRE DOUBLE BAGUES INOX</v>
          </cell>
          <cell r="C3932" t="str">
            <v>SAGANA, REF : UFSI 12 1/2 G</v>
          </cell>
          <cell r="D3932" t="str">
            <v>PE</v>
          </cell>
          <cell r="E3932" t="str">
            <v>515.51511</v>
          </cell>
          <cell r="F3932">
            <v>232</v>
          </cell>
          <cell r="G3932">
            <v>0</v>
          </cell>
          <cell r="H3932">
            <v>0</v>
          </cell>
          <cell r="I3932">
            <v>0</v>
          </cell>
          <cell r="J3932">
            <v>0</v>
          </cell>
          <cell r="K3932">
            <v>0</v>
          </cell>
          <cell r="L3932">
            <v>0</v>
          </cell>
        </row>
        <row r="3933">
          <cell r="A3933" t="str">
            <v>20498.21129</v>
          </cell>
          <cell r="B3933" t="str">
            <v>COUDE MALE ¿ CONIQUE 6MM X 1/8" NPT DOUBLE BAGUES INOX</v>
          </cell>
          <cell r="C3933" t="str">
            <v>SAGANA, REF : EQMSI 6 1/8N</v>
          </cell>
          <cell r="D3933" t="str">
            <v>PE</v>
          </cell>
          <cell r="E3933" t="str">
            <v>515.51511</v>
          </cell>
          <cell r="F3933">
            <v>107</v>
          </cell>
          <cell r="G3933">
            <v>0</v>
          </cell>
          <cell r="H3933">
            <v>0</v>
          </cell>
          <cell r="I3933">
            <v>0</v>
          </cell>
          <cell r="J3933">
            <v>0</v>
          </cell>
          <cell r="K3933">
            <v>0</v>
          </cell>
          <cell r="L3933">
            <v>0</v>
          </cell>
        </row>
        <row r="3934">
          <cell r="A3934" t="str">
            <v>20498.21130</v>
          </cell>
          <cell r="B3934" t="str">
            <v>COUDE MALE ¿ CONIQUE 8MM X 1/8" NPT DOUBLE BAGUES INOX</v>
          </cell>
          <cell r="C3934" t="str">
            <v>SAGANA, REF : EQMSI 8 1/8N</v>
          </cell>
          <cell r="D3934" t="str">
            <v>PE</v>
          </cell>
          <cell r="E3934" t="str">
            <v>515.51511</v>
          </cell>
          <cell r="F3934">
            <v>112</v>
          </cell>
          <cell r="G3934">
            <v>0</v>
          </cell>
          <cell r="H3934">
            <v>0</v>
          </cell>
          <cell r="I3934">
            <v>0</v>
          </cell>
          <cell r="J3934">
            <v>0</v>
          </cell>
          <cell r="K3934">
            <v>0</v>
          </cell>
          <cell r="L3934">
            <v>0</v>
          </cell>
        </row>
        <row r="3935">
          <cell r="A3935" t="str">
            <v>20498.21215</v>
          </cell>
          <cell r="B3935" t="str">
            <v>EMBOUT DE RACCORDEMENT - REDUCTION 12MM X 6MM DOUBLE BAGUES INOX</v>
          </cell>
          <cell r="C3935" t="str">
            <v>SAGANA, REF : APRSI 12 6</v>
          </cell>
          <cell r="D3935" t="str">
            <v>PE</v>
          </cell>
          <cell r="E3935" t="str">
            <v>515.51511</v>
          </cell>
          <cell r="F3935">
            <v>100</v>
          </cell>
          <cell r="G3935">
            <v>0</v>
          </cell>
          <cell r="H3935">
            <v>0</v>
          </cell>
          <cell r="I3935">
            <v>0</v>
          </cell>
          <cell r="J3935">
            <v>0</v>
          </cell>
          <cell r="K3935">
            <v>0</v>
          </cell>
          <cell r="L3935">
            <v>0</v>
          </cell>
        </row>
        <row r="3936">
          <cell r="A3936" t="str">
            <v>20498.21216</v>
          </cell>
          <cell r="B3936" t="str">
            <v>EMBOUT DE RACCORDEMENT - REDUCTION 12MM X 10MM DOUBLE BAGUES INOX</v>
          </cell>
          <cell r="C3936" t="str">
            <v>SAGANA, REF : APRSI 12 10</v>
          </cell>
          <cell r="D3936" t="str">
            <v>PE</v>
          </cell>
          <cell r="E3936" t="str">
            <v>515.51511</v>
          </cell>
          <cell r="F3936">
            <v>115</v>
          </cell>
          <cell r="G3936">
            <v>0</v>
          </cell>
          <cell r="H3936">
            <v>0</v>
          </cell>
          <cell r="I3936">
            <v>0</v>
          </cell>
          <cell r="J3936">
            <v>0</v>
          </cell>
          <cell r="K3936">
            <v>0</v>
          </cell>
          <cell r="L3936">
            <v>0</v>
          </cell>
        </row>
        <row r="3937">
          <cell r="A3937" t="str">
            <v>20497.11207</v>
          </cell>
          <cell r="B3937" t="str">
            <v>CHEMISE D'ARBRE</v>
          </cell>
          <cell r="C3937" t="str">
            <v>WARMAN E075J04</v>
          </cell>
          <cell r="D3937" t="str">
            <v>PE</v>
          </cell>
          <cell r="E3937" t="str">
            <v>515.51517</v>
          </cell>
          <cell r="F3937">
            <v>2900</v>
          </cell>
          <cell r="G3937">
            <v>0</v>
          </cell>
          <cell r="H3937">
            <v>0</v>
          </cell>
          <cell r="I3937">
            <v>0</v>
          </cell>
          <cell r="J3937">
            <v>0</v>
          </cell>
          <cell r="K3937">
            <v>1</v>
          </cell>
          <cell r="L3937">
            <v>2</v>
          </cell>
        </row>
        <row r="3938">
          <cell r="A3938" t="str">
            <v>20498.21220</v>
          </cell>
          <cell r="B3938" t="str">
            <v>ADAPTATEUR DE REDUCTION 10MM X 6MM DOUBLE BAGUES INOX</v>
          </cell>
          <cell r="C3938" t="str">
            <v>SAGANA, REF : ADRSI 10 6</v>
          </cell>
          <cell r="D3938" t="str">
            <v>PE</v>
          </cell>
          <cell r="E3938" t="str">
            <v>515.51511</v>
          </cell>
          <cell r="F3938">
            <v>80</v>
          </cell>
          <cell r="G3938">
            <v>0</v>
          </cell>
          <cell r="H3938">
            <v>0</v>
          </cell>
          <cell r="I3938">
            <v>0</v>
          </cell>
          <cell r="J3938">
            <v>0</v>
          </cell>
          <cell r="K3938">
            <v>0</v>
          </cell>
          <cell r="L3938">
            <v>0</v>
          </cell>
        </row>
        <row r="3939">
          <cell r="A3939" t="str">
            <v>20498.21221</v>
          </cell>
          <cell r="B3939" t="str">
            <v>ADAPTATEUR DE REDUCTION 10MM X 8MM DOUBLE BAGUES INOX</v>
          </cell>
          <cell r="C3939" t="str">
            <v>SAGANA, REF : ADRSI 10 8</v>
          </cell>
          <cell r="D3939" t="str">
            <v>PE</v>
          </cell>
          <cell r="E3939" t="str">
            <v>515.51511</v>
          </cell>
          <cell r="F3939">
            <v>102</v>
          </cell>
          <cell r="G3939">
            <v>0</v>
          </cell>
          <cell r="H3939">
            <v>0</v>
          </cell>
          <cell r="I3939">
            <v>0</v>
          </cell>
          <cell r="J3939">
            <v>0</v>
          </cell>
          <cell r="K3939">
            <v>0</v>
          </cell>
          <cell r="L3939">
            <v>0</v>
          </cell>
        </row>
        <row r="3940">
          <cell r="A3940" t="str">
            <v>20498.21222</v>
          </cell>
          <cell r="B3940" t="str">
            <v>ADAPTATEUR DE REDUCTION 10MM X 12MM DOUBLE BAGUES INOX</v>
          </cell>
          <cell r="C3940" t="str">
            <v>SAGANA, REF : ADRSI 10 12</v>
          </cell>
          <cell r="D3940" t="str">
            <v>PE</v>
          </cell>
          <cell r="E3940" t="str">
            <v>515.51511</v>
          </cell>
          <cell r="F3940">
            <v>99</v>
          </cell>
          <cell r="G3940">
            <v>0</v>
          </cell>
          <cell r="H3940">
            <v>0</v>
          </cell>
          <cell r="I3940">
            <v>0</v>
          </cell>
          <cell r="J3940">
            <v>0</v>
          </cell>
          <cell r="K3940">
            <v>0</v>
          </cell>
          <cell r="L3940">
            <v>0</v>
          </cell>
        </row>
        <row r="3941">
          <cell r="A3941" t="str">
            <v>20498.21223</v>
          </cell>
          <cell r="B3941" t="str">
            <v>ADAPTATEUR DE REDUCTION 12MM X 6MM DOUBLE BAGUES INOX</v>
          </cell>
          <cell r="C3941" t="str">
            <v>SAGANA, REF : ADRSI 12 6</v>
          </cell>
          <cell r="D3941" t="str">
            <v>PE</v>
          </cell>
          <cell r="E3941" t="str">
            <v>515.51511</v>
          </cell>
          <cell r="F3941">
            <v>118</v>
          </cell>
          <cell r="G3941">
            <v>0</v>
          </cell>
          <cell r="H3941">
            <v>0</v>
          </cell>
          <cell r="I3941">
            <v>0</v>
          </cell>
          <cell r="J3941">
            <v>0</v>
          </cell>
          <cell r="K3941">
            <v>0</v>
          </cell>
          <cell r="L3941">
            <v>0</v>
          </cell>
        </row>
        <row r="3942">
          <cell r="A3942" t="str">
            <v>20498.21224</v>
          </cell>
          <cell r="B3942" t="str">
            <v>ADAPTATEUR DE REDUCTION 12MM X 10MM DOUBLE BAGUES INOX</v>
          </cell>
          <cell r="C3942" t="str">
            <v>SAGANA, REF : ADRSI 12 10</v>
          </cell>
          <cell r="D3942" t="str">
            <v>PE</v>
          </cell>
          <cell r="E3942" t="str">
            <v>515.51511</v>
          </cell>
          <cell r="F3942">
            <v>118</v>
          </cell>
          <cell r="G3942">
            <v>0</v>
          </cell>
          <cell r="H3942">
            <v>0</v>
          </cell>
          <cell r="I3942">
            <v>0</v>
          </cell>
          <cell r="J3942">
            <v>0</v>
          </cell>
          <cell r="K3942">
            <v>0</v>
          </cell>
          <cell r="L3942">
            <v>0</v>
          </cell>
        </row>
        <row r="3943">
          <cell r="A3943" t="str">
            <v>20498.21225</v>
          </cell>
          <cell r="B3943" t="str">
            <v>ADAPTATEUR DE CONVERSION 6MM X X1/4" (TUBE - TUBE) DOUBLE BAGUES INOX</v>
          </cell>
          <cell r="C3943" t="str">
            <v>SAGANA, REF : AMODI 6 1/4</v>
          </cell>
          <cell r="D3943" t="str">
            <v>PE</v>
          </cell>
          <cell r="E3943" t="str">
            <v>515.51511</v>
          </cell>
          <cell r="F3943">
            <v>88</v>
          </cell>
          <cell r="G3943">
            <v>0</v>
          </cell>
          <cell r="H3943">
            <v>0</v>
          </cell>
          <cell r="I3943">
            <v>0</v>
          </cell>
          <cell r="J3943">
            <v>0</v>
          </cell>
          <cell r="K3943">
            <v>0</v>
          </cell>
          <cell r="L3943">
            <v>0</v>
          </cell>
        </row>
        <row r="3944">
          <cell r="A3944" t="str">
            <v>20498.21226</v>
          </cell>
          <cell r="B3944" t="str">
            <v>ADAPTATEUR DE CONVERSION 6MM X X1/4" (TUBE - TUBE) DOUBLE BAGUES INOX</v>
          </cell>
          <cell r="C3944" t="str">
            <v>SAGANA, REF : AMODI 6 1/2</v>
          </cell>
          <cell r="D3944" t="str">
            <v>PE</v>
          </cell>
          <cell r="E3944" t="str">
            <v>515.51511</v>
          </cell>
          <cell r="F3944">
            <v>83</v>
          </cell>
          <cell r="G3944">
            <v>0</v>
          </cell>
          <cell r="H3944">
            <v>0</v>
          </cell>
          <cell r="I3944">
            <v>0</v>
          </cell>
          <cell r="J3944">
            <v>0</v>
          </cell>
          <cell r="K3944">
            <v>0</v>
          </cell>
          <cell r="L3944">
            <v>0</v>
          </cell>
        </row>
        <row r="3945">
          <cell r="A3945" t="str">
            <v>20498.21227</v>
          </cell>
          <cell r="B3945" t="str">
            <v>ADAPTATEUR DE CONVERSION 6MM X X1/4" (TUBE - TUBE) DOUBLE BAGUES INOX</v>
          </cell>
          <cell r="C3945" t="str">
            <v>SAGANA, REF : AMODI 10 1/4</v>
          </cell>
          <cell r="D3945" t="str">
            <v>PE</v>
          </cell>
          <cell r="E3945" t="str">
            <v>515.51511</v>
          </cell>
          <cell r="F3945">
            <v>165</v>
          </cell>
          <cell r="G3945">
            <v>0</v>
          </cell>
          <cell r="H3945">
            <v>0</v>
          </cell>
          <cell r="I3945">
            <v>0</v>
          </cell>
          <cell r="J3945">
            <v>0</v>
          </cell>
          <cell r="K3945">
            <v>20</v>
          </cell>
          <cell r="L3945">
            <v>0</v>
          </cell>
        </row>
        <row r="3946">
          <cell r="A3946" t="str">
            <v>20498.21228</v>
          </cell>
          <cell r="B3946" t="str">
            <v>ADAPTATEUR DE CONVERSION 6MM X X1/4" (TUBE - TUBE) DOUBLE BAGUES INOX</v>
          </cell>
          <cell r="C3946" t="str">
            <v>SAGANA, REF : AMODI 10 1/2</v>
          </cell>
          <cell r="D3946" t="str">
            <v>PE</v>
          </cell>
          <cell r="E3946" t="str">
            <v>515.51511</v>
          </cell>
          <cell r="F3946">
            <v>109</v>
          </cell>
          <cell r="G3946">
            <v>0</v>
          </cell>
          <cell r="H3946">
            <v>0</v>
          </cell>
          <cell r="I3946">
            <v>0</v>
          </cell>
          <cell r="J3946">
            <v>0</v>
          </cell>
          <cell r="K3946">
            <v>20</v>
          </cell>
          <cell r="L3946">
            <v>0</v>
          </cell>
        </row>
        <row r="3947">
          <cell r="A3947" t="str">
            <v>20498.21229</v>
          </cell>
          <cell r="B3947" t="str">
            <v>ADAPTATEUR DE CONVERSION 6MM X X1/4" (TUBE - TUBE) DOUBLE BAGUES INOX</v>
          </cell>
          <cell r="C3947" t="str">
            <v>SAGANA, REF : AMODI 12 1/2</v>
          </cell>
          <cell r="D3947" t="str">
            <v>PE</v>
          </cell>
          <cell r="E3947" t="str">
            <v>515.51511</v>
          </cell>
          <cell r="F3947">
            <v>120</v>
          </cell>
          <cell r="G3947">
            <v>0</v>
          </cell>
          <cell r="H3947">
            <v>0</v>
          </cell>
          <cell r="I3947">
            <v>0</v>
          </cell>
          <cell r="J3947">
            <v>0</v>
          </cell>
          <cell r="K3947">
            <v>20</v>
          </cell>
          <cell r="L3947">
            <v>0</v>
          </cell>
        </row>
        <row r="3948">
          <cell r="A3948" t="str">
            <v>20497.10287</v>
          </cell>
          <cell r="B3948" t="str">
            <v>ARBRE</v>
          </cell>
          <cell r="C3948" t="str">
            <v>MC 50-220/12S  REF:000000104091300244 PLAN : F/1S.4330.220-X  REP : 210-01</v>
          </cell>
          <cell r="D3948" t="str">
            <v>PE</v>
          </cell>
          <cell r="E3948" t="str">
            <v>515.51505</v>
          </cell>
          <cell r="F3948">
            <v>196686</v>
          </cell>
          <cell r="G3948">
            <v>0</v>
          </cell>
          <cell r="H3948">
            <v>0</v>
          </cell>
          <cell r="I3948">
            <v>0</v>
          </cell>
          <cell r="J3948">
            <v>0</v>
          </cell>
          <cell r="K3948">
            <v>0</v>
          </cell>
          <cell r="L3948">
            <v>1</v>
          </cell>
        </row>
        <row r="3949">
          <cell r="A3949" t="str">
            <v>20497.10452</v>
          </cell>
          <cell r="B3949" t="str">
            <v>ROULEMENT A BILLE REP : 703</v>
          </cell>
          <cell r="C3949" t="str">
            <v>MOUVEX TYPE AL O HP PL : 1003.J01 REF 200555</v>
          </cell>
          <cell r="D3949" t="str">
            <v>PE</v>
          </cell>
          <cell r="E3949" t="str">
            <v>515.51507</v>
          </cell>
          <cell r="F3949">
            <v>240.95259999999999</v>
          </cell>
          <cell r="G3949">
            <v>0</v>
          </cell>
          <cell r="H3949">
            <v>0</v>
          </cell>
          <cell r="I3949">
            <v>0</v>
          </cell>
          <cell r="J3949">
            <v>0</v>
          </cell>
          <cell r="K3949">
            <v>0</v>
          </cell>
          <cell r="L3949">
            <v>2</v>
          </cell>
        </row>
        <row r="3950">
          <cell r="A3950" t="str">
            <v>20497.10290</v>
          </cell>
          <cell r="B3950" t="str">
            <v>ROUE</v>
          </cell>
          <cell r="C3950" t="str">
            <v>MC 50-220/12S   REF:000204642220006000  PLAN: N°:F/1S.4330.220-X REP: 230-01</v>
          </cell>
          <cell r="D3950" t="str">
            <v>PE</v>
          </cell>
          <cell r="E3950" t="str">
            <v>515.51505</v>
          </cell>
          <cell r="F3950">
            <v>115248</v>
          </cell>
          <cell r="G3950">
            <v>0</v>
          </cell>
          <cell r="H3950">
            <v>0</v>
          </cell>
          <cell r="I3950">
            <v>0</v>
          </cell>
          <cell r="J3950">
            <v>0</v>
          </cell>
          <cell r="K3950">
            <v>0</v>
          </cell>
          <cell r="L3950">
            <v>1</v>
          </cell>
        </row>
        <row r="3951">
          <cell r="A3951" t="str">
            <v>20497.10292</v>
          </cell>
          <cell r="B3951" t="str">
            <v>CHEMISE</v>
          </cell>
          <cell r="C3951" t="str">
            <v>MC 50-220/12S  REF:000000104086429002 PLAN: N°:F/1S.4330.220-X REP: 520-02</v>
          </cell>
          <cell r="D3951" t="str">
            <v>PE</v>
          </cell>
          <cell r="E3951" t="str">
            <v>515.51505</v>
          </cell>
          <cell r="F3951">
            <v>10306.1289</v>
          </cell>
          <cell r="G3951">
            <v>0</v>
          </cell>
          <cell r="H3951">
            <v>0</v>
          </cell>
          <cell r="I3951">
            <v>0</v>
          </cell>
          <cell r="J3951">
            <v>0</v>
          </cell>
          <cell r="K3951">
            <v>0</v>
          </cell>
          <cell r="L3951">
            <v>1</v>
          </cell>
        </row>
        <row r="3952">
          <cell r="A3952" t="str">
            <v>20497.10293</v>
          </cell>
          <cell r="B3952" t="str">
            <v>CHEMISE DE DISTANCE</v>
          </cell>
          <cell r="C3952" t="str">
            <v>MC 50-220/12S   REF:000000104097288001  PLAN: N°:F/1S.4330.220-X REP: 525-01</v>
          </cell>
          <cell r="D3952" t="str">
            <v>PE</v>
          </cell>
          <cell r="E3952" t="str">
            <v>515.51505</v>
          </cell>
          <cell r="F3952">
            <v>12169.3838</v>
          </cell>
          <cell r="G3952">
            <v>0</v>
          </cell>
          <cell r="H3952">
            <v>0</v>
          </cell>
          <cell r="I3952">
            <v>0</v>
          </cell>
          <cell r="J3952">
            <v>0</v>
          </cell>
          <cell r="K3952">
            <v>0</v>
          </cell>
          <cell r="L3952">
            <v>1</v>
          </cell>
        </row>
        <row r="3953">
          <cell r="A3953" t="str">
            <v>20497.00832</v>
          </cell>
          <cell r="B3953" t="str">
            <v>JOINT</v>
          </cell>
          <cell r="C3953" t="str">
            <v>ALLWEILER TYPE VFKF-ABB 280 R43-132M-T-860-31 REP 21</v>
          </cell>
          <cell r="D3953" t="str">
            <v>PE</v>
          </cell>
          <cell r="E3953" t="str">
            <v>515.51517</v>
          </cell>
          <cell r="F3953">
            <v>408</v>
          </cell>
          <cell r="G3953">
            <v>0</v>
          </cell>
          <cell r="H3953">
            <v>0</v>
          </cell>
          <cell r="I3953">
            <v>0</v>
          </cell>
          <cell r="J3953">
            <v>0</v>
          </cell>
          <cell r="K3953">
            <v>2</v>
          </cell>
          <cell r="L3953">
            <v>0</v>
          </cell>
        </row>
        <row r="3954">
          <cell r="A3954" t="str">
            <v>20497.10538</v>
          </cell>
          <cell r="B3954" t="str">
            <v>CLAVETTE</v>
          </cell>
          <cell r="C3954" t="str">
            <v>SULZER TYPE A 31-100 SERIE 100038236/100038237/100038238/100038240/100038241/100038242 REP940,31</v>
          </cell>
          <cell r="D3954" t="str">
            <v>PE</v>
          </cell>
          <cell r="E3954" t="str">
            <v>515.51505</v>
          </cell>
          <cell r="F3954">
            <v>113.0111</v>
          </cell>
          <cell r="G3954">
            <v>0</v>
          </cell>
          <cell r="H3954">
            <v>0</v>
          </cell>
          <cell r="I3954">
            <v>0</v>
          </cell>
          <cell r="J3954">
            <v>0</v>
          </cell>
          <cell r="K3954">
            <v>0</v>
          </cell>
          <cell r="L3954">
            <v>8</v>
          </cell>
        </row>
        <row r="3955">
          <cell r="A3955" t="str">
            <v>20497.00833</v>
          </cell>
          <cell r="B3955" t="str">
            <v>JOINT</v>
          </cell>
          <cell r="C3955" t="str">
            <v>ALLWEILER TYPE VFKF-ABB 280 R43-132M-T-860-31 REP 27</v>
          </cell>
          <cell r="D3955" t="str">
            <v>PE</v>
          </cell>
          <cell r="E3955" t="str">
            <v>515.51517</v>
          </cell>
          <cell r="F3955">
            <v>408</v>
          </cell>
          <cell r="G3955">
            <v>0</v>
          </cell>
          <cell r="H3955">
            <v>0</v>
          </cell>
          <cell r="I3955">
            <v>0</v>
          </cell>
          <cell r="J3955">
            <v>0</v>
          </cell>
          <cell r="K3955">
            <v>2</v>
          </cell>
          <cell r="L3955">
            <v>0</v>
          </cell>
        </row>
        <row r="3956">
          <cell r="A3956" t="str">
            <v>20497.00834</v>
          </cell>
          <cell r="B3956" t="str">
            <v>GARNITURE</v>
          </cell>
          <cell r="C3956" t="str">
            <v>ALLWEILER TYPE VFKF-ABB 280 R43-132M-T-860-31 REP 80+83</v>
          </cell>
          <cell r="D3956" t="str">
            <v>PE</v>
          </cell>
          <cell r="E3956" t="str">
            <v>515.51517</v>
          </cell>
          <cell r="F3956">
            <v>2628</v>
          </cell>
          <cell r="G3956">
            <v>0</v>
          </cell>
          <cell r="H3956">
            <v>0</v>
          </cell>
          <cell r="I3956">
            <v>0</v>
          </cell>
          <cell r="J3956">
            <v>0</v>
          </cell>
          <cell r="K3956">
            <v>2</v>
          </cell>
          <cell r="L3956">
            <v>0</v>
          </cell>
        </row>
        <row r="3957">
          <cell r="A3957" t="str">
            <v>20497.10539</v>
          </cell>
          <cell r="B3957" t="str">
            <v>JEU DE VISSERIE VIS DE ROUEVIS DE REGLAGE</v>
          </cell>
          <cell r="C3957" t="str">
            <v>SULZER TYPE A 31-100 SERIE 100038236/100038237/100038238/100038240/100038241/100038242 REPSANS</v>
          </cell>
          <cell r="D3957" t="str">
            <v>PE</v>
          </cell>
          <cell r="E3957" t="str">
            <v>515.51505</v>
          </cell>
          <cell r="F3957">
            <v>11398.1111</v>
          </cell>
          <cell r="G3957">
            <v>0</v>
          </cell>
          <cell r="H3957">
            <v>0</v>
          </cell>
          <cell r="I3957">
            <v>0</v>
          </cell>
          <cell r="J3957">
            <v>0</v>
          </cell>
          <cell r="K3957">
            <v>0</v>
          </cell>
          <cell r="L3957">
            <v>4</v>
          </cell>
        </row>
        <row r="3958">
          <cell r="A3958" t="str">
            <v>20497.00835</v>
          </cell>
          <cell r="B3958" t="str">
            <v>JOINT</v>
          </cell>
          <cell r="C3958" t="str">
            <v>ALLWEILER TYPE VFKF-ABB 280 R43-132M-T-860-31 REP 121</v>
          </cell>
          <cell r="D3958" t="str">
            <v>PE</v>
          </cell>
          <cell r="E3958" t="str">
            <v>515.51517</v>
          </cell>
          <cell r="F3958">
            <v>1956</v>
          </cell>
          <cell r="G3958">
            <v>0</v>
          </cell>
          <cell r="H3958">
            <v>0</v>
          </cell>
          <cell r="I3958">
            <v>0</v>
          </cell>
          <cell r="J3958">
            <v>0</v>
          </cell>
          <cell r="K3958">
            <v>2</v>
          </cell>
          <cell r="L3958">
            <v>0</v>
          </cell>
        </row>
        <row r="3959">
          <cell r="A3959" t="str">
            <v>20497.10569</v>
          </cell>
          <cell r="B3959" t="str">
            <v>BAGUE LABYRINTHE</v>
          </cell>
          <cell r="C3959" t="str">
            <v>SULZER TYPE A 32-80 SERIE 100038243/100038244/100038245 REP423,31</v>
          </cell>
          <cell r="D3959" t="str">
            <v>PE</v>
          </cell>
          <cell r="E3959" t="str">
            <v>515.51505</v>
          </cell>
          <cell r="F3959">
            <v>3793.0653000000002</v>
          </cell>
          <cell r="G3959">
            <v>0</v>
          </cell>
          <cell r="H3959">
            <v>0</v>
          </cell>
          <cell r="I3959">
            <v>1</v>
          </cell>
          <cell r="J3959">
            <v>0</v>
          </cell>
          <cell r="K3959">
            <v>0</v>
          </cell>
          <cell r="L3959">
            <v>3</v>
          </cell>
        </row>
        <row r="3960">
          <cell r="A3960" t="str">
            <v>20497.10570</v>
          </cell>
          <cell r="B3960" t="str">
            <v>BAGUE LABYRINTHE</v>
          </cell>
          <cell r="C3960" t="str">
            <v>SULZER TYPE A 32-80 SERIE 100038243/100038244/100038245 REP423,32</v>
          </cell>
          <cell r="D3960" t="str">
            <v>PE</v>
          </cell>
          <cell r="E3960" t="str">
            <v>515.51505</v>
          </cell>
          <cell r="F3960">
            <v>826.88800000000003</v>
          </cell>
          <cell r="G3960">
            <v>0</v>
          </cell>
          <cell r="H3960">
            <v>0</v>
          </cell>
          <cell r="I3960">
            <v>0</v>
          </cell>
          <cell r="J3960">
            <v>0</v>
          </cell>
          <cell r="K3960">
            <v>0</v>
          </cell>
          <cell r="L3960">
            <v>2</v>
          </cell>
        </row>
        <row r="3961">
          <cell r="A3961" t="str">
            <v>20497.00829</v>
          </cell>
          <cell r="B3961" t="str">
            <v>ANNEAU DE TRESSE</v>
          </cell>
          <cell r="C3961" t="str">
            <v>LEWA 024669.0042</v>
          </cell>
          <cell r="D3961" t="str">
            <v>PE</v>
          </cell>
          <cell r="E3961" t="str">
            <v>515.51503</v>
          </cell>
          <cell r="F3961">
            <v>261</v>
          </cell>
          <cell r="G3961">
            <v>0</v>
          </cell>
          <cell r="H3961">
            <v>0</v>
          </cell>
          <cell r="I3961">
            <v>0</v>
          </cell>
          <cell r="J3961">
            <v>0</v>
          </cell>
          <cell r="K3961">
            <v>4</v>
          </cell>
          <cell r="L3961">
            <v>4</v>
          </cell>
        </row>
        <row r="3962">
          <cell r="A3962" t="str">
            <v>20497.00858</v>
          </cell>
          <cell r="B3962" t="str">
            <v>CIRCLIPS</v>
          </cell>
          <cell r="C3962" t="str">
            <v>ALLWEILER SNFG 1700R42Q-W67-FA4,2 REP 37</v>
          </cell>
          <cell r="D3962" t="str">
            <v>PE</v>
          </cell>
          <cell r="E3962" t="str">
            <v>515.51517</v>
          </cell>
          <cell r="F3962">
            <v>528</v>
          </cell>
          <cell r="G3962">
            <v>0</v>
          </cell>
          <cell r="H3962">
            <v>0</v>
          </cell>
          <cell r="I3962">
            <v>0</v>
          </cell>
          <cell r="J3962">
            <v>0</v>
          </cell>
          <cell r="K3962">
            <v>1</v>
          </cell>
          <cell r="L3962">
            <v>0</v>
          </cell>
        </row>
        <row r="3963">
          <cell r="A3963" t="str">
            <v>20497.00859</v>
          </cell>
          <cell r="B3963" t="str">
            <v>RESSORT</v>
          </cell>
          <cell r="C3963" t="str">
            <v>ALLWEILER SNFG 1700R42Q-W67-FA4,2 REP 42</v>
          </cell>
          <cell r="D3963" t="str">
            <v>PE</v>
          </cell>
          <cell r="E3963" t="str">
            <v>515.51517</v>
          </cell>
          <cell r="F3963">
            <v>408</v>
          </cell>
          <cell r="G3963">
            <v>0</v>
          </cell>
          <cell r="H3963">
            <v>0</v>
          </cell>
          <cell r="I3963">
            <v>0</v>
          </cell>
          <cell r="J3963">
            <v>0</v>
          </cell>
          <cell r="K3963">
            <v>1</v>
          </cell>
          <cell r="L3963">
            <v>0</v>
          </cell>
        </row>
        <row r="3964">
          <cell r="A3964" t="str">
            <v>20497.00860</v>
          </cell>
          <cell r="B3964" t="str">
            <v>BOUCHON</v>
          </cell>
          <cell r="C3964" t="str">
            <v>ALLWEILER SNFG 1700R42Q-W67-FA4,2 REP 46</v>
          </cell>
          <cell r="D3964" t="str">
            <v>PE</v>
          </cell>
          <cell r="E3964" t="str">
            <v>515.51517</v>
          </cell>
          <cell r="F3964">
            <v>408</v>
          </cell>
          <cell r="G3964">
            <v>0</v>
          </cell>
          <cell r="H3964">
            <v>0</v>
          </cell>
          <cell r="I3964">
            <v>0</v>
          </cell>
          <cell r="J3964">
            <v>0</v>
          </cell>
          <cell r="K3964">
            <v>4</v>
          </cell>
          <cell r="L3964">
            <v>0</v>
          </cell>
        </row>
        <row r="3965">
          <cell r="A3965" t="str">
            <v>20497.00861</v>
          </cell>
          <cell r="B3965" t="str">
            <v>BOUCHON</v>
          </cell>
          <cell r="C3965" t="str">
            <v>ALLWEILER SNFG 1700R42Q-W67-FA4,2 REP 47</v>
          </cell>
          <cell r="D3965" t="str">
            <v>PE</v>
          </cell>
          <cell r="E3965" t="str">
            <v>515.51517</v>
          </cell>
          <cell r="F3965">
            <v>408</v>
          </cell>
          <cell r="G3965">
            <v>0</v>
          </cell>
          <cell r="H3965">
            <v>0</v>
          </cell>
          <cell r="I3965">
            <v>0</v>
          </cell>
          <cell r="J3965">
            <v>0</v>
          </cell>
          <cell r="K3965">
            <v>2</v>
          </cell>
          <cell r="L3965">
            <v>0</v>
          </cell>
        </row>
        <row r="3966">
          <cell r="A3966" t="str">
            <v>20497.00854</v>
          </cell>
          <cell r="B3966" t="str">
            <v>ORING</v>
          </cell>
          <cell r="C3966" t="str">
            <v>ALLWEILER TYPE SNFG 1700 R42Q-W67-FA 4,2 N° SERIE R6019288 REP 23</v>
          </cell>
          <cell r="D3966" t="str">
            <v>PE</v>
          </cell>
          <cell r="E3966" t="str">
            <v>515.51517</v>
          </cell>
          <cell r="F3966">
            <v>528</v>
          </cell>
          <cell r="G3966">
            <v>0</v>
          </cell>
          <cell r="H3966">
            <v>0</v>
          </cell>
          <cell r="I3966">
            <v>0</v>
          </cell>
          <cell r="J3966">
            <v>0</v>
          </cell>
          <cell r="K3966">
            <v>4</v>
          </cell>
          <cell r="L3966">
            <v>0</v>
          </cell>
        </row>
        <row r="3967">
          <cell r="A3967" t="str">
            <v>20497.00855</v>
          </cell>
          <cell r="B3967" t="str">
            <v>JOINT</v>
          </cell>
          <cell r="C3967" t="str">
            <v>ALLWEILER TYPE SNFG 1700 R42Q-W67-FA 4,2 N° SERIE R6019288 REP 24</v>
          </cell>
          <cell r="D3967" t="str">
            <v>PE</v>
          </cell>
          <cell r="E3967" t="str">
            <v>515.51517</v>
          </cell>
          <cell r="F3967">
            <v>876</v>
          </cell>
          <cell r="G3967">
            <v>0</v>
          </cell>
          <cell r="H3967">
            <v>0</v>
          </cell>
          <cell r="I3967">
            <v>0</v>
          </cell>
          <cell r="J3967">
            <v>0</v>
          </cell>
          <cell r="K3967">
            <v>1</v>
          </cell>
          <cell r="L3967">
            <v>0</v>
          </cell>
        </row>
        <row r="3968">
          <cell r="A3968" t="str">
            <v>20497.10453</v>
          </cell>
          <cell r="B3968" t="str">
            <v>JEU DE RONDELLES REP : 797</v>
          </cell>
          <cell r="C3968" t="str">
            <v>MOUVEX TYPE AL O HP PL : 1003.J01 REF 300719.00</v>
          </cell>
          <cell r="D3968" t="str">
            <v>PE</v>
          </cell>
          <cell r="E3968" t="str">
            <v>515.51507</v>
          </cell>
          <cell r="F3968">
            <v>264.27659999999997</v>
          </cell>
          <cell r="G3968">
            <v>0</v>
          </cell>
          <cell r="H3968">
            <v>0</v>
          </cell>
          <cell r="I3968">
            <v>0</v>
          </cell>
          <cell r="J3968">
            <v>0</v>
          </cell>
          <cell r="K3968">
            <v>0</v>
          </cell>
          <cell r="L3968">
            <v>3</v>
          </cell>
        </row>
        <row r="3969">
          <cell r="A3969" t="str">
            <v>20497.00856</v>
          </cell>
          <cell r="B3969" t="str">
            <v>JOINT</v>
          </cell>
          <cell r="C3969" t="str">
            <v>ALLWEILER TYPE SNFG 1700 R42Q-W67-FA 4,2 N° SERIE R6019288 REP 25</v>
          </cell>
          <cell r="D3969" t="str">
            <v>PE</v>
          </cell>
          <cell r="E3969" t="str">
            <v>515.51517</v>
          </cell>
          <cell r="F3969">
            <v>408</v>
          </cell>
          <cell r="G3969">
            <v>0</v>
          </cell>
          <cell r="H3969">
            <v>0</v>
          </cell>
          <cell r="I3969">
            <v>0</v>
          </cell>
          <cell r="J3969">
            <v>0</v>
          </cell>
          <cell r="K3969">
            <v>4</v>
          </cell>
          <cell r="L3969">
            <v>0</v>
          </cell>
        </row>
        <row r="3970">
          <cell r="A3970" t="str">
            <v>20497.10454</v>
          </cell>
          <cell r="B3970" t="str">
            <v>JEU DE JOINTS DE BYPASS REP : 899</v>
          </cell>
          <cell r="C3970" t="str">
            <v>MOUVEX TYPE AL O HP PL : 1003.J01 REF 300664.00</v>
          </cell>
          <cell r="D3970" t="str">
            <v>PE</v>
          </cell>
          <cell r="E3970" t="str">
            <v>515.51507</v>
          </cell>
          <cell r="F3970">
            <v>270.16640000000001</v>
          </cell>
          <cell r="G3970">
            <v>0</v>
          </cell>
          <cell r="H3970">
            <v>0</v>
          </cell>
          <cell r="I3970">
            <v>0</v>
          </cell>
          <cell r="J3970">
            <v>0</v>
          </cell>
          <cell r="K3970">
            <v>0</v>
          </cell>
          <cell r="L3970">
            <v>2</v>
          </cell>
        </row>
        <row r="3971">
          <cell r="A3971" t="str">
            <v>20497.00857</v>
          </cell>
          <cell r="B3971" t="str">
            <v>JOINT</v>
          </cell>
          <cell r="C3971" t="str">
            <v>ALLWEILER TYPE SNFG 1700 R42Q-W67-FA 4,2 N° SERIE R6019288 REP 26</v>
          </cell>
          <cell r="D3971" t="str">
            <v>PE</v>
          </cell>
          <cell r="E3971" t="str">
            <v>515.51517</v>
          </cell>
          <cell r="F3971">
            <v>408</v>
          </cell>
          <cell r="G3971">
            <v>0</v>
          </cell>
          <cell r="H3971">
            <v>0</v>
          </cell>
          <cell r="I3971">
            <v>0</v>
          </cell>
          <cell r="J3971">
            <v>0</v>
          </cell>
          <cell r="K3971">
            <v>2</v>
          </cell>
          <cell r="L3971">
            <v>0</v>
          </cell>
        </row>
        <row r="3972">
          <cell r="A3972" t="str">
            <v>20497.00886</v>
          </cell>
          <cell r="B3972" t="str">
            <v>CORPS DE PALIER</v>
          </cell>
          <cell r="C3972" t="str">
            <v>SULZER WPP-53-100/APP 55-300 REF 1419990152 PLAN 612974/286265-910505-384695 REP 330 SERIE 100017292/100017291</v>
          </cell>
          <cell r="D3972" t="str">
            <v>PE</v>
          </cell>
          <cell r="E3972" t="str">
            <v>515.51505</v>
          </cell>
          <cell r="F3972">
            <v>20537.830699999999</v>
          </cell>
          <cell r="G3972">
            <v>0</v>
          </cell>
          <cell r="H3972">
            <v>0</v>
          </cell>
          <cell r="I3972">
            <v>0</v>
          </cell>
          <cell r="J3972">
            <v>0</v>
          </cell>
          <cell r="K3972">
            <v>0</v>
          </cell>
          <cell r="L3972">
            <v>1</v>
          </cell>
        </row>
        <row r="3973">
          <cell r="A3973" t="str">
            <v>20497.00840</v>
          </cell>
          <cell r="B3973" t="str">
            <v>DEMI ACCOUPLEMENT</v>
          </cell>
          <cell r="C3973" t="str">
            <v>ALLWEILER TYPE SNDA T1 700 ER42-225M-T860 31B FC REP 116</v>
          </cell>
          <cell r="D3973" t="str">
            <v>PE</v>
          </cell>
          <cell r="E3973" t="str">
            <v>515.51517</v>
          </cell>
          <cell r="F3973">
            <v>4020</v>
          </cell>
          <cell r="G3973">
            <v>0</v>
          </cell>
          <cell r="H3973">
            <v>0</v>
          </cell>
          <cell r="I3973">
            <v>0</v>
          </cell>
          <cell r="J3973">
            <v>0</v>
          </cell>
          <cell r="K3973">
            <v>1</v>
          </cell>
          <cell r="L3973">
            <v>0</v>
          </cell>
        </row>
        <row r="3974">
          <cell r="A3974" t="str">
            <v>20498.20814</v>
          </cell>
          <cell r="B3974" t="str">
            <v xml:space="preserve">DETENDEUR </v>
          </cell>
          <cell r="C3974" t="str">
            <v>YOUNG TECH CO MODELE YT-200</v>
          </cell>
          <cell r="D3974" t="str">
            <v>PE</v>
          </cell>
          <cell r="E3974" t="str">
            <v>512.51201</v>
          </cell>
          <cell r="F3974">
            <v>530.1902</v>
          </cell>
          <cell r="G3974">
            <v>0</v>
          </cell>
          <cell r="H3974">
            <v>0</v>
          </cell>
          <cell r="I3974">
            <v>1</v>
          </cell>
          <cell r="J3974">
            <v>0</v>
          </cell>
          <cell r="K3974">
            <v>0</v>
          </cell>
          <cell r="L3974">
            <v>0</v>
          </cell>
        </row>
        <row r="3975">
          <cell r="A3975" t="str">
            <v>20497.00841</v>
          </cell>
          <cell r="B3975" t="str">
            <v>JOINT</v>
          </cell>
          <cell r="C3975" t="str">
            <v>ALLWEILER TYPE SNDA T1 700 ER42-225M-T860 31B FC REP 137</v>
          </cell>
          <cell r="D3975" t="str">
            <v>PE</v>
          </cell>
          <cell r="E3975" t="str">
            <v>515.51517</v>
          </cell>
          <cell r="F3975">
            <v>528</v>
          </cell>
          <cell r="G3975">
            <v>0</v>
          </cell>
          <cell r="H3975">
            <v>0</v>
          </cell>
          <cell r="I3975">
            <v>0</v>
          </cell>
          <cell r="J3975">
            <v>0</v>
          </cell>
          <cell r="K3975">
            <v>2</v>
          </cell>
          <cell r="L3975">
            <v>0</v>
          </cell>
        </row>
        <row r="3976">
          <cell r="A3976" t="str">
            <v>20498.20815</v>
          </cell>
          <cell r="B3976" t="str">
            <v xml:space="preserve">DETENDEUR </v>
          </cell>
          <cell r="C3976" t="str">
            <v>YOUNG TECH CO MODELE YT-205</v>
          </cell>
          <cell r="D3976" t="str">
            <v>PE</v>
          </cell>
          <cell r="E3976" t="str">
            <v>512.51201</v>
          </cell>
          <cell r="F3976">
            <v>2339.0745999999999</v>
          </cell>
          <cell r="G3976">
            <v>0</v>
          </cell>
          <cell r="H3976">
            <v>0</v>
          </cell>
          <cell r="I3976">
            <v>0</v>
          </cell>
          <cell r="J3976">
            <v>0</v>
          </cell>
          <cell r="K3976">
            <v>0</v>
          </cell>
          <cell r="L3976">
            <v>2</v>
          </cell>
        </row>
        <row r="3977">
          <cell r="A3977" t="str">
            <v>20497.00842</v>
          </cell>
          <cell r="B3977" t="str">
            <v>JOINT</v>
          </cell>
          <cell r="C3977" t="str">
            <v>ALLWEILER TYPE SNDA T1 700 ER42-225M-T860 31B FC REP 140</v>
          </cell>
          <cell r="D3977" t="str">
            <v>PE</v>
          </cell>
          <cell r="E3977" t="str">
            <v>515.51517</v>
          </cell>
          <cell r="F3977">
            <v>528</v>
          </cell>
          <cell r="G3977">
            <v>0</v>
          </cell>
          <cell r="H3977">
            <v>0</v>
          </cell>
          <cell r="I3977">
            <v>0</v>
          </cell>
          <cell r="J3977">
            <v>0</v>
          </cell>
          <cell r="K3977">
            <v>1</v>
          </cell>
          <cell r="L3977">
            <v>0</v>
          </cell>
        </row>
        <row r="3978">
          <cell r="A3978" t="str">
            <v>20497.00843</v>
          </cell>
          <cell r="B3978" t="str">
            <v>PALIER LISSE</v>
          </cell>
          <cell r="C3978" t="str">
            <v>ALLWEILER TYPE SNDA T1 700 ER42-225M-T860 31B FC REP 8</v>
          </cell>
          <cell r="D3978" t="str">
            <v>PE</v>
          </cell>
          <cell r="E3978" t="str">
            <v>515.51517</v>
          </cell>
          <cell r="F3978">
            <v>8376</v>
          </cell>
          <cell r="G3978">
            <v>0</v>
          </cell>
          <cell r="H3978">
            <v>0</v>
          </cell>
          <cell r="I3978">
            <v>0</v>
          </cell>
          <cell r="J3978">
            <v>0</v>
          </cell>
          <cell r="K3978">
            <v>2</v>
          </cell>
          <cell r="L3978">
            <v>0</v>
          </cell>
        </row>
        <row r="3979">
          <cell r="A3979" t="str">
            <v>20497.00836</v>
          </cell>
          <cell r="B3979" t="str">
            <v>CIRCLIPS</v>
          </cell>
          <cell r="C3979" t="str">
            <v>ALLWEILER TYPE VFKF-ABB 280 R43-132M-T-860-31 REP 250</v>
          </cell>
          <cell r="D3979" t="str">
            <v>PE</v>
          </cell>
          <cell r="E3979" t="str">
            <v>515.51517</v>
          </cell>
          <cell r="F3979">
            <v>204</v>
          </cell>
          <cell r="G3979">
            <v>0</v>
          </cell>
          <cell r="H3979">
            <v>0</v>
          </cell>
          <cell r="I3979">
            <v>0</v>
          </cell>
          <cell r="J3979">
            <v>0</v>
          </cell>
          <cell r="K3979">
            <v>1</v>
          </cell>
          <cell r="L3979">
            <v>0</v>
          </cell>
        </row>
        <row r="3980">
          <cell r="A3980" t="str">
            <v>20497.00837</v>
          </cell>
          <cell r="B3980" t="str">
            <v>ROULEMENT</v>
          </cell>
          <cell r="C3980" t="str">
            <v>ALLWEILER TYPE VFKF-ABB 280 R43-132M-T-860-31 REP  292</v>
          </cell>
          <cell r="D3980" t="str">
            <v>PE</v>
          </cell>
          <cell r="E3980" t="str">
            <v>515.51517</v>
          </cell>
          <cell r="F3980">
            <v>3984</v>
          </cell>
          <cell r="G3980">
            <v>0</v>
          </cell>
          <cell r="H3980">
            <v>0</v>
          </cell>
          <cell r="I3980">
            <v>0</v>
          </cell>
          <cell r="J3980">
            <v>0</v>
          </cell>
          <cell r="K3980">
            <v>2</v>
          </cell>
          <cell r="L3980">
            <v>0</v>
          </cell>
        </row>
        <row r="3981">
          <cell r="A3981" t="str">
            <v>20497.00838</v>
          </cell>
          <cell r="B3981" t="str">
            <v>JOINT</v>
          </cell>
          <cell r="C3981" t="str">
            <v>ALLWEILER TYPE SNDA T1 700 ER42-225M-T860 31B FC REP 101</v>
          </cell>
          <cell r="D3981" t="str">
            <v>PE</v>
          </cell>
          <cell r="E3981" t="str">
            <v>515.51517</v>
          </cell>
          <cell r="F3981">
            <v>3864</v>
          </cell>
          <cell r="G3981">
            <v>0</v>
          </cell>
          <cell r="H3981">
            <v>0</v>
          </cell>
          <cell r="I3981">
            <v>0</v>
          </cell>
          <cell r="J3981">
            <v>0</v>
          </cell>
          <cell r="K3981">
            <v>1</v>
          </cell>
          <cell r="L3981">
            <v>0</v>
          </cell>
        </row>
        <row r="3982">
          <cell r="A3982" t="str">
            <v>20497.00839</v>
          </cell>
          <cell r="B3982" t="str">
            <v>DEMI ACCOUPLEMENT</v>
          </cell>
          <cell r="C3982" t="str">
            <v>ALLWEILER TYPE SNDA T1 700 ER42-225M-T860 31B FC REP 115</v>
          </cell>
          <cell r="D3982" t="str">
            <v>PE</v>
          </cell>
          <cell r="E3982" t="str">
            <v>515.51517</v>
          </cell>
          <cell r="F3982">
            <v>3984</v>
          </cell>
          <cell r="G3982">
            <v>0</v>
          </cell>
          <cell r="H3982">
            <v>0</v>
          </cell>
          <cell r="I3982">
            <v>0</v>
          </cell>
          <cell r="J3982">
            <v>0</v>
          </cell>
          <cell r="K3982">
            <v>1</v>
          </cell>
          <cell r="L3982">
            <v>0</v>
          </cell>
        </row>
        <row r="3983">
          <cell r="A3983" t="str">
            <v>20497.00845</v>
          </cell>
          <cell r="B3983" t="str">
            <v>JOINT</v>
          </cell>
          <cell r="C3983" t="str">
            <v>ALLWEILER TYPE SNDA T1 700 ER42-225M-T860 31B FC REP 21</v>
          </cell>
          <cell r="D3983" t="str">
            <v>PE</v>
          </cell>
          <cell r="E3983" t="str">
            <v>515.51517</v>
          </cell>
          <cell r="F3983">
            <v>1440</v>
          </cell>
          <cell r="G3983">
            <v>0</v>
          </cell>
          <cell r="H3983">
            <v>0</v>
          </cell>
          <cell r="I3983">
            <v>0</v>
          </cell>
          <cell r="J3983">
            <v>0</v>
          </cell>
          <cell r="K3983">
            <v>1</v>
          </cell>
          <cell r="L3983">
            <v>0</v>
          </cell>
        </row>
        <row r="3984">
          <cell r="A3984" t="str">
            <v>20497.00846</v>
          </cell>
          <cell r="B3984" t="str">
            <v>JOINT</v>
          </cell>
          <cell r="C3984" t="str">
            <v>ALLWEILER TYPE SNDA T1 700 ER42-225M-T860 31B FC REP 22</v>
          </cell>
          <cell r="D3984" t="str">
            <v>PE</v>
          </cell>
          <cell r="E3984" t="str">
            <v>515.51517</v>
          </cell>
          <cell r="F3984">
            <v>1956</v>
          </cell>
          <cell r="G3984">
            <v>0</v>
          </cell>
          <cell r="H3984">
            <v>0</v>
          </cell>
          <cell r="I3984">
            <v>0</v>
          </cell>
          <cell r="J3984">
            <v>0</v>
          </cell>
          <cell r="K3984">
            <v>1</v>
          </cell>
          <cell r="L3984">
            <v>0</v>
          </cell>
        </row>
        <row r="3985">
          <cell r="A3985" t="str">
            <v>20497.00847</v>
          </cell>
          <cell r="B3985" t="str">
            <v>JOINT</v>
          </cell>
          <cell r="C3985" t="str">
            <v>ALLWEILER TYPE SNDA T1 700 ER42-225M-T860 31B FC REP 24</v>
          </cell>
          <cell r="D3985" t="str">
            <v>PE</v>
          </cell>
          <cell r="E3985" t="str">
            <v>515.51517</v>
          </cell>
          <cell r="F3985">
            <v>876</v>
          </cell>
          <cell r="G3985">
            <v>0</v>
          </cell>
          <cell r="H3985">
            <v>0</v>
          </cell>
          <cell r="I3985">
            <v>0</v>
          </cell>
          <cell r="J3985">
            <v>0</v>
          </cell>
          <cell r="K3985">
            <v>1</v>
          </cell>
          <cell r="L3985">
            <v>0</v>
          </cell>
        </row>
        <row r="3986">
          <cell r="A3986" t="str">
            <v>20497.00848</v>
          </cell>
          <cell r="B3986" t="str">
            <v>JOINT</v>
          </cell>
          <cell r="C3986" t="str">
            <v>ALLWEILER TYPE SNDA T1 700 ER42-225M-T860 31B FC REP 27</v>
          </cell>
          <cell r="D3986" t="str">
            <v>PE</v>
          </cell>
          <cell r="E3986" t="str">
            <v>515.51517</v>
          </cell>
          <cell r="F3986">
            <v>408</v>
          </cell>
          <cell r="G3986">
            <v>0</v>
          </cell>
          <cell r="H3986">
            <v>0</v>
          </cell>
          <cell r="I3986">
            <v>0</v>
          </cell>
          <cell r="J3986">
            <v>0</v>
          </cell>
          <cell r="K3986">
            <v>1</v>
          </cell>
          <cell r="L3986">
            <v>0</v>
          </cell>
        </row>
        <row r="3987">
          <cell r="A3987" t="str">
            <v>20497.00849</v>
          </cell>
          <cell r="B3987" t="str">
            <v>JOINT</v>
          </cell>
          <cell r="C3987" t="str">
            <v>ALLWEILER TYPE SNDA T1 700 ER42-225M-T860 31B FC REP 28</v>
          </cell>
          <cell r="D3987" t="str">
            <v>PE</v>
          </cell>
          <cell r="E3987" t="str">
            <v>515.51517</v>
          </cell>
          <cell r="F3987">
            <v>408</v>
          </cell>
          <cell r="G3987">
            <v>0</v>
          </cell>
          <cell r="H3987">
            <v>0</v>
          </cell>
          <cell r="I3987">
            <v>0</v>
          </cell>
          <cell r="J3987">
            <v>0</v>
          </cell>
          <cell r="K3987">
            <v>1</v>
          </cell>
          <cell r="L3987">
            <v>0</v>
          </cell>
        </row>
        <row r="3988">
          <cell r="A3988" t="str">
            <v>20497.10842</v>
          </cell>
          <cell r="B3988" t="str">
            <v>JEU DE GRAISSEUR</v>
          </cell>
          <cell r="C3988" t="str">
            <v>MILTON ROY MIXING TYPE G5,220-110/53,6 PLAN 17237-5 REP2250/2500</v>
          </cell>
          <cell r="D3988" t="str">
            <v>PE</v>
          </cell>
          <cell r="E3988" t="str">
            <v>515.51514</v>
          </cell>
          <cell r="F3988">
            <v>105.342</v>
          </cell>
          <cell r="G3988">
            <v>0</v>
          </cell>
          <cell r="H3988">
            <v>0</v>
          </cell>
          <cell r="I3988">
            <v>0</v>
          </cell>
          <cell r="J3988">
            <v>0</v>
          </cell>
          <cell r="K3988">
            <v>1</v>
          </cell>
          <cell r="L3988">
            <v>2</v>
          </cell>
        </row>
        <row r="3989">
          <cell r="A3989" t="str">
            <v>20497.00850</v>
          </cell>
          <cell r="B3989" t="str">
            <v>ROULEMENT</v>
          </cell>
          <cell r="C3989" t="str">
            <v>ALLWEILER TYPE SNDA T1 700 ER42-225M-T860 31B FC REP 34</v>
          </cell>
          <cell r="D3989" t="str">
            <v>PE</v>
          </cell>
          <cell r="E3989" t="str">
            <v>515.51517</v>
          </cell>
          <cell r="F3989">
            <v>3984</v>
          </cell>
          <cell r="G3989">
            <v>0</v>
          </cell>
          <cell r="H3989">
            <v>0</v>
          </cell>
          <cell r="I3989">
            <v>0</v>
          </cell>
          <cell r="J3989">
            <v>0</v>
          </cell>
          <cell r="K3989">
            <v>1</v>
          </cell>
          <cell r="L3989">
            <v>0</v>
          </cell>
        </row>
        <row r="3990">
          <cell r="A3990" t="str">
            <v>20497.00851</v>
          </cell>
          <cell r="B3990" t="str">
            <v>PALIER LISSE</v>
          </cell>
          <cell r="C3990" t="str">
            <v>ALLWEILER TYPE SNFG 1700 R42Q-W67-FA 4,2 N° SERIE R6019288 REP 8</v>
          </cell>
          <cell r="D3990" t="str">
            <v>PE</v>
          </cell>
          <cell r="E3990" t="str">
            <v>515.51517</v>
          </cell>
          <cell r="F3990">
            <v>10716</v>
          </cell>
          <cell r="G3990">
            <v>0</v>
          </cell>
          <cell r="H3990">
            <v>0</v>
          </cell>
          <cell r="I3990">
            <v>0</v>
          </cell>
          <cell r="J3990">
            <v>0</v>
          </cell>
          <cell r="K3990">
            <v>2</v>
          </cell>
          <cell r="L3990">
            <v>0</v>
          </cell>
        </row>
        <row r="3991">
          <cell r="A3991" t="str">
            <v>20497.10847</v>
          </cell>
          <cell r="B3991" t="str">
            <v>COUVERCLE SUPERIEUR DE PALIER BUTE</v>
          </cell>
          <cell r="C3991" t="str">
            <v>MILTON ROY MIXING TYPE G5,220-110/53,6 PLAN 17237-5 REP2420</v>
          </cell>
          <cell r="D3991" t="str">
            <v>PE</v>
          </cell>
          <cell r="E3991" t="str">
            <v>515.51514</v>
          </cell>
          <cell r="F3991">
            <v>16285.770200000001</v>
          </cell>
          <cell r="G3991">
            <v>0</v>
          </cell>
          <cell r="H3991">
            <v>0</v>
          </cell>
          <cell r="I3991">
            <v>0</v>
          </cell>
          <cell r="J3991">
            <v>0</v>
          </cell>
          <cell r="K3991">
            <v>0</v>
          </cell>
          <cell r="L3991">
            <v>2</v>
          </cell>
        </row>
        <row r="3992">
          <cell r="A3992" t="str">
            <v>20497.00852</v>
          </cell>
          <cell r="B3992" t="str">
            <v>JOINT</v>
          </cell>
          <cell r="C3992" t="str">
            <v>ALLWEILER TYPE SNFG 1700 R42Q-W67-FA 4,2 N° SERIE R6019288 REP 17</v>
          </cell>
          <cell r="D3992" t="str">
            <v>PE</v>
          </cell>
          <cell r="E3992" t="str">
            <v>515.51517</v>
          </cell>
          <cell r="F3992">
            <v>1956</v>
          </cell>
          <cell r="G3992">
            <v>0</v>
          </cell>
          <cell r="H3992">
            <v>0</v>
          </cell>
          <cell r="I3992">
            <v>0</v>
          </cell>
          <cell r="J3992">
            <v>0</v>
          </cell>
          <cell r="K3992">
            <v>1</v>
          </cell>
          <cell r="L3992">
            <v>0</v>
          </cell>
        </row>
        <row r="3993">
          <cell r="A3993" t="str">
            <v>20497.00853</v>
          </cell>
          <cell r="B3993" t="str">
            <v>JOINT</v>
          </cell>
          <cell r="C3993" t="str">
            <v>ALLWEILER TYPE SNFG 1700 R42Q-W67-FA 4,2 N° SERIE R6019288 REP 21</v>
          </cell>
          <cell r="D3993" t="str">
            <v>PE</v>
          </cell>
          <cell r="E3993" t="str">
            <v>515.51517</v>
          </cell>
          <cell r="F3993">
            <v>1596</v>
          </cell>
          <cell r="G3993">
            <v>0</v>
          </cell>
          <cell r="H3993">
            <v>0</v>
          </cell>
          <cell r="I3993">
            <v>0</v>
          </cell>
          <cell r="J3993">
            <v>0</v>
          </cell>
          <cell r="K3993">
            <v>1</v>
          </cell>
          <cell r="L3993">
            <v>0</v>
          </cell>
        </row>
        <row r="3994">
          <cell r="A3994" t="str">
            <v>20498.21202</v>
          </cell>
          <cell r="B3994" t="str">
            <v>CROIX 6MM DOUBLE BAGUES INOX</v>
          </cell>
          <cell r="C3994" t="str">
            <v>SAGANA, REF : CSI 6</v>
          </cell>
          <cell r="D3994" t="str">
            <v>PE</v>
          </cell>
          <cell r="E3994" t="str">
            <v>515.51511</v>
          </cell>
          <cell r="F3994">
            <v>352</v>
          </cell>
          <cell r="G3994">
            <v>0</v>
          </cell>
          <cell r="H3994">
            <v>0</v>
          </cell>
          <cell r="I3994">
            <v>0</v>
          </cell>
          <cell r="J3994">
            <v>0</v>
          </cell>
          <cell r="K3994">
            <v>20</v>
          </cell>
          <cell r="L3994">
            <v>0</v>
          </cell>
        </row>
        <row r="3995">
          <cell r="A3995" t="str">
            <v>20497.10301</v>
          </cell>
          <cell r="B3995" t="str">
            <v>CHEMISE DE DISTANCE</v>
          </cell>
          <cell r="C3995" t="str">
            <v>MC 50-220/12S  REF:000000104097289001 PLAN: N°:F/1S.4330.220-X REP: 525-02</v>
          </cell>
          <cell r="D3995" t="str">
            <v>PE</v>
          </cell>
          <cell r="E3995" t="str">
            <v>515.51505</v>
          </cell>
          <cell r="F3995">
            <v>12169.3838</v>
          </cell>
          <cell r="G3995">
            <v>0</v>
          </cell>
          <cell r="H3995">
            <v>0</v>
          </cell>
          <cell r="I3995">
            <v>0</v>
          </cell>
          <cell r="J3995">
            <v>0</v>
          </cell>
          <cell r="K3995">
            <v>0</v>
          </cell>
          <cell r="L3995">
            <v>1</v>
          </cell>
        </row>
        <row r="3996">
          <cell r="A3996" t="str">
            <v>20498.21203</v>
          </cell>
          <cell r="B3996" t="str">
            <v>CROIX 10MM DOUBLE BAGUES INOX</v>
          </cell>
          <cell r="C3996" t="str">
            <v>SAGANA, REF : CSI 10</v>
          </cell>
          <cell r="D3996" t="str">
            <v>PE</v>
          </cell>
          <cell r="E3996" t="str">
            <v>515.51511</v>
          </cell>
          <cell r="F3996">
            <v>445</v>
          </cell>
          <cell r="G3996">
            <v>0</v>
          </cell>
          <cell r="H3996">
            <v>0</v>
          </cell>
          <cell r="I3996">
            <v>0</v>
          </cell>
          <cell r="J3996">
            <v>0</v>
          </cell>
          <cell r="K3996">
            <v>0</v>
          </cell>
          <cell r="L3996">
            <v>0</v>
          </cell>
        </row>
        <row r="3997">
          <cell r="A3997" t="str">
            <v>20498.21204</v>
          </cell>
          <cell r="B3997" t="str">
            <v>CROIX 12MM DOUBLE BAGUES INOX</v>
          </cell>
          <cell r="C3997" t="str">
            <v>SAGANA, REF : CSI 12</v>
          </cell>
          <cell r="D3997" t="str">
            <v>PE</v>
          </cell>
          <cell r="E3997" t="str">
            <v>515.51511</v>
          </cell>
          <cell r="F3997">
            <v>504</v>
          </cell>
          <cell r="G3997">
            <v>0</v>
          </cell>
          <cell r="H3997">
            <v>0</v>
          </cell>
          <cell r="I3997">
            <v>0</v>
          </cell>
          <cell r="J3997">
            <v>0</v>
          </cell>
          <cell r="K3997">
            <v>0</v>
          </cell>
          <cell r="L3997">
            <v>0</v>
          </cell>
        </row>
        <row r="3998">
          <cell r="A3998" t="str">
            <v>20497.10303</v>
          </cell>
          <cell r="B3998" t="str">
            <v>PISTON D'EQUILIBRAGE</v>
          </cell>
          <cell r="C3998" t="str">
            <v>MC 50-220/12S  REF:000000204645635006 PLAN: N°:F/1S.4330.220-X REP: 603-01</v>
          </cell>
          <cell r="D3998" t="str">
            <v>PE</v>
          </cell>
          <cell r="E3998" t="str">
            <v>515.51505</v>
          </cell>
          <cell r="F3998">
            <v>53571.013899999998</v>
          </cell>
          <cell r="G3998">
            <v>0</v>
          </cell>
          <cell r="H3998">
            <v>0</v>
          </cell>
          <cell r="I3998">
            <v>0</v>
          </cell>
          <cell r="J3998">
            <v>0</v>
          </cell>
          <cell r="K3998">
            <v>0</v>
          </cell>
          <cell r="L3998">
            <v>1</v>
          </cell>
        </row>
        <row r="3999">
          <cell r="A3999" t="str">
            <v>20498.21205</v>
          </cell>
          <cell r="B3999" t="str">
            <v>UNION DE REDUCTION 12MM X 6MM DOUBLE BAGUES INOX</v>
          </cell>
          <cell r="C3999" t="str">
            <v>SAGANA, REF : URSI 12 6</v>
          </cell>
          <cell r="D3999" t="str">
            <v>PE</v>
          </cell>
          <cell r="E3999" t="str">
            <v>515.51511</v>
          </cell>
          <cell r="F3999">
            <v>212</v>
          </cell>
          <cell r="G3999">
            <v>0</v>
          </cell>
          <cell r="H3999">
            <v>0</v>
          </cell>
          <cell r="I3999">
            <v>0</v>
          </cell>
          <cell r="J3999">
            <v>0</v>
          </cell>
          <cell r="K3999">
            <v>0</v>
          </cell>
          <cell r="L3999">
            <v>0</v>
          </cell>
        </row>
        <row r="4000">
          <cell r="A4000" t="str">
            <v>20497.10849</v>
          </cell>
          <cell r="B4000" t="str">
            <v>JEU DE VISSERIE</v>
          </cell>
          <cell r="C4000" t="str">
            <v>MILTON ROY MIXING TYPE G5,220-110/53,6 PLAN 17237-5 REP2440/2450</v>
          </cell>
          <cell r="D4000" t="str">
            <v>PE</v>
          </cell>
          <cell r="E4000" t="str">
            <v>515.51514</v>
          </cell>
          <cell r="F4000">
            <v>72.906400000000005</v>
          </cell>
          <cell r="G4000">
            <v>0</v>
          </cell>
          <cell r="H4000">
            <v>0</v>
          </cell>
          <cell r="I4000">
            <v>0</v>
          </cell>
          <cell r="J4000">
            <v>0</v>
          </cell>
          <cell r="K4000">
            <v>0</v>
          </cell>
          <cell r="L4000">
            <v>5</v>
          </cell>
        </row>
        <row r="4001">
          <cell r="A4001" t="str">
            <v>20497.10908</v>
          </cell>
          <cell r="B4001" t="str">
            <v>JEU DE JOINT</v>
          </cell>
          <cell r="C4001" t="str">
            <v>MILTON ROY MIXING TYPE G5,220-110/53,6 PLAN 17237-5 REP2100/2190/2300/2410</v>
          </cell>
          <cell r="D4001" t="str">
            <v>PE</v>
          </cell>
          <cell r="E4001" t="str">
            <v>515.51514</v>
          </cell>
          <cell r="F4001">
            <v>2159.511</v>
          </cell>
          <cell r="G4001">
            <v>0</v>
          </cell>
          <cell r="H4001">
            <v>0</v>
          </cell>
          <cell r="I4001">
            <v>1</v>
          </cell>
          <cell r="J4001">
            <v>0</v>
          </cell>
          <cell r="K4001">
            <v>0</v>
          </cell>
          <cell r="L4001">
            <v>1</v>
          </cell>
        </row>
        <row r="4002">
          <cell r="A4002" t="str">
            <v>20497.10909</v>
          </cell>
          <cell r="B4002" t="str">
            <v>SOUPAPE DE COMPRESSION</v>
          </cell>
          <cell r="C4002" t="str">
            <v>MILTON ROY MIXING TYPE G5,220-90/53,6 PLAN 17238-5 REP2110</v>
          </cell>
          <cell r="D4002" t="str">
            <v>PE</v>
          </cell>
          <cell r="E4002" t="str">
            <v>515.51514</v>
          </cell>
          <cell r="F4002">
            <v>53.686199999999999</v>
          </cell>
          <cell r="G4002">
            <v>0</v>
          </cell>
          <cell r="H4002">
            <v>0</v>
          </cell>
          <cell r="I4002">
            <v>5</v>
          </cell>
          <cell r="J4002">
            <v>0</v>
          </cell>
          <cell r="K4002">
            <v>0</v>
          </cell>
          <cell r="L4002">
            <v>0</v>
          </cell>
        </row>
        <row r="4003">
          <cell r="A4003" t="str">
            <v>20498.21311</v>
          </cell>
          <cell r="B4003" t="str">
            <v>BOITIER DE FIN DE COURSE CONTACT  SECS</v>
          </cell>
          <cell r="C4003" t="str">
            <v>BAMO  BE 41-210003</v>
          </cell>
          <cell r="D4003" t="str">
            <v>PE</v>
          </cell>
          <cell r="E4003" t="str">
            <v>512.51201</v>
          </cell>
          <cell r="F4003">
            <v>826.5548</v>
          </cell>
          <cell r="G4003">
            <v>0</v>
          </cell>
          <cell r="H4003">
            <v>0</v>
          </cell>
          <cell r="I4003">
            <v>0</v>
          </cell>
          <cell r="J4003">
            <v>0</v>
          </cell>
          <cell r="K4003">
            <v>0</v>
          </cell>
          <cell r="L4003">
            <v>0</v>
          </cell>
        </row>
        <row r="4004">
          <cell r="A4004" t="str">
            <v>20498.21312</v>
          </cell>
          <cell r="B4004" t="str">
            <v>COMMANDE MANUELLE 1/4 DE TOUR+BOITIER FIN DE COURSE +INDICATEUR DE POSITION STANDARD</v>
          </cell>
          <cell r="C4004" t="str">
            <v>KINETROL  K167+K122+K124</v>
          </cell>
          <cell r="D4004" t="str">
            <v>PE</v>
          </cell>
          <cell r="E4004" t="str">
            <v>512.51201</v>
          </cell>
          <cell r="F4004">
            <v>3280.3397</v>
          </cell>
          <cell r="G4004">
            <v>0</v>
          </cell>
          <cell r="H4004">
            <v>0</v>
          </cell>
          <cell r="I4004">
            <v>0</v>
          </cell>
          <cell r="J4004">
            <v>0</v>
          </cell>
          <cell r="K4004">
            <v>0</v>
          </cell>
          <cell r="L4004">
            <v>0</v>
          </cell>
        </row>
        <row r="4005">
          <cell r="A4005" t="str">
            <v>20498.21313</v>
          </cell>
          <cell r="B4005" t="str">
            <v>MICRO-CONTACT</v>
          </cell>
          <cell r="C4005" t="str">
            <v>KINETROL  K009</v>
          </cell>
          <cell r="D4005" t="str">
            <v>PE</v>
          </cell>
          <cell r="E4005" t="str">
            <v>512.51201</v>
          </cell>
          <cell r="F4005">
            <v>173.76140000000001</v>
          </cell>
          <cell r="G4005">
            <v>0</v>
          </cell>
          <cell r="H4005">
            <v>0</v>
          </cell>
          <cell r="I4005">
            <v>0</v>
          </cell>
          <cell r="J4005">
            <v>0</v>
          </cell>
          <cell r="K4005">
            <v>0</v>
          </cell>
          <cell r="L4005">
            <v>0</v>
          </cell>
        </row>
        <row r="4006">
          <cell r="A4006" t="str">
            <v>20497.10317</v>
          </cell>
          <cell r="B4006" t="str">
            <v>BAGUE D'USURE DU STATOR</v>
          </cell>
          <cell r="C4006" t="str">
            <v>MC 50-220/12S   REF:000000104083974014 PLAN: N°:F/1S.4330.220-X REP: 502-01</v>
          </cell>
          <cell r="D4006" t="str">
            <v>PE</v>
          </cell>
          <cell r="E4006" t="str">
            <v>515.51505</v>
          </cell>
          <cell r="F4006">
            <v>11528.8899</v>
          </cell>
          <cell r="G4006">
            <v>0</v>
          </cell>
          <cell r="H4006">
            <v>0</v>
          </cell>
          <cell r="I4006">
            <v>0</v>
          </cell>
          <cell r="J4006">
            <v>0</v>
          </cell>
          <cell r="K4006">
            <v>0</v>
          </cell>
          <cell r="L4006">
            <v>11</v>
          </cell>
        </row>
        <row r="4007">
          <cell r="A4007" t="str">
            <v>20497.10318</v>
          </cell>
          <cell r="B4007" t="str">
            <v>BAGUE D'USURE DU STATOR</v>
          </cell>
          <cell r="C4007" t="str">
            <v>MC 50-220/12S  REF:000000204644286008  PLAN: N°:F/1S.4330.220-X REP: 502-04</v>
          </cell>
          <cell r="D4007" t="str">
            <v>PE</v>
          </cell>
          <cell r="E4007" t="str">
            <v>515.51505</v>
          </cell>
          <cell r="F4007">
            <v>11622.0527</v>
          </cell>
          <cell r="G4007">
            <v>0</v>
          </cell>
          <cell r="H4007">
            <v>0</v>
          </cell>
          <cell r="I4007">
            <v>0</v>
          </cell>
          <cell r="J4007">
            <v>0</v>
          </cell>
          <cell r="K4007">
            <v>0</v>
          </cell>
          <cell r="L4007">
            <v>1</v>
          </cell>
        </row>
        <row r="4008">
          <cell r="A4008" t="str">
            <v>20497.11337</v>
          </cell>
          <cell r="B4008" t="str">
            <v>PLAQUE DE FIXATION</v>
          </cell>
          <cell r="C4008" t="str">
            <v>WARMAN E4081-E62</v>
          </cell>
          <cell r="D4008" t="str">
            <v>PE</v>
          </cell>
          <cell r="E4008" t="str">
            <v>515.51517</v>
          </cell>
          <cell r="F4008">
            <v>117.4787</v>
          </cell>
          <cell r="G4008">
            <v>0</v>
          </cell>
          <cell r="H4008">
            <v>0</v>
          </cell>
          <cell r="I4008">
            <v>0</v>
          </cell>
          <cell r="J4008">
            <v>2</v>
          </cell>
          <cell r="K4008">
            <v>0</v>
          </cell>
          <cell r="L4008">
            <v>14</v>
          </cell>
        </row>
        <row r="4009">
          <cell r="A4009" t="str">
            <v>20497.10065</v>
          </cell>
          <cell r="B4009" t="str">
            <v>PISTON INTERIEUR</v>
          </cell>
          <cell r="C4009" t="str">
            <v>WILDEN 08-3750-01</v>
          </cell>
          <cell r="D4009" t="str">
            <v>PE</v>
          </cell>
          <cell r="E4009" t="str">
            <v>515.51517</v>
          </cell>
          <cell r="F4009">
            <v>529.47</v>
          </cell>
          <cell r="G4009">
            <v>0</v>
          </cell>
          <cell r="H4009">
            <v>0</v>
          </cell>
          <cell r="I4009">
            <v>2</v>
          </cell>
          <cell r="J4009">
            <v>0</v>
          </cell>
          <cell r="K4009">
            <v>0</v>
          </cell>
          <cell r="L4009">
            <v>0</v>
          </cell>
        </row>
        <row r="4010">
          <cell r="A4010" t="str">
            <v>20497.10066</v>
          </cell>
          <cell r="B4010" t="str">
            <v>CONTRE MEMBRANE</v>
          </cell>
          <cell r="C4010" t="str">
            <v>WILDEN 08-1060-51</v>
          </cell>
          <cell r="D4010" t="str">
            <v>PE</v>
          </cell>
          <cell r="E4010" t="str">
            <v>515.51517</v>
          </cell>
          <cell r="F4010">
            <v>743.04</v>
          </cell>
          <cell r="G4010">
            <v>0</v>
          </cell>
          <cell r="H4010">
            <v>0</v>
          </cell>
          <cell r="I4010">
            <v>2</v>
          </cell>
          <cell r="J4010">
            <v>0</v>
          </cell>
          <cell r="K4010">
            <v>0</v>
          </cell>
          <cell r="L4010">
            <v>0</v>
          </cell>
        </row>
        <row r="4011">
          <cell r="A4011" t="str">
            <v>20497.10067</v>
          </cell>
          <cell r="B4011" t="str">
            <v>MEMBRANE PTFE</v>
          </cell>
          <cell r="C4011" t="str">
            <v>WILDEN 08-1010-55</v>
          </cell>
          <cell r="D4011" t="str">
            <v>PE</v>
          </cell>
          <cell r="E4011" t="str">
            <v>515.51517</v>
          </cell>
          <cell r="F4011">
            <v>3867.5</v>
          </cell>
          <cell r="G4011">
            <v>0</v>
          </cell>
          <cell r="H4011">
            <v>0</v>
          </cell>
          <cell r="I4011">
            <v>2</v>
          </cell>
          <cell r="J4011">
            <v>0</v>
          </cell>
          <cell r="K4011">
            <v>2</v>
          </cell>
          <cell r="L4011">
            <v>0</v>
          </cell>
        </row>
        <row r="4012">
          <cell r="A4012" t="str">
            <v>20497.10068</v>
          </cell>
          <cell r="B4012" t="str">
            <v>PISTON EXTERIEUR</v>
          </cell>
          <cell r="C4012" t="str">
            <v>WILDEN 08-4600-21-500</v>
          </cell>
          <cell r="D4012" t="str">
            <v>PE</v>
          </cell>
          <cell r="E4012" t="str">
            <v>515.51517</v>
          </cell>
          <cell r="F4012">
            <v>2749.4625000000001</v>
          </cell>
          <cell r="G4012">
            <v>0</v>
          </cell>
          <cell r="H4012">
            <v>0</v>
          </cell>
          <cell r="I4012">
            <v>2</v>
          </cell>
          <cell r="J4012">
            <v>0</v>
          </cell>
          <cell r="K4012">
            <v>0</v>
          </cell>
          <cell r="L4012">
            <v>2</v>
          </cell>
        </row>
        <row r="4013">
          <cell r="A4013" t="str">
            <v>20497.10147</v>
          </cell>
          <cell r="B4013" t="str">
            <v>CLAPET</v>
          </cell>
          <cell r="C4013" t="str">
            <v>DRESSER P/SOUPAPE 4"X6" FLG MODEL 2765B  REP 1</v>
          </cell>
          <cell r="D4013" t="str">
            <v>PE</v>
          </cell>
          <cell r="E4013" t="str">
            <v>512.51201</v>
          </cell>
          <cell r="F4013">
            <v>22601.594099999998</v>
          </cell>
          <cell r="G4013">
            <v>0</v>
          </cell>
          <cell r="H4013">
            <v>0</v>
          </cell>
          <cell r="I4013">
            <v>0</v>
          </cell>
          <cell r="J4013">
            <v>0</v>
          </cell>
          <cell r="K4013">
            <v>0</v>
          </cell>
          <cell r="L4013">
            <v>0</v>
          </cell>
        </row>
        <row r="4014">
          <cell r="A4014" t="str">
            <v>20497.10148</v>
          </cell>
          <cell r="B4014" t="str">
            <v>CLAPET</v>
          </cell>
          <cell r="C4014" t="str">
            <v>DRESSER P/SOUPAPE 3"X6" FLG MODEL 2745B REP 1</v>
          </cell>
          <cell r="D4014" t="str">
            <v>PE</v>
          </cell>
          <cell r="E4014" t="str">
            <v>512.51201</v>
          </cell>
          <cell r="F4014">
            <v>20160.3069</v>
          </cell>
          <cell r="G4014">
            <v>0</v>
          </cell>
          <cell r="H4014">
            <v>0</v>
          </cell>
          <cell r="I4014">
            <v>0</v>
          </cell>
          <cell r="J4014">
            <v>0</v>
          </cell>
          <cell r="K4014">
            <v>0</v>
          </cell>
          <cell r="L4014">
            <v>0</v>
          </cell>
        </row>
        <row r="4015">
          <cell r="A4015" t="str">
            <v>20497.10149</v>
          </cell>
          <cell r="B4015" t="str">
            <v>RESSORT</v>
          </cell>
          <cell r="C4015" t="str">
            <v xml:space="preserve">DRESSER P/SOUPAPE 4"X6" FLG MODEL 2765B REP 9 </v>
          </cell>
          <cell r="D4015" t="str">
            <v>PE</v>
          </cell>
          <cell r="E4015" t="str">
            <v>512.51201</v>
          </cell>
          <cell r="F4015">
            <v>21184.072499999998</v>
          </cell>
          <cell r="G4015">
            <v>0</v>
          </cell>
          <cell r="H4015">
            <v>0</v>
          </cell>
          <cell r="I4015">
            <v>0</v>
          </cell>
          <cell r="J4015">
            <v>0</v>
          </cell>
          <cell r="K4015">
            <v>0</v>
          </cell>
          <cell r="L4015">
            <v>1</v>
          </cell>
        </row>
        <row r="4016">
          <cell r="A4016" t="str">
            <v>20497.10150</v>
          </cell>
          <cell r="B4016" t="str">
            <v>RESSORT</v>
          </cell>
          <cell r="C4016" t="str">
            <v>DRESSER P/SOUPAPE 3"X6" FLG MODEL 2745B REP 9</v>
          </cell>
          <cell r="D4016" t="str">
            <v>PE</v>
          </cell>
          <cell r="E4016" t="str">
            <v>512.51201</v>
          </cell>
          <cell r="F4016">
            <v>17899.022499999999</v>
          </cell>
          <cell r="G4016">
            <v>0</v>
          </cell>
          <cell r="H4016">
            <v>0</v>
          </cell>
          <cell r="I4016">
            <v>0</v>
          </cell>
          <cell r="J4016">
            <v>0</v>
          </cell>
          <cell r="K4016">
            <v>0</v>
          </cell>
          <cell r="L4016">
            <v>1</v>
          </cell>
        </row>
        <row r="4017">
          <cell r="A4017" t="str">
            <v>20497.10151</v>
          </cell>
          <cell r="B4017" t="str">
            <v>SOUPAPE</v>
          </cell>
          <cell r="C4017" t="str">
            <v xml:space="preserve">DRESSER REP 9 DN 4"-600#X6"-150# FLG MODEL 2765B </v>
          </cell>
          <cell r="D4017" t="str">
            <v>PE</v>
          </cell>
          <cell r="E4017" t="str">
            <v>512.51201</v>
          </cell>
          <cell r="F4017">
            <v>116315.52069999999</v>
          </cell>
          <cell r="G4017">
            <v>0</v>
          </cell>
          <cell r="H4017">
            <v>0</v>
          </cell>
          <cell r="I4017">
            <v>0</v>
          </cell>
          <cell r="J4017">
            <v>0</v>
          </cell>
          <cell r="K4017">
            <v>0</v>
          </cell>
          <cell r="L4017">
            <v>0</v>
          </cell>
        </row>
        <row r="4018">
          <cell r="A4018" t="str">
            <v>20497.10152</v>
          </cell>
          <cell r="B4018" t="str">
            <v>SOUPAPE</v>
          </cell>
          <cell r="C4018" t="str">
            <v>DRESSER REP 9 DN 3"-600#X6"-150# FLG MODEL 2745B</v>
          </cell>
          <cell r="D4018" t="str">
            <v>PE</v>
          </cell>
          <cell r="E4018" t="str">
            <v>512.51201</v>
          </cell>
          <cell r="F4018">
            <v>77536.180399999997</v>
          </cell>
          <cell r="G4018">
            <v>0</v>
          </cell>
          <cell r="H4018">
            <v>0</v>
          </cell>
          <cell r="I4018">
            <v>0</v>
          </cell>
          <cell r="J4018">
            <v>0</v>
          </cell>
          <cell r="K4018">
            <v>0</v>
          </cell>
          <cell r="L4018">
            <v>0</v>
          </cell>
        </row>
        <row r="4019">
          <cell r="A4019" t="str">
            <v>20497.10153</v>
          </cell>
          <cell r="B4019" t="str">
            <v>SOUPAPE</v>
          </cell>
          <cell r="C4019" t="str">
            <v>DRESSER DN 2-1/2"X66" MODEL 1739</v>
          </cell>
          <cell r="D4019" t="str">
            <v>PE</v>
          </cell>
          <cell r="E4019" t="str">
            <v>512.51201</v>
          </cell>
          <cell r="F4019">
            <v>170372.59359999999</v>
          </cell>
          <cell r="G4019">
            <v>0</v>
          </cell>
          <cell r="H4019">
            <v>0</v>
          </cell>
          <cell r="I4019">
            <v>0</v>
          </cell>
          <cell r="J4019">
            <v>0</v>
          </cell>
          <cell r="K4019">
            <v>0</v>
          </cell>
          <cell r="L4019">
            <v>0</v>
          </cell>
        </row>
        <row r="4020">
          <cell r="A4020" t="str">
            <v>20497.13439</v>
          </cell>
          <cell r="B4020" t="str">
            <v>CLAVETTE D¿ARBRE</v>
          </cell>
          <cell r="C4020" t="str">
            <v>FL SMIDTH KREBS TYPE: VMAX 2x2-11 REF: mm150-520-10016 REP 12</v>
          </cell>
          <cell r="D4020" t="str">
            <v>PE</v>
          </cell>
          <cell r="E4020" t="str">
            <v>515.51517</v>
          </cell>
          <cell r="F4020">
            <v>260.15519999999998</v>
          </cell>
          <cell r="G4020">
            <v>0</v>
          </cell>
          <cell r="H4020">
            <v>0</v>
          </cell>
          <cell r="I4020">
            <v>0</v>
          </cell>
          <cell r="J4020">
            <v>0</v>
          </cell>
          <cell r="K4020">
            <v>0</v>
          </cell>
          <cell r="L4020">
            <v>1</v>
          </cell>
        </row>
        <row r="4021">
          <cell r="A4021" t="str">
            <v>20497.10154</v>
          </cell>
          <cell r="B4021" t="str">
            <v>SOUPAPE</v>
          </cell>
          <cell r="C4021" t="str">
            <v>DRESSER 1" FNPT MODEL 19096LCF-2-S4-MS-31-MT-FT-LA SERIE CO7586</v>
          </cell>
          <cell r="D4021" t="str">
            <v>PE</v>
          </cell>
          <cell r="E4021" t="str">
            <v>512.51201</v>
          </cell>
          <cell r="F4021">
            <v>8111.3734999999997</v>
          </cell>
          <cell r="G4021">
            <v>0</v>
          </cell>
          <cell r="H4021">
            <v>0</v>
          </cell>
          <cell r="I4021">
            <v>0</v>
          </cell>
          <cell r="J4021">
            <v>0</v>
          </cell>
          <cell r="K4021">
            <v>0</v>
          </cell>
          <cell r="L4021">
            <v>0</v>
          </cell>
        </row>
        <row r="4022">
          <cell r="A4022" t="str">
            <v>20497.10155</v>
          </cell>
          <cell r="B4022" t="str">
            <v>SOUPAPE</v>
          </cell>
          <cell r="C4022" t="str">
            <v>DRESSER 1" FNPT MODEL 19096LCF-2-S4-MS-31-MT-FT-LA SERIE CO7589</v>
          </cell>
          <cell r="D4022" t="str">
            <v>PE</v>
          </cell>
          <cell r="E4022" t="str">
            <v>512.51201</v>
          </cell>
          <cell r="F4022">
            <v>8111.3734999999997</v>
          </cell>
          <cell r="G4022">
            <v>0</v>
          </cell>
          <cell r="H4022">
            <v>0</v>
          </cell>
          <cell r="I4022">
            <v>0</v>
          </cell>
          <cell r="J4022">
            <v>0</v>
          </cell>
          <cell r="K4022">
            <v>0</v>
          </cell>
          <cell r="L4022">
            <v>1</v>
          </cell>
        </row>
        <row r="4023">
          <cell r="A4023" t="str">
            <v>20497.10156</v>
          </cell>
          <cell r="B4023" t="str">
            <v>SOUPAPE</v>
          </cell>
          <cell r="C4023" t="str">
            <v>DRESSER 1" FNPT MODEL 19096LCF-2-CC-MS-31-MT-FT-LA SERIE CO7590</v>
          </cell>
          <cell r="D4023" t="str">
            <v>PE</v>
          </cell>
          <cell r="E4023" t="str">
            <v>512.51201</v>
          </cell>
          <cell r="F4023">
            <v>4308.8155999999999</v>
          </cell>
          <cell r="G4023">
            <v>0</v>
          </cell>
          <cell r="H4023">
            <v>0</v>
          </cell>
          <cell r="I4023">
            <v>0</v>
          </cell>
          <cell r="J4023">
            <v>0</v>
          </cell>
          <cell r="K4023">
            <v>0</v>
          </cell>
          <cell r="L4023">
            <v>1</v>
          </cell>
        </row>
        <row r="4024">
          <cell r="A4024" t="str">
            <v>20497.10157</v>
          </cell>
          <cell r="B4024" t="str">
            <v>SOUPAPE</v>
          </cell>
          <cell r="C4024" t="str">
            <v>DRESSER 1" 150 RF MODEL 1905-00DC-2-CC-MS-34-RF-GS-LP SERIE CO7592</v>
          </cell>
          <cell r="D4024" t="str">
            <v>PE</v>
          </cell>
          <cell r="E4024" t="str">
            <v>512.51201</v>
          </cell>
          <cell r="F4024">
            <v>10395.1582</v>
          </cell>
          <cell r="G4024">
            <v>0</v>
          </cell>
          <cell r="H4024">
            <v>0</v>
          </cell>
          <cell r="I4024">
            <v>0</v>
          </cell>
          <cell r="J4024">
            <v>0</v>
          </cell>
          <cell r="K4024">
            <v>0</v>
          </cell>
          <cell r="L4024">
            <v>1</v>
          </cell>
        </row>
        <row r="4025">
          <cell r="A4025" t="str">
            <v>20497.10026</v>
          </cell>
          <cell r="B4025" t="str">
            <v>BIELLE</v>
          </cell>
          <cell r="C4025" t="str">
            <v>MILTON ROY SERIE G MODELE CEGA 5P1T3 PLAN 226.IP.16 REP 5</v>
          </cell>
          <cell r="D4025" t="str">
            <v>PE</v>
          </cell>
          <cell r="E4025" t="str">
            <v>515.51511</v>
          </cell>
          <cell r="F4025">
            <v>1638.1679999999999</v>
          </cell>
          <cell r="G4025">
            <v>0</v>
          </cell>
          <cell r="H4025">
            <v>0</v>
          </cell>
          <cell r="I4025">
            <v>0</v>
          </cell>
          <cell r="J4025">
            <v>0</v>
          </cell>
          <cell r="K4025">
            <v>0</v>
          </cell>
          <cell r="L4025">
            <v>4</v>
          </cell>
        </row>
        <row r="4026">
          <cell r="A4026" t="str">
            <v>20497.10027</v>
          </cell>
          <cell r="B4026" t="str">
            <v>RONDELLE</v>
          </cell>
          <cell r="C4026" t="str">
            <v>MILTON ROY SERIE G MODEL CEGA 5P1T3 PLAN 226.IP.16 REP 33</v>
          </cell>
          <cell r="D4026" t="str">
            <v>PE</v>
          </cell>
          <cell r="E4026" t="str">
            <v>515.51511</v>
          </cell>
          <cell r="F4026">
            <v>319.87200000000001</v>
          </cell>
          <cell r="G4026">
            <v>0</v>
          </cell>
          <cell r="H4026">
            <v>0</v>
          </cell>
          <cell r="I4026">
            <v>0</v>
          </cell>
          <cell r="J4026">
            <v>0</v>
          </cell>
          <cell r="K4026">
            <v>0</v>
          </cell>
          <cell r="L4026">
            <v>4</v>
          </cell>
        </row>
        <row r="4027">
          <cell r="A4027" t="str">
            <v>20497.10028</v>
          </cell>
          <cell r="B4027" t="str">
            <v>RESSORT</v>
          </cell>
          <cell r="C4027" t="str">
            <v>MILTON ROY SERIE G MODEL CEGA 5P1T3 PLAN 226.IP.16 REP 34</v>
          </cell>
          <cell r="D4027" t="str">
            <v>PE</v>
          </cell>
          <cell r="E4027" t="str">
            <v>515.51511</v>
          </cell>
          <cell r="F4027">
            <v>764.4</v>
          </cell>
          <cell r="G4027">
            <v>0</v>
          </cell>
          <cell r="H4027">
            <v>0</v>
          </cell>
          <cell r="I4027">
            <v>0</v>
          </cell>
          <cell r="J4027">
            <v>0</v>
          </cell>
          <cell r="K4027">
            <v>0</v>
          </cell>
          <cell r="L4027">
            <v>4</v>
          </cell>
        </row>
        <row r="4028">
          <cell r="A4028" t="str">
            <v>20497.10029</v>
          </cell>
          <cell r="B4028" t="str">
            <v>CIRCLIPS</v>
          </cell>
          <cell r="C4028" t="str">
            <v>MILTON ROY SERIE G MODEL CEGA 5P1T3 PLAN 226.IP.16 REP 35</v>
          </cell>
          <cell r="D4028" t="str">
            <v>PE</v>
          </cell>
          <cell r="E4028" t="str">
            <v>515.51511</v>
          </cell>
          <cell r="F4028">
            <v>552.72</v>
          </cell>
          <cell r="G4028">
            <v>0</v>
          </cell>
          <cell r="H4028">
            <v>0</v>
          </cell>
          <cell r="I4028">
            <v>0</v>
          </cell>
          <cell r="J4028">
            <v>0</v>
          </cell>
          <cell r="K4028">
            <v>0</v>
          </cell>
          <cell r="L4028">
            <v>4</v>
          </cell>
        </row>
        <row r="4029">
          <cell r="A4029" t="str">
            <v>20497.00550</v>
          </cell>
          <cell r="B4029" t="str">
            <v>COUVERCLE DE CORPS</v>
          </cell>
          <cell r="C4029" t="str">
            <v>SULZER A22-65 REF 917948024L-C REP 161.21</v>
          </cell>
          <cell r="D4029" t="str">
            <v>PE</v>
          </cell>
          <cell r="E4029" t="str">
            <v>515.51505</v>
          </cell>
          <cell r="F4029">
            <v>34702.604500000001</v>
          </cell>
          <cell r="G4029">
            <v>0</v>
          </cell>
          <cell r="H4029">
            <v>0</v>
          </cell>
          <cell r="I4029">
            <v>0</v>
          </cell>
          <cell r="J4029">
            <v>0</v>
          </cell>
          <cell r="K4029">
            <v>0</v>
          </cell>
          <cell r="L4029">
            <v>2</v>
          </cell>
        </row>
        <row r="4030">
          <cell r="A4030" t="str">
            <v>20497.00551</v>
          </cell>
          <cell r="B4030" t="str">
            <v>ARBRE</v>
          </cell>
          <cell r="C4030" t="str">
            <v>SULZER A22-65 REF 2837870133-1 REP 210.31</v>
          </cell>
          <cell r="D4030" t="str">
            <v>PE</v>
          </cell>
          <cell r="E4030" t="str">
            <v>515.51505</v>
          </cell>
          <cell r="F4030">
            <v>10558.996499999999</v>
          </cell>
          <cell r="G4030">
            <v>0</v>
          </cell>
          <cell r="H4030">
            <v>0</v>
          </cell>
          <cell r="I4030">
            <v>0</v>
          </cell>
          <cell r="J4030">
            <v>0</v>
          </cell>
          <cell r="K4030">
            <v>0</v>
          </cell>
          <cell r="L4030">
            <v>2</v>
          </cell>
        </row>
        <row r="4031">
          <cell r="A4031" t="str">
            <v>20497.00552</v>
          </cell>
          <cell r="B4031" t="str">
            <v>ROUE</v>
          </cell>
          <cell r="C4031" t="str">
            <v>SULZER A22-65 REF 283873014L-C REP 230.11</v>
          </cell>
          <cell r="D4031" t="str">
            <v>PE</v>
          </cell>
          <cell r="E4031" t="str">
            <v>515.51505</v>
          </cell>
          <cell r="F4031">
            <v>50843.170899999997</v>
          </cell>
          <cell r="G4031">
            <v>0</v>
          </cell>
          <cell r="H4031">
            <v>0</v>
          </cell>
          <cell r="I4031">
            <v>0</v>
          </cell>
          <cell r="J4031">
            <v>0</v>
          </cell>
          <cell r="K4031">
            <v>0</v>
          </cell>
          <cell r="L4031">
            <v>2</v>
          </cell>
        </row>
        <row r="4032">
          <cell r="A4032" t="str">
            <v>20497.00539</v>
          </cell>
          <cell r="B4032" t="str">
            <v>COUVERCLE DE CORPS</v>
          </cell>
          <cell r="C4032" t="str">
            <v>SULZER A22-80 REF 142044024L-C REP 161.21</v>
          </cell>
          <cell r="D4032" t="str">
            <v>PE</v>
          </cell>
          <cell r="E4032" t="str">
            <v>515.51505</v>
          </cell>
          <cell r="F4032">
            <v>43092.802600000003</v>
          </cell>
          <cell r="G4032">
            <v>0</v>
          </cell>
          <cell r="H4032">
            <v>0</v>
          </cell>
          <cell r="I4032">
            <v>0</v>
          </cell>
          <cell r="J4032">
            <v>0</v>
          </cell>
          <cell r="K4032">
            <v>0</v>
          </cell>
          <cell r="L4032">
            <v>2</v>
          </cell>
        </row>
        <row r="4033">
          <cell r="A4033" t="str">
            <v>20497.00549</v>
          </cell>
          <cell r="B4033" t="str">
            <v>PLAQUE LATERALE</v>
          </cell>
          <cell r="C4033" t="str">
            <v>SULZER A22-65 REF 382052014L-C REP 135.11</v>
          </cell>
          <cell r="D4033" t="str">
            <v>PE</v>
          </cell>
          <cell r="E4033" t="str">
            <v>515.51505</v>
          </cell>
          <cell r="F4033">
            <v>25753.706900000001</v>
          </cell>
          <cell r="G4033">
            <v>0</v>
          </cell>
          <cell r="H4033">
            <v>0</v>
          </cell>
          <cell r="I4033">
            <v>0</v>
          </cell>
          <cell r="J4033">
            <v>0</v>
          </cell>
          <cell r="K4033">
            <v>0</v>
          </cell>
          <cell r="L4033">
            <v>2</v>
          </cell>
        </row>
        <row r="4034">
          <cell r="A4034" t="str">
            <v>20497.00738</v>
          </cell>
          <cell r="B4034" t="str">
            <v>ECROU DE BLOCAGE ROULEMENT</v>
          </cell>
          <cell r="C4034" t="str">
            <v>GOULDS PUMPS MODELE 3171MT TAILLE 4X4-8   SERIE 441419  REP 136</v>
          </cell>
          <cell r="D4034" t="str">
            <v>PE</v>
          </cell>
          <cell r="E4034" t="str">
            <v>515.51517</v>
          </cell>
          <cell r="F4034">
            <v>180.94390000000001</v>
          </cell>
          <cell r="G4034">
            <v>0</v>
          </cell>
          <cell r="H4034">
            <v>1</v>
          </cell>
          <cell r="I4034">
            <v>0</v>
          </cell>
          <cell r="J4034">
            <v>0</v>
          </cell>
          <cell r="K4034">
            <v>0</v>
          </cell>
          <cell r="L4034">
            <v>1</v>
          </cell>
        </row>
        <row r="4035">
          <cell r="A4035" t="str">
            <v>20497.00739</v>
          </cell>
          <cell r="B4035" t="str">
            <v>ECROU DE ROUE</v>
          </cell>
          <cell r="C4035" t="str">
            <v>GOULDS PUMPS MODELE 3171MT TAILLE 4X4-8   SERIE 441419  REP 198</v>
          </cell>
          <cell r="D4035" t="str">
            <v>PE</v>
          </cell>
          <cell r="E4035" t="str">
            <v>515.51517</v>
          </cell>
          <cell r="F4035">
            <v>376.98</v>
          </cell>
          <cell r="G4035">
            <v>0</v>
          </cell>
          <cell r="H4035">
            <v>0</v>
          </cell>
          <cell r="I4035">
            <v>0</v>
          </cell>
          <cell r="J4035">
            <v>0</v>
          </cell>
          <cell r="K4035">
            <v>0</v>
          </cell>
          <cell r="L4035">
            <v>0</v>
          </cell>
        </row>
        <row r="4036">
          <cell r="A4036" t="str">
            <v>20497.00740</v>
          </cell>
          <cell r="B4036" t="str">
            <v>JOINT À LÈVRE</v>
          </cell>
          <cell r="C4036" t="str">
            <v>GOULDS PUMPS MODELE 3171MT TAILLE 4X4-8  SERIE 441419  REP 333</v>
          </cell>
          <cell r="D4036" t="str">
            <v>PE</v>
          </cell>
          <cell r="E4036" t="str">
            <v>515.51517</v>
          </cell>
          <cell r="F4036">
            <v>284.38200000000001</v>
          </cell>
          <cell r="G4036">
            <v>0</v>
          </cell>
          <cell r="H4036">
            <v>0</v>
          </cell>
          <cell r="I4036">
            <v>0</v>
          </cell>
          <cell r="J4036">
            <v>0</v>
          </cell>
          <cell r="K4036">
            <v>0</v>
          </cell>
          <cell r="L4036">
            <v>2</v>
          </cell>
        </row>
        <row r="4037">
          <cell r="A4037" t="str">
            <v>20497.00742</v>
          </cell>
          <cell r="B4037" t="str">
            <v>JOINT LABYRINTHE</v>
          </cell>
          <cell r="C4037" t="str">
            <v>GOULDS PUMPS MODELE 3171MT TAILLE 4X4-8   SERIE 441419  REP 332A</v>
          </cell>
          <cell r="D4037" t="str">
            <v>PE</v>
          </cell>
          <cell r="E4037" t="str">
            <v>515.51517</v>
          </cell>
          <cell r="F4037">
            <v>4308.4656000000004</v>
          </cell>
          <cell r="G4037">
            <v>0</v>
          </cell>
          <cell r="H4037">
            <v>0</v>
          </cell>
          <cell r="I4037">
            <v>0</v>
          </cell>
          <cell r="J4037">
            <v>0</v>
          </cell>
          <cell r="K4037">
            <v>0</v>
          </cell>
          <cell r="L4037">
            <v>1</v>
          </cell>
        </row>
        <row r="4038">
          <cell r="A4038" t="str">
            <v>20497.00735</v>
          </cell>
          <cell r="B4038" t="str">
            <v>ANNEAU DE BLOCAGE ROULEMENT</v>
          </cell>
          <cell r="C4038" t="str">
            <v>GOULDS PUMPS MODELE 3171MT TAILLE 4X4-8   SERIE 441419  REP 361A</v>
          </cell>
          <cell r="D4038" t="str">
            <v>PE</v>
          </cell>
          <cell r="E4038" t="str">
            <v>515.51517</v>
          </cell>
          <cell r="F4038">
            <v>361.8879</v>
          </cell>
          <cell r="G4038">
            <v>0</v>
          </cell>
          <cell r="H4038">
            <v>0</v>
          </cell>
          <cell r="I4038">
            <v>0</v>
          </cell>
          <cell r="J4038">
            <v>0</v>
          </cell>
          <cell r="K4038">
            <v>0</v>
          </cell>
          <cell r="L4038">
            <v>2</v>
          </cell>
        </row>
        <row r="4039">
          <cell r="A4039" t="str">
            <v>20497.00736</v>
          </cell>
          <cell r="B4039" t="str">
            <v>BAGUE DE LAMINAGE</v>
          </cell>
          <cell r="C4039" t="str">
            <v>GOULDS PUMPS MODELE 3171MT TAILLE 4X4-8 SERIE 441419  REP 155</v>
          </cell>
          <cell r="D4039" t="str">
            <v>PE</v>
          </cell>
          <cell r="E4039" t="str">
            <v>515.51517</v>
          </cell>
          <cell r="F4039">
            <v>706.56510000000003</v>
          </cell>
          <cell r="G4039">
            <v>0</v>
          </cell>
          <cell r="H4039">
            <v>0</v>
          </cell>
          <cell r="I4039">
            <v>0</v>
          </cell>
          <cell r="J4039">
            <v>0</v>
          </cell>
          <cell r="K4039">
            <v>0</v>
          </cell>
          <cell r="L4039">
            <v>0</v>
          </cell>
        </row>
        <row r="4040">
          <cell r="A4040" t="str">
            <v>20497.00737</v>
          </cell>
          <cell r="B4040" t="str">
            <v>CRÉPINE</v>
          </cell>
          <cell r="C4040" t="str">
            <v>GOULDS PUMPS MODELE 3171MT TAILLE 4X4-8 SERIE 441419  REP 187</v>
          </cell>
          <cell r="D4040" t="str">
            <v>PE</v>
          </cell>
          <cell r="E4040" t="str">
            <v>515.51517</v>
          </cell>
          <cell r="F4040">
            <v>5032.2412999999997</v>
          </cell>
          <cell r="G4040">
            <v>0</v>
          </cell>
          <cell r="H4040">
            <v>1</v>
          </cell>
          <cell r="I4040">
            <v>0</v>
          </cell>
          <cell r="J4040">
            <v>0</v>
          </cell>
          <cell r="K4040">
            <v>0</v>
          </cell>
          <cell r="L4040">
            <v>0</v>
          </cell>
        </row>
        <row r="4041">
          <cell r="A4041" t="str">
            <v>20497.00747</v>
          </cell>
          <cell r="B4041" t="str">
            <v>FILTRE D'ASPIRATION CODE 6952</v>
          </cell>
          <cell r="C4041" t="str">
            <v xml:space="preserve">GOULDS PUMPS VIT-CATM-TS10X14RHMC (4ÉTAGES)  SERIE SO 513367/68  REP 698 </v>
          </cell>
          <cell r="D4041" t="str">
            <v>PE</v>
          </cell>
          <cell r="E4041" t="str">
            <v>515.51517</v>
          </cell>
          <cell r="F4041">
            <v>14697</v>
          </cell>
          <cell r="G4041">
            <v>0</v>
          </cell>
          <cell r="H4041">
            <v>0</v>
          </cell>
          <cell r="I4041">
            <v>0</v>
          </cell>
          <cell r="J4041">
            <v>1</v>
          </cell>
          <cell r="K4041">
            <v>0</v>
          </cell>
          <cell r="L4041">
            <v>0</v>
          </cell>
        </row>
        <row r="4042">
          <cell r="A4042" t="str">
            <v>20497.00748</v>
          </cell>
          <cell r="B4042" t="str">
            <v>GARNITURE MECANIQUE CODE: 5302, ASTM: D432296</v>
          </cell>
          <cell r="C4042" t="str">
            <v>GOULDS PUMPS VIT-CATM-TS10X14RHMC (4ÉTAGES)  SERIE SO 513367/68  REP: 770</v>
          </cell>
          <cell r="D4042" t="str">
            <v>PE</v>
          </cell>
          <cell r="E4042" t="str">
            <v>515.51517</v>
          </cell>
          <cell r="F4042">
            <v>941.23400000000004</v>
          </cell>
          <cell r="G4042">
            <v>0</v>
          </cell>
          <cell r="H4042">
            <v>0</v>
          </cell>
          <cell r="I4042">
            <v>0</v>
          </cell>
          <cell r="J4042">
            <v>0</v>
          </cell>
          <cell r="K4042">
            <v>0</v>
          </cell>
          <cell r="L4042">
            <v>2</v>
          </cell>
        </row>
        <row r="4043">
          <cell r="A4043" t="str">
            <v>20497.00603</v>
          </cell>
          <cell r="B4043" t="str">
            <v>BAGUE RADIALE D'ARBRE</v>
          </cell>
          <cell r="C4043" t="str">
            <v>GOULDS PUMPS IC-100-65-200   SERIE I 601E 25/26/27  REP 421.41</v>
          </cell>
          <cell r="D4043" t="str">
            <v>PE</v>
          </cell>
          <cell r="E4043" t="str">
            <v>515.51517</v>
          </cell>
          <cell r="F4043">
            <v>439.45190000000002</v>
          </cell>
          <cell r="G4043">
            <v>0</v>
          </cell>
          <cell r="H4043">
            <v>0</v>
          </cell>
          <cell r="I4043">
            <v>0</v>
          </cell>
          <cell r="J4043">
            <v>0</v>
          </cell>
          <cell r="K4043">
            <v>0</v>
          </cell>
          <cell r="L4043">
            <v>1</v>
          </cell>
        </row>
        <row r="4044">
          <cell r="A4044" t="str">
            <v>20497.00704</v>
          </cell>
          <cell r="B4044" t="str">
            <v>CHEMISE D'ARBRE</v>
          </cell>
          <cell r="C4044" t="str">
            <v>GOULDS PUMPS IC-65-40-200   SERIE I 601E 39/40   REP 524</v>
          </cell>
          <cell r="D4044" t="str">
            <v>PE</v>
          </cell>
          <cell r="E4044" t="str">
            <v>515.51517</v>
          </cell>
          <cell r="F4044">
            <v>2464.4306999999999</v>
          </cell>
          <cell r="G4044">
            <v>0</v>
          </cell>
          <cell r="H4044">
            <v>0</v>
          </cell>
          <cell r="I4044">
            <v>0</v>
          </cell>
          <cell r="J4044">
            <v>0</v>
          </cell>
          <cell r="K4044">
            <v>0</v>
          </cell>
          <cell r="L4044">
            <v>2</v>
          </cell>
        </row>
        <row r="4045">
          <cell r="A4045" t="str">
            <v>20497.00743</v>
          </cell>
          <cell r="B4045" t="str">
            <v>PALIER LISSE</v>
          </cell>
          <cell r="C4045" t="str">
            <v>GOULDS PUMPS MODELE 3171MT TAILLE 4X4-8  SERIE 441419  REP 197</v>
          </cell>
          <cell r="D4045" t="str">
            <v>PE</v>
          </cell>
          <cell r="E4045" t="str">
            <v>515.51517</v>
          </cell>
          <cell r="F4045">
            <v>10397.979600000001</v>
          </cell>
          <cell r="G4045">
            <v>0</v>
          </cell>
          <cell r="H4045">
            <v>0</v>
          </cell>
          <cell r="I4045">
            <v>0</v>
          </cell>
          <cell r="J4045">
            <v>0</v>
          </cell>
          <cell r="K4045">
            <v>0</v>
          </cell>
          <cell r="L4045">
            <v>2</v>
          </cell>
        </row>
        <row r="4046">
          <cell r="A4046" t="str">
            <v>20497.00744</v>
          </cell>
          <cell r="B4046" t="str">
            <v>ROUE</v>
          </cell>
          <cell r="C4046" t="str">
            <v>GOULDS PUMPS MODELE 3171MT TAILLE 4X4-8   SERIE 441419  REP 101</v>
          </cell>
          <cell r="D4046" t="str">
            <v>PE</v>
          </cell>
          <cell r="E4046" t="str">
            <v>515.51517</v>
          </cell>
          <cell r="F4046">
            <v>38027.478900000002</v>
          </cell>
          <cell r="G4046">
            <v>0</v>
          </cell>
          <cell r="H4046">
            <v>1</v>
          </cell>
          <cell r="I4046">
            <v>0</v>
          </cell>
          <cell r="J4046">
            <v>0</v>
          </cell>
          <cell r="K4046">
            <v>0</v>
          </cell>
          <cell r="L4046">
            <v>1</v>
          </cell>
        </row>
        <row r="4047">
          <cell r="A4047" t="str">
            <v>20497.00745</v>
          </cell>
          <cell r="B4047" t="str">
            <v>ACCOUPLEMENT D'ARBRE  CODE 2218</v>
          </cell>
          <cell r="C4047" t="str">
            <v xml:space="preserve">GOULDS PUMPS VIT-CATM-TS10X14RHMC (4ÉTAGES)   SERIE SO 513367/68  REP 649 </v>
          </cell>
          <cell r="D4047" t="str">
            <v>PE</v>
          </cell>
          <cell r="E4047" t="str">
            <v>515.51517</v>
          </cell>
          <cell r="F4047">
            <v>3462.3690999999999</v>
          </cell>
          <cell r="G4047">
            <v>0</v>
          </cell>
          <cell r="H4047">
            <v>0</v>
          </cell>
          <cell r="I4047">
            <v>0</v>
          </cell>
          <cell r="J4047">
            <v>0</v>
          </cell>
          <cell r="K4047">
            <v>0</v>
          </cell>
          <cell r="L4047">
            <v>3</v>
          </cell>
        </row>
        <row r="4048">
          <cell r="A4048" t="str">
            <v>20497.00746</v>
          </cell>
          <cell r="B4048" t="str">
            <v>ACCOUPLEMENT</v>
          </cell>
          <cell r="C4048" t="str">
            <v>GOULDS PUMPS VIT-CATM-TS10X14RHMC (4ÉTAGES)  SERIE SO 513367/68  REP 612</v>
          </cell>
          <cell r="D4048" t="str">
            <v>PE</v>
          </cell>
          <cell r="E4048" t="str">
            <v>515.51517</v>
          </cell>
          <cell r="F4048">
            <v>8709.7289999999994</v>
          </cell>
          <cell r="G4048">
            <v>0</v>
          </cell>
          <cell r="H4048">
            <v>0</v>
          </cell>
          <cell r="I4048">
            <v>0</v>
          </cell>
          <cell r="J4048">
            <v>0</v>
          </cell>
          <cell r="K4048">
            <v>0</v>
          </cell>
          <cell r="L4048">
            <v>1</v>
          </cell>
        </row>
        <row r="4049">
          <cell r="A4049" t="str">
            <v>20497.00560</v>
          </cell>
          <cell r="B4049" t="str">
            <v>ARBRE REPRISE</v>
          </cell>
          <cell r="C4049" t="str">
            <v>SULZER A22-80 N° DE FABRICATION 100034922 REP 210.31</v>
          </cell>
          <cell r="D4049" t="str">
            <v>PE</v>
          </cell>
          <cell r="E4049" t="str">
            <v>515.51505</v>
          </cell>
          <cell r="F4049">
            <v>10820.163</v>
          </cell>
          <cell r="G4049">
            <v>0</v>
          </cell>
          <cell r="H4049">
            <v>0</v>
          </cell>
          <cell r="I4049">
            <v>0</v>
          </cell>
          <cell r="J4049">
            <v>0</v>
          </cell>
          <cell r="K4049">
            <v>0</v>
          </cell>
          <cell r="L4049">
            <v>1</v>
          </cell>
        </row>
        <row r="4050">
          <cell r="A4050" t="str">
            <v>20497.00561</v>
          </cell>
          <cell r="B4050" t="str">
            <v>ARBRE REPRISE</v>
          </cell>
          <cell r="C4050" t="str">
            <v>SULZER A22-80 N°DE FABRICATION 100034922 REP 210.31</v>
          </cell>
          <cell r="D4050" t="str">
            <v>PE</v>
          </cell>
          <cell r="E4050" t="str">
            <v>515.51505</v>
          </cell>
          <cell r="F4050">
            <v>10297.83</v>
          </cell>
          <cell r="G4050">
            <v>0</v>
          </cell>
          <cell r="H4050">
            <v>0</v>
          </cell>
          <cell r="I4050">
            <v>0</v>
          </cell>
          <cell r="J4050">
            <v>0</v>
          </cell>
          <cell r="K4050">
            <v>0</v>
          </cell>
          <cell r="L4050">
            <v>2</v>
          </cell>
        </row>
        <row r="4051">
          <cell r="A4051" t="str">
            <v>20497.00558</v>
          </cell>
          <cell r="B4051" t="str">
            <v>BAGUE D'ETANCHEITE</v>
          </cell>
          <cell r="C4051" t="str">
            <v>SULZER A22-65 REF ED211015V5 REP 411.21</v>
          </cell>
          <cell r="D4051" t="str">
            <v>PE</v>
          </cell>
          <cell r="E4051" t="str">
            <v>515.51505</v>
          </cell>
          <cell r="F4051">
            <v>548.6001</v>
          </cell>
          <cell r="G4051">
            <v>0</v>
          </cell>
          <cell r="H4051">
            <v>0</v>
          </cell>
          <cell r="I4051">
            <v>0</v>
          </cell>
          <cell r="J4051">
            <v>0</v>
          </cell>
          <cell r="K4051">
            <v>0</v>
          </cell>
          <cell r="L4051">
            <v>4</v>
          </cell>
        </row>
        <row r="4052">
          <cell r="A4052" t="str">
            <v>20497.12514</v>
          </cell>
          <cell r="B4052" t="str">
            <v>GARNITURE MECANIQUE</v>
          </cell>
          <cell r="C4052" t="str">
            <v>GOULDS PUMPS IC-65-40-200 S1 VL  1A SERIE I 601E 39/40 REP 433</v>
          </cell>
          <cell r="D4052" t="str">
            <v>PE</v>
          </cell>
          <cell r="E4052" t="str">
            <v>515.51517</v>
          </cell>
          <cell r="F4052">
            <v>8276.24</v>
          </cell>
          <cell r="G4052">
            <v>0</v>
          </cell>
          <cell r="H4052">
            <v>0</v>
          </cell>
          <cell r="I4052">
            <v>0</v>
          </cell>
          <cell r="J4052">
            <v>0</v>
          </cell>
          <cell r="K4052">
            <v>0</v>
          </cell>
          <cell r="L4052">
            <v>2</v>
          </cell>
        </row>
        <row r="4053">
          <cell r="A4053" t="str">
            <v>20497.12516</v>
          </cell>
          <cell r="B4053" t="str">
            <v>DEFLECTEUR</v>
          </cell>
          <cell r="C4053" t="str">
            <v>GOULDS PUMPS IC-65-40-200 S1 VL  1A SERIE I 601E 39/40 REP 507</v>
          </cell>
          <cell r="D4053" t="str">
            <v>PE</v>
          </cell>
          <cell r="E4053" t="str">
            <v>515.51517</v>
          </cell>
          <cell r="F4053">
            <v>1255.0999999999999</v>
          </cell>
          <cell r="G4053">
            <v>0</v>
          </cell>
          <cell r="H4053">
            <v>0</v>
          </cell>
          <cell r="I4053">
            <v>0</v>
          </cell>
          <cell r="J4053">
            <v>0</v>
          </cell>
          <cell r="K4053">
            <v>0</v>
          </cell>
          <cell r="L4053">
            <v>1</v>
          </cell>
        </row>
        <row r="4054">
          <cell r="A4054" t="str">
            <v>20498.00079</v>
          </cell>
          <cell r="B4054" t="str">
            <v>INDICATEUR DIGITAL PANELMETER</v>
          </cell>
          <cell r="C4054" t="str">
            <v>MONTWILL PV 4.001.112B</v>
          </cell>
          <cell r="D4054" t="str">
            <v>PE</v>
          </cell>
          <cell r="E4054" t="str">
            <v>512.51201</v>
          </cell>
          <cell r="F4054">
            <v>2900</v>
          </cell>
          <cell r="G4054">
            <v>0</v>
          </cell>
          <cell r="H4054">
            <v>0</v>
          </cell>
          <cell r="I4054">
            <v>1</v>
          </cell>
          <cell r="J4054">
            <v>0</v>
          </cell>
          <cell r="K4054">
            <v>0</v>
          </cell>
          <cell r="L4054">
            <v>1</v>
          </cell>
        </row>
        <row r="4055">
          <cell r="A4055" t="str">
            <v>20498.00089</v>
          </cell>
          <cell r="B4055" t="str">
            <v>DETECTEUR INDUCTIF</v>
          </cell>
          <cell r="C4055" t="str">
            <v>IFM ELECTRONIC TYPE IG5533  IG-2008-FRKG TENSION 10..55V,DC COURANT  SORTIE 400MA PORTEE 8MM + OU -  10% PROTECTION IP67,II</v>
          </cell>
          <cell r="D4055" t="str">
            <v>PE</v>
          </cell>
          <cell r="E4055" t="str">
            <v>512.51201</v>
          </cell>
          <cell r="F4055">
            <v>510</v>
          </cell>
          <cell r="G4055">
            <v>0</v>
          </cell>
          <cell r="H4055">
            <v>2</v>
          </cell>
          <cell r="I4055">
            <v>0</v>
          </cell>
          <cell r="J4055">
            <v>6</v>
          </cell>
          <cell r="K4055">
            <v>5</v>
          </cell>
          <cell r="L4055">
            <v>8</v>
          </cell>
        </row>
        <row r="4056">
          <cell r="A4056" t="str">
            <v>20498.00080</v>
          </cell>
          <cell r="B4056" t="str">
            <v>DEBISTAT</v>
          </cell>
          <cell r="C4056" t="str">
            <v>JOHN CRANE SAFEMATIC TYPE SFP PRESSION 10 BAR DEBIT 3 1/MIN</v>
          </cell>
          <cell r="D4056" t="str">
            <v>PE</v>
          </cell>
          <cell r="E4056" t="str">
            <v>512.51201</v>
          </cell>
          <cell r="F4056">
            <v>9561.57</v>
          </cell>
          <cell r="G4056">
            <v>0</v>
          </cell>
          <cell r="H4056">
            <v>15</v>
          </cell>
          <cell r="I4056">
            <v>0</v>
          </cell>
          <cell r="J4056">
            <v>0</v>
          </cell>
          <cell r="K4056">
            <v>0</v>
          </cell>
          <cell r="L4056">
            <v>0</v>
          </cell>
        </row>
        <row r="4057">
          <cell r="A4057" t="str">
            <v>20498.00081</v>
          </cell>
          <cell r="B4057" t="str">
            <v>DEBISTAT</v>
          </cell>
          <cell r="C4057" t="str">
            <v>JOHN CRANE SAFEMATIC TYPE SFD PRESSION 10 BAR DEBIT 8 1/MIN</v>
          </cell>
          <cell r="D4057" t="str">
            <v>PE</v>
          </cell>
          <cell r="E4057" t="str">
            <v>512.51201</v>
          </cell>
          <cell r="F4057">
            <v>10909.57</v>
          </cell>
          <cell r="G4057">
            <v>0</v>
          </cell>
          <cell r="H4057">
            <v>9</v>
          </cell>
          <cell r="I4057">
            <v>1</v>
          </cell>
          <cell r="J4057">
            <v>0</v>
          </cell>
          <cell r="K4057">
            <v>0</v>
          </cell>
          <cell r="L4057">
            <v>0</v>
          </cell>
        </row>
        <row r="4058">
          <cell r="A4058" t="str">
            <v>20498.00104</v>
          </cell>
          <cell r="B4058" t="str">
            <v>CARTE DE SURVITESSE</v>
          </cell>
          <cell r="C4058" t="str">
            <v>EPRO TYPE MMS 6350 REF:9100-00039</v>
          </cell>
          <cell r="D4058" t="str">
            <v>PE</v>
          </cell>
          <cell r="E4058" t="str">
            <v>512.51201</v>
          </cell>
          <cell r="F4058">
            <v>28480</v>
          </cell>
          <cell r="G4058">
            <v>0</v>
          </cell>
          <cell r="H4058">
            <v>0</v>
          </cell>
          <cell r="I4058">
            <v>0</v>
          </cell>
          <cell r="J4058">
            <v>0</v>
          </cell>
          <cell r="K4058">
            <v>0</v>
          </cell>
          <cell r="L4058">
            <v>3</v>
          </cell>
        </row>
        <row r="4059">
          <cell r="A4059" t="str">
            <v>20497.09744</v>
          </cell>
          <cell r="B4059" t="str">
            <v>CLAVETTE</v>
          </cell>
          <cell r="C4059" t="str">
            <v>WARMAN F8085-E02 TYPE 10/8FM R26/R08</v>
          </cell>
          <cell r="D4059" t="str">
            <v>PE</v>
          </cell>
          <cell r="E4059" t="str">
            <v>515.51517</v>
          </cell>
          <cell r="F4059">
            <v>460.42590000000001</v>
          </cell>
          <cell r="G4059">
            <v>0</v>
          </cell>
          <cell r="H4059">
            <v>0</v>
          </cell>
          <cell r="I4059">
            <v>0</v>
          </cell>
          <cell r="J4059">
            <v>0</v>
          </cell>
          <cell r="K4059">
            <v>2</v>
          </cell>
          <cell r="L4059">
            <v>0</v>
          </cell>
        </row>
        <row r="4060">
          <cell r="A4060" t="str">
            <v>20497.09767</v>
          </cell>
          <cell r="B4060" t="str">
            <v>JOINT EXPELLEUR</v>
          </cell>
          <cell r="C4060" t="str">
            <v>WARMAN F122-R11 TYPE 8/6 FAH A05/A05</v>
          </cell>
          <cell r="D4060" t="str">
            <v>PE</v>
          </cell>
          <cell r="E4060" t="str">
            <v>515.51517</v>
          </cell>
          <cell r="F4060">
            <v>455.46899999999999</v>
          </cell>
          <cell r="G4060">
            <v>0</v>
          </cell>
          <cell r="H4060">
            <v>0</v>
          </cell>
          <cell r="I4060">
            <v>0</v>
          </cell>
          <cell r="J4060">
            <v>0</v>
          </cell>
          <cell r="K4060">
            <v>0</v>
          </cell>
          <cell r="L4060">
            <v>2</v>
          </cell>
        </row>
        <row r="4061">
          <cell r="A4061" t="str">
            <v>20498.00105</v>
          </cell>
          <cell r="B4061" t="str">
            <v>CARTE BACKPLANE</v>
          </cell>
          <cell r="C4061" t="str">
            <v>EPRO TYPE MMS 6351/10 REF:9100-00049</v>
          </cell>
          <cell r="D4061" t="str">
            <v>PE</v>
          </cell>
          <cell r="E4061" t="str">
            <v>512.51201</v>
          </cell>
          <cell r="F4061">
            <v>5300</v>
          </cell>
          <cell r="G4061">
            <v>0</v>
          </cell>
          <cell r="H4061">
            <v>0</v>
          </cell>
          <cell r="I4061">
            <v>0</v>
          </cell>
          <cell r="J4061">
            <v>0</v>
          </cell>
          <cell r="K4061">
            <v>0</v>
          </cell>
          <cell r="L4061">
            <v>2</v>
          </cell>
        </row>
        <row r="4062">
          <cell r="A4062" t="str">
            <v>20497.09769</v>
          </cell>
          <cell r="B4062" t="str">
            <v>PLAQUE ARRIERE</v>
          </cell>
          <cell r="C4062" t="str">
            <v>WARMAN F6041M-A05A TYPE 8/6 FAH A05/A05</v>
          </cell>
          <cell r="D4062" t="str">
            <v>PE</v>
          </cell>
          <cell r="E4062" t="str">
            <v>515.51517</v>
          </cell>
          <cell r="F4062">
            <v>21679.266500000002</v>
          </cell>
          <cell r="G4062">
            <v>0</v>
          </cell>
          <cell r="H4062">
            <v>0</v>
          </cell>
          <cell r="I4062">
            <v>0</v>
          </cell>
          <cell r="J4062">
            <v>0</v>
          </cell>
          <cell r="K4062">
            <v>0</v>
          </cell>
          <cell r="L4062">
            <v>0</v>
          </cell>
        </row>
        <row r="4063">
          <cell r="A4063" t="str">
            <v>20497.09771</v>
          </cell>
          <cell r="B4063" t="str">
            <v>PIECE ASPIRATION</v>
          </cell>
          <cell r="C4063" t="str">
            <v>WARMAN F6083-A05A TYPE 8/6 FAH A05/A05</v>
          </cell>
          <cell r="D4063" t="str">
            <v>PE</v>
          </cell>
          <cell r="E4063" t="str">
            <v>515.51517</v>
          </cell>
          <cell r="F4063">
            <v>25650.148499999999</v>
          </cell>
          <cell r="G4063">
            <v>0</v>
          </cell>
          <cell r="H4063">
            <v>0</v>
          </cell>
          <cell r="I4063">
            <v>0</v>
          </cell>
          <cell r="J4063">
            <v>0</v>
          </cell>
          <cell r="K4063">
            <v>0</v>
          </cell>
          <cell r="L4063">
            <v>0</v>
          </cell>
        </row>
        <row r="4064">
          <cell r="A4064" t="str">
            <v>20497.04361</v>
          </cell>
          <cell r="B4064" t="str">
            <v>CHEMISE D ARBRE</v>
          </cell>
          <cell r="C4064" t="str">
            <v>WARMAN E075-Y01 TYPE 6/4 EAH A05A/A05A/FF</v>
          </cell>
          <cell r="D4064" t="str">
            <v>PE</v>
          </cell>
          <cell r="E4064" t="str">
            <v>515.51517</v>
          </cell>
          <cell r="F4064">
            <v>4065.8481999999999</v>
          </cell>
          <cell r="G4064">
            <v>0</v>
          </cell>
          <cell r="H4064">
            <v>0</v>
          </cell>
          <cell r="I4064">
            <v>0</v>
          </cell>
          <cell r="J4064">
            <v>0</v>
          </cell>
          <cell r="K4064">
            <v>0</v>
          </cell>
          <cell r="L4064">
            <v>3</v>
          </cell>
        </row>
        <row r="4065">
          <cell r="A4065" t="str">
            <v>20497.04363</v>
          </cell>
          <cell r="B4065" t="str">
            <v>JOINT TORIQUE D'ARBRE</v>
          </cell>
          <cell r="C4065" t="str">
            <v>WARMAN E109S10</v>
          </cell>
          <cell r="D4065" t="str">
            <v>PE</v>
          </cell>
          <cell r="E4065" t="str">
            <v>515.51517</v>
          </cell>
          <cell r="F4065">
            <v>79.069599999999994</v>
          </cell>
          <cell r="G4065">
            <v>0</v>
          </cell>
          <cell r="H4065">
            <v>0</v>
          </cell>
          <cell r="I4065">
            <v>0</v>
          </cell>
          <cell r="J4065">
            <v>0</v>
          </cell>
          <cell r="K4065">
            <v>0</v>
          </cell>
          <cell r="L4065">
            <v>15</v>
          </cell>
        </row>
        <row r="4066">
          <cell r="A4066" t="str">
            <v>20497.04367</v>
          </cell>
          <cell r="B4066" t="str">
            <v>JOINT DE PRESSE ETOUPE</v>
          </cell>
          <cell r="C4066" t="str">
            <v>WARMAN E122-R11A TYPE 6/4 EAH A05A/A05A/FF</v>
          </cell>
          <cell r="D4066" t="str">
            <v>PE</v>
          </cell>
          <cell r="E4066" t="str">
            <v>515.51517</v>
          </cell>
          <cell r="F4066">
            <v>1100</v>
          </cell>
          <cell r="G4066">
            <v>0</v>
          </cell>
          <cell r="H4066">
            <v>0</v>
          </cell>
          <cell r="I4066">
            <v>0</v>
          </cell>
          <cell r="J4066">
            <v>0</v>
          </cell>
          <cell r="K4066">
            <v>0</v>
          </cell>
          <cell r="L4066">
            <v>2</v>
          </cell>
        </row>
        <row r="4067">
          <cell r="A4067" t="str">
            <v>20499.07130</v>
          </cell>
          <cell r="B4067" t="str">
            <v>CLAPET A DOUBLE BATTANT MONTAGE SANDUITCH</v>
          </cell>
          <cell r="C4067" t="str">
            <v>SRL  FIGURE H768150 DN50 CLASS150 DIAM INT 51 DIAM EXT 101 ECART 60 CORPS EN A216WCB DISC EN A217CA15 SIEGE EN A216WCB RESSORT EN INCONEL</v>
          </cell>
          <cell r="D4067" t="str">
            <v>PE</v>
          </cell>
          <cell r="E4067" t="str">
            <v>515.51511</v>
          </cell>
          <cell r="F4067">
            <v>706</v>
          </cell>
          <cell r="G4067">
            <v>0</v>
          </cell>
          <cell r="H4067">
            <v>0</v>
          </cell>
          <cell r="I4067">
            <v>0</v>
          </cell>
          <cell r="J4067">
            <v>0</v>
          </cell>
          <cell r="K4067">
            <v>0</v>
          </cell>
          <cell r="L4067">
            <v>2</v>
          </cell>
        </row>
        <row r="4068">
          <cell r="A4068" t="str">
            <v>20499.07131</v>
          </cell>
          <cell r="B4068" t="str">
            <v>CLAPET A DOUBLE BATTANT MONTAGE SANDUITCH</v>
          </cell>
          <cell r="C4068" t="str">
            <v>SRL FIGURE H768150 DN80 CLASS 150 DIAM INT 80 DIAM EXT 133 ECART 73 CORPS EN A216WCB DISC EN A217CA15  SIEGE EN A216WCB RESSORT EN INCONEL</v>
          </cell>
          <cell r="D4068" t="str">
            <v>PE</v>
          </cell>
          <cell r="E4068" t="str">
            <v>515.51511</v>
          </cell>
          <cell r="F4068">
            <v>706</v>
          </cell>
          <cell r="G4068">
            <v>0</v>
          </cell>
          <cell r="H4068">
            <v>0</v>
          </cell>
          <cell r="I4068">
            <v>0</v>
          </cell>
          <cell r="J4068">
            <v>0</v>
          </cell>
          <cell r="K4068">
            <v>0</v>
          </cell>
          <cell r="L4068">
            <v>1</v>
          </cell>
        </row>
        <row r="4069">
          <cell r="A4069" t="str">
            <v>20499.07132</v>
          </cell>
          <cell r="B4069" t="str">
            <v>CLAPET A DOUBLE BATTANT MONTAGE SANDUITCH</v>
          </cell>
          <cell r="C4069" t="str">
            <v>SRL FIGURE H768150 DN350 CLASS 150 DIAM INT 350 DIAM EXT 448 ECART 184 CORPS EN A216WCB DISC EN A217CA15  SIEGE EN A216WCB RESSORT EN INCONEL</v>
          </cell>
          <cell r="D4069" t="str">
            <v>PE</v>
          </cell>
          <cell r="E4069" t="str">
            <v>515.51511</v>
          </cell>
          <cell r="F4069">
            <v>9983</v>
          </cell>
          <cell r="G4069">
            <v>0</v>
          </cell>
          <cell r="H4069">
            <v>2</v>
          </cell>
          <cell r="I4069">
            <v>0</v>
          </cell>
          <cell r="J4069">
            <v>0</v>
          </cell>
          <cell r="K4069">
            <v>0</v>
          </cell>
          <cell r="L4069">
            <v>0</v>
          </cell>
        </row>
        <row r="4070">
          <cell r="A4070" t="str">
            <v>20499.07129</v>
          </cell>
          <cell r="B4070" t="str">
            <v>CLAPET A DOUBLE BATTANT MONTAGE SANDUITCH</v>
          </cell>
          <cell r="C4070" t="str">
            <v>SRL  FIGURE H469300 DN80 CLASS 300 DIAM INT 80 DIAM EXT 146 ECART 73 CORPS EN A216WCB DISC EN A217CA15  SIEGE EN A216WCB RESSORT EN INCONEL</v>
          </cell>
          <cell r="D4070" t="str">
            <v>PE</v>
          </cell>
          <cell r="E4070" t="str">
            <v>515.51511</v>
          </cell>
          <cell r="F4070">
            <v>1087</v>
          </cell>
          <cell r="G4070">
            <v>0</v>
          </cell>
          <cell r="H4070">
            <v>0</v>
          </cell>
          <cell r="I4070">
            <v>0</v>
          </cell>
          <cell r="J4070">
            <v>0</v>
          </cell>
          <cell r="K4070">
            <v>0</v>
          </cell>
          <cell r="L4070">
            <v>1</v>
          </cell>
        </row>
        <row r="4071">
          <cell r="A4071" t="str">
            <v>20498.00213</v>
          </cell>
          <cell r="B4071" t="str">
            <v>ENSEMBLE ARRIVEE D'EAU</v>
          </cell>
          <cell r="C4071" t="str">
            <v>TMI   PLAN 09198  TYPE AUTOFLOC I8590 A18457   REP1</v>
          </cell>
          <cell r="D4071" t="str">
            <v>PE</v>
          </cell>
          <cell r="E4071" t="str">
            <v>512.51201</v>
          </cell>
          <cell r="F4071">
            <v>38630</v>
          </cell>
          <cell r="G4071">
            <v>0</v>
          </cell>
          <cell r="H4071">
            <v>0</v>
          </cell>
          <cell r="I4071">
            <v>0</v>
          </cell>
          <cell r="J4071">
            <v>0</v>
          </cell>
          <cell r="K4071">
            <v>0</v>
          </cell>
          <cell r="L4071">
            <v>0</v>
          </cell>
        </row>
        <row r="4072">
          <cell r="A4072" t="str">
            <v>20498.00214</v>
          </cell>
          <cell r="B4072" t="str">
            <v>FILTRE</v>
          </cell>
          <cell r="C4072" t="str">
            <v>TMI  F8060-61L19-350   PLAN 09198   TYPE AUTOFLOC I8590 A18457  REP 1</v>
          </cell>
          <cell r="D4072" t="str">
            <v>PE</v>
          </cell>
          <cell r="E4072" t="str">
            <v>512.51201</v>
          </cell>
          <cell r="F4072">
            <v>4471</v>
          </cell>
          <cell r="G4072">
            <v>0</v>
          </cell>
          <cell r="H4072">
            <v>0</v>
          </cell>
          <cell r="I4072">
            <v>2</v>
          </cell>
          <cell r="J4072">
            <v>2</v>
          </cell>
          <cell r="K4072">
            <v>0</v>
          </cell>
          <cell r="L4072">
            <v>0</v>
          </cell>
        </row>
        <row r="4073">
          <cell r="A4073" t="str">
            <v>20498.00215</v>
          </cell>
          <cell r="B4073" t="str">
            <v>MOTOREDUCTEUR</v>
          </cell>
          <cell r="C4073" t="str">
            <v>TMI   PLAN 09198  TYPE AUTOFLOC I8590 A18457   REP 4</v>
          </cell>
          <cell r="D4073" t="str">
            <v>PE</v>
          </cell>
          <cell r="E4073" t="str">
            <v>512.51201</v>
          </cell>
          <cell r="F4073">
            <v>6949</v>
          </cell>
          <cell r="G4073">
            <v>0</v>
          </cell>
          <cell r="H4073">
            <v>0</v>
          </cell>
          <cell r="I4073">
            <v>0</v>
          </cell>
          <cell r="J4073">
            <v>0</v>
          </cell>
          <cell r="K4073">
            <v>0</v>
          </cell>
          <cell r="L4073">
            <v>2</v>
          </cell>
        </row>
        <row r="4074">
          <cell r="A4074" t="str">
            <v>20498.00216</v>
          </cell>
          <cell r="B4074" t="str">
            <v>FILTRE AVEC MANOMETRE</v>
          </cell>
          <cell r="C4074" t="str">
            <v xml:space="preserve">TMI   PLAN 09198  TYPE AUTOFLOC I8590 A18457   REP 16 </v>
          </cell>
          <cell r="D4074" t="str">
            <v>PE</v>
          </cell>
          <cell r="E4074" t="str">
            <v>512.51201</v>
          </cell>
          <cell r="F4074">
            <v>44705</v>
          </cell>
          <cell r="G4074">
            <v>0</v>
          </cell>
          <cell r="H4074">
            <v>0</v>
          </cell>
          <cell r="I4074">
            <v>0</v>
          </cell>
          <cell r="J4074">
            <v>0</v>
          </cell>
          <cell r="K4074">
            <v>0</v>
          </cell>
          <cell r="L4074">
            <v>4</v>
          </cell>
        </row>
        <row r="4075">
          <cell r="A4075" t="str">
            <v>20498.00217</v>
          </cell>
          <cell r="B4075" t="str">
            <v>SOUPAPE TARAGE 10 BAR</v>
          </cell>
          <cell r="C4075" t="str">
            <v>TMI   PLAN 09198  TYPE AUTOFLOC I8590 A18457    REP 17</v>
          </cell>
          <cell r="D4075" t="str">
            <v>PE</v>
          </cell>
          <cell r="E4075" t="str">
            <v>512.51201</v>
          </cell>
          <cell r="F4075">
            <v>12829</v>
          </cell>
          <cell r="G4075">
            <v>0</v>
          </cell>
          <cell r="H4075">
            <v>0</v>
          </cell>
          <cell r="I4075">
            <v>0</v>
          </cell>
          <cell r="J4075">
            <v>0</v>
          </cell>
          <cell r="K4075">
            <v>0</v>
          </cell>
          <cell r="L4075">
            <v>2</v>
          </cell>
        </row>
        <row r="4076">
          <cell r="A4076" t="str">
            <v>20498.00218</v>
          </cell>
          <cell r="B4076" t="str">
            <v>NIVEAU VISIBLE EN PVC</v>
          </cell>
          <cell r="C4076" t="str">
            <v>TMI   PLAN 09198   TYPE AUTOFLOC I8590 A18457   REP 20</v>
          </cell>
          <cell r="D4076" t="str">
            <v>PE</v>
          </cell>
          <cell r="E4076" t="str">
            <v>512.51201</v>
          </cell>
          <cell r="F4076">
            <v>3178</v>
          </cell>
          <cell r="G4076">
            <v>0</v>
          </cell>
          <cell r="H4076">
            <v>3</v>
          </cell>
          <cell r="I4076">
            <v>0</v>
          </cell>
          <cell r="J4076">
            <v>0</v>
          </cell>
          <cell r="K4076">
            <v>0</v>
          </cell>
          <cell r="L4076">
            <v>0</v>
          </cell>
        </row>
        <row r="4077">
          <cell r="A4077" t="str">
            <v>20498.00169</v>
          </cell>
          <cell r="B4077" t="str">
            <v>MODULE ELECTRONIQUE INDUSTRIELLE DE MESURE PME AVEC SORTIE BUS EXTERNE</v>
          </cell>
          <cell r="C4077" t="str">
            <v xml:space="preserve">HBM  TYPE MP55  TENSION  ALIMENTATION DE 18 A 30 V   SIGNAL SORTIE  4 A 20 MA </v>
          </cell>
          <cell r="D4077" t="str">
            <v>PE</v>
          </cell>
          <cell r="E4077" t="str">
            <v>512.51201</v>
          </cell>
          <cell r="F4077">
            <v>19757.525000000001</v>
          </cell>
          <cell r="G4077">
            <v>0</v>
          </cell>
          <cell r="H4077">
            <v>0</v>
          </cell>
          <cell r="I4077">
            <v>0</v>
          </cell>
          <cell r="J4077">
            <v>0</v>
          </cell>
          <cell r="K4077">
            <v>1</v>
          </cell>
          <cell r="L4077">
            <v>0</v>
          </cell>
        </row>
        <row r="4078">
          <cell r="A4078" t="str">
            <v>20498.21230</v>
          </cell>
          <cell r="B4078" t="str">
            <v>ADAPTATEUR DE CONVERSION 6MM X X1/4" (TUBE - TUBE) DOUBLE BAGUES INOX</v>
          </cell>
          <cell r="C4078" t="str">
            <v>SAGANA, REF : AMODI 12 3/4</v>
          </cell>
          <cell r="D4078" t="str">
            <v>PE</v>
          </cell>
          <cell r="E4078" t="str">
            <v>515.51511</v>
          </cell>
          <cell r="F4078">
            <v>144</v>
          </cell>
          <cell r="G4078">
            <v>0</v>
          </cell>
          <cell r="H4078">
            <v>0</v>
          </cell>
          <cell r="I4078">
            <v>0</v>
          </cell>
          <cell r="J4078">
            <v>0</v>
          </cell>
          <cell r="K4078">
            <v>0</v>
          </cell>
          <cell r="L4078">
            <v>0</v>
          </cell>
        </row>
        <row r="4079">
          <cell r="A4079" t="str">
            <v>20498.21231</v>
          </cell>
          <cell r="B4079" t="str">
            <v>ECROU 6MM DOUBLE BAGUES INOX</v>
          </cell>
          <cell r="C4079" t="str">
            <v>SAGANA, REF : ESI 6</v>
          </cell>
          <cell r="D4079" t="str">
            <v>PE</v>
          </cell>
          <cell r="E4079" t="str">
            <v>515.51511</v>
          </cell>
          <cell r="F4079">
            <v>16</v>
          </cell>
          <cell r="G4079">
            <v>0</v>
          </cell>
          <cell r="H4079">
            <v>0</v>
          </cell>
          <cell r="I4079">
            <v>0</v>
          </cell>
          <cell r="J4079">
            <v>0</v>
          </cell>
          <cell r="K4079">
            <v>0</v>
          </cell>
          <cell r="L4079">
            <v>0</v>
          </cell>
        </row>
        <row r="4080">
          <cell r="A4080" t="str">
            <v>20498.21232</v>
          </cell>
          <cell r="B4080" t="str">
            <v>ECROU 10MM DOUBLE BAGUES INOX</v>
          </cell>
          <cell r="C4080" t="str">
            <v>SAGANA, REF : ESI 10</v>
          </cell>
          <cell r="D4080" t="str">
            <v>PE</v>
          </cell>
          <cell r="E4080" t="str">
            <v>515.51511</v>
          </cell>
          <cell r="F4080">
            <v>22</v>
          </cell>
          <cell r="G4080">
            <v>0</v>
          </cell>
          <cell r="H4080">
            <v>0</v>
          </cell>
          <cell r="I4080">
            <v>0</v>
          </cell>
          <cell r="J4080">
            <v>0</v>
          </cell>
          <cell r="K4080">
            <v>0</v>
          </cell>
          <cell r="L4080">
            <v>0</v>
          </cell>
        </row>
        <row r="4081">
          <cell r="A4081" t="str">
            <v>20498.02711</v>
          </cell>
          <cell r="B4081" t="str">
            <v>THERMOSTAT</v>
          </cell>
          <cell r="C4081" t="str">
            <v>ASHCROFT T4 64 T15 030 XBX</v>
          </cell>
          <cell r="D4081" t="str">
            <v>PE</v>
          </cell>
          <cell r="E4081" t="str">
            <v>512.51201</v>
          </cell>
          <cell r="F4081">
            <v>7320</v>
          </cell>
          <cell r="G4081">
            <v>0</v>
          </cell>
          <cell r="H4081">
            <v>0</v>
          </cell>
          <cell r="I4081">
            <v>0</v>
          </cell>
          <cell r="J4081">
            <v>0</v>
          </cell>
          <cell r="K4081">
            <v>0</v>
          </cell>
          <cell r="L4081">
            <v>1</v>
          </cell>
        </row>
        <row r="4082">
          <cell r="A4082" t="str">
            <v>20498.21233</v>
          </cell>
          <cell r="B4082" t="str">
            <v>ECROU 12MM DOUBLE BAGUES INOX</v>
          </cell>
          <cell r="C4082" t="str">
            <v>SAGANA, REF : ESI 12</v>
          </cell>
          <cell r="D4082" t="str">
            <v>PE</v>
          </cell>
          <cell r="E4082" t="str">
            <v>515.51511</v>
          </cell>
          <cell r="F4082">
            <v>38</v>
          </cell>
          <cell r="G4082">
            <v>0</v>
          </cell>
          <cell r="H4082">
            <v>0</v>
          </cell>
          <cell r="I4082">
            <v>0</v>
          </cell>
          <cell r="J4082">
            <v>0</v>
          </cell>
          <cell r="K4082">
            <v>0</v>
          </cell>
          <cell r="L4082">
            <v>0</v>
          </cell>
        </row>
        <row r="4083">
          <cell r="A4083" t="str">
            <v>20498.21234</v>
          </cell>
          <cell r="B4083" t="str">
            <v>BOUCHON 6MM DOUBLE BAGUES INOX</v>
          </cell>
          <cell r="C4083" t="str">
            <v>SAGANA, REF : BPSI 6</v>
          </cell>
          <cell r="D4083" t="str">
            <v>PE</v>
          </cell>
          <cell r="E4083" t="str">
            <v>515.51511</v>
          </cell>
          <cell r="F4083">
            <v>48</v>
          </cell>
          <cell r="G4083">
            <v>0</v>
          </cell>
          <cell r="H4083">
            <v>0</v>
          </cell>
          <cell r="I4083">
            <v>0</v>
          </cell>
          <cell r="J4083">
            <v>0</v>
          </cell>
          <cell r="K4083">
            <v>0</v>
          </cell>
          <cell r="L4083">
            <v>0</v>
          </cell>
        </row>
        <row r="4084">
          <cell r="A4084" t="str">
            <v>20498.21235</v>
          </cell>
          <cell r="B4084" t="str">
            <v>BOUCHON 8MM DOUBLE BAGUES INOX</v>
          </cell>
          <cell r="C4084" t="str">
            <v>SAGANA, REF : BPSI 8</v>
          </cell>
          <cell r="D4084" t="str">
            <v>PE</v>
          </cell>
          <cell r="E4084" t="str">
            <v>515.51511</v>
          </cell>
          <cell r="F4084">
            <v>50</v>
          </cell>
          <cell r="G4084">
            <v>0</v>
          </cell>
          <cell r="H4084">
            <v>0</v>
          </cell>
          <cell r="I4084">
            <v>0</v>
          </cell>
          <cell r="J4084">
            <v>0</v>
          </cell>
          <cell r="K4084">
            <v>0</v>
          </cell>
          <cell r="L4084">
            <v>0</v>
          </cell>
        </row>
        <row r="4085">
          <cell r="A4085" t="str">
            <v>20498.01251</v>
          </cell>
          <cell r="B4085" t="str">
            <v>PROBES</v>
          </cell>
          <cell r="C4085" t="str">
            <v>BENTLY NEVADA REF 330105-02-12-05-02-05 SERIE 3300XL</v>
          </cell>
          <cell r="D4085" t="str">
            <v>PE</v>
          </cell>
          <cell r="E4085" t="str">
            <v>512.51201</v>
          </cell>
          <cell r="F4085">
            <v>4565.8837000000003</v>
          </cell>
          <cell r="G4085">
            <v>0</v>
          </cell>
          <cell r="H4085">
            <v>0</v>
          </cell>
          <cell r="I4085">
            <v>0</v>
          </cell>
          <cell r="J4085">
            <v>0</v>
          </cell>
          <cell r="K4085">
            <v>0</v>
          </cell>
          <cell r="L4085">
            <v>2</v>
          </cell>
        </row>
        <row r="4086">
          <cell r="A4086" t="str">
            <v>20498.21236</v>
          </cell>
          <cell r="B4086" t="str">
            <v>BOUCHON 10MM DOUBLE BAGUES INOX</v>
          </cell>
          <cell r="C4086" t="str">
            <v>SAGANA, REF : BPSI 10</v>
          </cell>
          <cell r="D4086" t="str">
            <v>PE</v>
          </cell>
          <cell r="E4086" t="str">
            <v>515.51511</v>
          </cell>
          <cell r="F4086">
            <v>62</v>
          </cell>
          <cell r="G4086">
            <v>0</v>
          </cell>
          <cell r="H4086">
            <v>0</v>
          </cell>
          <cell r="I4086">
            <v>0</v>
          </cell>
          <cell r="J4086">
            <v>0</v>
          </cell>
          <cell r="K4086">
            <v>0</v>
          </cell>
          <cell r="L4086">
            <v>0</v>
          </cell>
        </row>
        <row r="4087">
          <cell r="A4087" t="str">
            <v>20498.21237</v>
          </cell>
          <cell r="B4087" t="str">
            <v>BOUCHON 12MM DOUBLE BAGUES INOX</v>
          </cell>
          <cell r="C4087" t="str">
            <v>SAGANA, REF : BPSI 12</v>
          </cell>
          <cell r="D4087" t="str">
            <v>PE</v>
          </cell>
          <cell r="E4087" t="str">
            <v>515.51511</v>
          </cell>
          <cell r="F4087">
            <v>86</v>
          </cell>
          <cell r="G4087">
            <v>0</v>
          </cell>
          <cell r="H4087">
            <v>0</v>
          </cell>
          <cell r="I4087">
            <v>0</v>
          </cell>
          <cell r="J4087">
            <v>0</v>
          </cell>
          <cell r="K4087">
            <v>0</v>
          </cell>
          <cell r="L4087">
            <v>0</v>
          </cell>
        </row>
        <row r="4088">
          <cell r="A4088" t="str">
            <v>20497.11443</v>
          </cell>
          <cell r="B4088" t="str">
            <v>VIS D'ARRET</v>
          </cell>
          <cell r="C4088" t="str">
            <v>GOULDS PUMPS IC-100-65-200 S1 VV 1A SERIE I 601E25/26/27 REP 904.31</v>
          </cell>
          <cell r="D4088" t="str">
            <v>PE</v>
          </cell>
          <cell r="E4088" t="str">
            <v>515.51517</v>
          </cell>
          <cell r="F4088">
            <v>36.840000000000003</v>
          </cell>
          <cell r="G4088">
            <v>0</v>
          </cell>
          <cell r="H4088">
            <v>0</v>
          </cell>
          <cell r="I4088">
            <v>0</v>
          </cell>
          <cell r="J4088">
            <v>0</v>
          </cell>
          <cell r="K4088">
            <v>0</v>
          </cell>
          <cell r="L4088">
            <v>2</v>
          </cell>
        </row>
        <row r="4089">
          <cell r="A4089" t="str">
            <v>20498.21238</v>
          </cell>
          <cell r="B4089" t="str">
            <v>OBTURATEUR 6MM DOUBLE BAGUES INOX</v>
          </cell>
          <cell r="C4089" t="str">
            <v>SAGANA, REF : OBSI 6</v>
          </cell>
          <cell r="D4089" t="str">
            <v>PE</v>
          </cell>
          <cell r="E4089" t="str">
            <v>515.51511</v>
          </cell>
          <cell r="F4089">
            <v>48</v>
          </cell>
          <cell r="G4089">
            <v>0</v>
          </cell>
          <cell r="H4089">
            <v>0</v>
          </cell>
          <cell r="I4089">
            <v>0</v>
          </cell>
          <cell r="J4089">
            <v>0</v>
          </cell>
          <cell r="K4089">
            <v>0</v>
          </cell>
          <cell r="L4089">
            <v>0</v>
          </cell>
        </row>
        <row r="4090">
          <cell r="A4090" t="str">
            <v>20497.11444</v>
          </cell>
          <cell r="B4090" t="str">
            <v>BAGUE DE FIXATION</v>
          </cell>
          <cell r="C4090" t="str">
            <v>GOULDS PUMPS IC-65-40-200 S1 VV 1A SERIE I 601E28/29 REP 527</v>
          </cell>
          <cell r="D4090" t="str">
            <v>PE</v>
          </cell>
          <cell r="E4090" t="str">
            <v>515.51517</v>
          </cell>
          <cell r="F4090">
            <v>1691.96</v>
          </cell>
          <cell r="G4090">
            <v>0</v>
          </cell>
          <cell r="H4090">
            <v>0</v>
          </cell>
          <cell r="I4090">
            <v>0</v>
          </cell>
          <cell r="J4090">
            <v>0</v>
          </cell>
          <cell r="K4090">
            <v>0</v>
          </cell>
          <cell r="L4090">
            <v>1</v>
          </cell>
        </row>
        <row r="4091">
          <cell r="A4091" t="str">
            <v>20498.02865</v>
          </cell>
          <cell r="B4091" t="str">
            <v>CARTE D'ABONNES  2FILS  P/GE200 . INDICES: B.C.D</v>
          </cell>
          <cell r="C4091" t="str">
            <v>COMMEND . FRANCE     G2-GED-4</v>
          </cell>
          <cell r="D4091" t="str">
            <v>PE</v>
          </cell>
          <cell r="E4091" t="str">
            <v>522.52206</v>
          </cell>
          <cell r="F4091">
            <v>11198.47</v>
          </cell>
          <cell r="G4091">
            <v>0</v>
          </cell>
          <cell r="H4091">
            <v>0</v>
          </cell>
          <cell r="I4091">
            <v>0</v>
          </cell>
          <cell r="J4091">
            <v>0</v>
          </cell>
          <cell r="K4091">
            <v>0</v>
          </cell>
          <cell r="L4091">
            <v>0</v>
          </cell>
        </row>
        <row r="4092">
          <cell r="A4092" t="str">
            <v>20497.11438</v>
          </cell>
          <cell r="B4092" t="str">
            <v>VIS D'ARRET</v>
          </cell>
          <cell r="C4092" t="str">
            <v>GOULDS PUMPS IC-125-80-200 S1 VL 1A SERIE I 601E22/23/24 REP 904.31</v>
          </cell>
          <cell r="D4092" t="str">
            <v>PE</v>
          </cell>
          <cell r="E4092" t="str">
            <v>515.51517</v>
          </cell>
          <cell r="F4092">
            <v>36.840000000000003</v>
          </cell>
          <cell r="G4092">
            <v>0</v>
          </cell>
          <cell r="H4092">
            <v>0</v>
          </cell>
          <cell r="I4092">
            <v>0</v>
          </cell>
          <cell r="J4092">
            <v>0</v>
          </cell>
          <cell r="K4092">
            <v>0</v>
          </cell>
          <cell r="L4092">
            <v>1</v>
          </cell>
        </row>
        <row r="4093">
          <cell r="A4093" t="str">
            <v>20497.11439</v>
          </cell>
          <cell r="B4093" t="str">
            <v>BAGUE DE FIXATION</v>
          </cell>
          <cell r="C4093" t="str">
            <v>GOULDS PUMPS IC-100-65-200 S1 VV 1A SERIE I 601E25/26/27 REP 527</v>
          </cell>
          <cell r="D4093" t="str">
            <v>PE</v>
          </cell>
          <cell r="E4093" t="str">
            <v>515.51517</v>
          </cell>
          <cell r="F4093">
            <v>2574.7800000000002</v>
          </cell>
          <cell r="G4093">
            <v>0</v>
          </cell>
          <cell r="H4093">
            <v>0</v>
          </cell>
          <cell r="I4093">
            <v>0</v>
          </cell>
          <cell r="J4093">
            <v>0</v>
          </cell>
          <cell r="K4093">
            <v>0</v>
          </cell>
          <cell r="L4093">
            <v>2</v>
          </cell>
        </row>
        <row r="4094">
          <cell r="A4094" t="str">
            <v>20497.11440</v>
          </cell>
          <cell r="B4094" t="str">
            <v>RENIFLARD</v>
          </cell>
          <cell r="C4094" t="str">
            <v>GOULDS PUMPS IC-100-65-200 S1 VV 1A SERIE I 601E25/26/27 REP 637</v>
          </cell>
          <cell r="D4094" t="str">
            <v>PE</v>
          </cell>
          <cell r="E4094" t="str">
            <v>515.51517</v>
          </cell>
          <cell r="F4094">
            <v>1397.74</v>
          </cell>
          <cell r="G4094">
            <v>0</v>
          </cell>
          <cell r="H4094">
            <v>0</v>
          </cell>
          <cell r="I4094">
            <v>0</v>
          </cell>
          <cell r="J4094">
            <v>0</v>
          </cell>
          <cell r="K4094">
            <v>0</v>
          </cell>
          <cell r="L4094">
            <v>1</v>
          </cell>
        </row>
        <row r="4095">
          <cell r="A4095" t="str">
            <v>20497.11445</v>
          </cell>
          <cell r="B4095" t="str">
            <v>RENIFLARD</v>
          </cell>
          <cell r="C4095" t="str">
            <v>GOULDS PUMPS IC-65-40-200 S1 VV 1A SERIE I 601E28/29 REP 637</v>
          </cell>
          <cell r="D4095" t="str">
            <v>PE</v>
          </cell>
          <cell r="E4095" t="str">
            <v>515.51517</v>
          </cell>
          <cell r="F4095">
            <v>1397.74</v>
          </cell>
          <cell r="G4095">
            <v>0</v>
          </cell>
          <cell r="H4095">
            <v>0</v>
          </cell>
          <cell r="I4095">
            <v>0</v>
          </cell>
          <cell r="J4095">
            <v>0</v>
          </cell>
          <cell r="K4095">
            <v>0</v>
          </cell>
          <cell r="L4095">
            <v>1</v>
          </cell>
        </row>
        <row r="4096">
          <cell r="A4096" t="str">
            <v>20498.21243</v>
          </cell>
          <cell r="B4096" t="str">
            <v>SET DE BAGUES (10 DE CHAQUE) 10MM DOUBLE BAGUES INOX</v>
          </cell>
          <cell r="C4096" t="str">
            <v>SAGANA, REF : SETI 10</v>
          </cell>
          <cell r="D4096" t="str">
            <v>PE</v>
          </cell>
          <cell r="E4096" t="str">
            <v>515.51511</v>
          </cell>
          <cell r="F4096">
            <v>227</v>
          </cell>
          <cell r="G4096">
            <v>0</v>
          </cell>
          <cell r="H4096">
            <v>0</v>
          </cell>
          <cell r="I4096">
            <v>0</v>
          </cell>
          <cell r="J4096">
            <v>0</v>
          </cell>
          <cell r="K4096">
            <v>0</v>
          </cell>
          <cell r="L4096">
            <v>0</v>
          </cell>
        </row>
        <row r="4097">
          <cell r="A4097" t="str">
            <v>20498.21244</v>
          </cell>
          <cell r="B4097" t="str">
            <v>SET DE BAGUES (10 DE CHAQUE) 12MM DOUBLE BAGUES INOX</v>
          </cell>
          <cell r="C4097" t="str">
            <v>SAGANA, REF : SETI 12</v>
          </cell>
          <cell r="D4097" t="str">
            <v>PE</v>
          </cell>
          <cell r="E4097" t="str">
            <v>515.51511</v>
          </cell>
          <cell r="F4097">
            <v>313</v>
          </cell>
          <cell r="G4097">
            <v>0</v>
          </cell>
          <cell r="H4097">
            <v>0</v>
          </cell>
          <cell r="I4097">
            <v>0</v>
          </cell>
          <cell r="J4097">
            <v>0</v>
          </cell>
          <cell r="K4097">
            <v>0</v>
          </cell>
          <cell r="L4097">
            <v>0</v>
          </cell>
        </row>
        <row r="4098">
          <cell r="A4098" t="str">
            <v>20498.21245</v>
          </cell>
          <cell r="B4098" t="str">
            <v>INSERT POUR TUBE PLASTIQUE 8MM</v>
          </cell>
          <cell r="C4098" t="str">
            <v>SAGANA, REF : INSI 8 6</v>
          </cell>
          <cell r="D4098" t="str">
            <v>PE</v>
          </cell>
          <cell r="E4098" t="str">
            <v>515.51511</v>
          </cell>
          <cell r="F4098">
            <v>23</v>
          </cell>
          <cell r="G4098">
            <v>0</v>
          </cell>
          <cell r="H4098">
            <v>0</v>
          </cell>
          <cell r="I4098">
            <v>0</v>
          </cell>
          <cell r="J4098">
            <v>0</v>
          </cell>
          <cell r="K4098">
            <v>0</v>
          </cell>
          <cell r="L4098">
            <v>0</v>
          </cell>
        </row>
        <row r="4099">
          <cell r="A4099" t="str">
            <v>20498.21246</v>
          </cell>
          <cell r="B4099" t="str">
            <v>INSERT POUR TUBE PLASTIQUE10MM</v>
          </cell>
          <cell r="C4099" t="str">
            <v>(MARQUE : SAGANA, REF : INSI 10 8)</v>
          </cell>
          <cell r="D4099" t="str">
            <v>PE</v>
          </cell>
          <cell r="E4099" t="str">
            <v>515.51511</v>
          </cell>
          <cell r="F4099">
            <v>21</v>
          </cell>
          <cell r="G4099">
            <v>0</v>
          </cell>
          <cell r="H4099">
            <v>0</v>
          </cell>
          <cell r="I4099">
            <v>0</v>
          </cell>
          <cell r="J4099">
            <v>0</v>
          </cell>
          <cell r="K4099">
            <v>0</v>
          </cell>
          <cell r="L4099">
            <v>0</v>
          </cell>
        </row>
        <row r="4100">
          <cell r="A4100" t="str">
            <v>20498.21247</v>
          </cell>
          <cell r="B4100" t="str">
            <v>TUBES ACIER INOX 316L ANNELES RECUITS D=6MM E=1MM</v>
          </cell>
          <cell r="C4100" t="str">
            <v>SAGANA, NORME : ASTM A-213 OU EQUIVALENT DIAMETRE 6MM EP 1MM</v>
          </cell>
          <cell r="D4100" t="str">
            <v>PE</v>
          </cell>
          <cell r="E4100" t="str">
            <v>515.51511</v>
          </cell>
          <cell r="F4100">
            <v>101</v>
          </cell>
          <cell r="G4100">
            <v>0</v>
          </cell>
          <cell r="H4100">
            <v>0</v>
          </cell>
          <cell r="I4100">
            <v>0</v>
          </cell>
          <cell r="J4100">
            <v>0</v>
          </cell>
          <cell r="K4100">
            <v>20</v>
          </cell>
          <cell r="L4100">
            <v>0</v>
          </cell>
        </row>
        <row r="4101">
          <cell r="A4101" t="str">
            <v>20498.02723</v>
          </cell>
          <cell r="B4101" t="str">
            <v>CAPTEUR</v>
          </cell>
          <cell r="C4101" t="str">
            <v>SCHENCK V041086.B07      MODEL RTB     CAPACITE 250KG</v>
          </cell>
          <cell r="D4101" t="str">
            <v>PE</v>
          </cell>
          <cell r="E4101" t="str">
            <v>512.51201</v>
          </cell>
          <cell r="F4101">
            <v>9690</v>
          </cell>
          <cell r="G4101">
            <v>0</v>
          </cell>
          <cell r="H4101">
            <v>0</v>
          </cell>
          <cell r="I4101">
            <v>0</v>
          </cell>
          <cell r="J4101">
            <v>0</v>
          </cell>
          <cell r="K4101">
            <v>0</v>
          </cell>
          <cell r="L4101">
            <v>1</v>
          </cell>
        </row>
        <row r="4102">
          <cell r="A4102" t="str">
            <v>20498.21239</v>
          </cell>
          <cell r="B4102" t="str">
            <v>OBTURATEUR 10MM DOUBLE BAGUES INOX</v>
          </cell>
          <cell r="C4102" t="str">
            <v>SAGANA, REF : OBSI 10</v>
          </cell>
          <cell r="D4102" t="str">
            <v>PE</v>
          </cell>
          <cell r="E4102" t="str">
            <v>515.51511</v>
          </cell>
          <cell r="F4102">
            <v>52</v>
          </cell>
          <cell r="G4102">
            <v>0</v>
          </cell>
          <cell r="H4102">
            <v>0</v>
          </cell>
          <cell r="I4102">
            <v>0</v>
          </cell>
          <cell r="J4102">
            <v>0</v>
          </cell>
          <cell r="K4102">
            <v>0</v>
          </cell>
          <cell r="L4102">
            <v>0</v>
          </cell>
        </row>
        <row r="4103">
          <cell r="A4103" t="str">
            <v>20498.21240</v>
          </cell>
          <cell r="B4103" t="str">
            <v>OBTURATEUR 12MM DOUBLE BAGUES INOX</v>
          </cell>
          <cell r="C4103" t="str">
            <v>SAGANA, REF : OBSI 12</v>
          </cell>
          <cell r="D4103" t="str">
            <v>PE</v>
          </cell>
          <cell r="E4103" t="str">
            <v>515.51511</v>
          </cell>
          <cell r="F4103">
            <v>68</v>
          </cell>
          <cell r="G4103">
            <v>0</v>
          </cell>
          <cell r="H4103">
            <v>0</v>
          </cell>
          <cell r="I4103">
            <v>0</v>
          </cell>
          <cell r="J4103">
            <v>0</v>
          </cell>
          <cell r="K4103">
            <v>0</v>
          </cell>
          <cell r="L4103">
            <v>0</v>
          </cell>
        </row>
        <row r="4104">
          <cell r="A4104" t="str">
            <v>20497.00379</v>
          </cell>
          <cell r="B4104" t="str">
            <v>PLAQUE DE FIXATION</v>
          </cell>
          <cell r="C4104" t="str">
            <v>WARMAN TYPE:200 EM A05/A/A05A/FF N° DE SERIE: 044063/044064 REP:F8081-E62</v>
          </cell>
          <cell r="D4104" t="str">
            <v>PE</v>
          </cell>
          <cell r="E4104" t="str">
            <v>515.51517</v>
          </cell>
          <cell r="F4104">
            <v>1063.8137999999999</v>
          </cell>
          <cell r="G4104">
            <v>0</v>
          </cell>
          <cell r="H4104">
            <v>0</v>
          </cell>
          <cell r="I4104">
            <v>0</v>
          </cell>
          <cell r="J4104">
            <v>0</v>
          </cell>
          <cell r="K4104">
            <v>2</v>
          </cell>
          <cell r="L4104">
            <v>5</v>
          </cell>
        </row>
        <row r="4105">
          <cell r="A4105" t="str">
            <v>20498.21241</v>
          </cell>
          <cell r="B4105" t="str">
            <v>SET DE BAGUES (10 DE CHAQUE) 6MM DOUBLE BAGUES INOX</v>
          </cell>
          <cell r="C4105" t="str">
            <v>SAGANA, REF : SETI 6</v>
          </cell>
          <cell r="D4105" t="str">
            <v>PE</v>
          </cell>
          <cell r="E4105" t="str">
            <v>515.51511</v>
          </cell>
          <cell r="F4105">
            <v>176</v>
          </cell>
          <cell r="G4105">
            <v>0</v>
          </cell>
          <cell r="H4105">
            <v>0</v>
          </cell>
          <cell r="I4105">
            <v>0</v>
          </cell>
          <cell r="J4105">
            <v>0</v>
          </cell>
          <cell r="K4105">
            <v>0</v>
          </cell>
          <cell r="L4105">
            <v>0</v>
          </cell>
        </row>
        <row r="4106">
          <cell r="A4106" t="str">
            <v>20497.10568</v>
          </cell>
          <cell r="B4106" t="str">
            <v>BAGUE D'ETANCHEITE</v>
          </cell>
          <cell r="C4106" t="str">
            <v>SULZER TYPE A 32-80 SERIE 100038243/100038244/100038245 REP411,31</v>
          </cell>
          <cell r="D4106" t="str">
            <v>PE</v>
          </cell>
          <cell r="E4106" t="str">
            <v>515.51505</v>
          </cell>
          <cell r="F4106">
            <v>73.587299999999999</v>
          </cell>
          <cell r="G4106">
            <v>0</v>
          </cell>
          <cell r="H4106">
            <v>0</v>
          </cell>
          <cell r="I4106">
            <v>0</v>
          </cell>
          <cell r="J4106">
            <v>0</v>
          </cell>
          <cell r="K4106">
            <v>0</v>
          </cell>
          <cell r="L4106">
            <v>4</v>
          </cell>
        </row>
        <row r="4107">
          <cell r="A4107" t="str">
            <v>20498.21242</v>
          </cell>
          <cell r="B4107" t="str">
            <v>SET DE BAGUES (10 DE CHAQUE) 8MM DOUBLE BAGUES INOX)</v>
          </cell>
          <cell r="C4107" t="str">
            <v>SAGANA, REF : SETI 8</v>
          </cell>
          <cell r="D4107" t="str">
            <v>PE</v>
          </cell>
          <cell r="E4107" t="str">
            <v>515.51511</v>
          </cell>
          <cell r="F4107">
            <v>218</v>
          </cell>
          <cell r="G4107">
            <v>0</v>
          </cell>
          <cell r="H4107">
            <v>0</v>
          </cell>
          <cell r="I4107">
            <v>0</v>
          </cell>
          <cell r="J4107">
            <v>0</v>
          </cell>
          <cell r="K4107">
            <v>0</v>
          </cell>
          <cell r="L4107">
            <v>0</v>
          </cell>
        </row>
        <row r="4108">
          <cell r="A4108" t="str">
            <v>20498.02718</v>
          </cell>
          <cell r="B4108" t="str">
            <v>INDICATEUR DIGITAL</v>
          </cell>
          <cell r="C4108" t="str">
            <v>AUTOMATIQUE TIMING &amp; CONTROLS  MODEL 3722A</v>
          </cell>
          <cell r="D4108" t="str">
            <v>PE</v>
          </cell>
          <cell r="E4108" t="str">
            <v>512.51201</v>
          </cell>
          <cell r="F4108">
            <v>13416</v>
          </cell>
          <cell r="G4108">
            <v>0</v>
          </cell>
          <cell r="H4108">
            <v>0</v>
          </cell>
          <cell r="I4108">
            <v>0</v>
          </cell>
          <cell r="J4108">
            <v>0</v>
          </cell>
          <cell r="K4108">
            <v>0</v>
          </cell>
          <cell r="L4108">
            <v>1</v>
          </cell>
        </row>
        <row r="4109">
          <cell r="A4109" t="str">
            <v>20497.10690</v>
          </cell>
          <cell r="B4109" t="str">
            <v>ROTOR</v>
          </cell>
          <cell r="C4109" t="str">
            <v>SEEPEX TYPE BN 5-6L PLAN N°062-002B1 REP 600</v>
          </cell>
          <cell r="D4109" t="str">
            <v>PE</v>
          </cell>
          <cell r="E4109" t="str">
            <v>515.51503</v>
          </cell>
          <cell r="F4109">
            <v>4727.3140999999996</v>
          </cell>
          <cell r="G4109">
            <v>0</v>
          </cell>
          <cell r="H4109">
            <v>0</v>
          </cell>
          <cell r="I4109">
            <v>0</v>
          </cell>
          <cell r="J4109">
            <v>0</v>
          </cell>
          <cell r="K4109">
            <v>0</v>
          </cell>
          <cell r="L4109">
            <v>1</v>
          </cell>
        </row>
        <row r="4110">
          <cell r="A4110" t="str">
            <v>20497.10691</v>
          </cell>
          <cell r="B4110" t="str">
            <v>STATOR</v>
          </cell>
          <cell r="C4110" t="str">
            <v>SEEPEX TYPE BN 5-6L PLAN N°062-002B1 REP 601</v>
          </cell>
          <cell r="D4110" t="str">
            <v>PE</v>
          </cell>
          <cell r="E4110" t="str">
            <v>515.51503</v>
          </cell>
          <cell r="F4110">
            <v>3189.0610999999999</v>
          </cell>
          <cell r="G4110">
            <v>0</v>
          </cell>
          <cell r="H4110">
            <v>0</v>
          </cell>
          <cell r="I4110">
            <v>0</v>
          </cell>
          <cell r="J4110">
            <v>0</v>
          </cell>
          <cell r="K4110">
            <v>0</v>
          </cell>
          <cell r="L4110">
            <v>1</v>
          </cell>
        </row>
        <row r="4111">
          <cell r="A4111" t="str">
            <v>20498.02872</v>
          </cell>
          <cell r="B4111" t="str">
            <v>MODULE  HAUT-PARLEUR 15W .  92dB/1W/1 m/1KHz . IMPED = 8 Ohms</v>
          </cell>
          <cell r="C4111" t="str">
            <v>COMMEND . FRANCE        EM 650</v>
          </cell>
          <cell r="D4111" t="str">
            <v>PE</v>
          </cell>
          <cell r="E4111" t="str">
            <v>522.52206</v>
          </cell>
          <cell r="F4111">
            <v>1762.16</v>
          </cell>
          <cell r="G4111">
            <v>0</v>
          </cell>
          <cell r="H4111">
            <v>0</v>
          </cell>
          <cell r="I4111">
            <v>0</v>
          </cell>
          <cell r="J4111">
            <v>0</v>
          </cell>
          <cell r="K4111">
            <v>0</v>
          </cell>
          <cell r="L4111">
            <v>5</v>
          </cell>
        </row>
        <row r="4112">
          <cell r="A4112" t="str">
            <v>20497.10694</v>
          </cell>
          <cell r="B4112" t="str">
            <v>BRIDE DE REFOULEMENT</v>
          </cell>
          <cell r="C4112" t="str">
            <v>SEEPEX TYPE BN 5-6L PLAN N°062-002B1 REP 700</v>
          </cell>
          <cell r="D4112" t="str">
            <v>PE</v>
          </cell>
          <cell r="E4112" t="str">
            <v>515.51503</v>
          </cell>
          <cell r="F4112">
            <v>2863.9018999999998</v>
          </cell>
          <cell r="G4112">
            <v>0</v>
          </cell>
          <cell r="H4112">
            <v>0</v>
          </cell>
          <cell r="I4112">
            <v>0</v>
          </cell>
          <cell r="J4112">
            <v>0</v>
          </cell>
          <cell r="K4112">
            <v>0</v>
          </cell>
          <cell r="L4112">
            <v>1</v>
          </cell>
        </row>
        <row r="4113">
          <cell r="A4113" t="str">
            <v>20498.02873</v>
          </cell>
          <cell r="B4113" t="str">
            <v>MODULE MICROPHONE + MICROPHONE UNIVERSEL AVEC 2 TOUCHES LUMINEUSES</v>
          </cell>
          <cell r="C4113" t="str">
            <v>COMMEND . FRANCE       EM 680</v>
          </cell>
          <cell r="D4113" t="str">
            <v>PE</v>
          </cell>
          <cell r="E4113" t="str">
            <v>522.52206</v>
          </cell>
          <cell r="F4113">
            <v>3564.72</v>
          </cell>
          <cell r="G4113">
            <v>0</v>
          </cell>
          <cell r="H4113">
            <v>0</v>
          </cell>
          <cell r="I4113">
            <v>0</v>
          </cell>
          <cell r="J4113">
            <v>0</v>
          </cell>
          <cell r="K4113">
            <v>1</v>
          </cell>
          <cell r="L4113">
            <v>3</v>
          </cell>
        </row>
        <row r="4114">
          <cell r="A4114" t="str">
            <v>20497.10695</v>
          </cell>
          <cell r="B4114" t="str">
            <v>BOUCHON DE VIDANGE</v>
          </cell>
          <cell r="C4114" t="str">
            <v>SEEPEX TYPE BN 5-6L PLAN N°062-002B1 REP 705</v>
          </cell>
          <cell r="D4114" t="str">
            <v>PE</v>
          </cell>
          <cell r="E4114" t="str">
            <v>515.51503</v>
          </cell>
          <cell r="F4114">
            <v>67.032799999999995</v>
          </cell>
          <cell r="G4114">
            <v>0</v>
          </cell>
          <cell r="H4114">
            <v>0</v>
          </cell>
          <cell r="I4114">
            <v>0</v>
          </cell>
          <cell r="J4114">
            <v>0</v>
          </cell>
          <cell r="K4114">
            <v>1</v>
          </cell>
          <cell r="L4114">
            <v>0</v>
          </cell>
        </row>
        <row r="4115">
          <cell r="A4115" t="str">
            <v>20497.10696</v>
          </cell>
          <cell r="B4115" t="str">
            <v>JOINT</v>
          </cell>
          <cell r="C4115" t="str">
            <v>SEEPEX TYPE BN 5-6L PLAN N°062-002B1 REP 706</v>
          </cell>
          <cell r="D4115" t="str">
            <v>PE</v>
          </cell>
          <cell r="E4115" t="str">
            <v>515.51503</v>
          </cell>
          <cell r="F4115">
            <v>6.7533000000000003</v>
          </cell>
          <cell r="G4115">
            <v>0</v>
          </cell>
          <cell r="H4115">
            <v>0</v>
          </cell>
          <cell r="I4115">
            <v>0</v>
          </cell>
          <cell r="J4115">
            <v>0</v>
          </cell>
          <cell r="K4115">
            <v>2</v>
          </cell>
          <cell r="L4115">
            <v>0</v>
          </cell>
        </row>
        <row r="4116">
          <cell r="A4116" t="str">
            <v>20498.02874</v>
          </cell>
          <cell r="B4116" t="str">
            <v>MODULE DE TOUCHES AVEC 12 TOUCHES  EQUIPEES DE LED COULEUR</v>
          </cell>
          <cell r="C4116" t="str">
            <v>COMMEND . FRANCE       EM 302</v>
          </cell>
          <cell r="D4116" t="str">
            <v>PE</v>
          </cell>
          <cell r="E4116" t="str">
            <v>522.52206</v>
          </cell>
          <cell r="F4116">
            <v>3830.67</v>
          </cell>
          <cell r="G4116">
            <v>0</v>
          </cell>
          <cell r="H4116">
            <v>0</v>
          </cell>
          <cell r="I4116">
            <v>0</v>
          </cell>
          <cell r="J4116">
            <v>0</v>
          </cell>
          <cell r="K4116">
            <v>0</v>
          </cell>
          <cell r="L4116">
            <v>0</v>
          </cell>
        </row>
        <row r="4117">
          <cell r="A4117" t="str">
            <v>20498.02867</v>
          </cell>
          <cell r="B4117" t="str">
            <v>BOITIER DE BASE  P/INTERPHONE  INDUST  NUMERIQUE 2FILS</v>
          </cell>
          <cell r="C4117" t="str">
            <v>COMMEND . FRANCE     EE 8999M</v>
          </cell>
          <cell r="D4117" t="str">
            <v>PE</v>
          </cell>
          <cell r="E4117" t="str">
            <v>522.52206</v>
          </cell>
          <cell r="F4117">
            <v>8263.16</v>
          </cell>
          <cell r="G4117">
            <v>0</v>
          </cell>
          <cell r="H4117">
            <v>0</v>
          </cell>
          <cell r="I4117">
            <v>0</v>
          </cell>
          <cell r="J4117">
            <v>0</v>
          </cell>
          <cell r="K4117">
            <v>1</v>
          </cell>
          <cell r="L4117">
            <v>2</v>
          </cell>
        </row>
        <row r="4118">
          <cell r="A4118" t="str">
            <v>20498.02868</v>
          </cell>
          <cell r="B4118" t="str">
            <v>PUPITRE DE CONTROLE NUMERIQUE DE TABLE AVEC MICROPHONE A COL DE CYGNE + CLAVIER</v>
          </cell>
          <cell r="C4118" t="str">
            <v>COMMEND . FRANCE          EE 380A</v>
          </cell>
          <cell r="D4118" t="str">
            <v>PE</v>
          </cell>
          <cell r="E4118" t="str">
            <v>522.52206</v>
          </cell>
          <cell r="F4118">
            <v>9505.25</v>
          </cell>
          <cell r="G4118">
            <v>0</v>
          </cell>
          <cell r="H4118">
            <v>0</v>
          </cell>
          <cell r="I4118">
            <v>0</v>
          </cell>
          <cell r="J4118">
            <v>0</v>
          </cell>
          <cell r="K4118">
            <v>0</v>
          </cell>
          <cell r="L4118">
            <v>0</v>
          </cell>
        </row>
        <row r="4119">
          <cell r="A4119" t="str">
            <v>20498.02869</v>
          </cell>
          <cell r="B4119" t="str">
            <v>BOITIER D'EXTENSION</v>
          </cell>
          <cell r="C4119" t="str">
            <v>COMMEND . FRANCE          GEZ200</v>
          </cell>
          <cell r="D4119" t="str">
            <v>PE</v>
          </cell>
          <cell r="E4119" t="str">
            <v>522.52206</v>
          </cell>
          <cell r="F4119">
            <v>4746.71</v>
          </cell>
          <cell r="G4119">
            <v>0</v>
          </cell>
          <cell r="H4119">
            <v>0</v>
          </cell>
          <cell r="I4119">
            <v>0</v>
          </cell>
          <cell r="J4119">
            <v>0</v>
          </cell>
          <cell r="K4119">
            <v>0</v>
          </cell>
          <cell r="L4119">
            <v>0</v>
          </cell>
        </row>
        <row r="4120">
          <cell r="A4120" t="str">
            <v>20498.02870</v>
          </cell>
          <cell r="B4120" t="str">
            <v>BLOC SECTEUR VERSION EUROPE 24V CA/40 VA L= 87,2  B=56,2 H=60,2MM</v>
          </cell>
          <cell r="C4120" t="str">
            <v>COMMEND . FRANCE       PA1-230</v>
          </cell>
          <cell r="D4120" t="str">
            <v>PE</v>
          </cell>
          <cell r="E4120" t="str">
            <v>522.52206</v>
          </cell>
          <cell r="F4120">
            <v>629.41</v>
          </cell>
          <cell r="G4120">
            <v>0</v>
          </cell>
          <cell r="H4120">
            <v>0</v>
          </cell>
          <cell r="I4120">
            <v>0</v>
          </cell>
          <cell r="J4120">
            <v>0</v>
          </cell>
          <cell r="K4120">
            <v>0</v>
          </cell>
          <cell r="L4120">
            <v>2</v>
          </cell>
        </row>
        <row r="4121">
          <cell r="A4121" t="str">
            <v>20498.02871</v>
          </cell>
          <cell r="B4121" t="str">
            <v>MODULE FICTIF SERVANT DE CACHE P/EMPLACEMENTS LIBRES</v>
          </cell>
          <cell r="C4121" t="str">
            <v>COMMEND . FRANCE        EM 600</v>
          </cell>
          <cell r="D4121" t="str">
            <v>PE</v>
          </cell>
          <cell r="E4121" t="str">
            <v>522.52206</v>
          </cell>
          <cell r="F4121">
            <v>718.07</v>
          </cell>
          <cell r="G4121">
            <v>0</v>
          </cell>
          <cell r="H4121">
            <v>0</v>
          </cell>
          <cell r="I4121">
            <v>0</v>
          </cell>
          <cell r="J4121">
            <v>0</v>
          </cell>
          <cell r="K4121">
            <v>0</v>
          </cell>
          <cell r="L4121">
            <v>6</v>
          </cell>
        </row>
        <row r="4122">
          <cell r="A4122" t="str">
            <v>20497.10867</v>
          </cell>
          <cell r="B4122" t="str">
            <v>JEU DE GRAISSEUR</v>
          </cell>
          <cell r="C4122" t="str">
            <v>MILTON ROY MIXING TYPE G5,240-160/52,8 PLAN 17236-5 REP2250/2500</v>
          </cell>
          <cell r="D4122" t="str">
            <v>PE</v>
          </cell>
          <cell r="E4122" t="str">
            <v>515.51514</v>
          </cell>
          <cell r="F4122">
            <v>120.1186</v>
          </cell>
          <cell r="G4122">
            <v>0</v>
          </cell>
          <cell r="H4122">
            <v>2</v>
          </cell>
          <cell r="I4122">
            <v>0</v>
          </cell>
          <cell r="J4122">
            <v>0</v>
          </cell>
          <cell r="K4122">
            <v>1</v>
          </cell>
          <cell r="L4122">
            <v>5</v>
          </cell>
        </row>
        <row r="4123">
          <cell r="A4123" t="str">
            <v>20497.10868</v>
          </cell>
          <cell r="B4123" t="str">
            <v>JEU DE RALLONGES GRAISSEUR</v>
          </cell>
          <cell r="C4123" t="str">
            <v>MILTON ROY MIXING TYPE G5,240-160/52,8 PLAN 17236-5 REP2260/2510</v>
          </cell>
          <cell r="D4123" t="str">
            <v>PE</v>
          </cell>
          <cell r="E4123" t="str">
            <v>515.51514</v>
          </cell>
          <cell r="F4123">
            <v>902.7953</v>
          </cell>
          <cell r="G4123">
            <v>0</v>
          </cell>
          <cell r="H4123">
            <v>1</v>
          </cell>
          <cell r="I4123">
            <v>0</v>
          </cell>
          <cell r="J4123">
            <v>0</v>
          </cell>
          <cell r="K4123">
            <v>1</v>
          </cell>
          <cell r="L4123">
            <v>1</v>
          </cell>
        </row>
        <row r="4124">
          <cell r="A4124" t="str">
            <v>20497.10869</v>
          </cell>
          <cell r="B4124" t="str">
            <v>SOUPAPE DE COMPRESSION</v>
          </cell>
          <cell r="C4124" t="str">
            <v>MILTON ROY MIXING TYPE G5,240-160/52,8 PLAN 17236-5 REP2310</v>
          </cell>
          <cell r="D4124" t="str">
            <v>PE</v>
          </cell>
          <cell r="E4124" t="str">
            <v>515.51514</v>
          </cell>
          <cell r="F4124">
            <v>60.0593</v>
          </cell>
          <cell r="G4124">
            <v>0</v>
          </cell>
          <cell r="H4124">
            <v>0</v>
          </cell>
          <cell r="I4124">
            <v>7</v>
          </cell>
          <cell r="J4124">
            <v>0</v>
          </cell>
          <cell r="K4124">
            <v>1</v>
          </cell>
          <cell r="L4124">
            <v>0</v>
          </cell>
        </row>
        <row r="4125">
          <cell r="A4125" t="str">
            <v>20497.10870</v>
          </cell>
          <cell r="B4125" t="str">
            <v>COUVERCLE SUPERIEUR DE PALIER GUIDE</v>
          </cell>
          <cell r="C4125" t="str">
            <v>MILTON ROY MIXING TYPE G5,240-160/52,8 PLAN 17236-5 REP2420</v>
          </cell>
          <cell r="D4125" t="str">
            <v>PE</v>
          </cell>
          <cell r="E4125" t="str">
            <v>515.51514</v>
          </cell>
          <cell r="F4125">
            <v>13068.228800000001</v>
          </cell>
          <cell r="G4125">
            <v>0</v>
          </cell>
          <cell r="H4125">
            <v>0</v>
          </cell>
          <cell r="I4125">
            <v>0</v>
          </cell>
          <cell r="J4125">
            <v>0</v>
          </cell>
          <cell r="K4125">
            <v>1</v>
          </cell>
          <cell r="L4125">
            <v>2</v>
          </cell>
        </row>
        <row r="4126">
          <cell r="A4126" t="str">
            <v>20497.10871</v>
          </cell>
          <cell r="B4126" t="str">
            <v>COUVERCLE INFERIEUR DE PALIER GUIDE</v>
          </cell>
          <cell r="C4126" t="str">
            <v>MILTON ROY MIXING TYPE G5,240-160/52,8 PLAN 17236-5 REP2460</v>
          </cell>
          <cell r="D4126" t="str">
            <v>PE</v>
          </cell>
          <cell r="E4126" t="str">
            <v>515.51514</v>
          </cell>
          <cell r="F4126">
            <v>12062.875899999999</v>
          </cell>
          <cell r="G4126">
            <v>0</v>
          </cell>
          <cell r="H4126">
            <v>0</v>
          </cell>
          <cell r="I4126">
            <v>0</v>
          </cell>
          <cell r="J4126">
            <v>0</v>
          </cell>
          <cell r="K4126">
            <v>1</v>
          </cell>
          <cell r="L4126">
            <v>2</v>
          </cell>
        </row>
        <row r="4127">
          <cell r="A4127" t="str">
            <v>20499.07185</v>
          </cell>
          <cell r="B4127" t="str">
            <v>ROBINET A SOUPAPE</v>
          </cell>
          <cell r="C4127" t="str">
            <v>SACCAP PLAN AR5312W1A1KE DN3/4" CLASSE 800 RACCORDEMENT SW</v>
          </cell>
          <cell r="D4127" t="str">
            <v>PE</v>
          </cell>
          <cell r="E4127" t="str">
            <v>515.51511</v>
          </cell>
          <cell r="F4127">
            <v>276</v>
          </cell>
          <cell r="G4127">
            <v>0</v>
          </cell>
          <cell r="H4127">
            <v>9</v>
          </cell>
          <cell r="I4127">
            <v>0</v>
          </cell>
          <cell r="J4127">
            <v>0</v>
          </cell>
          <cell r="K4127">
            <v>0</v>
          </cell>
          <cell r="L4127">
            <v>0</v>
          </cell>
        </row>
        <row r="4128">
          <cell r="A4128" t="str">
            <v>20499.07186</v>
          </cell>
          <cell r="B4128" t="str">
            <v>ROBINET A SOUPAPE</v>
          </cell>
          <cell r="C4128" t="str">
            <v>SACCAP PLAN AR5312W1A1KE DN1" CLASSE 800 RACCORDEMENT SW</v>
          </cell>
          <cell r="D4128" t="str">
            <v>PE</v>
          </cell>
          <cell r="E4128" t="str">
            <v>515.51511</v>
          </cell>
          <cell r="F4128">
            <v>252.27160000000001</v>
          </cell>
          <cell r="G4128">
            <v>0</v>
          </cell>
          <cell r="H4128">
            <v>0</v>
          </cell>
          <cell r="I4128">
            <v>0</v>
          </cell>
          <cell r="J4128">
            <v>0</v>
          </cell>
          <cell r="K4128">
            <v>0</v>
          </cell>
          <cell r="L4128">
            <v>1</v>
          </cell>
        </row>
        <row r="4129">
          <cell r="A4129" t="str">
            <v>20498.21248</v>
          </cell>
          <cell r="B4129" t="str">
            <v>TUBES ACIER INOX 316L ANNELES RECUITS D=8MM E=1MM</v>
          </cell>
          <cell r="C4129" t="str">
            <v>SAGANA, NORME : ASTM A-213 OU EQUIVALENT DIAMETRE 8MM EP 1MM</v>
          </cell>
          <cell r="D4129" t="str">
            <v>PE</v>
          </cell>
          <cell r="E4129" t="str">
            <v>515.51511</v>
          </cell>
          <cell r="F4129">
            <v>123</v>
          </cell>
          <cell r="G4129">
            <v>0</v>
          </cell>
          <cell r="H4129">
            <v>0</v>
          </cell>
          <cell r="I4129">
            <v>0</v>
          </cell>
          <cell r="J4129">
            <v>0</v>
          </cell>
          <cell r="K4129">
            <v>20</v>
          </cell>
          <cell r="L4129">
            <v>0</v>
          </cell>
        </row>
        <row r="4130">
          <cell r="A4130" t="str">
            <v>20499.07047</v>
          </cell>
          <cell r="B4130" t="str">
            <v>SOUPAPE DE SECURITE</v>
          </cell>
          <cell r="C4130" t="str">
            <v>TYCO  PLAN : 4P2 6HCI - 48 -C    ENTREE : DN 4 POUCES  SORTIE :  DN 6 POUCES</v>
          </cell>
          <cell r="D4130" t="str">
            <v>PE</v>
          </cell>
          <cell r="E4130" t="str">
            <v>515.51511</v>
          </cell>
          <cell r="F4130">
            <v>198240.57</v>
          </cell>
          <cell r="G4130">
            <v>0</v>
          </cell>
          <cell r="H4130">
            <v>0</v>
          </cell>
          <cell r="I4130">
            <v>0</v>
          </cell>
          <cell r="J4130">
            <v>1</v>
          </cell>
          <cell r="K4130">
            <v>0</v>
          </cell>
          <cell r="L4130">
            <v>0</v>
          </cell>
        </row>
        <row r="4131">
          <cell r="A4131" t="str">
            <v>20498.21251</v>
          </cell>
          <cell r="B4131" t="str">
            <v>TUBES ACIER INOX 316L ANNELES RECUITS D=1/2" E=0,065"</v>
          </cell>
          <cell r="C4131" t="str">
            <v>SAGANA, NORME : ASTM A-213 OU EQUIVALENT DIAMETRE 1/2" EP 0,065"</v>
          </cell>
          <cell r="D4131" t="str">
            <v>PE</v>
          </cell>
          <cell r="E4131" t="str">
            <v>515.51511</v>
          </cell>
          <cell r="F4131">
            <v>205</v>
          </cell>
          <cell r="G4131">
            <v>0</v>
          </cell>
          <cell r="H4131">
            <v>0</v>
          </cell>
          <cell r="I4131">
            <v>0</v>
          </cell>
          <cell r="J4131">
            <v>0</v>
          </cell>
          <cell r="K4131">
            <v>10</v>
          </cell>
          <cell r="L4131">
            <v>0</v>
          </cell>
        </row>
        <row r="4132">
          <cell r="A4132" t="str">
            <v>20498.21252</v>
          </cell>
          <cell r="B4132" t="str">
            <v>TUBES ACIER INOX 316L ANNELES RECUITS D=3/4" E=0.083"</v>
          </cell>
          <cell r="C4132" t="str">
            <v>SAGANA, NORME : ASTM A-213 OU EQUIVALENT DIAMETRE 3/4" EP 0,083"</v>
          </cell>
          <cell r="D4132" t="str">
            <v>PE</v>
          </cell>
          <cell r="E4132" t="str">
            <v>515.51511</v>
          </cell>
          <cell r="F4132">
            <v>340</v>
          </cell>
          <cell r="G4132">
            <v>0</v>
          </cell>
          <cell r="H4132">
            <v>0</v>
          </cell>
          <cell r="I4132">
            <v>0</v>
          </cell>
          <cell r="J4132">
            <v>0</v>
          </cell>
          <cell r="K4132">
            <v>10</v>
          </cell>
          <cell r="L4132">
            <v>0</v>
          </cell>
        </row>
        <row r="4133">
          <cell r="A4133" t="str">
            <v>20498.21249</v>
          </cell>
          <cell r="B4133" t="str">
            <v>TUBES ACIER INOX 316L ANNELES RECUITS D=10MM E=1MM</v>
          </cell>
          <cell r="C4133" t="str">
            <v>SAGANA, NORME : ASTM A-213 OU EQUIVALENT DIAMETRE 10MM EP 1MM</v>
          </cell>
          <cell r="D4133" t="str">
            <v>PE</v>
          </cell>
          <cell r="E4133" t="str">
            <v>515.51511</v>
          </cell>
          <cell r="F4133">
            <v>131</v>
          </cell>
          <cell r="G4133">
            <v>0</v>
          </cell>
          <cell r="H4133">
            <v>0</v>
          </cell>
          <cell r="I4133">
            <v>0</v>
          </cell>
          <cell r="J4133">
            <v>0</v>
          </cell>
          <cell r="K4133">
            <v>20</v>
          </cell>
          <cell r="L4133">
            <v>0</v>
          </cell>
        </row>
        <row r="4134">
          <cell r="A4134" t="str">
            <v>20498.21253</v>
          </cell>
          <cell r="B4134" t="str">
            <v>TUBES ACIER INOX 316L ANNELES RECUITS D=1" E=0.083"</v>
          </cell>
          <cell r="C4134" t="str">
            <v>SAGANA, NORME : ASTM A-213 OU EQUIVALENT DIAMETRE 1" EP 0,083"</v>
          </cell>
          <cell r="D4134" t="str">
            <v>PE</v>
          </cell>
          <cell r="E4134" t="str">
            <v>515.51511</v>
          </cell>
          <cell r="F4134">
            <v>426</v>
          </cell>
          <cell r="G4134">
            <v>0</v>
          </cell>
          <cell r="H4134">
            <v>0</v>
          </cell>
          <cell r="I4134">
            <v>0</v>
          </cell>
          <cell r="J4134">
            <v>0</v>
          </cell>
          <cell r="K4134">
            <v>10</v>
          </cell>
          <cell r="L4134">
            <v>0</v>
          </cell>
        </row>
        <row r="4135">
          <cell r="A4135" t="str">
            <v>20498.21250</v>
          </cell>
          <cell r="B4135" t="str">
            <v>TUBES ACIER INOX 316L ANNELES RECUITS D=12MM E=1MM</v>
          </cell>
          <cell r="C4135" t="str">
            <v>SAGANA, NORME : ASTM A-213 OU EQUIVALENT DIAMETRE 12MM EP 1MM</v>
          </cell>
          <cell r="D4135" t="str">
            <v>PE</v>
          </cell>
          <cell r="E4135" t="str">
            <v>515.51511</v>
          </cell>
          <cell r="F4135">
            <v>149</v>
          </cell>
          <cell r="G4135">
            <v>0</v>
          </cell>
          <cell r="H4135">
            <v>0</v>
          </cell>
          <cell r="I4135">
            <v>0</v>
          </cell>
          <cell r="J4135">
            <v>0</v>
          </cell>
          <cell r="K4135">
            <v>9</v>
          </cell>
          <cell r="L4135">
            <v>0</v>
          </cell>
        </row>
        <row r="4136">
          <cell r="A4136" t="str">
            <v>20499.01586</v>
          </cell>
          <cell r="B4136" t="str">
            <v>MECANISME DE MANOEUVRE</v>
          </cell>
          <cell r="C4136" t="str">
            <v>FLUOROSEAL 10R152F/EG-904L/904L-P-FS</v>
          </cell>
          <cell r="D4136" t="str">
            <v>PE</v>
          </cell>
          <cell r="E4136" t="str">
            <v>515.51511</v>
          </cell>
          <cell r="F4136">
            <v>3425.1152999999999</v>
          </cell>
          <cell r="G4136">
            <v>0</v>
          </cell>
          <cell r="H4136">
            <v>0</v>
          </cell>
          <cell r="I4136">
            <v>0</v>
          </cell>
          <cell r="J4136">
            <v>0</v>
          </cell>
          <cell r="K4136">
            <v>0</v>
          </cell>
          <cell r="L4136">
            <v>0</v>
          </cell>
        </row>
        <row r="4137">
          <cell r="A4137" t="str">
            <v>20499.00057</v>
          </cell>
          <cell r="B4137" t="str">
            <v>VANNE A BOISEAU</v>
          </cell>
          <cell r="C4137" t="str">
            <v>FLUOROSEAL  FPS-152-302-F-STD-L-05-13  DN15  CLASSE 150</v>
          </cell>
          <cell r="D4137" t="str">
            <v>PE</v>
          </cell>
          <cell r="E4137" t="str">
            <v>515.51511</v>
          </cell>
          <cell r="F4137">
            <v>1534</v>
          </cell>
          <cell r="G4137">
            <v>0</v>
          </cell>
          <cell r="H4137">
            <v>0</v>
          </cell>
          <cell r="I4137">
            <v>0</v>
          </cell>
          <cell r="J4137">
            <v>0</v>
          </cell>
          <cell r="K4137">
            <v>0</v>
          </cell>
          <cell r="L4137">
            <v>20</v>
          </cell>
        </row>
        <row r="4138">
          <cell r="A4138" t="str">
            <v>20499.00058</v>
          </cell>
          <cell r="B4138" t="str">
            <v>VANNE A BOISEAU</v>
          </cell>
          <cell r="C4138" t="str">
            <v>FLUOROSEAL FPS-152-302-F-STD-L-05-13 DN25 CLASSE 150</v>
          </cell>
          <cell r="D4138" t="str">
            <v>PE</v>
          </cell>
          <cell r="E4138" t="str">
            <v>515.51511</v>
          </cell>
          <cell r="F4138">
            <v>1858</v>
          </cell>
          <cell r="G4138">
            <v>1</v>
          </cell>
          <cell r="H4138">
            <v>8</v>
          </cell>
          <cell r="I4138">
            <v>0</v>
          </cell>
          <cell r="J4138">
            <v>0</v>
          </cell>
          <cell r="K4138">
            <v>0</v>
          </cell>
          <cell r="L4138">
            <v>11</v>
          </cell>
        </row>
        <row r="4139">
          <cell r="A4139" t="str">
            <v>20499.00059</v>
          </cell>
          <cell r="B4139" t="str">
            <v>VANNE A BOISEAU</v>
          </cell>
          <cell r="C4139" t="str">
            <v>FLUOROSEAL FPS-152-302-F-STD-L-05-13 DN40 CLASSE 150</v>
          </cell>
          <cell r="D4139" t="str">
            <v>PE</v>
          </cell>
          <cell r="E4139" t="str">
            <v>515.51511</v>
          </cell>
          <cell r="F4139">
            <v>3227.4364999999998</v>
          </cell>
          <cell r="G4139">
            <v>0</v>
          </cell>
          <cell r="H4139">
            <v>0</v>
          </cell>
          <cell r="I4139">
            <v>0</v>
          </cell>
          <cell r="J4139">
            <v>0</v>
          </cell>
          <cell r="K4139">
            <v>0</v>
          </cell>
          <cell r="L4139">
            <v>0</v>
          </cell>
        </row>
        <row r="4140">
          <cell r="A4140" t="str">
            <v>20499.00060</v>
          </cell>
          <cell r="B4140" t="str">
            <v>VANNE A BOISEAU</v>
          </cell>
          <cell r="C4140" t="str">
            <v>FLUOROSEAL FPS-152-302-F-STD-L-05-13 DN80 CLASSE 150</v>
          </cell>
          <cell r="D4140" t="str">
            <v>PE</v>
          </cell>
          <cell r="E4140" t="str">
            <v>515.51511</v>
          </cell>
          <cell r="F4140">
            <v>5564</v>
          </cell>
          <cell r="G4140">
            <v>0</v>
          </cell>
          <cell r="H4140">
            <v>3</v>
          </cell>
          <cell r="I4140">
            <v>1</v>
          </cell>
          <cell r="J4140">
            <v>0</v>
          </cell>
          <cell r="K4140">
            <v>0</v>
          </cell>
          <cell r="L4140">
            <v>2</v>
          </cell>
        </row>
        <row r="4141">
          <cell r="A4141" t="str">
            <v>20498.00419</v>
          </cell>
          <cell r="B4141" t="str">
            <v>SONDE</v>
          </cell>
          <cell r="C4141" t="str">
            <v>ZIMMER AUTOMATION   GVAG-2VK3R</v>
          </cell>
          <cell r="D4141" t="str">
            <v>PE</v>
          </cell>
          <cell r="E4141" t="str">
            <v>512.51201</v>
          </cell>
          <cell r="F4141">
            <v>3074.2249999999999</v>
          </cell>
          <cell r="G4141">
            <v>0</v>
          </cell>
          <cell r="H4141">
            <v>0</v>
          </cell>
          <cell r="I4141">
            <v>0</v>
          </cell>
          <cell r="J4141">
            <v>0</v>
          </cell>
          <cell r="K4141">
            <v>0</v>
          </cell>
          <cell r="L4141">
            <v>4</v>
          </cell>
        </row>
        <row r="4142">
          <cell r="A4142" t="str">
            <v>20499.01584</v>
          </cell>
          <cell r="B4142" t="str">
            <v>MECANISME DE MANOEUVRE</v>
          </cell>
          <cell r="C4142" t="str">
            <v>FLUOROSEAL 6R152F/EG-904L/904L-P-FS</v>
          </cell>
          <cell r="D4142" t="str">
            <v>PE</v>
          </cell>
          <cell r="E4142" t="str">
            <v>515.51511</v>
          </cell>
          <cell r="F4142">
            <v>2841.4537</v>
          </cell>
          <cell r="G4142">
            <v>0</v>
          </cell>
          <cell r="H4142">
            <v>0</v>
          </cell>
          <cell r="I4142">
            <v>0</v>
          </cell>
          <cell r="J4142">
            <v>0</v>
          </cell>
          <cell r="K4142">
            <v>0</v>
          </cell>
          <cell r="L4142">
            <v>0</v>
          </cell>
        </row>
        <row r="4143">
          <cell r="A4143" t="str">
            <v>20499.01585</v>
          </cell>
          <cell r="B4143" t="str">
            <v>MECANISME DE MANOEUVRE</v>
          </cell>
          <cell r="C4143" t="str">
            <v>FLUOROSEAL 8R152F/EG-904L/904L-P-FS</v>
          </cell>
          <cell r="D4143" t="str">
            <v>PE</v>
          </cell>
          <cell r="E4143" t="str">
            <v>515.51511</v>
          </cell>
          <cell r="F4143">
            <v>3425.1152999999999</v>
          </cell>
          <cell r="G4143">
            <v>0</v>
          </cell>
          <cell r="H4143">
            <v>0</v>
          </cell>
          <cell r="I4143">
            <v>0</v>
          </cell>
          <cell r="J4143">
            <v>0</v>
          </cell>
          <cell r="K4143">
            <v>0</v>
          </cell>
          <cell r="L4143">
            <v>0</v>
          </cell>
        </row>
        <row r="4144">
          <cell r="A4144" t="str">
            <v>20497.13500</v>
          </cell>
          <cell r="B4144" t="str">
            <v>COULISSEAU COMPLET</v>
          </cell>
          <cell r="C4144" t="str">
            <v>BLACKMER PLAN 1003-F01 AK 0 HP REP398 REF 300003.00</v>
          </cell>
          <cell r="D4144" t="str">
            <v>PE</v>
          </cell>
          <cell r="E4144" t="str">
            <v>515.51507</v>
          </cell>
          <cell r="F4144">
            <v>1320</v>
          </cell>
          <cell r="G4144">
            <v>0</v>
          </cell>
          <cell r="H4144">
            <v>0</v>
          </cell>
          <cell r="I4144">
            <v>0</v>
          </cell>
          <cell r="J4144">
            <v>0</v>
          </cell>
          <cell r="K4144">
            <v>0</v>
          </cell>
          <cell r="L4144">
            <v>1</v>
          </cell>
        </row>
        <row r="4145">
          <cell r="A4145" t="str">
            <v>20497.13501</v>
          </cell>
          <cell r="B4145" t="str">
            <v>COULISSEAUGOUPILLEDOUILLE</v>
          </cell>
          <cell r="C4145" t="str">
            <v>BLACKMER PLAN 1003-F01 AK 0 HP REP307 REF 300122.00</v>
          </cell>
          <cell r="D4145" t="str">
            <v>PE</v>
          </cell>
          <cell r="E4145" t="str">
            <v>515.51507</v>
          </cell>
          <cell r="F4145">
            <v>1034</v>
          </cell>
          <cell r="G4145">
            <v>0</v>
          </cell>
          <cell r="H4145">
            <v>0</v>
          </cell>
          <cell r="I4145">
            <v>0</v>
          </cell>
          <cell r="J4145">
            <v>0</v>
          </cell>
          <cell r="K4145">
            <v>0</v>
          </cell>
          <cell r="L4145">
            <v>1</v>
          </cell>
        </row>
        <row r="4146">
          <cell r="A4146" t="str">
            <v>20361.03056</v>
          </cell>
          <cell r="B4146" t="str">
            <v>CLE MIXTE LONGUE 40.30LA</v>
          </cell>
          <cell r="C4146" t="str">
            <v>40.30LA</v>
          </cell>
          <cell r="D4146" t="str">
            <v>PE</v>
          </cell>
          <cell r="E4146" t="str">
            <v>522.52208</v>
          </cell>
          <cell r="F4146">
            <v>273</v>
          </cell>
          <cell r="G4146">
            <v>0</v>
          </cell>
          <cell r="H4146">
            <v>0</v>
          </cell>
          <cell r="I4146">
            <v>0</v>
          </cell>
          <cell r="J4146">
            <v>0</v>
          </cell>
          <cell r="K4146">
            <v>0</v>
          </cell>
          <cell r="L4146">
            <v>0</v>
          </cell>
        </row>
        <row r="4147">
          <cell r="A4147" t="str">
            <v>20361.03057</v>
          </cell>
          <cell r="B4147" t="str">
            <v>CLE MIXTE LONGUE 40.32LA</v>
          </cell>
          <cell r="C4147" t="str">
            <v>40.32LA</v>
          </cell>
          <cell r="D4147" t="str">
            <v>PE</v>
          </cell>
          <cell r="E4147" t="str">
            <v>522.52208</v>
          </cell>
          <cell r="F4147">
            <v>312.31200000000001</v>
          </cell>
          <cell r="G4147">
            <v>0</v>
          </cell>
          <cell r="H4147">
            <v>0</v>
          </cell>
          <cell r="I4147">
            <v>0</v>
          </cell>
          <cell r="J4147">
            <v>0</v>
          </cell>
          <cell r="K4147">
            <v>0</v>
          </cell>
          <cell r="L4147">
            <v>0</v>
          </cell>
        </row>
        <row r="4148">
          <cell r="A4148" t="str">
            <v>20361.03059</v>
          </cell>
          <cell r="B4148" t="str">
            <v>CLE MIXTE LONGUE 40.36LA</v>
          </cell>
          <cell r="C4148" t="str">
            <v>40.36LA</v>
          </cell>
          <cell r="D4148" t="str">
            <v>PE</v>
          </cell>
          <cell r="E4148" t="str">
            <v>522.52208</v>
          </cell>
          <cell r="F4148">
            <v>460</v>
          </cell>
          <cell r="G4148">
            <v>0</v>
          </cell>
          <cell r="H4148">
            <v>0</v>
          </cell>
          <cell r="I4148">
            <v>0</v>
          </cell>
          <cell r="J4148">
            <v>0</v>
          </cell>
          <cell r="K4148">
            <v>0</v>
          </cell>
          <cell r="L4148">
            <v>0</v>
          </cell>
        </row>
        <row r="4149">
          <cell r="A4149" t="str">
            <v>20361.03061</v>
          </cell>
          <cell r="B4149" t="str">
            <v>CLE MIXTE C/COUDE 41.27</v>
          </cell>
          <cell r="C4149" t="str">
            <v>41.27</v>
          </cell>
          <cell r="D4149" t="str">
            <v>PE</v>
          </cell>
          <cell r="E4149" t="str">
            <v>522.52208</v>
          </cell>
          <cell r="F4149">
            <v>258.048</v>
          </cell>
          <cell r="G4149">
            <v>0</v>
          </cell>
          <cell r="H4149">
            <v>0</v>
          </cell>
          <cell r="I4149">
            <v>0</v>
          </cell>
          <cell r="J4149">
            <v>0</v>
          </cell>
          <cell r="K4149">
            <v>0</v>
          </cell>
          <cell r="L4149">
            <v>0</v>
          </cell>
        </row>
        <row r="4150">
          <cell r="A4150" t="str">
            <v>20361.03062</v>
          </cell>
          <cell r="B4150" t="str">
            <v>CLE MIXTE C/COUDE 41.30</v>
          </cell>
          <cell r="C4150" t="str">
            <v>41.30</v>
          </cell>
          <cell r="D4150" t="str">
            <v>PE</v>
          </cell>
          <cell r="E4150" t="str">
            <v>522.52208</v>
          </cell>
          <cell r="F4150">
            <v>314.49599999999998</v>
          </cell>
          <cell r="G4150">
            <v>0</v>
          </cell>
          <cell r="H4150">
            <v>0</v>
          </cell>
          <cell r="I4150">
            <v>0</v>
          </cell>
          <cell r="J4150">
            <v>0</v>
          </cell>
          <cell r="K4150">
            <v>0</v>
          </cell>
          <cell r="L4150">
            <v>0</v>
          </cell>
        </row>
        <row r="4151">
          <cell r="A4151" t="str">
            <v>20497.13502</v>
          </cell>
          <cell r="B4151" t="str">
            <v>FOND COMPLET EN VITON</v>
          </cell>
          <cell r="C4151" t="str">
            <v>BLACKMER PLAN 1003-F01 AK 0 HP REP400 REF 300136.00</v>
          </cell>
          <cell r="D4151" t="str">
            <v>PE</v>
          </cell>
          <cell r="E4151" t="str">
            <v>515.51507</v>
          </cell>
          <cell r="F4151">
            <v>4876</v>
          </cell>
          <cell r="G4151">
            <v>0</v>
          </cell>
          <cell r="H4151">
            <v>0</v>
          </cell>
          <cell r="I4151">
            <v>0</v>
          </cell>
          <cell r="J4151">
            <v>0</v>
          </cell>
          <cell r="K4151">
            <v>0</v>
          </cell>
          <cell r="L4151">
            <v>1</v>
          </cell>
        </row>
        <row r="4152">
          <cell r="A4152" t="str">
            <v>20361.03147</v>
          </cell>
          <cell r="B4152" t="str">
            <v>COUPE-TUBE FER 338B.1</v>
          </cell>
          <cell r="C4152" t="str">
            <v>338B.1</v>
          </cell>
          <cell r="D4152" t="str">
            <v>PE</v>
          </cell>
          <cell r="E4152" t="str">
            <v>522.52208</v>
          </cell>
          <cell r="F4152">
            <v>869</v>
          </cell>
          <cell r="G4152">
            <v>0</v>
          </cell>
          <cell r="H4152">
            <v>0</v>
          </cell>
          <cell r="I4152">
            <v>0</v>
          </cell>
          <cell r="J4152">
            <v>0</v>
          </cell>
          <cell r="K4152">
            <v>0</v>
          </cell>
          <cell r="L4152">
            <v>0</v>
          </cell>
        </row>
        <row r="4153">
          <cell r="A4153" t="str">
            <v>20361.03149</v>
          </cell>
          <cell r="B4153" t="str">
            <v>COUPE-TUBE FER 337.2</v>
          </cell>
          <cell r="C4153" t="str">
            <v>337.2</v>
          </cell>
          <cell r="D4153" t="str">
            <v>PE</v>
          </cell>
          <cell r="E4153" t="str">
            <v>522.52208</v>
          </cell>
          <cell r="F4153">
            <v>1437.6959999999999</v>
          </cell>
          <cell r="G4153">
            <v>0</v>
          </cell>
          <cell r="H4153">
            <v>0</v>
          </cell>
          <cell r="I4153">
            <v>0</v>
          </cell>
          <cell r="J4153">
            <v>0</v>
          </cell>
          <cell r="K4153">
            <v>0</v>
          </cell>
          <cell r="L4153">
            <v>0</v>
          </cell>
        </row>
        <row r="4154">
          <cell r="A4154" t="str">
            <v>20361.03150</v>
          </cell>
          <cell r="B4154" t="str">
            <v>COUPE-TUBE 334.32NX</v>
          </cell>
          <cell r="C4154" t="str">
            <v>334.32NX</v>
          </cell>
          <cell r="D4154" t="str">
            <v>PE</v>
          </cell>
          <cell r="E4154" t="str">
            <v>522.52208</v>
          </cell>
          <cell r="F4154">
            <v>708</v>
          </cell>
          <cell r="G4154">
            <v>0</v>
          </cell>
          <cell r="H4154">
            <v>0</v>
          </cell>
          <cell r="I4154">
            <v>0</v>
          </cell>
          <cell r="J4154">
            <v>0</v>
          </cell>
          <cell r="K4154">
            <v>0</v>
          </cell>
          <cell r="L4154">
            <v>0</v>
          </cell>
        </row>
        <row r="4155">
          <cell r="A4155" t="str">
            <v>20361.03160</v>
          </cell>
          <cell r="B4155" t="str">
            <v>COMPO FORET MEC 222A.TJ32</v>
          </cell>
          <cell r="C4155" t="str">
            <v>222A.TJ32</v>
          </cell>
          <cell r="D4155" t="str">
            <v>PE</v>
          </cell>
          <cell r="E4155" t="str">
            <v>522.52208</v>
          </cell>
          <cell r="F4155">
            <v>1823.616</v>
          </cell>
          <cell r="G4155">
            <v>0</v>
          </cell>
          <cell r="H4155">
            <v>0</v>
          </cell>
          <cell r="I4155">
            <v>0</v>
          </cell>
          <cell r="J4155">
            <v>0</v>
          </cell>
          <cell r="K4155">
            <v>0</v>
          </cell>
          <cell r="L4155">
            <v>0</v>
          </cell>
        </row>
        <row r="4156">
          <cell r="A4156" t="str">
            <v>20361.03153</v>
          </cell>
          <cell r="B4156" t="str">
            <v>CLE POLYGONALE 55A.30X32</v>
          </cell>
          <cell r="C4156" t="str">
            <v>55A.30X32</v>
          </cell>
          <cell r="D4156" t="str">
            <v>PE</v>
          </cell>
          <cell r="E4156" t="str">
            <v>522.52208</v>
          </cell>
          <cell r="F4156">
            <v>265</v>
          </cell>
          <cell r="G4156">
            <v>0</v>
          </cell>
          <cell r="H4156">
            <v>0</v>
          </cell>
          <cell r="I4156">
            <v>0</v>
          </cell>
          <cell r="J4156">
            <v>0</v>
          </cell>
          <cell r="K4156">
            <v>0</v>
          </cell>
          <cell r="L4156">
            <v>0</v>
          </cell>
        </row>
        <row r="4157">
          <cell r="A4157" t="str">
            <v>20497.13506</v>
          </cell>
          <cell r="B4157" t="str">
            <v>JEU DE JOINT GARNITURE</v>
          </cell>
          <cell r="C4157" t="str">
            <v>BLACKMER PLAN 1003-H01 AL O REP699 REF 305356.00</v>
          </cell>
          <cell r="D4157" t="str">
            <v>PE</v>
          </cell>
          <cell r="E4157" t="str">
            <v>515.51507</v>
          </cell>
          <cell r="F4157">
            <v>2257</v>
          </cell>
          <cell r="G4157">
            <v>0</v>
          </cell>
          <cell r="H4157">
            <v>0</v>
          </cell>
          <cell r="I4157">
            <v>0</v>
          </cell>
          <cell r="J4157">
            <v>0</v>
          </cell>
          <cell r="K4157">
            <v>0</v>
          </cell>
          <cell r="L4157">
            <v>1</v>
          </cell>
        </row>
        <row r="4158">
          <cell r="A4158" t="str">
            <v>20361.03169</v>
          </cell>
          <cell r="B4158" t="str">
            <v>BALADEUSE ELECTR 777A</v>
          </cell>
          <cell r="C4158" t="str">
            <v>777A</v>
          </cell>
          <cell r="D4158" t="str">
            <v>PE</v>
          </cell>
          <cell r="E4158" t="str">
            <v>522.52208</v>
          </cell>
          <cell r="F4158">
            <v>899.36</v>
          </cell>
          <cell r="G4158">
            <v>0</v>
          </cell>
          <cell r="H4158">
            <v>0</v>
          </cell>
          <cell r="I4158">
            <v>0</v>
          </cell>
          <cell r="J4158">
            <v>0</v>
          </cell>
          <cell r="K4158">
            <v>0</v>
          </cell>
          <cell r="L4158">
            <v>0</v>
          </cell>
        </row>
        <row r="4159">
          <cell r="A4159" t="str">
            <v>20361.04601</v>
          </cell>
          <cell r="B4159" t="str">
            <v>JEU DE CLE MALE COUDE 6 P</v>
          </cell>
          <cell r="C4159" t="str">
            <v>82H.JP9</v>
          </cell>
          <cell r="D4159" t="str">
            <v>PE</v>
          </cell>
          <cell r="E4159" t="str">
            <v>522.52208</v>
          </cell>
          <cell r="F4159">
            <v>137.9</v>
          </cell>
          <cell r="G4159">
            <v>0</v>
          </cell>
          <cell r="H4159">
            <v>0</v>
          </cell>
          <cell r="I4159">
            <v>0</v>
          </cell>
          <cell r="J4159">
            <v>0</v>
          </cell>
          <cell r="K4159">
            <v>0</v>
          </cell>
          <cell r="L4159">
            <v>0</v>
          </cell>
        </row>
        <row r="4160">
          <cell r="A4160" t="str">
            <v>20497.13507</v>
          </cell>
          <cell r="B4160" t="str">
            <v>PREFILTRE</v>
          </cell>
          <cell r="C4160" t="str">
            <v>BLACKMER  TYPE PF 70 AL P/POMPE AL 0</v>
          </cell>
          <cell r="D4160" t="str">
            <v>PE</v>
          </cell>
          <cell r="E4160" t="str">
            <v>515.51507</v>
          </cell>
          <cell r="F4160">
            <v>4185</v>
          </cell>
          <cell r="G4160">
            <v>0</v>
          </cell>
          <cell r="H4160">
            <v>0</v>
          </cell>
          <cell r="I4160">
            <v>0</v>
          </cell>
          <cell r="J4160">
            <v>0</v>
          </cell>
          <cell r="K4160">
            <v>0</v>
          </cell>
          <cell r="L4160">
            <v>1</v>
          </cell>
        </row>
        <row r="4161">
          <cell r="A4161" t="str">
            <v>20497.10437</v>
          </cell>
          <cell r="B4161" t="str">
            <v>JEU DE JOINTS EN VITON REP: 99</v>
          </cell>
          <cell r="C4161" t="str">
            <v>MOUVEX TYPE AK O HP PL : 1003.F01 REF 300009.00</v>
          </cell>
          <cell r="D4161" t="str">
            <v>PE</v>
          </cell>
          <cell r="E4161" t="str">
            <v>515.51507</v>
          </cell>
          <cell r="F4161">
            <v>462.71679999999998</v>
          </cell>
          <cell r="G4161">
            <v>0</v>
          </cell>
          <cell r="H4161">
            <v>0</v>
          </cell>
          <cell r="I4161">
            <v>0</v>
          </cell>
          <cell r="J4161">
            <v>0</v>
          </cell>
          <cell r="K4161">
            <v>0</v>
          </cell>
          <cell r="L4161">
            <v>4</v>
          </cell>
        </row>
        <row r="4162">
          <cell r="A4162" t="str">
            <v>20361.09193</v>
          </cell>
          <cell r="B4162" t="str">
            <v>CASSE-ECROU</v>
          </cell>
          <cell r="C4162" t="str">
            <v>289.30</v>
          </cell>
          <cell r="D4162" t="str">
            <v>PE</v>
          </cell>
          <cell r="E4162" t="str">
            <v>522.52208</v>
          </cell>
          <cell r="F4162">
            <v>511.7</v>
          </cell>
          <cell r="G4162">
            <v>0</v>
          </cell>
          <cell r="H4162">
            <v>0</v>
          </cell>
          <cell r="I4162">
            <v>0</v>
          </cell>
          <cell r="J4162">
            <v>0</v>
          </cell>
          <cell r="K4162">
            <v>0</v>
          </cell>
          <cell r="L4162">
            <v>0</v>
          </cell>
        </row>
        <row r="4163">
          <cell r="A4163" t="str">
            <v>20497.13503</v>
          </cell>
          <cell r="B4163" t="str">
            <v>PREFILTRE</v>
          </cell>
          <cell r="C4163" t="str">
            <v>BLACKMER  TYPE PF 50 AK P/POMPE AK 0 HP</v>
          </cell>
          <cell r="D4163" t="str">
            <v>PE</v>
          </cell>
          <cell r="E4163" t="str">
            <v>515.51507</v>
          </cell>
          <cell r="F4163">
            <v>3605</v>
          </cell>
          <cell r="G4163">
            <v>0</v>
          </cell>
          <cell r="H4163">
            <v>0</v>
          </cell>
          <cell r="I4163">
            <v>0</v>
          </cell>
          <cell r="J4163">
            <v>0</v>
          </cell>
          <cell r="K4163">
            <v>0</v>
          </cell>
          <cell r="L4163">
            <v>1</v>
          </cell>
        </row>
        <row r="4164">
          <cell r="A4164" t="str">
            <v>20361.03760</v>
          </cell>
          <cell r="B4164" t="str">
            <v>DECOLLEUR U.53T2</v>
          </cell>
          <cell r="C4164" t="str">
            <v>DECOLLEUR N° 4.53T2.53T2</v>
          </cell>
          <cell r="D4164" t="str">
            <v>PE</v>
          </cell>
          <cell r="E4164" t="str">
            <v>522.52208</v>
          </cell>
          <cell r="F4164">
            <v>1866.9</v>
          </cell>
          <cell r="G4164">
            <v>0</v>
          </cell>
          <cell r="H4164">
            <v>0</v>
          </cell>
          <cell r="I4164">
            <v>0</v>
          </cell>
          <cell r="J4164">
            <v>0</v>
          </cell>
          <cell r="K4164">
            <v>0</v>
          </cell>
          <cell r="L4164">
            <v>0</v>
          </cell>
        </row>
        <row r="4165">
          <cell r="A4165" t="str">
            <v>20497.13504</v>
          </cell>
          <cell r="B4165" t="str">
            <v>JEU DE GRILLE POUR PREFILTRE</v>
          </cell>
          <cell r="C4165" t="str">
            <v>BLACKMER  P/PREFILTRE TYPE PF 50 AK P/POMPE AK 0 HP</v>
          </cell>
          <cell r="D4165" t="str">
            <v>PE</v>
          </cell>
          <cell r="E4165" t="str">
            <v>515.51507</v>
          </cell>
          <cell r="F4165">
            <v>830</v>
          </cell>
          <cell r="G4165">
            <v>0</v>
          </cell>
          <cell r="H4165">
            <v>0</v>
          </cell>
          <cell r="I4165">
            <v>0</v>
          </cell>
          <cell r="J4165">
            <v>0</v>
          </cell>
          <cell r="K4165">
            <v>0</v>
          </cell>
          <cell r="L4165">
            <v>2</v>
          </cell>
        </row>
        <row r="4166">
          <cell r="A4166" t="str">
            <v>20358.00431</v>
          </cell>
          <cell r="B4166" t="str">
            <v>ELECTRDISTRIBUTEUR</v>
          </cell>
          <cell r="C4166" t="str">
            <v>G551A001MS</v>
          </cell>
          <cell r="D4166" t="str">
            <v>PE</v>
          </cell>
          <cell r="E4166" t="str">
            <v>522.52209</v>
          </cell>
          <cell r="F4166">
            <v>802.02670000000001</v>
          </cell>
          <cell r="G4166">
            <v>0</v>
          </cell>
          <cell r="H4166">
            <v>0</v>
          </cell>
          <cell r="I4166">
            <v>0</v>
          </cell>
          <cell r="J4166">
            <v>1</v>
          </cell>
          <cell r="K4166">
            <v>0</v>
          </cell>
          <cell r="L4166">
            <v>1</v>
          </cell>
        </row>
        <row r="4167">
          <cell r="A4167" t="str">
            <v>20497.13505</v>
          </cell>
          <cell r="B4167" t="str">
            <v>FOND COMPLET EN VITON</v>
          </cell>
          <cell r="C4167" t="str">
            <v>BLACKMER PLAN 1003-H01 AL O REP400 REF 300706.00</v>
          </cell>
          <cell r="D4167" t="str">
            <v>PE</v>
          </cell>
          <cell r="E4167" t="str">
            <v>515.51507</v>
          </cell>
          <cell r="F4167">
            <v>5944</v>
          </cell>
          <cell r="G4167">
            <v>0</v>
          </cell>
          <cell r="H4167">
            <v>0</v>
          </cell>
          <cell r="I4167">
            <v>0</v>
          </cell>
          <cell r="J4167">
            <v>0</v>
          </cell>
          <cell r="K4167">
            <v>0</v>
          </cell>
          <cell r="L4167">
            <v>1</v>
          </cell>
        </row>
        <row r="4168">
          <cell r="A4168" t="str">
            <v>20498.21258</v>
          </cell>
          <cell r="B4168" t="str">
            <v xml:space="preserve">TUBES ACIER INOX 316L ANNELES RECUITS D=12MM E=2MM  </v>
          </cell>
          <cell r="C4168" t="str">
            <v>SAGANA, NORME : ASTM A-213 OU EQUIVALENT DIAMETRE 12MM EP 2MM</v>
          </cell>
          <cell r="D4168" t="str">
            <v>PE</v>
          </cell>
          <cell r="E4168" t="str">
            <v>515.51511</v>
          </cell>
          <cell r="F4168">
            <v>235</v>
          </cell>
          <cell r="G4168">
            <v>0</v>
          </cell>
          <cell r="H4168">
            <v>0</v>
          </cell>
          <cell r="I4168">
            <v>0</v>
          </cell>
          <cell r="J4168">
            <v>0</v>
          </cell>
          <cell r="K4168">
            <v>10</v>
          </cell>
          <cell r="L4168">
            <v>0</v>
          </cell>
        </row>
        <row r="4169">
          <cell r="A4169" t="str">
            <v>20361.04654</v>
          </cell>
          <cell r="B4169" t="str">
            <v>MASSETTE  A EMBOUT INTERCHANGEA</v>
          </cell>
          <cell r="C4169" t="str">
            <v>212A. 50</v>
          </cell>
          <cell r="D4169" t="str">
            <v>PE</v>
          </cell>
          <cell r="E4169" t="str">
            <v>522.52208</v>
          </cell>
          <cell r="F4169">
            <v>698.4</v>
          </cell>
          <cell r="G4169">
            <v>0</v>
          </cell>
          <cell r="H4169">
            <v>0</v>
          </cell>
          <cell r="I4169">
            <v>0</v>
          </cell>
          <cell r="J4169">
            <v>0</v>
          </cell>
          <cell r="K4169">
            <v>0</v>
          </cell>
          <cell r="L4169">
            <v>0</v>
          </cell>
        </row>
        <row r="4170">
          <cell r="A4170" t="str">
            <v>20498.21199</v>
          </cell>
          <cell r="B4170" t="str">
            <v>TE 10MM DOUBLE BAGUES INOX</v>
          </cell>
          <cell r="C4170" t="str">
            <v>SAGANA, REF : TSI 10</v>
          </cell>
          <cell r="D4170" t="str">
            <v>PE</v>
          </cell>
          <cell r="E4170" t="str">
            <v>515.51511</v>
          </cell>
          <cell r="F4170">
            <v>249</v>
          </cell>
          <cell r="G4170">
            <v>0</v>
          </cell>
          <cell r="H4170">
            <v>0</v>
          </cell>
          <cell r="I4170">
            <v>0</v>
          </cell>
          <cell r="J4170">
            <v>0</v>
          </cell>
          <cell r="K4170">
            <v>20</v>
          </cell>
          <cell r="L4170">
            <v>0</v>
          </cell>
        </row>
        <row r="4171">
          <cell r="A4171" t="str">
            <v>20498.21200</v>
          </cell>
          <cell r="B4171" t="str">
            <v>TE 12MM DOUBLE BAGUES INOX</v>
          </cell>
          <cell r="C4171" t="str">
            <v>SAGANA, REF : TSI 12</v>
          </cell>
          <cell r="D4171" t="str">
            <v>PE</v>
          </cell>
          <cell r="E4171" t="str">
            <v>515.51511</v>
          </cell>
          <cell r="F4171">
            <v>379</v>
          </cell>
          <cell r="G4171">
            <v>0</v>
          </cell>
          <cell r="H4171">
            <v>0</v>
          </cell>
          <cell r="I4171">
            <v>0</v>
          </cell>
          <cell r="J4171">
            <v>0</v>
          </cell>
          <cell r="K4171">
            <v>20</v>
          </cell>
          <cell r="L4171">
            <v>0</v>
          </cell>
        </row>
        <row r="4172">
          <cell r="A4172" t="str">
            <v>20498.21201</v>
          </cell>
          <cell r="B4172" t="str">
            <v>TE 14MM DOUBLE BAGUES INOX</v>
          </cell>
          <cell r="C4172" t="str">
            <v>SAGANA, REF : TSI 14</v>
          </cell>
          <cell r="D4172" t="str">
            <v>PE</v>
          </cell>
          <cell r="E4172" t="str">
            <v>515.51511</v>
          </cell>
          <cell r="F4172">
            <v>418</v>
          </cell>
          <cell r="G4172">
            <v>0</v>
          </cell>
          <cell r="H4172">
            <v>0</v>
          </cell>
          <cell r="I4172">
            <v>0</v>
          </cell>
          <cell r="J4172">
            <v>0</v>
          </cell>
          <cell r="K4172">
            <v>0</v>
          </cell>
          <cell r="L4172">
            <v>0</v>
          </cell>
        </row>
        <row r="4173">
          <cell r="A4173" t="str">
            <v>20358.00118</v>
          </cell>
          <cell r="B4173" t="str">
            <v>FILTRE-REGULAT-LUBRIFICAT</v>
          </cell>
          <cell r="C4173" t="str">
            <v>342 00 056</v>
          </cell>
          <cell r="D4173" t="str">
            <v>PE</v>
          </cell>
          <cell r="E4173" t="str">
            <v>522.52209</v>
          </cell>
          <cell r="F4173">
            <v>1363</v>
          </cell>
          <cell r="G4173">
            <v>0</v>
          </cell>
          <cell r="H4173">
            <v>0</v>
          </cell>
          <cell r="I4173">
            <v>0</v>
          </cell>
          <cell r="J4173">
            <v>5</v>
          </cell>
          <cell r="K4173">
            <v>0</v>
          </cell>
          <cell r="L4173">
            <v>0</v>
          </cell>
        </row>
        <row r="4174">
          <cell r="A4174" t="str">
            <v>20498.21206</v>
          </cell>
          <cell r="B4174" t="str">
            <v>UNION DE REDUCTION 8MM X 6MM DOUBLE BAGUES INOX</v>
          </cell>
          <cell r="C4174" t="str">
            <v>SAGANA, REF : URSI 8 6</v>
          </cell>
          <cell r="D4174" t="str">
            <v>PE</v>
          </cell>
          <cell r="E4174" t="str">
            <v>515.51511</v>
          </cell>
          <cell r="F4174">
            <v>103</v>
          </cell>
          <cell r="G4174">
            <v>0</v>
          </cell>
          <cell r="H4174">
            <v>0</v>
          </cell>
          <cell r="I4174">
            <v>0</v>
          </cell>
          <cell r="J4174">
            <v>0</v>
          </cell>
          <cell r="K4174">
            <v>0</v>
          </cell>
          <cell r="L4174">
            <v>0</v>
          </cell>
        </row>
        <row r="4175">
          <cell r="A4175" t="str">
            <v>20498.21194</v>
          </cell>
          <cell r="B4175" t="str">
            <v>COUDE 10MM DOUBLE BAGUES INOX</v>
          </cell>
          <cell r="C4175" t="str">
            <v>SAGANA, REF : EQSI 10</v>
          </cell>
          <cell r="D4175" t="str">
            <v>PE</v>
          </cell>
          <cell r="E4175" t="str">
            <v>515.51511</v>
          </cell>
          <cell r="F4175">
            <v>169</v>
          </cell>
          <cell r="G4175">
            <v>0</v>
          </cell>
          <cell r="H4175">
            <v>0</v>
          </cell>
          <cell r="I4175">
            <v>0</v>
          </cell>
          <cell r="J4175">
            <v>0</v>
          </cell>
          <cell r="K4175">
            <v>20</v>
          </cell>
          <cell r="L4175">
            <v>0</v>
          </cell>
        </row>
        <row r="4176">
          <cell r="A4176" t="str">
            <v>20498.21195</v>
          </cell>
          <cell r="B4176" t="str">
            <v>COUDE 12MM DOUBLE BAGUES INOX</v>
          </cell>
          <cell r="C4176" t="str">
            <v>SAGANA, REF : EQSI 12</v>
          </cell>
          <cell r="D4176" t="str">
            <v>PE</v>
          </cell>
          <cell r="E4176" t="str">
            <v>515.51511</v>
          </cell>
          <cell r="F4176">
            <v>272</v>
          </cell>
          <cell r="G4176">
            <v>0</v>
          </cell>
          <cell r="H4176">
            <v>0</v>
          </cell>
          <cell r="I4176">
            <v>0</v>
          </cell>
          <cell r="J4176">
            <v>0</v>
          </cell>
          <cell r="K4176">
            <v>20</v>
          </cell>
          <cell r="L4176">
            <v>0</v>
          </cell>
        </row>
        <row r="4177">
          <cell r="A4177" t="str">
            <v>20498.21196</v>
          </cell>
          <cell r="B4177" t="str">
            <v>COUDE 14MM DOUBLE BAGUES INOX</v>
          </cell>
          <cell r="C4177" t="str">
            <v>SAGANA, REF : EQSI 14</v>
          </cell>
          <cell r="D4177" t="str">
            <v>PE</v>
          </cell>
          <cell r="E4177" t="str">
            <v>515.51511</v>
          </cell>
          <cell r="F4177">
            <v>288</v>
          </cell>
          <cell r="G4177">
            <v>0</v>
          </cell>
          <cell r="H4177">
            <v>0</v>
          </cell>
          <cell r="I4177">
            <v>0</v>
          </cell>
          <cell r="J4177">
            <v>0</v>
          </cell>
          <cell r="K4177">
            <v>0</v>
          </cell>
          <cell r="L4177">
            <v>0</v>
          </cell>
        </row>
        <row r="4178">
          <cell r="A4178" t="str">
            <v>20358.00486</v>
          </cell>
          <cell r="B4178" t="str">
            <v>VANNE 2/2 A COMMANDE PAR PRESSION</v>
          </cell>
          <cell r="C4178" t="str">
            <v>E290B002  DN15 PN16</v>
          </cell>
          <cell r="D4178" t="str">
            <v>PE</v>
          </cell>
          <cell r="E4178" t="str">
            <v>522.52209</v>
          </cell>
          <cell r="F4178">
            <v>1495.867</v>
          </cell>
          <cell r="G4178">
            <v>0</v>
          </cell>
          <cell r="H4178">
            <v>0</v>
          </cell>
          <cell r="I4178">
            <v>0</v>
          </cell>
          <cell r="J4178">
            <v>0</v>
          </cell>
          <cell r="K4178">
            <v>0</v>
          </cell>
          <cell r="L4178">
            <v>2</v>
          </cell>
        </row>
        <row r="4179">
          <cell r="A4179" t="str">
            <v>20358.00498</v>
          </cell>
          <cell r="B4179" t="str">
            <v>ELECTRODISTRIBUTEUR  24 VDC</v>
          </cell>
          <cell r="C4179" t="str">
            <v>SCG551A017MS</v>
          </cell>
          <cell r="D4179" t="str">
            <v>PE</v>
          </cell>
          <cell r="E4179" t="str">
            <v>522.52209</v>
          </cell>
          <cell r="F4179">
            <v>835</v>
          </cell>
          <cell r="G4179">
            <v>2</v>
          </cell>
          <cell r="H4179">
            <v>0</v>
          </cell>
          <cell r="I4179">
            <v>0</v>
          </cell>
          <cell r="J4179">
            <v>0</v>
          </cell>
          <cell r="K4179">
            <v>0</v>
          </cell>
          <cell r="L4179">
            <v>0</v>
          </cell>
        </row>
        <row r="4180">
          <cell r="A4180" t="str">
            <v>20498.21197</v>
          </cell>
          <cell r="B4180" t="str">
            <v>TE 6MM DOUBLE BAGUES INOX</v>
          </cell>
          <cell r="C4180" t="str">
            <v>SAGANA, REF : TSI 6</v>
          </cell>
          <cell r="D4180" t="str">
            <v>PE</v>
          </cell>
          <cell r="E4180" t="str">
            <v>515.51511</v>
          </cell>
          <cell r="F4180">
            <v>191</v>
          </cell>
          <cell r="G4180">
            <v>0</v>
          </cell>
          <cell r="H4180">
            <v>0</v>
          </cell>
          <cell r="I4180">
            <v>0</v>
          </cell>
          <cell r="J4180">
            <v>0</v>
          </cell>
          <cell r="K4180">
            <v>20</v>
          </cell>
          <cell r="L4180">
            <v>0</v>
          </cell>
        </row>
        <row r="4181">
          <cell r="A4181" t="str">
            <v>20358.00523</v>
          </cell>
          <cell r="B4181" t="str">
            <v>ELECTROVANNE 2/2 NF  115V</v>
          </cell>
          <cell r="C4181" t="str">
            <v>SCE210C094</v>
          </cell>
          <cell r="D4181" t="str">
            <v>PE</v>
          </cell>
          <cell r="E4181" t="str">
            <v>522.52209</v>
          </cell>
          <cell r="F4181">
            <v>1912.04</v>
          </cell>
          <cell r="G4181">
            <v>0</v>
          </cell>
          <cell r="H4181">
            <v>1</v>
          </cell>
          <cell r="I4181">
            <v>1</v>
          </cell>
          <cell r="J4181">
            <v>0</v>
          </cell>
          <cell r="K4181">
            <v>0</v>
          </cell>
          <cell r="L4181">
            <v>0</v>
          </cell>
        </row>
        <row r="4182">
          <cell r="A4182" t="str">
            <v>20358.00524</v>
          </cell>
          <cell r="B4182" t="str">
            <v>CONNECTEUR AVEC VISUALISATION ET PROTECTION  115V</v>
          </cell>
          <cell r="C4182">
            <v>88122605</v>
          </cell>
          <cell r="D4182" t="str">
            <v>PE</v>
          </cell>
          <cell r="E4182" t="str">
            <v>522.52209</v>
          </cell>
          <cell r="F4182">
            <v>98.106999999999999</v>
          </cell>
          <cell r="G4182">
            <v>0</v>
          </cell>
          <cell r="H4182">
            <v>0</v>
          </cell>
          <cell r="I4182">
            <v>0</v>
          </cell>
          <cell r="J4182">
            <v>0</v>
          </cell>
          <cell r="K4182">
            <v>0</v>
          </cell>
          <cell r="L4182">
            <v>2</v>
          </cell>
        </row>
        <row r="4183">
          <cell r="A4183" t="str">
            <v>20358.00525</v>
          </cell>
          <cell r="B4183" t="str">
            <v>BARRETTE D'ALIMENTATION</v>
          </cell>
          <cell r="C4183">
            <v>88100037</v>
          </cell>
          <cell r="D4183" t="str">
            <v>PE</v>
          </cell>
          <cell r="E4183" t="str">
            <v>522.52209</v>
          </cell>
          <cell r="F4183">
            <v>556.91999999999996</v>
          </cell>
          <cell r="G4183">
            <v>0</v>
          </cell>
          <cell r="H4183">
            <v>0</v>
          </cell>
          <cell r="I4183">
            <v>0</v>
          </cell>
          <cell r="J4183">
            <v>0</v>
          </cell>
          <cell r="K4183">
            <v>0</v>
          </cell>
          <cell r="L4183">
            <v>2</v>
          </cell>
        </row>
        <row r="4184">
          <cell r="A4184" t="str">
            <v>20498.21198</v>
          </cell>
          <cell r="B4184" t="str">
            <v>TE 8MM DOUBLE BAGUES INOX)</v>
          </cell>
          <cell r="C4184" t="str">
            <v>SAGANA, REF : TSI 8</v>
          </cell>
          <cell r="D4184" t="str">
            <v>PE</v>
          </cell>
          <cell r="E4184" t="str">
            <v>515.51511</v>
          </cell>
          <cell r="F4184">
            <v>225</v>
          </cell>
          <cell r="G4184">
            <v>0</v>
          </cell>
          <cell r="H4184">
            <v>0</v>
          </cell>
          <cell r="I4184">
            <v>0</v>
          </cell>
          <cell r="J4184">
            <v>0</v>
          </cell>
          <cell r="K4184">
            <v>20</v>
          </cell>
          <cell r="L4184">
            <v>0</v>
          </cell>
        </row>
        <row r="4185">
          <cell r="A4185" t="str">
            <v>20361.02325</v>
          </cell>
          <cell r="B4185" t="str">
            <v>PINCE A DECOFFRER</v>
          </cell>
          <cell r="C4185" t="str">
            <v>1260.50</v>
          </cell>
          <cell r="D4185" t="str">
            <v>PE</v>
          </cell>
          <cell r="E4185" t="str">
            <v>522.52208</v>
          </cell>
          <cell r="F4185">
            <v>222.33600000000001</v>
          </cell>
          <cell r="G4185">
            <v>0</v>
          </cell>
          <cell r="H4185">
            <v>0</v>
          </cell>
          <cell r="I4185">
            <v>0</v>
          </cell>
          <cell r="J4185">
            <v>0</v>
          </cell>
          <cell r="K4185">
            <v>0</v>
          </cell>
          <cell r="L4185">
            <v>0</v>
          </cell>
        </row>
        <row r="4186">
          <cell r="A4186" t="str">
            <v>20361.04580</v>
          </cell>
          <cell r="B4186" t="str">
            <v>PINCE ETAU STANDARD</v>
          </cell>
          <cell r="C4186">
            <v>501</v>
          </cell>
          <cell r="D4186" t="str">
            <v>PE</v>
          </cell>
          <cell r="E4186" t="str">
            <v>522.52208</v>
          </cell>
          <cell r="F4186">
            <v>411.26400000000001</v>
          </cell>
          <cell r="G4186">
            <v>0</v>
          </cell>
          <cell r="H4186">
            <v>0</v>
          </cell>
          <cell r="I4186">
            <v>0</v>
          </cell>
          <cell r="J4186">
            <v>0</v>
          </cell>
          <cell r="K4186">
            <v>0</v>
          </cell>
          <cell r="L4186">
            <v>0</v>
          </cell>
        </row>
        <row r="4187">
          <cell r="A4187" t="str">
            <v>20497.13909</v>
          </cell>
          <cell r="B4187" t="str">
            <v>JEU DE TRESSE</v>
          </cell>
          <cell r="C4187" t="str">
            <v>FL SMIDTH KREBS MILLMAX TYPE : MM200B43U REF : MM150-IIIL42104</v>
          </cell>
          <cell r="D4187" t="str">
            <v>PE</v>
          </cell>
          <cell r="E4187" t="str">
            <v>515.51517</v>
          </cell>
          <cell r="F4187">
            <v>2579.8724000000002</v>
          </cell>
          <cell r="G4187">
            <v>0</v>
          </cell>
          <cell r="H4187">
            <v>0</v>
          </cell>
          <cell r="I4187">
            <v>8</v>
          </cell>
          <cell r="J4187">
            <v>0</v>
          </cell>
          <cell r="K4187">
            <v>0</v>
          </cell>
          <cell r="L4187">
            <v>0</v>
          </cell>
        </row>
        <row r="4188">
          <cell r="A4188" t="str">
            <v>20499.00629</v>
          </cell>
          <cell r="B4188" t="str">
            <v>SOUPAPE DE SURETE</v>
          </cell>
          <cell r="C4188" t="str">
            <v>ARMATURENFABRIK TYPE 851E  RACCORDEMENT TARAUDE  1/2"x1"  PRESSION TARAGE 10 BAR</v>
          </cell>
          <cell r="D4188" t="str">
            <v>PE</v>
          </cell>
          <cell r="E4188" t="str">
            <v>515.51511</v>
          </cell>
          <cell r="F4188">
            <v>4490</v>
          </cell>
          <cell r="G4188">
            <v>0</v>
          </cell>
          <cell r="H4188">
            <v>0</v>
          </cell>
          <cell r="I4188">
            <v>0</v>
          </cell>
          <cell r="J4188">
            <v>0</v>
          </cell>
          <cell r="K4188">
            <v>0</v>
          </cell>
          <cell r="L4188">
            <v>2</v>
          </cell>
        </row>
        <row r="4189">
          <cell r="A4189" t="str">
            <v>20497.13911</v>
          </cell>
          <cell r="B4189" t="str">
            <v>JOINT NECK</v>
          </cell>
          <cell r="C4189" t="str">
            <v>FL SMIDTH KREBS MILLMAX TYPE : MM200B43U REF : MM150-064-16001</v>
          </cell>
          <cell r="D4189" t="str">
            <v>PE</v>
          </cell>
          <cell r="E4189" t="str">
            <v>515.51517</v>
          </cell>
          <cell r="F4189">
            <v>3176.0614</v>
          </cell>
          <cell r="G4189">
            <v>0</v>
          </cell>
          <cell r="H4189">
            <v>0</v>
          </cell>
          <cell r="I4189">
            <v>1</v>
          </cell>
          <cell r="J4189">
            <v>0</v>
          </cell>
          <cell r="K4189">
            <v>0</v>
          </cell>
          <cell r="L4189">
            <v>0</v>
          </cell>
        </row>
        <row r="4190">
          <cell r="A4190" t="str">
            <v>20498.21211</v>
          </cell>
          <cell r="B4190" t="str">
            <v>EMBOUT DE RACCORDEMENT 6MM DOUBLE BAGUES INOX</v>
          </cell>
          <cell r="C4190" t="str">
            <v>SAGANA, REF : APSI 6</v>
          </cell>
          <cell r="D4190" t="str">
            <v>PE</v>
          </cell>
          <cell r="E4190" t="str">
            <v>515.51511</v>
          </cell>
          <cell r="F4190">
            <v>44</v>
          </cell>
          <cell r="G4190">
            <v>0</v>
          </cell>
          <cell r="H4190">
            <v>0</v>
          </cell>
          <cell r="I4190">
            <v>0</v>
          </cell>
          <cell r="J4190">
            <v>0</v>
          </cell>
          <cell r="K4190">
            <v>0</v>
          </cell>
          <cell r="L4190">
            <v>0</v>
          </cell>
        </row>
        <row r="4191">
          <cell r="A4191" t="str">
            <v>20361.09230</v>
          </cell>
          <cell r="B4191" t="str">
            <v>CLIQUET CARRE 1/2</v>
          </cell>
          <cell r="C4191" t="str">
            <v>S.151</v>
          </cell>
          <cell r="D4191" t="str">
            <v>PE</v>
          </cell>
          <cell r="E4191" t="str">
            <v>522.52208</v>
          </cell>
          <cell r="F4191">
            <v>292</v>
          </cell>
          <cell r="G4191">
            <v>0</v>
          </cell>
          <cell r="H4191">
            <v>0</v>
          </cell>
          <cell r="I4191">
            <v>0</v>
          </cell>
          <cell r="J4191">
            <v>0</v>
          </cell>
          <cell r="K4191">
            <v>0</v>
          </cell>
          <cell r="L4191">
            <v>0</v>
          </cell>
        </row>
        <row r="4192">
          <cell r="A4192" t="str">
            <v>20361.09238</v>
          </cell>
          <cell r="B4192" t="str">
            <v>JEU CLES MALES 6 PANS</v>
          </cell>
          <cell r="C4192" t="str">
            <v>86H.JE7A</v>
          </cell>
          <cell r="D4192" t="str">
            <v>PE</v>
          </cell>
          <cell r="E4192" t="str">
            <v>522.52208</v>
          </cell>
          <cell r="F4192">
            <v>216.57599999999999</v>
          </cell>
          <cell r="G4192">
            <v>0</v>
          </cell>
          <cell r="H4192">
            <v>0</v>
          </cell>
          <cell r="I4192">
            <v>0</v>
          </cell>
          <cell r="J4192">
            <v>0</v>
          </cell>
          <cell r="K4192">
            <v>0</v>
          </cell>
          <cell r="L4192">
            <v>0</v>
          </cell>
        </row>
        <row r="4193">
          <cell r="A4193" t="str">
            <v>20361.09239</v>
          </cell>
          <cell r="B4193" t="str">
            <v>PINCE MULTIPRISE STD</v>
          </cell>
          <cell r="C4193" t="str">
            <v>170A</v>
          </cell>
          <cell r="D4193" t="str">
            <v>PE</v>
          </cell>
          <cell r="E4193" t="str">
            <v>522.52208</v>
          </cell>
          <cell r="F4193">
            <v>109.44</v>
          </cell>
          <cell r="G4193">
            <v>0</v>
          </cell>
          <cell r="H4193">
            <v>0</v>
          </cell>
          <cell r="I4193">
            <v>0</v>
          </cell>
          <cell r="J4193">
            <v>0</v>
          </cell>
          <cell r="K4193">
            <v>0</v>
          </cell>
          <cell r="L4193">
            <v>0</v>
          </cell>
        </row>
        <row r="4194">
          <cell r="A4194" t="str">
            <v>20361.09194</v>
          </cell>
          <cell r="B4194" t="str">
            <v>CHASSE ECROUS</v>
          </cell>
          <cell r="C4194" t="str">
            <v>289.36</v>
          </cell>
          <cell r="D4194" t="str">
            <v>PE</v>
          </cell>
          <cell r="E4194" t="str">
            <v>522.52208</v>
          </cell>
          <cell r="F4194">
            <v>1259.136</v>
          </cell>
          <cell r="G4194">
            <v>0</v>
          </cell>
          <cell r="H4194">
            <v>0</v>
          </cell>
          <cell r="I4194">
            <v>0</v>
          </cell>
          <cell r="J4194">
            <v>0</v>
          </cell>
          <cell r="K4194">
            <v>0</v>
          </cell>
          <cell r="L4194">
            <v>0</v>
          </cell>
        </row>
        <row r="4195">
          <cell r="A4195" t="str">
            <v>20361.09195</v>
          </cell>
          <cell r="B4195" t="str">
            <v>CHASSE ECROUS</v>
          </cell>
          <cell r="C4195" t="str">
            <v>289.54</v>
          </cell>
          <cell r="D4195" t="str">
            <v>PE</v>
          </cell>
          <cell r="E4195" t="str">
            <v>522.52208</v>
          </cell>
          <cell r="F4195">
            <v>3309.6959999999999</v>
          </cell>
          <cell r="G4195">
            <v>0</v>
          </cell>
          <cell r="H4195">
            <v>0</v>
          </cell>
          <cell r="I4195">
            <v>0</v>
          </cell>
          <cell r="J4195">
            <v>0</v>
          </cell>
          <cell r="K4195">
            <v>0</v>
          </cell>
          <cell r="L4195">
            <v>0</v>
          </cell>
        </row>
        <row r="4196">
          <cell r="A4196" t="str">
            <v>20361.09196</v>
          </cell>
          <cell r="B4196" t="str">
            <v>COMPOSITION DE LIMES</v>
          </cell>
          <cell r="C4196" t="str">
            <v>STU</v>
          </cell>
          <cell r="D4196" t="str">
            <v>PE</v>
          </cell>
          <cell r="E4196" t="str">
            <v>522.52208</v>
          </cell>
          <cell r="F4196">
            <v>1391.616</v>
          </cell>
          <cell r="G4196">
            <v>0</v>
          </cell>
          <cell r="H4196">
            <v>0</v>
          </cell>
          <cell r="I4196">
            <v>0</v>
          </cell>
          <cell r="J4196">
            <v>0</v>
          </cell>
          <cell r="K4196">
            <v>0</v>
          </cell>
          <cell r="L4196">
            <v>0</v>
          </cell>
        </row>
        <row r="4197">
          <cell r="A4197" t="str">
            <v>20498.21212</v>
          </cell>
          <cell r="B4197" t="str">
            <v>EMBOUT DE RACCORDEMENT 10MM DOUBLE BAGUES INOX</v>
          </cell>
          <cell r="C4197" t="str">
            <v>SAGANA, REF : APSI 10</v>
          </cell>
          <cell r="D4197" t="str">
            <v>PE</v>
          </cell>
          <cell r="E4197" t="str">
            <v>515.51511</v>
          </cell>
          <cell r="F4197">
            <v>54</v>
          </cell>
          <cell r="G4197">
            <v>0</v>
          </cell>
          <cell r="H4197">
            <v>0</v>
          </cell>
          <cell r="I4197">
            <v>0</v>
          </cell>
          <cell r="J4197">
            <v>0</v>
          </cell>
          <cell r="K4197">
            <v>0</v>
          </cell>
          <cell r="L4197">
            <v>0</v>
          </cell>
        </row>
        <row r="4198">
          <cell r="A4198" t="str">
            <v>20498.21213</v>
          </cell>
          <cell r="B4198" t="str">
            <v>EMBOUT DE RACCORDEMENT 12MM DOUBLE BAGUES INOX</v>
          </cell>
          <cell r="C4198" t="str">
            <v>SAGANA, REF : APSI 12</v>
          </cell>
          <cell r="D4198" t="str">
            <v>PE</v>
          </cell>
          <cell r="E4198" t="str">
            <v>515.51511</v>
          </cell>
          <cell r="F4198">
            <v>99</v>
          </cell>
          <cell r="G4198">
            <v>0</v>
          </cell>
          <cell r="H4198">
            <v>0</v>
          </cell>
          <cell r="I4198">
            <v>0</v>
          </cell>
          <cell r="J4198">
            <v>0</v>
          </cell>
          <cell r="K4198">
            <v>0</v>
          </cell>
          <cell r="L4198">
            <v>0</v>
          </cell>
        </row>
        <row r="4199">
          <cell r="A4199" t="str">
            <v>20498.21214</v>
          </cell>
          <cell r="B4199" t="str">
            <v>EMBOUT DE RACCORDEMENT - REDUCTION 10MM X 6MM DOUBLE BAGUES INOX</v>
          </cell>
          <cell r="C4199" t="str">
            <v>SAGANA, REF : APRSI 10 6</v>
          </cell>
          <cell r="D4199" t="str">
            <v>PE</v>
          </cell>
          <cell r="E4199" t="str">
            <v>515.51511</v>
          </cell>
          <cell r="F4199">
            <v>57</v>
          </cell>
          <cell r="G4199">
            <v>0</v>
          </cell>
          <cell r="H4199">
            <v>0</v>
          </cell>
          <cell r="I4199">
            <v>0</v>
          </cell>
          <cell r="J4199">
            <v>0</v>
          </cell>
          <cell r="K4199">
            <v>0</v>
          </cell>
          <cell r="L4199">
            <v>0</v>
          </cell>
        </row>
        <row r="4200">
          <cell r="A4200" t="str">
            <v>20498.21207</v>
          </cell>
          <cell r="B4200" t="str">
            <v>UNION DE REDUCTION 10MM X 6MM DOUBLE BAGUES INOX</v>
          </cell>
          <cell r="C4200" t="str">
            <v>SAGANA, REF : URSI 10 6</v>
          </cell>
          <cell r="D4200" t="str">
            <v>PE</v>
          </cell>
          <cell r="E4200" t="str">
            <v>515.51511</v>
          </cell>
          <cell r="F4200">
            <v>138</v>
          </cell>
          <cell r="G4200">
            <v>0</v>
          </cell>
          <cell r="H4200">
            <v>0</v>
          </cell>
          <cell r="I4200">
            <v>0</v>
          </cell>
          <cell r="J4200">
            <v>0</v>
          </cell>
          <cell r="K4200">
            <v>0</v>
          </cell>
          <cell r="L4200">
            <v>0</v>
          </cell>
        </row>
        <row r="4201">
          <cell r="A4201" t="str">
            <v>20498.21208</v>
          </cell>
          <cell r="B4201" t="str">
            <v>UNION DE REDUCTION 10MM X 8MM DOUBLE BAGUES INOX</v>
          </cell>
          <cell r="C4201" t="str">
            <v>SAGANA, REF : URSI 10 8</v>
          </cell>
          <cell r="D4201" t="str">
            <v>PE</v>
          </cell>
          <cell r="E4201" t="str">
            <v>515.51511</v>
          </cell>
          <cell r="F4201">
            <v>138</v>
          </cell>
          <cell r="G4201">
            <v>0</v>
          </cell>
          <cell r="H4201">
            <v>0</v>
          </cell>
          <cell r="I4201">
            <v>0</v>
          </cell>
          <cell r="J4201">
            <v>0</v>
          </cell>
          <cell r="K4201">
            <v>0</v>
          </cell>
          <cell r="L4201">
            <v>0</v>
          </cell>
        </row>
        <row r="4202">
          <cell r="A4202" t="str">
            <v>20498.21209</v>
          </cell>
          <cell r="B4202" t="str">
            <v>UNION DE REDUCTION 12MM X 8MM DOUBLE BAGUES INOX</v>
          </cell>
          <cell r="C4202" t="str">
            <v>SAGANA, REF : URSI 12 8</v>
          </cell>
          <cell r="D4202" t="str">
            <v>PE</v>
          </cell>
          <cell r="E4202" t="str">
            <v>515.51511</v>
          </cell>
          <cell r="F4202">
            <v>212</v>
          </cell>
          <cell r="G4202">
            <v>0</v>
          </cell>
          <cell r="H4202">
            <v>0</v>
          </cell>
          <cell r="I4202">
            <v>0</v>
          </cell>
          <cell r="J4202">
            <v>0</v>
          </cell>
          <cell r="K4202">
            <v>0</v>
          </cell>
          <cell r="L4202">
            <v>0</v>
          </cell>
        </row>
        <row r="4203">
          <cell r="A4203" t="str">
            <v>20361.02310</v>
          </cell>
          <cell r="B4203" t="str">
            <v>CISAILLE GRIGNOTEUSE</v>
          </cell>
          <cell r="C4203" t="str">
            <v>CISAILLE GRIGNOTEUSE SANS REF 02310</v>
          </cell>
          <cell r="D4203" t="str">
            <v>PE</v>
          </cell>
          <cell r="E4203" t="str">
            <v>522.52208</v>
          </cell>
          <cell r="F4203">
            <v>624.45600000000002</v>
          </cell>
          <cell r="G4203">
            <v>0</v>
          </cell>
          <cell r="H4203">
            <v>0</v>
          </cell>
          <cell r="I4203">
            <v>0</v>
          </cell>
          <cell r="J4203">
            <v>0</v>
          </cell>
          <cell r="K4203">
            <v>1</v>
          </cell>
          <cell r="L4203">
            <v>0</v>
          </cell>
        </row>
        <row r="4204">
          <cell r="A4204" t="str">
            <v>20498.21210</v>
          </cell>
          <cell r="B4204" t="str">
            <v>UNION DE REDUCTION 12MM X 10MM DOUBLE BAGUES INOX</v>
          </cell>
          <cell r="C4204" t="str">
            <v>SAGANA, REF : URSI 12 10</v>
          </cell>
          <cell r="D4204" t="str">
            <v>PE</v>
          </cell>
          <cell r="E4204" t="str">
            <v>515.51511</v>
          </cell>
          <cell r="F4204">
            <v>212</v>
          </cell>
          <cell r="G4204">
            <v>0</v>
          </cell>
          <cell r="H4204">
            <v>0</v>
          </cell>
          <cell r="I4204">
            <v>0</v>
          </cell>
          <cell r="J4204">
            <v>0</v>
          </cell>
          <cell r="K4204">
            <v>0</v>
          </cell>
          <cell r="L4204">
            <v>0</v>
          </cell>
        </row>
        <row r="4205">
          <cell r="A4205" t="str">
            <v>20498.02703</v>
          </cell>
          <cell r="B4205" t="str">
            <v>THERMOMETRE</v>
          </cell>
          <cell r="C4205" t="str">
            <v>ASHCROFT REF : 50EI60E090 ECHELLE 0/100°C</v>
          </cell>
          <cell r="D4205" t="str">
            <v>PE</v>
          </cell>
          <cell r="E4205" t="str">
            <v>512.51201</v>
          </cell>
          <cell r="F4205">
            <v>1241</v>
          </cell>
          <cell r="G4205">
            <v>0</v>
          </cell>
          <cell r="H4205">
            <v>0</v>
          </cell>
          <cell r="I4205">
            <v>0</v>
          </cell>
          <cell r="J4205">
            <v>0</v>
          </cell>
          <cell r="K4205">
            <v>0</v>
          </cell>
          <cell r="L4205">
            <v>1</v>
          </cell>
        </row>
        <row r="4206">
          <cell r="A4206" t="str">
            <v>20498.02704</v>
          </cell>
          <cell r="B4206" t="str">
            <v>PRESSOSTAT</v>
          </cell>
          <cell r="C4206" t="str">
            <v>ASHCROFT REF : B732BXFS30PSI</v>
          </cell>
          <cell r="D4206" t="str">
            <v>PE</v>
          </cell>
          <cell r="E4206" t="str">
            <v>512.51201</v>
          </cell>
          <cell r="F4206">
            <v>6900</v>
          </cell>
          <cell r="G4206">
            <v>1</v>
          </cell>
          <cell r="H4206">
            <v>0</v>
          </cell>
          <cell r="I4206">
            <v>0</v>
          </cell>
          <cell r="J4206">
            <v>0</v>
          </cell>
          <cell r="K4206">
            <v>0</v>
          </cell>
          <cell r="L4206">
            <v>0</v>
          </cell>
        </row>
        <row r="4207">
          <cell r="A4207" t="str">
            <v>20499.06937</v>
          </cell>
          <cell r="B4207" t="str">
            <v>RESSORT</v>
          </cell>
          <cell r="C4207" t="str">
            <v>SAPAG TYPE 8123V E WC6A  SERIE 340999 10"300RFx14"150RF REP27</v>
          </cell>
          <cell r="D4207" t="str">
            <v>PE</v>
          </cell>
          <cell r="E4207" t="str">
            <v>515.51511</v>
          </cell>
          <cell r="F4207">
            <v>66735.577699999994</v>
          </cell>
          <cell r="G4207">
            <v>0</v>
          </cell>
          <cell r="H4207">
            <v>0</v>
          </cell>
          <cell r="I4207">
            <v>0</v>
          </cell>
          <cell r="J4207">
            <v>0</v>
          </cell>
          <cell r="K4207">
            <v>0</v>
          </cell>
          <cell r="L4207">
            <v>1</v>
          </cell>
        </row>
        <row r="4208">
          <cell r="A4208" t="str">
            <v>20499.06938</v>
          </cell>
          <cell r="B4208" t="str">
            <v>RESSORT</v>
          </cell>
          <cell r="C4208" t="str">
            <v>SAPAG TYPE 8123V E WC6A  SERIE 340998 10"300RFx14"150RF REP27</v>
          </cell>
          <cell r="D4208" t="str">
            <v>PE</v>
          </cell>
          <cell r="E4208" t="str">
            <v>515.51511</v>
          </cell>
          <cell r="F4208">
            <v>66735.577699999994</v>
          </cell>
          <cell r="G4208">
            <v>0</v>
          </cell>
          <cell r="H4208">
            <v>0</v>
          </cell>
          <cell r="I4208">
            <v>0</v>
          </cell>
          <cell r="J4208">
            <v>0</v>
          </cell>
          <cell r="K4208">
            <v>0</v>
          </cell>
          <cell r="L4208">
            <v>1</v>
          </cell>
        </row>
        <row r="4209">
          <cell r="A4209" t="str">
            <v>20498.02699</v>
          </cell>
          <cell r="B4209" t="str">
            <v>KIT COMPLET DE CATHODE  PRINCIPALE SIMPLE CONNECTION</v>
          </cell>
          <cell r="C4209" t="str">
            <v>AKER REF 101/06-502</v>
          </cell>
          <cell r="D4209" t="str">
            <v>PE</v>
          </cell>
          <cell r="E4209" t="str">
            <v>522.52206</v>
          </cell>
          <cell r="F4209">
            <v>13332.933499999999</v>
          </cell>
          <cell r="G4209">
            <v>0</v>
          </cell>
          <cell r="H4209">
            <v>0</v>
          </cell>
          <cell r="I4209">
            <v>0</v>
          </cell>
          <cell r="J4209">
            <v>0</v>
          </cell>
          <cell r="K4209">
            <v>0</v>
          </cell>
          <cell r="L4209">
            <v>1</v>
          </cell>
        </row>
        <row r="4210">
          <cell r="A4210" t="str">
            <v>20498.02700</v>
          </cell>
          <cell r="B4210" t="str">
            <v>PRESSE ETOUPE TUBULAIRE</v>
          </cell>
          <cell r="C4210" t="str">
            <v>AKER REF REF 208</v>
          </cell>
          <cell r="D4210" t="str">
            <v>PE</v>
          </cell>
          <cell r="E4210" t="str">
            <v>522.52206</v>
          </cell>
          <cell r="F4210">
            <v>2249.8380999999999</v>
          </cell>
          <cell r="G4210">
            <v>0</v>
          </cell>
          <cell r="H4210">
            <v>0</v>
          </cell>
          <cell r="I4210">
            <v>0</v>
          </cell>
          <cell r="J4210">
            <v>6</v>
          </cell>
          <cell r="K4210">
            <v>0</v>
          </cell>
          <cell r="L4210">
            <v>0</v>
          </cell>
        </row>
        <row r="4211">
          <cell r="A4211" t="str">
            <v>20498.02692</v>
          </cell>
          <cell r="B4211" t="str">
            <v>TRANSFORMATEUR</v>
          </cell>
          <cell r="C4211" t="str">
            <v>AKER REF 094265</v>
          </cell>
          <cell r="D4211" t="str">
            <v>PE</v>
          </cell>
          <cell r="E4211" t="str">
            <v>522.52206</v>
          </cell>
          <cell r="F4211">
            <v>16125.1708</v>
          </cell>
          <cell r="G4211">
            <v>0</v>
          </cell>
          <cell r="H4211">
            <v>0</v>
          </cell>
          <cell r="I4211">
            <v>0</v>
          </cell>
          <cell r="J4211">
            <v>0</v>
          </cell>
          <cell r="K4211">
            <v>0</v>
          </cell>
          <cell r="L4211">
            <v>1</v>
          </cell>
        </row>
        <row r="4212">
          <cell r="A4212" t="str">
            <v>20498.02702</v>
          </cell>
          <cell r="B4212" t="str">
            <v>THERMOMETRE</v>
          </cell>
          <cell r="C4212" t="str">
            <v>ASHCROFT REF : 50EI60E060  ECHELLE 0/100°C</v>
          </cell>
          <cell r="D4212" t="str">
            <v>PE</v>
          </cell>
          <cell r="E4212" t="str">
            <v>512.51201</v>
          </cell>
          <cell r="F4212">
            <v>1233</v>
          </cell>
          <cell r="G4212">
            <v>0</v>
          </cell>
          <cell r="H4212">
            <v>0</v>
          </cell>
          <cell r="I4212">
            <v>0</v>
          </cell>
          <cell r="J4212">
            <v>0</v>
          </cell>
          <cell r="K4212">
            <v>0</v>
          </cell>
          <cell r="L4212">
            <v>1</v>
          </cell>
        </row>
        <row r="4213">
          <cell r="A4213" t="str">
            <v>20498.02003</v>
          </cell>
          <cell r="B4213" t="str">
            <v>DETECTEUR DENSITE RAY GAM</v>
          </cell>
          <cell r="C4213" t="str">
            <v>BERTHOLD LB 5441-02 40/35 220VAC/50HZ CABLE DE 25METRE</v>
          </cell>
          <cell r="D4213" t="str">
            <v>PE</v>
          </cell>
          <cell r="E4213" t="str">
            <v>516.51602</v>
          </cell>
          <cell r="F4213">
            <v>53867</v>
          </cell>
          <cell r="G4213">
            <v>0</v>
          </cell>
          <cell r="H4213">
            <v>0</v>
          </cell>
          <cell r="I4213">
            <v>2</v>
          </cell>
          <cell r="J4213">
            <v>0</v>
          </cell>
          <cell r="K4213">
            <v>1</v>
          </cell>
          <cell r="L4213">
            <v>0</v>
          </cell>
        </row>
        <row r="4214">
          <cell r="A4214" t="str">
            <v>20497.00631</v>
          </cell>
          <cell r="B4214" t="str">
            <v>JOINT</v>
          </cell>
          <cell r="C4214" t="str">
            <v>GOULDS PUMPS IC-125-100-200  SERIE I 601E 36/37  REP 400</v>
          </cell>
          <cell r="D4214" t="str">
            <v>PE</v>
          </cell>
          <cell r="E4214" t="str">
            <v>515.51517</v>
          </cell>
          <cell r="F4214">
            <v>560.15869999999995</v>
          </cell>
          <cell r="G4214">
            <v>0</v>
          </cell>
          <cell r="H4214">
            <v>0</v>
          </cell>
          <cell r="I4214">
            <v>0</v>
          </cell>
          <cell r="J4214">
            <v>0</v>
          </cell>
          <cell r="K4214">
            <v>0</v>
          </cell>
          <cell r="L4214">
            <v>0</v>
          </cell>
        </row>
        <row r="4215">
          <cell r="A4215" t="str">
            <v>20497.00632</v>
          </cell>
          <cell r="B4215" t="str">
            <v>JOINT</v>
          </cell>
          <cell r="C4215" t="str">
            <v>GOULDS PUMPS IC-125-100-200   SERIE I 601E 36/37  REP 400A</v>
          </cell>
          <cell r="D4215" t="str">
            <v>PE</v>
          </cell>
          <cell r="E4215" t="str">
            <v>515.51517</v>
          </cell>
          <cell r="F4215">
            <v>68.958699999999993</v>
          </cell>
          <cell r="G4215">
            <v>0</v>
          </cell>
          <cell r="H4215">
            <v>0</v>
          </cell>
          <cell r="I4215">
            <v>0</v>
          </cell>
          <cell r="J4215">
            <v>0</v>
          </cell>
          <cell r="K4215">
            <v>1</v>
          </cell>
          <cell r="L4215">
            <v>0</v>
          </cell>
        </row>
        <row r="4216">
          <cell r="A4216" t="str">
            <v>20497.00633</v>
          </cell>
          <cell r="B4216" t="str">
            <v>JOINT</v>
          </cell>
          <cell r="C4216" t="str">
            <v>GOULDS PUMPS IC-125-100-200   SERIE I 601E 36/37  REP 412.21</v>
          </cell>
          <cell r="D4216" t="str">
            <v>PE</v>
          </cell>
          <cell r="E4216" t="str">
            <v>515.51517</v>
          </cell>
          <cell r="F4216">
            <v>77.563999999999993</v>
          </cell>
          <cell r="G4216">
            <v>0</v>
          </cell>
          <cell r="H4216">
            <v>0</v>
          </cell>
          <cell r="I4216">
            <v>0</v>
          </cell>
          <cell r="J4216">
            <v>0</v>
          </cell>
          <cell r="K4216">
            <v>1</v>
          </cell>
          <cell r="L4216">
            <v>0</v>
          </cell>
        </row>
        <row r="4217">
          <cell r="A4217" t="str">
            <v>20497.00634</v>
          </cell>
          <cell r="B4217" t="str">
            <v>ROUE</v>
          </cell>
          <cell r="C4217" t="str">
            <v>GOULDS PUMPS IC-125-100-200  SERIE I 601E 36/37  REP 230</v>
          </cell>
          <cell r="D4217" t="str">
            <v>PE</v>
          </cell>
          <cell r="E4217" t="str">
            <v>515.51517</v>
          </cell>
          <cell r="F4217">
            <v>26833.077300000001</v>
          </cell>
          <cell r="G4217">
            <v>0</v>
          </cell>
          <cell r="H4217">
            <v>0</v>
          </cell>
          <cell r="I4217">
            <v>0</v>
          </cell>
          <cell r="J4217">
            <v>0</v>
          </cell>
          <cell r="K4217">
            <v>0</v>
          </cell>
          <cell r="L4217">
            <v>1</v>
          </cell>
        </row>
        <row r="4218">
          <cell r="A4218" t="str">
            <v>20497.01237</v>
          </cell>
          <cell r="B4218" t="str">
            <v>EXPELLEUR</v>
          </cell>
          <cell r="C4218" t="str">
            <v>WARMAN EAM028 TYPE:200 EM A05/A/A05A/FF SERIE: 044063/044064</v>
          </cell>
          <cell r="D4218" t="str">
            <v>PE</v>
          </cell>
          <cell r="E4218" t="str">
            <v>515.51517</v>
          </cell>
          <cell r="F4218">
            <v>9154.0339000000004</v>
          </cell>
          <cell r="G4218">
            <v>0</v>
          </cell>
          <cell r="H4218">
            <v>0</v>
          </cell>
          <cell r="I4218">
            <v>0</v>
          </cell>
          <cell r="J4218">
            <v>0</v>
          </cell>
          <cell r="K4218">
            <v>0</v>
          </cell>
          <cell r="L4218">
            <v>0</v>
          </cell>
        </row>
        <row r="4219">
          <cell r="A4219" t="str">
            <v>20497.00641</v>
          </cell>
          <cell r="B4219" t="str">
            <v>ECROU DE ROULEMENT</v>
          </cell>
          <cell r="C4219" t="str">
            <v>GOULDS PUMPS IC-125-80-200   SERIE I 601E 22/23/24  REP 923.51</v>
          </cell>
          <cell r="D4219" t="str">
            <v>PE</v>
          </cell>
          <cell r="E4219" t="str">
            <v>515.51517</v>
          </cell>
          <cell r="F4219">
            <v>1324.22</v>
          </cell>
          <cell r="G4219">
            <v>0</v>
          </cell>
          <cell r="H4219">
            <v>0</v>
          </cell>
          <cell r="I4219">
            <v>0</v>
          </cell>
          <cell r="J4219">
            <v>0</v>
          </cell>
          <cell r="K4219">
            <v>0</v>
          </cell>
          <cell r="L4219">
            <v>2</v>
          </cell>
        </row>
        <row r="4220">
          <cell r="A4220" t="str">
            <v>20497.01240</v>
          </cell>
          <cell r="B4220" t="str">
            <v>JOINT D'EXPELLEUR</v>
          </cell>
          <cell r="C4220" t="str">
            <v>WARMAN EAM029 TYPE:200 EM A05/A/A05A/FF SERIE: 044063/044064</v>
          </cell>
          <cell r="D4220" t="str">
            <v>PE</v>
          </cell>
          <cell r="E4220" t="str">
            <v>515.51517</v>
          </cell>
          <cell r="F4220">
            <v>11057.696900000001</v>
          </cell>
          <cell r="G4220">
            <v>0</v>
          </cell>
          <cell r="H4220">
            <v>0</v>
          </cell>
          <cell r="I4220">
            <v>0</v>
          </cell>
          <cell r="J4220">
            <v>0</v>
          </cell>
          <cell r="K4220">
            <v>0</v>
          </cell>
          <cell r="L4220">
            <v>1</v>
          </cell>
        </row>
        <row r="4221">
          <cell r="A4221" t="str">
            <v>20497.00642</v>
          </cell>
          <cell r="B4221" t="str">
            <v>JOINT</v>
          </cell>
          <cell r="C4221" t="str">
            <v>GOULDS PUMPS IC-125-80-200  SERIE I 601E 22/23/24  REP 400</v>
          </cell>
          <cell r="D4221" t="str">
            <v>PE</v>
          </cell>
          <cell r="E4221" t="str">
            <v>515.51517</v>
          </cell>
          <cell r="F4221">
            <v>706.16</v>
          </cell>
          <cell r="G4221">
            <v>0</v>
          </cell>
          <cell r="H4221">
            <v>0</v>
          </cell>
          <cell r="I4221">
            <v>0</v>
          </cell>
          <cell r="J4221">
            <v>0</v>
          </cell>
          <cell r="K4221">
            <v>0</v>
          </cell>
          <cell r="L4221">
            <v>2</v>
          </cell>
        </row>
        <row r="4222">
          <cell r="A4222" t="str">
            <v>20497.00643</v>
          </cell>
          <cell r="B4222" t="str">
            <v>JOINT</v>
          </cell>
          <cell r="C4222" t="str">
            <v>GOULDS PUMPS IC-125-80-200  SERIE I 601E 22/23/24  REP 400A</v>
          </cell>
          <cell r="D4222" t="str">
            <v>PE</v>
          </cell>
          <cell r="E4222" t="str">
            <v>515.51517</v>
          </cell>
          <cell r="F4222">
            <v>91.7</v>
          </cell>
          <cell r="G4222">
            <v>0</v>
          </cell>
          <cell r="H4222">
            <v>0</v>
          </cell>
          <cell r="I4222">
            <v>0</v>
          </cell>
          <cell r="J4222">
            <v>0</v>
          </cell>
          <cell r="K4222">
            <v>0</v>
          </cell>
          <cell r="L4222">
            <v>2</v>
          </cell>
        </row>
        <row r="4223">
          <cell r="A4223" t="str">
            <v>20498.02477</v>
          </cell>
          <cell r="B4223" t="str">
            <v>MODULE DE TEMPERATURE</v>
          </cell>
          <cell r="C4223" t="str">
            <v>BENTY NEVADA   REF 3500/60-01-01</v>
          </cell>
          <cell r="D4223" t="str">
            <v>PE</v>
          </cell>
          <cell r="E4223" t="str">
            <v>512.51201</v>
          </cell>
          <cell r="F4223">
            <v>24592.185700000002</v>
          </cell>
          <cell r="G4223">
            <v>0</v>
          </cell>
          <cell r="H4223">
            <v>0</v>
          </cell>
          <cell r="I4223">
            <v>0</v>
          </cell>
          <cell r="J4223">
            <v>0</v>
          </cell>
          <cell r="K4223">
            <v>0</v>
          </cell>
          <cell r="L4223">
            <v>1</v>
          </cell>
        </row>
        <row r="4224">
          <cell r="A4224" t="str">
            <v>20498.02478</v>
          </cell>
          <cell r="B4224" t="str">
            <v>CABLE D'EXTENSION</v>
          </cell>
          <cell r="C4224" t="str">
            <v>BENTY NEVADA  REF 330130-085-01-05</v>
          </cell>
          <cell r="D4224" t="str">
            <v>PE</v>
          </cell>
          <cell r="E4224" t="str">
            <v>512.51201</v>
          </cell>
          <cell r="F4224">
            <v>4350.6588000000002</v>
          </cell>
          <cell r="G4224">
            <v>0</v>
          </cell>
          <cell r="H4224">
            <v>0</v>
          </cell>
          <cell r="I4224">
            <v>0</v>
          </cell>
          <cell r="J4224">
            <v>0</v>
          </cell>
          <cell r="K4224">
            <v>0</v>
          </cell>
          <cell r="L4224">
            <v>2</v>
          </cell>
        </row>
        <row r="4225">
          <cell r="A4225" t="str">
            <v>20498.02479</v>
          </cell>
          <cell r="B4225" t="str">
            <v>CAPTEUR DE PROXIMITE</v>
          </cell>
          <cell r="C4225" t="str">
            <v>BENTY NEVADA  REF 3300XL 330180-91-05</v>
          </cell>
          <cell r="D4225" t="str">
            <v>PE</v>
          </cell>
          <cell r="E4225" t="str">
            <v>512.51201</v>
          </cell>
          <cell r="F4225">
            <v>6765.1203999999998</v>
          </cell>
          <cell r="G4225">
            <v>0</v>
          </cell>
          <cell r="H4225">
            <v>0</v>
          </cell>
          <cell r="I4225">
            <v>0</v>
          </cell>
          <cell r="J4225">
            <v>0</v>
          </cell>
          <cell r="K4225">
            <v>0</v>
          </cell>
          <cell r="L4225">
            <v>1</v>
          </cell>
        </row>
        <row r="4226">
          <cell r="A4226" t="str">
            <v>20498.02480</v>
          </cell>
          <cell r="B4226" t="str">
            <v>SONDE ET PUIT</v>
          </cell>
          <cell r="C4226" t="str">
            <v>PYROCONTRÔLE PLAN 91 7605  REP 203A TE 104 DN 80 -LONG 450MM - INOX 316L</v>
          </cell>
          <cell r="D4226" t="str">
            <v>PE</v>
          </cell>
          <cell r="E4226" t="str">
            <v>512.51201</v>
          </cell>
          <cell r="F4226">
            <v>3500</v>
          </cell>
          <cell r="G4226">
            <v>0</v>
          </cell>
          <cell r="H4226">
            <v>2</v>
          </cell>
          <cell r="I4226">
            <v>0</v>
          </cell>
          <cell r="J4226">
            <v>0</v>
          </cell>
          <cell r="K4226">
            <v>0</v>
          </cell>
          <cell r="L4226">
            <v>1</v>
          </cell>
        </row>
        <row r="4227">
          <cell r="A4227" t="str">
            <v>20498.02481</v>
          </cell>
          <cell r="B4227" t="str">
            <v>SONDE ET PUIT</v>
          </cell>
          <cell r="C4227" t="str">
            <v>PYROCONTRÔLE PLAN  91 7605  REP 225TE103 DN 40-LONG 450MM - INOX 316L</v>
          </cell>
          <cell r="D4227" t="str">
            <v>PE</v>
          </cell>
          <cell r="E4227" t="str">
            <v>512.51201</v>
          </cell>
          <cell r="F4227">
            <v>5106</v>
          </cell>
          <cell r="G4227">
            <v>0</v>
          </cell>
          <cell r="H4227">
            <v>0</v>
          </cell>
          <cell r="I4227">
            <v>0</v>
          </cell>
          <cell r="J4227">
            <v>0</v>
          </cell>
          <cell r="K4227">
            <v>0</v>
          </cell>
          <cell r="L4227">
            <v>1</v>
          </cell>
        </row>
        <row r="4228">
          <cell r="A4228" t="str">
            <v>20497.01246</v>
          </cell>
          <cell r="B4228" t="str">
            <v>JOINT DE BRIDE D'ASPIRATION</v>
          </cell>
          <cell r="C4228" t="str">
            <v>WARMAN    E4060   TYPE:64-DA5-A-M2-5CM2-XM2 SERIE:68863</v>
          </cell>
          <cell r="D4228" t="str">
            <v>PE</v>
          </cell>
          <cell r="E4228" t="str">
            <v>515.51517</v>
          </cell>
          <cell r="F4228">
            <v>1010.5865</v>
          </cell>
          <cell r="G4228">
            <v>0</v>
          </cell>
          <cell r="H4228">
            <v>0</v>
          </cell>
          <cell r="I4228">
            <v>1</v>
          </cell>
          <cell r="J4228">
            <v>0</v>
          </cell>
          <cell r="K4228">
            <v>0</v>
          </cell>
          <cell r="L4228">
            <v>3</v>
          </cell>
        </row>
        <row r="4229">
          <cell r="A4229" t="str">
            <v>20498.02473</v>
          </cell>
          <cell r="B4229" t="str">
            <v>CONTROLEUR DE TURBINE A VAPEUR</v>
          </cell>
          <cell r="C4229" t="str">
            <v>WOODWARD PEAK 150</v>
          </cell>
          <cell r="D4229" t="str">
            <v>PE</v>
          </cell>
          <cell r="E4229" t="str">
            <v>512.51201</v>
          </cell>
          <cell r="F4229">
            <v>62329.52</v>
          </cell>
          <cell r="G4229">
            <v>0</v>
          </cell>
          <cell r="H4229">
            <v>0</v>
          </cell>
          <cell r="I4229">
            <v>0</v>
          </cell>
          <cell r="J4229">
            <v>0</v>
          </cell>
          <cell r="K4229">
            <v>0</v>
          </cell>
          <cell r="L4229">
            <v>1</v>
          </cell>
        </row>
        <row r="4230">
          <cell r="A4230" t="str">
            <v>20498.02474</v>
          </cell>
          <cell r="B4230" t="str">
            <v>SYSTÈME DE PROTECTION SURVITESSE</v>
          </cell>
          <cell r="C4230" t="str">
            <v>WOODWARD PROTECH 203</v>
          </cell>
          <cell r="D4230" t="str">
            <v>PE</v>
          </cell>
          <cell r="E4230" t="str">
            <v>512.51201</v>
          </cell>
          <cell r="F4230">
            <v>97791.209199999998</v>
          </cell>
          <cell r="G4230">
            <v>0</v>
          </cell>
          <cell r="H4230">
            <v>0</v>
          </cell>
          <cell r="I4230">
            <v>0</v>
          </cell>
          <cell r="J4230">
            <v>0</v>
          </cell>
          <cell r="K4230">
            <v>0</v>
          </cell>
          <cell r="L4230">
            <v>1</v>
          </cell>
        </row>
        <row r="4231">
          <cell r="A4231" t="str">
            <v>20497.01248</v>
          </cell>
          <cell r="B4231" t="str">
            <v>PLAQUE ARRIERE</v>
          </cell>
          <cell r="C4231" t="str">
            <v>WARMAN     E4041  TYPE:64-DA5-A-M2-5CM2-XM2 SERIE:68863</v>
          </cell>
          <cell r="D4231" t="str">
            <v>PE</v>
          </cell>
          <cell r="E4231" t="str">
            <v>515.51517</v>
          </cell>
          <cell r="F4231">
            <v>2856.33</v>
          </cell>
          <cell r="G4231">
            <v>0</v>
          </cell>
          <cell r="H4231">
            <v>0</v>
          </cell>
          <cell r="I4231">
            <v>1</v>
          </cell>
          <cell r="J4231">
            <v>0</v>
          </cell>
          <cell r="K4231">
            <v>0</v>
          </cell>
          <cell r="L4231">
            <v>1</v>
          </cell>
        </row>
        <row r="4232">
          <cell r="A4232" t="str">
            <v>20498.02475</v>
          </cell>
          <cell r="B4232" t="str">
            <v>ELECTRO-POSITIONNEUR</v>
          </cell>
          <cell r="C4232" t="str">
            <v>WOODWARD TM25LP</v>
          </cell>
          <cell r="D4232" t="str">
            <v>PE</v>
          </cell>
          <cell r="E4232" t="str">
            <v>512.51201</v>
          </cell>
          <cell r="F4232">
            <v>127744.6983</v>
          </cell>
          <cell r="G4232">
            <v>0</v>
          </cell>
          <cell r="H4232">
            <v>0</v>
          </cell>
          <cell r="I4232">
            <v>0</v>
          </cell>
          <cell r="J4232">
            <v>0</v>
          </cell>
          <cell r="K4232">
            <v>0</v>
          </cell>
          <cell r="L4232">
            <v>1</v>
          </cell>
        </row>
        <row r="4233">
          <cell r="A4233" t="str">
            <v>20497.01241</v>
          </cell>
          <cell r="B4233" t="str">
            <v>JOINT DU BOITIER D'EXPELLEUR</v>
          </cell>
          <cell r="C4233" t="str">
            <v>WARMAN   E122   TYPE:64-DA5-A-M2-5CM2-XM2 SERIE:68863</v>
          </cell>
          <cell r="D4233" t="str">
            <v>PE</v>
          </cell>
          <cell r="E4233" t="str">
            <v>515.51517</v>
          </cell>
          <cell r="F4233">
            <v>376.03219999999999</v>
          </cell>
          <cell r="G4233">
            <v>0</v>
          </cell>
          <cell r="H4233">
            <v>0</v>
          </cell>
          <cell r="I4233">
            <v>0</v>
          </cell>
          <cell r="J4233">
            <v>0</v>
          </cell>
          <cell r="K4233">
            <v>1</v>
          </cell>
          <cell r="L4233">
            <v>0</v>
          </cell>
        </row>
        <row r="4234">
          <cell r="A4234" t="str">
            <v>20498.02476</v>
          </cell>
          <cell r="B4234" t="str">
            <v>MODULE DE  VIBRATION</v>
          </cell>
          <cell r="C4234" t="str">
            <v>BENTY NEVADA  REF 3500/40M</v>
          </cell>
          <cell r="D4234" t="str">
            <v>PE</v>
          </cell>
          <cell r="E4234" t="str">
            <v>512.51201</v>
          </cell>
          <cell r="F4234">
            <v>38671.2408</v>
          </cell>
          <cell r="G4234">
            <v>0</v>
          </cell>
          <cell r="H4234">
            <v>0</v>
          </cell>
          <cell r="I4234">
            <v>0</v>
          </cell>
          <cell r="J4234">
            <v>0</v>
          </cell>
          <cell r="K4234">
            <v>0</v>
          </cell>
          <cell r="L4234">
            <v>0</v>
          </cell>
        </row>
        <row r="4235">
          <cell r="A4235" t="str">
            <v>20497.01242</v>
          </cell>
          <cell r="B4235" t="str">
            <v>JOINT DE VOLUTE</v>
          </cell>
          <cell r="C4235" t="str">
            <v>WARMAN     E4124  TYPE:64-DA5-A-M2-5CM2-XM2 SERIE:68863</v>
          </cell>
          <cell r="D4235" t="str">
            <v>PE</v>
          </cell>
          <cell r="E4235" t="str">
            <v>515.51517</v>
          </cell>
          <cell r="F4235">
            <v>135.30000000000001</v>
          </cell>
          <cell r="G4235">
            <v>0</v>
          </cell>
          <cell r="H4235">
            <v>0</v>
          </cell>
          <cell r="I4235">
            <v>2</v>
          </cell>
          <cell r="J4235">
            <v>0</v>
          </cell>
          <cell r="K4235">
            <v>2</v>
          </cell>
          <cell r="L4235">
            <v>2</v>
          </cell>
        </row>
        <row r="4236">
          <cell r="A4236" t="str">
            <v>20497.01243</v>
          </cell>
          <cell r="B4236" t="str">
            <v>IMPULSEUR</v>
          </cell>
          <cell r="C4236" t="str">
            <v>WARMAN    E4147  TYPE:64-DA5-A-M2-5CM2-XM2 SERIE:68863</v>
          </cell>
          <cell r="D4236" t="str">
            <v>PE</v>
          </cell>
          <cell r="E4236" t="str">
            <v>515.51517</v>
          </cell>
          <cell r="F4236">
            <v>6163.67</v>
          </cell>
          <cell r="G4236">
            <v>0</v>
          </cell>
          <cell r="H4236">
            <v>1</v>
          </cell>
          <cell r="I4236">
            <v>0</v>
          </cell>
          <cell r="J4236">
            <v>0</v>
          </cell>
          <cell r="K4236">
            <v>0</v>
          </cell>
          <cell r="L4236">
            <v>0</v>
          </cell>
        </row>
        <row r="4237">
          <cell r="A4237" t="str">
            <v>20497.01244</v>
          </cell>
          <cell r="B4237" t="str">
            <v>JOINT DE BRIDE DE REFOULEMENT</v>
          </cell>
          <cell r="C4237" t="str">
            <v>WARMAN    E4132L  TYPE:64-DA5-A-M2-5CM2-XM2 SERIE:68863</v>
          </cell>
          <cell r="D4237" t="str">
            <v>PE</v>
          </cell>
          <cell r="E4237" t="str">
            <v>515.51517</v>
          </cell>
          <cell r="F4237">
            <v>540.54629999999997</v>
          </cell>
          <cell r="G4237">
            <v>0</v>
          </cell>
          <cell r="H4237">
            <v>0</v>
          </cell>
          <cell r="I4237">
            <v>0</v>
          </cell>
          <cell r="J4237">
            <v>0</v>
          </cell>
          <cell r="K4237">
            <v>0</v>
          </cell>
          <cell r="L4237">
            <v>4</v>
          </cell>
        </row>
        <row r="4238">
          <cell r="A4238" t="str">
            <v>20499.06939</v>
          </cell>
          <cell r="B4238" t="str">
            <v>CLAPET</v>
          </cell>
          <cell r="C4238" t="str">
            <v xml:space="preserve">SAPAG TYPE 8123V E WC6A  SERIE 340999 10"300RFx14"150RF REP7 </v>
          </cell>
          <cell r="D4238" t="str">
            <v>PE</v>
          </cell>
          <cell r="E4238" t="str">
            <v>515.51511</v>
          </cell>
          <cell r="F4238">
            <v>14056.439700000001</v>
          </cell>
          <cell r="G4238">
            <v>0</v>
          </cell>
          <cell r="H4238">
            <v>0</v>
          </cell>
          <cell r="I4238">
            <v>0</v>
          </cell>
          <cell r="J4238">
            <v>0</v>
          </cell>
          <cell r="K4238">
            <v>0</v>
          </cell>
          <cell r="L4238">
            <v>1</v>
          </cell>
        </row>
        <row r="4239">
          <cell r="A4239" t="str">
            <v>20499.06940</v>
          </cell>
          <cell r="B4239" t="str">
            <v>CLAPET</v>
          </cell>
          <cell r="C4239" t="str">
            <v>SAPAG TYPE 8123V E WC6A  SERIE 340998 10"300RFx14"150RF REP7</v>
          </cell>
          <cell r="D4239" t="str">
            <v>PE</v>
          </cell>
          <cell r="E4239" t="str">
            <v>515.51511</v>
          </cell>
          <cell r="F4239">
            <v>14056.439700000001</v>
          </cell>
          <cell r="G4239">
            <v>0</v>
          </cell>
          <cell r="H4239">
            <v>0</v>
          </cell>
          <cell r="I4239">
            <v>0</v>
          </cell>
          <cell r="J4239">
            <v>0</v>
          </cell>
          <cell r="K4239">
            <v>0</v>
          </cell>
          <cell r="L4239">
            <v>1</v>
          </cell>
        </row>
        <row r="4240">
          <cell r="A4240" t="str">
            <v>20497.01249</v>
          </cell>
          <cell r="B4240" t="str">
            <v>BOULON DES DEMI-CORPS</v>
          </cell>
          <cell r="C4240" t="str">
            <v>WARMAN    E4015  TYPE:64-DA5-A-M2-5CM2-XM2 SERIE:68863</v>
          </cell>
          <cell r="D4240" t="str">
            <v>PE</v>
          </cell>
          <cell r="E4240" t="str">
            <v>515.51517</v>
          </cell>
          <cell r="F4240">
            <v>611.05229999999995</v>
          </cell>
          <cell r="G4240">
            <v>0</v>
          </cell>
          <cell r="H4240">
            <v>0</v>
          </cell>
          <cell r="I4240">
            <v>0</v>
          </cell>
          <cell r="J4240">
            <v>0</v>
          </cell>
          <cell r="K4240">
            <v>0</v>
          </cell>
          <cell r="L4240">
            <v>2</v>
          </cell>
        </row>
        <row r="4241">
          <cell r="A4241" t="str">
            <v>20498.02261</v>
          </cell>
          <cell r="B4241" t="str">
            <v>ELEMENT DEVISICULEUR</v>
          </cell>
          <cell r="C4241" t="str">
            <v>MONSANTO CSI 30X65 P EFR EN 316L BED GM/WM P/LA TOUR DE SECHAGE</v>
          </cell>
          <cell r="D4241" t="str">
            <v>PE</v>
          </cell>
          <cell r="E4241" t="str">
            <v>515.51506</v>
          </cell>
          <cell r="F4241">
            <v>34322.2739</v>
          </cell>
          <cell r="G4241">
            <v>0</v>
          </cell>
          <cell r="H4241">
            <v>12</v>
          </cell>
          <cell r="I4241">
            <v>0</v>
          </cell>
          <cell r="J4241">
            <v>0</v>
          </cell>
          <cell r="K4241">
            <v>0</v>
          </cell>
          <cell r="L4241">
            <v>0</v>
          </cell>
        </row>
        <row r="4242">
          <cell r="A4242" t="str">
            <v>20498.02617</v>
          </cell>
          <cell r="B4242" t="str">
            <v>THERMOCOUPLE AVEC DOIGT DE GANT</v>
          </cell>
          <cell r="C4242" t="str">
            <v>PYROCONTROLE PLAN N° 12 LONG 610mm</v>
          </cell>
          <cell r="D4242" t="str">
            <v>PE</v>
          </cell>
          <cell r="E4242" t="str">
            <v>512.51201</v>
          </cell>
          <cell r="F4242">
            <v>4301.3980000000001</v>
          </cell>
          <cell r="G4242">
            <v>0</v>
          </cell>
          <cell r="H4242">
            <v>0</v>
          </cell>
          <cell r="I4242">
            <v>0</v>
          </cell>
          <cell r="J4242">
            <v>1</v>
          </cell>
          <cell r="K4242">
            <v>1</v>
          </cell>
          <cell r="L4242">
            <v>0</v>
          </cell>
        </row>
        <row r="4243">
          <cell r="A4243" t="str">
            <v>20498.02619</v>
          </cell>
          <cell r="B4243" t="str">
            <v>THERMOCOUPLE AVEC DOIGT DE GANT</v>
          </cell>
          <cell r="C4243" t="str">
            <v>PYROCONTROLE PLAN N° 8 LONG 915mm</v>
          </cell>
          <cell r="D4243" t="str">
            <v>PE</v>
          </cell>
          <cell r="E4243" t="str">
            <v>512.51201</v>
          </cell>
          <cell r="F4243">
            <v>57963</v>
          </cell>
          <cell r="G4243">
            <v>0</v>
          </cell>
          <cell r="H4243">
            <v>1</v>
          </cell>
          <cell r="I4243">
            <v>0</v>
          </cell>
          <cell r="J4243">
            <v>1</v>
          </cell>
          <cell r="K4243">
            <v>0</v>
          </cell>
          <cell r="L4243">
            <v>0</v>
          </cell>
        </row>
        <row r="4244">
          <cell r="A4244" t="str">
            <v>20498.02620</v>
          </cell>
          <cell r="B4244" t="str">
            <v>THERMOCOUPLE AVEC DOIGT DE GANT</v>
          </cell>
          <cell r="C4244" t="str">
            <v>PYROCONTROLE PLAN N° 9 LONG 610mm</v>
          </cell>
          <cell r="D4244" t="str">
            <v>PE</v>
          </cell>
          <cell r="E4244" t="str">
            <v>512.51201</v>
          </cell>
          <cell r="F4244">
            <v>4980.8185999999996</v>
          </cell>
          <cell r="G4244">
            <v>0</v>
          </cell>
          <cell r="H4244">
            <v>0</v>
          </cell>
          <cell r="I4244">
            <v>0</v>
          </cell>
          <cell r="J4244">
            <v>0</v>
          </cell>
          <cell r="K4244">
            <v>1</v>
          </cell>
          <cell r="L4244">
            <v>2</v>
          </cell>
        </row>
        <row r="4245">
          <cell r="A4245" t="str">
            <v>20498.02621</v>
          </cell>
          <cell r="B4245" t="str">
            <v>THERMOCOUPLE AVEC DOIGT DE GANT</v>
          </cell>
          <cell r="C4245" t="str">
            <v>PYROCONTROLE PLAN N° 9 LONG 1220mm</v>
          </cell>
          <cell r="D4245" t="str">
            <v>PE</v>
          </cell>
          <cell r="E4245" t="str">
            <v>512.51201</v>
          </cell>
          <cell r="F4245">
            <v>8280</v>
          </cell>
          <cell r="G4245">
            <v>0</v>
          </cell>
          <cell r="H4245">
            <v>1</v>
          </cell>
          <cell r="I4245">
            <v>0</v>
          </cell>
          <cell r="J4245">
            <v>0</v>
          </cell>
          <cell r="K4245">
            <v>1</v>
          </cell>
          <cell r="L4245">
            <v>0</v>
          </cell>
        </row>
        <row r="4246">
          <cell r="A4246" t="str">
            <v>20498.02482</v>
          </cell>
          <cell r="B4246" t="str">
            <v>SONDE ET PUIT</v>
          </cell>
          <cell r="C4246" t="str">
            <v>PYROCONTRÔLE PLAN  91 7605  REP 225TE106  DN 40-LONG 450MM - INOX 316L</v>
          </cell>
          <cell r="D4246" t="str">
            <v>PE</v>
          </cell>
          <cell r="E4246" t="str">
            <v>512.51201</v>
          </cell>
          <cell r="F4246">
            <v>2600</v>
          </cell>
          <cell r="G4246">
            <v>0</v>
          </cell>
          <cell r="H4246">
            <v>3</v>
          </cell>
          <cell r="I4246">
            <v>0</v>
          </cell>
          <cell r="J4246">
            <v>0</v>
          </cell>
          <cell r="K4246">
            <v>0</v>
          </cell>
          <cell r="L4246">
            <v>0</v>
          </cell>
        </row>
        <row r="4247">
          <cell r="A4247" t="str">
            <v>20498.02483</v>
          </cell>
          <cell r="B4247" t="str">
            <v>SONDE ET PUIT</v>
          </cell>
          <cell r="C4247" t="str">
            <v>PYROCONTRÔLE PLAN  91 7605  REP 203A TE109  DN 40-LONG 300MM - INOX 316L</v>
          </cell>
          <cell r="D4247" t="str">
            <v>PE</v>
          </cell>
          <cell r="E4247" t="str">
            <v>512.51201</v>
          </cell>
          <cell r="F4247">
            <v>3304.3676</v>
          </cell>
          <cell r="G4247">
            <v>0</v>
          </cell>
          <cell r="H4247">
            <v>0</v>
          </cell>
          <cell r="I4247">
            <v>1</v>
          </cell>
          <cell r="J4247">
            <v>0</v>
          </cell>
          <cell r="K4247">
            <v>0</v>
          </cell>
          <cell r="L4247">
            <v>0</v>
          </cell>
        </row>
        <row r="4248">
          <cell r="A4248" t="str">
            <v>20498.02484</v>
          </cell>
          <cell r="B4248" t="str">
            <v>SONDE ET PUIT</v>
          </cell>
          <cell r="C4248" t="str">
            <v>PYROCONTRÔLE PLAN  91 7605  REP 225TE105  DN 40-LONG 380MM - INOX 316L</v>
          </cell>
          <cell r="D4248" t="str">
            <v>PE</v>
          </cell>
          <cell r="E4248" t="str">
            <v>512.51201</v>
          </cell>
          <cell r="F4248">
            <v>4746</v>
          </cell>
          <cell r="G4248">
            <v>0</v>
          </cell>
          <cell r="H4248">
            <v>0</v>
          </cell>
          <cell r="I4248">
            <v>0</v>
          </cell>
          <cell r="J4248">
            <v>0</v>
          </cell>
          <cell r="K4248">
            <v>1</v>
          </cell>
          <cell r="L4248">
            <v>1</v>
          </cell>
        </row>
        <row r="4249">
          <cell r="A4249" t="str">
            <v>20498.02615</v>
          </cell>
          <cell r="B4249" t="str">
            <v>THERMOCOUPLE AVEC DOIGT DE GANT</v>
          </cell>
          <cell r="C4249" t="str">
            <v>PYROCONTROLE PLAN N° 11 LONG 63,5mm</v>
          </cell>
          <cell r="D4249" t="str">
            <v>PE</v>
          </cell>
          <cell r="E4249" t="str">
            <v>512.51201</v>
          </cell>
          <cell r="F4249">
            <v>1770.12</v>
          </cell>
          <cell r="G4249">
            <v>0</v>
          </cell>
          <cell r="H4249">
            <v>0</v>
          </cell>
          <cell r="I4249">
            <v>0</v>
          </cell>
          <cell r="J4249">
            <v>0</v>
          </cell>
          <cell r="K4249">
            <v>0</v>
          </cell>
          <cell r="L4249">
            <v>1</v>
          </cell>
        </row>
        <row r="4250">
          <cell r="A4250" t="str">
            <v>20497.10831</v>
          </cell>
          <cell r="B4250" t="str">
            <v>BOUCHON DE VIDANGE</v>
          </cell>
          <cell r="C4250" t="str">
            <v>SEEPEX TYPE BN1-12 PLAN N°062-002B1 REP705</v>
          </cell>
          <cell r="D4250" t="str">
            <v>PE</v>
          </cell>
          <cell r="E4250" t="str">
            <v>515.51503</v>
          </cell>
          <cell r="F4250">
            <v>67.032799999999995</v>
          </cell>
          <cell r="G4250">
            <v>0</v>
          </cell>
          <cell r="H4250">
            <v>0</v>
          </cell>
          <cell r="I4250">
            <v>0</v>
          </cell>
          <cell r="J4250">
            <v>0</v>
          </cell>
          <cell r="K4250">
            <v>0</v>
          </cell>
          <cell r="L4250">
            <v>0</v>
          </cell>
        </row>
        <row r="4251">
          <cell r="A4251" t="str">
            <v>20497.10438</v>
          </cell>
          <cell r="B4251" t="str">
            <v>BAGUE EN CARBONE REP : 303</v>
          </cell>
          <cell r="C4251" t="str">
            <v>MOUVEX TYPE AK O HP PL : 1003.F01 REF 211655</v>
          </cell>
          <cell r="D4251" t="str">
            <v>PE</v>
          </cell>
          <cell r="E4251" t="str">
            <v>515.51507</v>
          </cell>
          <cell r="F4251">
            <v>1115.73</v>
          </cell>
          <cell r="G4251">
            <v>0</v>
          </cell>
          <cell r="H4251">
            <v>0</v>
          </cell>
          <cell r="I4251">
            <v>0</v>
          </cell>
          <cell r="J4251">
            <v>0</v>
          </cell>
          <cell r="K4251">
            <v>0</v>
          </cell>
          <cell r="L4251">
            <v>2</v>
          </cell>
        </row>
        <row r="4252">
          <cell r="A4252" t="str">
            <v>20497.10439</v>
          </cell>
          <cell r="B4252" t="str">
            <v>JEU DE PLAQUETTTES EN VITON REP : 402</v>
          </cell>
          <cell r="C4252" t="str">
            <v>MOUVEX TYPE AK O HP PL : 1003.F01 REF 300010.00</v>
          </cell>
          <cell r="D4252" t="str">
            <v>PE</v>
          </cell>
          <cell r="E4252" t="str">
            <v>515.51507</v>
          </cell>
          <cell r="F4252">
            <v>72.323999999999998</v>
          </cell>
          <cell r="G4252">
            <v>0</v>
          </cell>
          <cell r="H4252">
            <v>0</v>
          </cell>
          <cell r="I4252">
            <v>0</v>
          </cell>
          <cell r="J4252">
            <v>0</v>
          </cell>
          <cell r="K4252">
            <v>2</v>
          </cell>
          <cell r="L4252">
            <v>0</v>
          </cell>
        </row>
        <row r="4253">
          <cell r="A4253" t="str">
            <v>20497.10440</v>
          </cell>
          <cell r="B4253" t="str">
            <v>BAGUE COUSSINET DE FOND REP : 415</v>
          </cell>
          <cell r="C4253" t="str">
            <v>MOUVEXTYPE AK O HP PL : 1003.F01 REF 211656</v>
          </cell>
          <cell r="D4253" t="str">
            <v>PE</v>
          </cell>
          <cell r="E4253" t="str">
            <v>515.51507</v>
          </cell>
          <cell r="F4253">
            <v>832.02</v>
          </cell>
          <cell r="G4253">
            <v>0</v>
          </cell>
          <cell r="H4253">
            <v>0</v>
          </cell>
          <cell r="I4253">
            <v>0</v>
          </cell>
          <cell r="J4253">
            <v>0</v>
          </cell>
          <cell r="K4253">
            <v>0</v>
          </cell>
          <cell r="L4253">
            <v>2</v>
          </cell>
        </row>
        <row r="4254">
          <cell r="A4254" t="str">
            <v>20497.10441</v>
          </cell>
          <cell r="B4254" t="str">
            <v>COUSSINET DE PISTON REP : 503</v>
          </cell>
          <cell r="C4254" t="str">
            <v>MOUVEX TYPE AK O HP PL : 1003.F01 REF 203567</v>
          </cell>
          <cell r="D4254" t="str">
            <v>PE</v>
          </cell>
          <cell r="E4254" t="str">
            <v>515.51507</v>
          </cell>
          <cell r="F4254">
            <v>1445.4902</v>
          </cell>
          <cell r="G4254">
            <v>0</v>
          </cell>
          <cell r="H4254">
            <v>0</v>
          </cell>
          <cell r="I4254">
            <v>0</v>
          </cell>
          <cell r="J4254">
            <v>0</v>
          </cell>
          <cell r="K4254">
            <v>0</v>
          </cell>
          <cell r="L4254">
            <v>2</v>
          </cell>
        </row>
        <row r="4255">
          <cell r="A4255" t="str">
            <v>20497.10442</v>
          </cell>
          <cell r="B4255" t="str">
            <v>JEU DE RESSORTS COMPLET REP : 598</v>
          </cell>
          <cell r="C4255" t="str">
            <v>MOUVEX TYPE AK O HP PL : 1003.F01 REF 300144.00</v>
          </cell>
          <cell r="D4255" t="str">
            <v>PE</v>
          </cell>
          <cell r="E4255" t="str">
            <v>515.51507</v>
          </cell>
          <cell r="F4255">
            <v>230.3588</v>
          </cell>
          <cell r="G4255">
            <v>0</v>
          </cell>
          <cell r="H4255">
            <v>0</v>
          </cell>
          <cell r="I4255">
            <v>0</v>
          </cell>
          <cell r="J4255">
            <v>0</v>
          </cell>
          <cell r="K4255">
            <v>0</v>
          </cell>
          <cell r="L4255">
            <v>2</v>
          </cell>
        </row>
        <row r="4256">
          <cell r="A4256" t="str">
            <v>20497.10529</v>
          </cell>
          <cell r="B4256" t="str">
            <v>BAGUE D'ETANCHEITE</v>
          </cell>
          <cell r="C4256" t="str">
            <v>SULZER TYPE A 31-100 SERIE 100038236/100038237/100038238/100038240/100038241/100038242 REP411,21</v>
          </cell>
          <cell r="D4256" t="str">
            <v>PE</v>
          </cell>
          <cell r="E4256" t="str">
            <v>515.51505</v>
          </cell>
          <cell r="F4256">
            <v>557.55039999999997</v>
          </cell>
          <cell r="G4256">
            <v>0</v>
          </cell>
          <cell r="H4256">
            <v>0</v>
          </cell>
          <cell r="I4256">
            <v>0</v>
          </cell>
          <cell r="J4256">
            <v>0</v>
          </cell>
          <cell r="K4256">
            <v>0</v>
          </cell>
          <cell r="L4256">
            <v>8</v>
          </cell>
        </row>
        <row r="4257">
          <cell r="A4257" t="str">
            <v>20497.10530</v>
          </cell>
          <cell r="B4257" t="str">
            <v>BAGUE D'ETANCHEITE</v>
          </cell>
          <cell r="C4257" t="str">
            <v>SULZER TYPE A 31-100 SERIE 100038236/100038237/100038238/100038240/100038241/100038242 REP411,31</v>
          </cell>
          <cell r="D4257" t="str">
            <v>PE</v>
          </cell>
          <cell r="E4257" t="str">
            <v>515.51505</v>
          </cell>
          <cell r="F4257">
            <v>93.443700000000007</v>
          </cell>
          <cell r="G4257">
            <v>0</v>
          </cell>
          <cell r="H4257">
            <v>0</v>
          </cell>
          <cell r="I4257">
            <v>0</v>
          </cell>
          <cell r="J4257">
            <v>0</v>
          </cell>
          <cell r="K4257">
            <v>0</v>
          </cell>
          <cell r="L4257">
            <v>8</v>
          </cell>
        </row>
        <row r="4258">
          <cell r="A4258" t="str">
            <v>20497.10531</v>
          </cell>
          <cell r="B4258" t="str">
            <v>BAGUE LABYRINTHE</v>
          </cell>
          <cell r="C4258" t="str">
            <v>SULZER TYPE A 31-100 SERIE 100038236/100038237/100038238/100038240/100038241/100038242 REP423,31</v>
          </cell>
          <cell r="D4258" t="str">
            <v>PE</v>
          </cell>
          <cell r="E4258" t="str">
            <v>515.51505</v>
          </cell>
          <cell r="F4258">
            <v>3793.0653000000002</v>
          </cell>
          <cell r="G4258">
            <v>0</v>
          </cell>
          <cell r="H4258">
            <v>0</v>
          </cell>
          <cell r="I4258">
            <v>1</v>
          </cell>
          <cell r="J4258">
            <v>0</v>
          </cell>
          <cell r="K4258">
            <v>0</v>
          </cell>
          <cell r="L4258">
            <v>7</v>
          </cell>
        </row>
        <row r="4259">
          <cell r="A4259" t="str">
            <v>20497.10532</v>
          </cell>
          <cell r="B4259" t="str">
            <v>BAGUE LABYRINTHE</v>
          </cell>
          <cell r="C4259" t="str">
            <v>SULZER TYPE A 31-100 SERIE 100038236/100038237/100038238/100038240/100038241/100038242 REP423,32</v>
          </cell>
          <cell r="D4259" t="str">
            <v>PE</v>
          </cell>
          <cell r="E4259" t="str">
            <v>515.51505</v>
          </cell>
          <cell r="F4259">
            <v>3647.1480999999999</v>
          </cell>
          <cell r="G4259">
            <v>0</v>
          </cell>
          <cell r="H4259">
            <v>0</v>
          </cell>
          <cell r="I4259">
            <v>1</v>
          </cell>
          <cell r="J4259">
            <v>0</v>
          </cell>
          <cell r="K4259">
            <v>0</v>
          </cell>
          <cell r="L4259">
            <v>1</v>
          </cell>
        </row>
        <row r="4260">
          <cell r="A4260" t="str">
            <v>20497.10832</v>
          </cell>
          <cell r="B4260" t="str">
            <v>JOINT D'ETANCHEITE</v>
          </cell>
          <cell r="C4260" t="str">
            <v>SEEPEX TYPE BN1-12 PLAN N°062-002B1 REP706</v>
          </cell>
          <cell r="D4260" t="str">
            <v>PE</v>
          </cell>
          <cell r="E4260" t="str">
            <v>515.51503</v>
          </cell>
          <cell r="F4260">
            <v>6.7533000000000003</v>
          </cell>
          <cell r="G4260">
            <v>0</v>
          </cell>
          <cell r="H4260">
            <v>0</v>
          </cell>
          <cell r="I4260">
            <v>0</v>
          </cell>
          <cell r="J4260">
            <v>0</v>
          </cell>
          <cell r="K4260">
            <v>1</v>
          </cell>
          <cell r="L4260">
            <v>0</v>
          </cell>
        </row>
        <row r="4261">
          <cell r="A4261" t="str">
            <v>20497.10843</v>
          </cell>
          <cell r="B4261" t="str">
            <v>JEU DE RALLONGES GRAISSEUR</v>
          </cell>
          <cell r="C4261" t="str">
            <v>MILTON ROY MIXING TYPE G5,220-110/53,6 PLAN 17237-5 REP2260/2510</v>
          </cell>
          <cell r="D4261" t="str">
            <v>PE</v>
          </cell>
          <cell r="E4261" t="str">
            <v>515.51514</v>
          </cell>
          <cell r="F4261">
            <v>314.9556</v>
          </cell>
          <cell r="G4261">
            <v>0</v>
          </cell>
          <cell r="H4261">
            <v>0</v>
          </cell>
          <cell r="I4261">
            <v>3</v>
          </cell>
          <cell r="J4261">
            <v>0</v>
          </cell>
          <cell r="K4261">
            <v>0</v>
          </cell>
          <cell r="L4261">
            <v>5</v>
          </cell>
        </row>
        <row r="4262">
          <cell r="A4262" t="str">
            <v>20497.10844</v>
          </cell>
          <cell r="B4262" t="str">
            <v>SOUPAPE DE COMPRESSION</v>
          </cell>
          <cell r="C4262" t="str">
            <v>MILTON ROY MIXING TYPE G5,220-110/53,6 PLAN 17237-5 REP2310</v>
          </cell>
          <cell r="D4262" t="str">
            <v>PE</v>
          </cell>
          <cell r="E4262" t="str">
            <v>515.51514</v>
          </cell>
          <cell r="F4262">
            <v>52.670999999999999</v>
          </cell>
          <cell r="G4262">
            <v>0</v>
          </cell>
          <cell r="H4262">
            <v>0</v>
          </cell>
          <cell r="I4262">
            <v>0</v>
          </cell>
          <cell r="J4262">
            <v>0</v>
          </cell>
          <cell r="K4262">
            <v>2</v>
          </cell>
          <cell r="L4262">
            <v>2</v>
          </cell>
        </row>
        <row r="4263">
          <cell r="A4263" t="str">
            <v>20497.10845</v>
          </cell>
          <cell r="B4263" t="str">
            <v>BAGUE SOUS ROULEMENT</v>
          </cell>
          <cell r="C4263" t="str">
            <v>MILTON ROY MIXING TYPE G5,220-110/53,6 PLAN 17237-5 REP2320</v>
          </cell>
          <cell r="D4263" t="str">
            <v>PE</v>
          </cell>
          <cell r="E4263" t="str">
            <v>515.51514</v>
          </cell>
          <cell r="F4263">
            <v>2049.7091999999998</v>
          </cell>
          <cell r="G4263">
            <v>0</v>
          </cell>
          <cell r="H4263">
            <v>0</v>
          </cell>
          <cell r="I4263">
            <v>0</v>
          </cell>
          <cell r="J4263">
            <v>0</v>
          </cell>
          <cell r="K4263">
            <v>0</v>
          </cell>
          <cell r="L4263">
            <v>2</v>
          </cell>
        </row>
        <row r="4264">
          <cell r="A4264" t="str">
            <v>20497.10846</v>
          </cell>
          <cell r="B4264" t="str">
            <v>ECROU</v>
          </cell>
          <cell r="C4264" t="str">
            <v>MILTON ROY MIXING TYPE G5,220-110/53,6 PLAN 17237-5 REP2400</v>
          </cell>
          <cell r="D4264" t="str">
            <v>PE</v>
          </cell>
          <cell r="E4264" t="str">
            <v>515.51514</v>
          </cell>
          <cell r="F4264">
            <v>2097.6179999999999</v>
          </cell>
          <cell r="G4264">
            <v>0</v>
          </cell>
          <cell r="H4264">
            <v>0</v>
          </cell>
          <cell r="I4264">
            <v>0</v>
          </cell>
          <cell r="J4264">
            <v>0</v>
          </cell>
          <cell r="K4264">
            <v>0</v>
          </cell>
          <cell r="L4264">
            <v>2</v>
          </cell>
        </row>
        <row r="4265">
          <cell r="A4265" t="str">
            <v>20498.02622</v>
          </cell>
          <cell r="B4265" t="str">
            <v>THERMOMETRE AVEC DOIGT DE GANT</v>
          </cell>
          <cell r="C4265" t="str">
            <v>PYROCONTROLE PLAN N° 1 LONG 63,5mm ECHELLE 0-300°C</v>
          </cell>
          <cell r="D4265" t="str">
            <v>PE</v>
          </cell>
          <cell r="E4265" t="str">
            <v>512.51201</v>
          </cell>
          <cell r="F4265">
            <v>594</v>
          </cell>
          <cell r="G4265">
            <v>0</v>
          </cell>
          <cell r="H4265">
            <v>0</v>
          </cell>
          <cell r="I4265">
            <v>0</v>
          </cell>
          <cell r="J4265">
            <v>0</v>
          </cell>
          <cell r="K4265">
            <v>0</v>
          </cell>
          <cell r="L4265">
            <v>2</v>
          </cell>
        </row>
        <row r="4266">
          <cell r="A4266" t="str">
            <v>20498.02686</v>
          </cell>
          <cell r="B4266" t="str">
            <v>TROUSSE DE RECHANGE MOSFET</v>
          </cell>
          <cell r="C4266" t="str">
            <v>AKER REF 092000-1XFN340N07</v>
          </cell>
          <cell r="D4266" t="str">
            <v>PE</v>
          </cell>
          <cell r="E4266" t="str">
            <v>522.52206</v>
          </cell>
          <cell r="F4266">
            <v>3385.5877999999998</v>
          </cell>
          <cell r="G4266">
            <v>0</v>
          </cell>
          <cell r="H4266">
            <v>0</v>
          </cell>
          <cell r="I4266">
            <v>0</v>
          </cell>
          <cell r="J4266">
            <v>0</v>
          </cell>
          <cell r="K4266">
            <v>0</v>
          </cell>
          <cell r="L4266">
            <v>2</v>
          </cell>
        </row>
        <row r="4267">
          <cell r="A4267" t="str">
            <v>20498.02687</v>
          </cell>
          <cell r="B4267" t="str">
            <v>SHUNT 50MV</v>
          </cell>
          <cell r="C4267" t="str">
            <v>AKER REF 79570-200</v>
          </cell>
          <cell r="D4267" t="str">
            <v>PE</v>
          </cell>
          <cell r="E4267" t="str">
            <v>522.52206</v>
          </cell>
          <cell r="F4267">
            <v>2408.3047000000001</v>
          </cell>
          <cell r="G4267">
            <v>0</v>
          </cell>
          <cell r="H4267">
            <v>0</v>
          </cell>
          <cell r="I4267">
            <v>0</v>
          </cell>
          <cell r="J4267">
            <v>0</v>
          </cell>
          <cell r="K4267">
            <v>0</v>
          </cell>
          <cell r="L4267">
            <v>1</v>
          </cell>
        </row>
        <row r="4268">
          <cell r="A4268" t="str">
            <v>20498.02623</v>
          </cell>
          <cell r="B4268" t="str">
            <v>THERMOMETRE AVEC DOIGT DE GANT</v>
          </cell>
          <cell r="C4268" t="str">
            <v>PYROCONTROLE PLAN N°2 LONG 330mm ECHELLE 0-400°C</v>
          </cell>
          <cell r="D4268" t="str">
            <v>PE</v>
          </cell>
          <cell r="E4268" t="str">
            <v>512.51201</v>
          </cell>
          <cell r="F4268">
            <v>2989.7849999999999</v>
          </cell>
          <cell r="G4268">
            <v>0</v>
          </cell>
          <cell r="H4268">
            <v>1</v>
          </cell>
          <cell r="I4268">
            <v>0</v>
          </cell>
          <cell r="J4268">
            <v>0</v>
          </cell>
          <cell r="K4268">
            <v>0</v>
          </cell>
          <cell r="L4268">
            <v>1</v>
          </cell>
        </row>
        <row r="4269">
          <cell r="A4269" t="str">
            <v>20498.02681</v>
          </cell>
          <cell r="B4269" t="str">
            <v>FUSIBLE</v>
          </cell>
          <cell r="C4269" t="str">
            <v>AKER REF 098003-13</v>
          </cell>
          <cell r="D4269" t="str">
            <v>PE</v>
          </cell>
          <cell r="E4269" t="str">
            <v>522.52206</v>
          </cell>
          <cell r="F4269">
            <v>61.080199999999998</v>
          </cell>
          <cell r="G4269">
            <v>0</v>
          </cell>
          <cell r="H4269">
            <v>0</v>
          </cell>
          <cell r="I4269">
            <v>0</v>
          </cell>
          <cell r="J4269">
            <v>0</v>
          </cell>
          <cell r="K4269">
            <v>0</v>
          </cell>
          <cell r="L4269">
            <v>5</v>
          </cell>
        </row>
        <row r="4270">
          <cell r="A4270" t="str">
            <v>20498.02682</v>
          </cell>
          <cell r="B4270" t="str">
            <v>ENSEMBLE PCB PRINCIPALE</v>
          </cell>
          <cell r="C4270" t="str">
            <v>AKER REF 079637</v>
          </cell>
          <cell r="D4270" t="str">
            <v>PE</v>
          </cell>
          <cell r="E4270" t="str">
            <v>522.52206</v>
          </cell>
          <cell r="F4270">
            <v>29780.9568</v>
          </cell>
          <cell r="G4270">
            <v>0</v>
          </cell>
          <cell r="H4270">
            <v>0</v>
          </cell>
          <cell r="I4270">
            <v>0</v>
          </cell>
          <cell r="J4270">
            <v>0</v>
          </cell>
          <cell r="K4270">
            <v>0</v>
          </cell>
          <cell r="L4270">
            <v>1</v>
          </cell>
        </row>
        <row r="4271">
          <cell r="A4271" t="str">
            <v>20498.02683</v>
          </cell>
          <cell r="B4271" t="str">
            <v>ENSEMBLE PCB DU CONTROLEUR</v>
          </cell>
          <cell r="C4271" t="str">
            <v>AKER REF 079665</v>
          </cell>
          <cell r="D4271" t="str">
            <v>PE</v>
          </cell>
          <cell r="E4271" t="str">
            <v>522.52206</v>
          </cell>
          <cell r="F4271">
            <v>50238.720000000001</v>
          </cell>
          <cell r="G4271">
            <v>0</v>
          </cell>
          <cell r="H4271">
            <v>0</v>
          </cell>
          <cell r="I4271">
            <v>0</v>
          </cell>
          <cell r="J4271">
            <v>0</v>
          </cell>
          <cell r="K4271">
            <v>0</v>
          </cell>
          <cell r="L4271">
            <v>0</v>
          </cell>
        </row>
        <row r="4272">
          <cell r="A4272" t="str">
            <v>20498.00789</v>
          </cell>
          <cell r="B4272" t="str">
            <v>CARTE ELECTRONIQUE</v>
          </cell>
          <cell r="C4272" t="str">
            <v>CORROSION SERVICE   PLAN D-4546-05/E/0   REF : UCCLCDM1</v>
          </cell>
          <cell r="D4272" t="str">
            <v>PE</v>
          </cell>
          <cell r="E4272" t="str">
            <v>522.52206</v>
          </cell>
          <cell r="F4272">
            <v>5105</v>
          </cell>
          <cell r="G4272">
            <v>0</v>
          </cell>
          <cell r="H4272">
            <v>0</v>
          </cell>
          <cell r="I4272">
            <v>1</v>
          </cell>
          <cell r="J4272">
            <v>0</v>
          </cell>
          <cell r="K4272">
            <v>0</v>
          </cell>
          <cell r="L4272">
            <v>0</v>
          </cell>
        </row>
        <row r="4273">
          <cell r="A4273" t="str">
            <v>20498.02684</v>
          </cell>
          <cell r="B4273" t="str">
            <v>FILTRE LIGNE RFI</v>
          </cell>
          <cell r="C4273" t="str">
            <v>AKER REF 009200</v>
          </cell>
          <cell r="D4273" t="str">
            <v>PE</v>
          </cell>
          <cell r="E4273" t="str">
            <v>522.52206</v>
          </cell>
          <cell r="F4273">
            <v>968.55730000000005</v>
          </cell>
          <cell r="G4273">
            <v>0</v>
          </cell>
          <cell r="H4273">
            <v>0</v>
          </cell>
          <cell r="I4273">
            <v>0</v>
          </cell>
          <cell r="J4273">
            <v>0</v>
          </cell>
          <cell r="K4273">
            <v>0</v>
          </cell>
          <cell r="L4273">
            <v>2</v>
          </cell>
        </row>
        <row r="4274">
          <cell r="A4274" t="str">
            <v>20498.02685</v>
          </cell>
          <cell r="B4274" t="str">
            <v>BANDE DE SECURITE</v>
          </cell>
          <cell r="C4274" t="str">
            <v>AKER REF 79675</v>
          </cell>
          <cell r="D4274" t="str">
            <v>PE</v>
          </cell>
          <cell r="E4274" t="str">
            <v>522.52206</v>
          </cell>
          <cell r="F4274">
            <v>2905.672</v>
          </cell>
          <cell r="G4274">
            <v>0</v>
          </cell>
          <cell r="H4274">
            <v>0</v>
          </cell>
          <cell r="I4274">
            <v>0</v>
          </cell>
          <cell r="J4274">
            <v>0</v>
          </cell>
          <cell r="K4274">
            <v>0</v>
          </cell>
          <cell r="L4274">
            <v>1</v>
          </cell>
        </row>
        <row r="4275">
          <cell r="A4275" t="str">
            <v>20498.00472</v>
          </cell>
          <cell r="B4275" t="str">
            <v>SOUPAPE A 3 ORIFICES</v>
          </cell>
          <cell r="C4275" t="str">
            <v>AMOT CONTROLS    REF :  4 BR-D-C-120-07-0-0-AA</v>
          </cell>
          <cell r="D4275" t="str">
            <v>PE</v>
          </cell>
          <cell r="E4275" t="str">
            <v>512.51201</v>
          </cell>
          <cell r="F4275">
            <v>36739</v>
          </cell>
          <cell r="G4275">
            <v>0</v>
          </cell>
          <cell r="H4275">
            <v>0</v>
          </cell>
          <cell r="I4275">
            <v>0</v>
          </cell>
          <cell r="J4275">
            <v>0</v>
          </cell>
          <cell r="K4275">
            <v>0</v>
          </cell>
          <cell r="L4275">
            <v>0</v>
          </cell>
        </row>
        <row r="4276">
          <cell r="A4276" t="str">
            <v>20497.11891</v>
          </cell>
          <cell r="B4276" t="str">
            <v>BAGUE DE RETENUE</v>
          </cell>
          <cell r="C4276" t="str">
            <v>IMO TYPE AA3G/NVPKCA-250AL REP15</v>
          </cell>
          <cell r="D4276" t="str">
            <v>PE</v>
          </cell>
          <cell r="E4276" t="str">
            <v>515.51512</v>
          </cell>
          <cell r="F4276">
            <v>5268.8179</v>
          </cell>
          <cell r="G4276">
            <v>0</v>
          </cell>
          <cell r="H4276">
            <v>0</v>
          </cell>
          <cell r="I4276">
            <v>0</v>
          </cell>
          <cell r="J4276">
            <v>0</v>
          </cell>
          <cell r="K4276">
            <v>0</v>
          </cell>
          <cell r="L4276">
            <v>1</v>
          </cell>
        </row>
        <row r="4277">
          <cell r="A4277" t="str">
            <v>20498.12018</v>
          </cell>
          <cell r="B4277" t="str">
            <v xml:space="preserve">DEBISTAT </v>
          </cell>
          <cell r="C4277" t="str">
            <v>JOHN CRANE SAFEMATIC TYPE SFP PRESSION 10 BAR DEBIT 15L/MIN, COMPLETE HOSE ASSEMBLY,CONNECTION 1/8,MONTAGE BRACKET, ALARM DC-1(24VDC)</v>
          </cell>
          <cell r="D4277" t="str">
            <v>PE</v>
          </cell>
          <cell r="E4277" t="str">
            <v>512.51201</v>
          </cell>
          <cell r="F4277">
            <v>11277</v>
          </cell>
          <cell r="G4277">
            <v>4</v>
          </cell>
          <cell r="H4277">
            <v>0</v>
          </cell>
          <cell r="I4277">
            <v>0</v>
          </cell>
          <cell r="J4277">
            <v>0</v>
          </cell>
          <cell r="K4277">
            <v>0</v>
          </cell>
          <cell r="L4277">
            <v>2</v>
          </cell>
        </row>
        <row r="4278">
          <cell r="A4278" t="str">
            <v>20498.12019</v>
          </cell>
          <cell r="B4278" t="str">
            <v xml:space="preserve">DEBISTAT </v>
          </cell>
          <cell r="C4278" t="str">
            <v>JOHN CRANE SAFEMATIC TYPE SFD PRESSION 10 BAR DEBIT 15L/MIN, COMPLETE HOSE ASSEMBLY,CONNECTION 1/8,MONTAGE BRACKET, ALARM DC-1(24VDC)</v>
          </cell>
          <cell r="D4278" t="str">
            <v>PE</v>
          </cell>
          <cell r="E4278" t="str">
            <v>512.51201</v>
          </cell>
          <cell r="F4278">
            <v>12800</v>
          </cell>
          <cell r="G4278">
            <v>0</v>
          </cell>
          <cell r="H4278">
            <v>5</v>
          </cell>
          <cell r="I4278">
            <v>0</v>
          </cell>
          <cell r="J4278">
            <v>8</v>
          </cell>
          <cell r="K4278">
            <v>0</v>
          </cell>
          <cell r="L4278">
            <v>2</v>
          </cell>
        </row>
        <row r="4279">
          <cell r="A4279" t="str">
            <v>20498.02058</v>
          </cell>
          <cell r="B4279" t="str">
            <v>ELECTRODE pH COMBINEE "PROCESS PROB"</v>
          </cell>
          <cell r="C4279" t="str">
            <v>FUJI ELECTRIC S400-RT33H-M20C16P</v>
          </cell>
          <cell r="D4279" t="str">
            <v>PE</v>
          </cell>
          <cell r="E4279" t="str">
            <v>512.51201</v>
          </cell>
          <cell r="F4279">
            <v>6281</v>
          </cell>
          <cell r="G4279">
            <v>0</v>
          </cell>
          <cell r="H4279">
            <v>0</v>
          </cell>
          <cell r="I4279">
            <v>0</v>
          </cell>
          <cell r="J4279">
            <v>0</v>
          </cell>
          <cell r="K4279">
            <v>0</v>
          </cell>
          <cell r="L4279">
            <v>0</v>
          </cell>
        </row>
        <row r="4280">
          <cell r="A4280" t="str">
            <v>20497.10850</v>
          </cell>
          <cell r="B4280" t="str">
            <v>ARBRE SUPERIEUR</v>
          </cell>
          <cell r="C4280" t="str">
            <v>MILTON ROY MIXING TYPE G5,220-110/53,6 PLAN 17237-5 REP3010</v>
          </cell>
          <cell r="D4280" t="str">
            <v>PE</v>
          </cell>
          <cell r="E4280" t="str">
            <v>515.51514</v>
          </cell>
          <cell r="F4280">
            <v>74656.151100000003</v>
          </cell>
          <cell r="G4280">
            <v>0</v>
          </cell>
          <cell r="H4280">
            <v>0</v>
          </cell>
          <cell r="I4280">
            <v>0</v>
          </cell>
          <cell r="J4280">
            <v>0</v>
          </cell>
          <cell r="K4280">
            <v>0</v>
          </cell>
          <cell r="L4280">
            <v>0</v>
          </cell>
        </row>
        <row r="4281">
          <cell r="A4281" t="str">
            <v>20497.10851</v>
          </cell>
          <cell r="B4281" t="str">
            <v>TOURELLE</v>
          </cell>
          <cell r="C4281" t="str">
            <v>MILTON ROY MIXING TYPE G5,220-90/53,6 PLAN 17238-5 REP2010</v>
          </cell>
          <cell r="D4281" t="str">
            <v>PE</v>
          </cell>
          <cell r="E4281" t="str">
            <v>515.51514</v>
          </cell>
          <cell r="F4281">
            <v>234053.9184</v>
          </cell>
          <cell r="G4281">
            <v>0</v>
          </cell>
          <cell r="H4281">
            <v>0</v>
          </cell>
          <cell r="I4281">
            <v>0</v>
          </cell>
          <cell r="J4281">
            <v>0</v>
          </cell>
          <cell r="K4281">
            <v>0</v>
          </cell>
          <cell r="L4281">
            <v>0</v>
          </cell>
        </row>
        <row r="4282">
          <cell r="A4282" t="str">
            <v>20497.10852</v>
          </cell>
          <cell r="B4282" t="str">
            <v>COUVERCLE SUPERIEUR DE PALIER GUIDE</v>
          </cell>
          <cell r="C4282" t="str">
            <v>MILTON ROY MIXING TYPE G5,220-90/53,6 PLAN 17238-5 REP2120</v>
          </cell>
          <cell r="D4282" t="str">
            <v>PE</v>
          </cell>
          <cell r="E4282" t="str">
            <v>515.51514</v>
          </cell>
          <cell r="F4282">
            <v>3865.1772000000001</v>
          </cell>
          <cell r="G4282">
            <v>0</v>
          </cell>
          <cell r="H4282">
            <v>0</v>
          </cell>
          <cell r="I4282">
            <v>0</v>
          </cell>
          <cell r="J4282">
            <v>0</v>
          </cell>
          <cell r="K4282">
            <v>0</v>
          </cell>
          <cell r="L4282">
            <v>3</v>
          </cell>
        </row>
        <row r="4283">
          <cell r="A4283" t="str">
            <v>20497.10853</v>
          </cell>
          <cell r="B4283" t="str">
            <v>COUVERCLE INFERIEUR DE PALIER GUIDE</v>
          </cell>
          <cell r="C4283" t="str">
            <v>MILTON ROY MIXING TYPE G5,220-90/53,6 PLAN 17238-5 REP2180</v>
          </cell>
          <cell r="D4283" t="str">
            <v>PE</v>
          </cell>
          <cell r="E4283" t="str">
            <v>515.51514</v>
          </cell>
          <cell r="F4283">
            <v>8159.8437000000004</v>
          </cell>
          <cell r="G4283">
            <v>0</v>
          </cell>
          <cell r="H4283">
            <v>0</v>
          </cell>
          <cell r="I4283">
            <v>0</v>
          </cell>
          <cell r="J4283">
            <v>0</v>
          </cell>
          <cell r="K4283">
            <v>0</v>
          </cell>
          <cell r="L4283">
            <v>3</v>
          </cell>
        </row>
        <row r="4284">
          <cell r="A4284" t="str">
            <v>20497.10854</v>
          </cell>
          <cell r="B4284" t="str">
            <v>JEU DE GRAISSEUR</v>
          </cell>
          <cell r="C4284" t="str">
            <v>MILTON ROY MIXING TYPE G5,220-90/53,6 PLAN 17238-5 REP2250/2500</v>
          </cell>
          <cell r="D4284" t="str">
            <v>PE</v>
          </cell>
          <cell r="E4284" t="str">
            <v>515.51514</v>
          </cell>
          <cell r="F4284">
            <v>53.686199999999999</v>
          </cell>
          <cell r="G4284">
            <v>0</v>
          </cell>
          <cell r="H4284">
            <v>0</v>
          </cell>
          <cell r="I4284">
            <v>0</v>
          </cell>
          <cell r="J4284">
            <v>0</v>
          </cell>
          <cell r="K4284">
            <v>0</v>
          </cell>
          <cell r="L4284">
            <v>3</v>
          </cell>
        </row>
        <row r="4285">
          <cell r="A4285" t="str">
            <v>20499.06510</v>
          </cell>
          <cell r="B4285" t="str">
            <v>INDICATEUR DE NIVEAU</v>
          </cell>
          <cell r="C4285" t="str">
            <v>SOLYRO REF DIV/0817031  DIA  EXT 165MM  EP: 19MM</v>
          </cell>
          <cell r="D4285" t="str">
            <v>PE</v>
          </cell>
          <cell r="E4285" t="str">
            <v>515.51511</v>
          </cell>
          <cell r="F4285">
            <v>2342.3962000000001</v>
          </cell>
          <cell r="G4285">
            <v>0</v>
          </cell>
          <cell r="H4285">
            <v>0</v>
          </cell>
          <cell r="I4285">
            <v>0</v>
          </cell>
          <cell r="J4285">
            <v>0</v>
          </cell>
          <cell r="K4285">
            <v>8</v>
          </cell>
          <cell r="L4285">
            <v>0</v>
          </cell>
        </row>
        <row r="4286">
          <cell r="A4286" t="str">
            <v>20498.02688</v>
          </cell>
          <cell r="B4286" t="str">
            <v>DIODE RECTIFICATEUR SCHOTTKY</v>
          </cell>
          <cell r="C4286" t="str">
            <v>AKER REF 092001-440CMQ030</v>
          </cell>
          <cell r="D4286" t="str">
            <v>PE</v>
          </cell>
          <cell r="E4286" t="str">
            <v>522.52206</v>
          </cell>
          <cell r="F4286">
            <v>10488.3416</v>
          </cell>
          <cell r="G4286">
            <v>0</v>
          </cell>
          <cell r="H4286">
            <v>0</v>
          </cell>
          <cell r="I4286">
            <v>0</v>
          </cell>
          <cell r="J4286">
            <v>0</v>
          </cell>
          <cell r="K4286">
            <v>0</v>
          </cell>
          <cell r="L4286">
            <v>1</v>
          </cell>
        </row>
        <row r="4287">
          <cell r="A4287" t="str">
            <v>20498.02689</v>
          </cell>
          <cell r="B4287" t="str">
            <v>VARISTOR MOS 230V  C.A</v>
          </cell>
          <cell r="C4287" t="str">
            <v>AKER REF 092073-V275LA40B</v>
          </cell>
          <cell r="D4287" t="str">
            <v>PE</v>
          </cell>
          <cell r="E4287" t="str">
            <v>522.52206</v>
          </cell>
          <cell r="F4287">
            <v>174.51480000000001</v>
          </cell>
          <cell r="G4287">
            <v>0</v>
          </cell>
          <cell r="H4287">
            <v>0</v>
          </cell>
          <cell r="I4287">
            <v>0</v>
          </cell>
          <cell r="J4287">
            <v>0</v>
          </cell>
          <cell r="K4287">
            <v>0</v>
          </cell>
          <cell r="L4287">
            <v>1</v>
          </cell>
        </row>
        <row r="4288">
          <cell r="A4288" t="str">
            <v>20497.10855</v>
          </cell>
          <cell r="B4288" t="str">
            <v>JEU DE RALLONGES GRAISSEUR</v>
          </cell>
          <cell r="C4288" t="str">
            <v>MILTON ROY MIXING TYPE G5,220-90/53,6 PLAN 17238-5 REP2260/2510</v>
          </cell>
          <cell r="D4288" t="str">
            <v>PE</v>
          </cell>
          <cell r="E4288" t="str">
            <v>515.51514</v>
          </cell>
          <cell r="F4288">
            <v>319.1644</v>
          </cell>
          <cell r="G4288">
            <v>0</v>
          </cell>
          <cell r="H4288">
            <v>0</v>
          </cell>
          <cell r="I4288">
            <v>0</v>
          </cell>
          <cell r="J4288">
            <v>0</v>
          </cell>
          <cell r="K4288">
            <v>0</v>
          </cell>
          <cell r="L4288">
            <v>10</v>
          </cell>
        </row>
        <row r="4289">
          <cell r="A4289" t="str">
            <v>20498.02690</v>
          </cell>
          <cell r="B4289" t="str">
            <v>FUSIBLE F1 A TEMPORISATION</v>
          </cell>
          <cell r="C4289" t="str">
            <v>AKER REF 098015</v>
          </cell>
          <cell r="D4289" t="str">
            <v>PE</v>
          </cell>
          <cell r="E4289" t="str">
            <v>522.52206</v>
          </cell>
          <cell r="F4289">
            <v>61.080199999999998</v>
          </cell>
          <cell r="G4289">
            <v>0</v>
          </cell>
          <cell r="H4289">
            <v>0</v>
          </cell>
          <cell r="I4289">
            <v>0</v>
          </cell>
          <cell r="J4289">
            <v>0</v>
          </cell>
          <cell r="K4289">
            <v>0</v>
          </cell>
          <cell r="L4289">
            <v>10</v>
          </cell>
        </row>
        <row r="4290">
          <cell r="A4290" t="str">
            <v>20498.02691</v>
          </cell>
          <cell r="B4290" t="str">
            <v>FUSIBLE F2 A TEMPORISATION</v>
          </cell>
          <cell r="C4290" t="str">
            <v>AKER REF 094055-15</v>
          </cell>
          <cell r="D4290" t="str">
            <v>PE</v>
          </cell>
          <cell r="E4290" t="str">
            <v>522.52206</v>
          </cell>
          <cell r="F4290">
            <v>61.080199999999998</v>
          </cell>
          <cell r="G4290">
            <v>0</v>
          </cell>
          <cell r="H4290">
            <v>0</v>
          </cell>
          <cell r="I4290">
            <v>0</v>
          </cell>
          <cell r="J4290">
            <v>0</v>
          </cell>
          <cell r="K4290">
            <v>0</v>
          </cell>
          <cell r="L4290">
            <v>10</v>
          </cell>
        </row>
        <row r="4291">
          <cell r="A4291" t="str">
            <v>20497.10856</v>
          </cell>
          <cell r="B4291" t="str">
            <v>SOUPAPE DE COMPRESSION</v>
          </cell>
          <cell r="C4291" t="str">
            <v>MILTON ROY MIXING TYPE G5,220-90/53,6 PLAN 17238-5 REP2310</v>
          </cell>
          <cell r="D4291" t="str">
            <v>PE</v>
          </cell>
          <cell r="E4291" t="str">
            <v>515.51514</v>
          </cell>
          <cell r="F4291">
            <v>59.104500000000002</v>
          </cell>
          <cell r="G4291">
            <v>0</v>
          </cell>
          <cell r="H4291">
            <v>0</v>
          </cell>
          <cell r="I4291">
            <v>0</v>
          </cell>
          <cell r="J4291">
            <v>0</v>
          </cell>
          <cell r="K4291">
            <v>2</v>
          </cell>
          <cell r="L4291">
            <v>0</v>
          </cell>
        </row>
        <row r="4292">
          <cell r="A4292" t="str">
            <v>20498.02693</v>
          </cell>
          <cell r="B4292" t="str">
            <v>KIT COMPLET DE PIN CATHODE P/REFROIDISSEUR</v>
          </cell>
          <cell r="C4292" t="str">
            <v>AKER REF 06-502 (101K/06-502)</v>
          </cell>
          <cell r="D4292" t="str">
            <v>PE</v>
          </cell>
          <cell r="E4292" t="str">
            <v>522.52206</v>
          </cell>
          <cell r="F4292">
            <v>78235.001000000004</v>
          </cell>
          <cell r="G4292">
            <v>0</v>
          </cell>
          <cell r="H4292">
            <v>0</v>
          </cell>
          <cell r="I4292">
            <v>0</v>
          </cell>
          <cell r="J4292">
            <v>0</v>
          </cell>
          <cell r="K4292">
            <v>0</v>
          </cell>
          <cell r="L4292">
            <v>1</v>
          </cell>
        </row>
        <row r="4293">
          <cell r="A4293" t="str">
            <v>20498.02696</v>
          </cell>
          <cell r="B4293" t="str">
            <v>ELECTRODE</v>
          </cell>
          <cell r="C4293" t="str">
            <v>AKER REF C78853-4</v>
          </cell>
          <cell r="D4293" t="str">
            <v>PE</v>
          </cell>
          <cell r="E4293" t="str">
            <v>522.52206</v>
          </cell>
          <cell r="F4293">
            <v>10383.6327</v>
          </cell>
          <cell r="G4293">
            <v>0</v>
          </cell>
          <cell r="H4293">
            <v>0</v>
          </cell>
          <cell r="I4293">
            <v>0</v>
          </cell>
          <cell r="J4293">
            <v>0</v>
          </cell>
          <cell r="K4293">
            <v>0</v>
          </cell>
          <cell r="L4293">
            <v>0</v>
          </cell>
        </row>
        <row r="4294">
          <cell r="A4294" t="str">
            <v>20498.02694</v>
          </cell>
          <cell r="B4294" t="str">
            <v>VIS</v>
          </cell>
          <cell r="C4294" t="str">
            <v>AKER REF 211</v>
          </cell>
          <cell r="D4294" t="str">
            <v>PE</v>
          </cell>
          <cell r="E4294" t="str">
            <v>522.52206</v>
          </cell>
          <cell r="F4294">
            <v>113.4346</v>
          </cell>
          <cell r="G4294">
            <v>0</v>
          </cell>
          <cell r="H4294">
            <v>0</v>
          </cell>
          <cell r="I4294">
            <v>0</v>
          </cell>
          <cell r="J4294">
            <v>0</v>
          </cell>
          <cell r="K4294">
            <v>0</v>
          </cell>
          <cell r="L4294">
            <v>20</v>
          </cell>
        </row>
        <row r="4295">
          <cell r="A4295" t="str">
            <v>20498.02695</v>
          </cell>
          <cell r="B4295" t="str">
            <v>ECROUS</v>
          </cell>
          <cell r="C4295" t="str">
            <v>AKER REF 212</v>
          </cell>
          <cell r="D4295" t="str">
            <v>PE</v>
          </cell>
          <cell r="E4295" t="str">
            <v>522.52206</v>
          </cell>
          <cell r="F4295">
            <v>34.902999999999999</v>
          </cell>
          <cell r="G4295">
            <v>0</v>
          </cell>
          <cell r="H4295">
            <v>0</v>
          </cell>
          <cell r="I4295">
            <v>0</v>
          </cell>
          <cell r="J4295">
            <v>0</v>
          </cell>
          <cell r="K4295">
            <v>0</v>
          </cell>
          <cell r="L4295">
            <v>17</v>
          </cell>
        </row>
        <row r="4296">
          <cell r="A4296" t="str">
            <v>20499.00061</v>
          </cell>
          <cell r="B4296" t="str">
            <v>VANNE A BOISEAU</v>
          </cell>
          <cell r="C4296" t="str">
            <v>FLUOROSEAL FPS-152-302-F-STD-L-13-24 DN100 CLASSE 150</v>
          </cell>
          <cell r="D4296" t="str">
            <v>PE</v>
          </cell>
          <cell r="E4296" t="str">
            <v>515.51511</v>
          </cell>
          <cell r="F4296">
            <v>8808</v>
          </cell>
          <cell r="G4296">
            <v>0</v>
          </cell>
          <cell r="H4296">
            <v>5</v>
          </cell>
          <cell r="I4296">
            <v>1</v>
          </cell>
          <cell r="J4296">
            <v>0</v>
          </cell>
          <cell r="K4296">
            <v>0</v>
          </cell>
          <cell r="L4296">
            <v>0</v>
          </cell>
        </row>
        <row r="4297">
          <cell r="A4297" t="str">
            <v>20499.00062</v>
          </cell>
          <cell r="B4297" t="str">
            <v>VANNE A BOISEAU</v>
          </cell>
          <cell r="C4297" t="str">
            <v>FLUOROSEAL FPS-152-302-F-STD-L-13-24 DN150 CLASSE 150</v>
          </cell>
          <cell r="D4297" t="str">
            <v>PE</v>
          </cell>
          <cell r="E4297" t="str">
            <v>515.51511</v>
          </cell>
          <cell r="F4297">
            <v>17615</v>
          </cell>
          <cell r="G4297">
            <v>0</v>
          </cell>
          <cell r="H4297">
            <v>8</v>
          </cell>
          <cell r="I4297">
            <v>0</v>
          </cell>
          <cell r="J4297">
            <v>0</v>
          </cell>
          <cell r="K4297">
            <v>0</v>
          </cell>
          <cell r="L4297">
            <v>0</v>
          </cell>
        </row>
        <row r="4298">
          <cell r="A4298" t="str">
            <v>20499.00063</v>
          </cell>
          <cell r="B4298" t="str">
            <v>VANNE A BOISEAU</v>
          </cell>
          <cell r="C4298" t="str">
            <v>FLUOROSEAL FPS-152-302-F-STD-L-13-24 DN200 CLASSE 150</v>
          </cell>
          <cell r="D4298" t="str">
            <v>PE</v>
          </cell>
          <cell r="E4298" t="str">
            <v>515.51511</v>
          </cell>
          <cell r="F4298">
            <v>25952</v>
          </cell>
          <cell r="G4298">
            <v>0</v>
          </cell>
          <cell r="H4298">
            <v>3</v>
          </cell>
          <cell r="I4298">
            <v>0</v>
          </cell>
          <cell r="J4298">
            <v>0</v>
          </cell>
          <cell r="K4298">
            <v>0</v>
          </cell>
          <cell r="L4298">
            <v>0</v>
          </cell>
        </row>
        <row r="4299">
          <cell r="A4299" t="str">
            <v>20497.10857</v>
          </cell>
          <cell r="B4299" t="str">
            <v>BAGUE SOUS ROULEMENT</v>
          </cell>
          <cell r="C4299" t="str">
            <v>MILTON ROY MIXING TYPE G5,220-90/53,6 PLAN 17238-5 REP2320</v>
          </cell>
          <cell r="D4299" t="str">
            <v>PE</v>
          </cell>
          <cell r="E4299" t="str">
            <v>515.51514</v>
          </cell>
          <cell r="F4299">
            <v>2415.7640000000001</v>
          </cell>
          <cell r="G4299">
            <v>0</v>
          </cell>
          <cell r="H4299">
            <v>0</v>
          </cell>
          <cell r="I4299">
            <v>0</v>
          </cell>
          <cell r="J4299">
            <v>0</v>
          </cell>
          <cell r="K4299">
            <v>0</v>
          </cell>
          <cell r="L4299">
            <v>3</v>
          </cell>
        </row>
        <row r="4300">
          <cell r="A4300" t="str">
            <v>20497.10858</v>
          </cell>
          <cell r="B4300" t="str">
            <v>ECROU</v>
          </cell>
          <cell r="C4300" t="str">
            <v>MILTON ROY MIXING TYPE G5,220-90/53,6 PLAN 17238-5 REP2400</v>
          </cell>
          <cell r="D4300" t="str">
            <v>PE</v>
          </cell>
          <cell r="E4300" t="str">
            <v>515.51514</v>
          </cell>
          <cell r="F4300">
            <v>2826.8330000000001</v>
          </cell>
          <cell r="G4300">
            <v>0</v>
          </cell>
          <cell r="H4300">
            <v>0</v>
          </cell>
          <cell r="I4300">
            <v>0</v>
          </cell>
          <cell r="J4300">
            <v>0</v>
          </cell>
          <cell r="K4300">
            <v>0</v>
          </cell>
          <cell r="L4300">
            <v>3</v>
          </cell>
        </row>
        <row r="4301">
          <cell r="A4301" t="str">
            <v>20497.10859</v>
          </cell>
          <cell r="B4301" t="str">
            <v>COUVERCLE SUPERIEUR DE PALIER BUTE</v>
          </cell>
          <cell r="C4301" t="str">
            <v>MILTON ROY MIXING TYPE G5,220-90/53,6 PLAN 17238-5 REP2420</v>
          </cell>
          <cell r="D4301" t="str">
            <v>PE</v>
          </cell>
          <cell r="E4301" t="str">
            <v>515.51514</v>
          </cell>
          <cell r="F4301">
            <v>10199.804599999999</v>
          </cell>
          <cell r="G4301">
            <v>0</v>
          </cell>
          <cell r="H4301">
            <v>0</v>
          </cell>
          <cell r="I4301">
            <v>0</v>
          </cell>
          <cell r="J4301">
            <v>0</v>
          </cell>
          <cell r="K4301">
            <v>0</v>
          </cell>
          <cell r="L4301">
            <v>3</v>
          </cell>
        </row>
        <row r="4302">
          <cell r="A4302" t="str">
            <v>20497.02273</v>
          </cell>
          <cell r="B4302" t="str">
            <v>CORPS DE PALIER</v>
          </cell>
          <cell r="C4302" t="str">
            <v>SULZER  TYPE A22-80 REP 330.31 SERIE 100038226</v>
          </cell>
          <cell r="D4302" t="str">
            <v>PE</v>
          </cell>
          <cell r="E4302" t="str">
            <v>515.51505</v>
          </cell>
          <cell r="F4302">
            <v>9075.0957999999991</v>
          </cell>
          <cell r="G4302">
            <v>0</v>
          </cell>
          <cell r="H4302">
            <v>0</v>
          </cell>
          <cell r="I4302">
            <v>0</v>
          </cell>
          <cell r="J4302">
            <v>0</v>
          </cell>
          <cell r="K4302">
            <v>1</v>
          </cell>
          <cell r="L4302">
            <v>2</v>
          </cell>
        </row>
        <row r="4303">
          <cell r="A4303" t="str">
            <v>20497.10533</v>
          </cell>
          <cell r="B4303" t="str">
            <v>HUILEUR A NIVEAU CONSTANT</v>
          </cell>
          <cell r="C4303" t="str">
            <v>SULZER TYPE A 31-100 SERIE 100038236/100038237/100038238/100038240/100038241/100038242 REP638,31</v>
          </cell>
          <cell r="D4303" t="str">
            <v>PE</v>
          </cell>
          <cell r="E4303" t="str">
            <v>515.51505</v>
          </cell>
          <cell r="F4303">
            <v>335.75119999999998</v>
          </cell>
          <cell r="G4303">
            <v>0</v>
          </cell>
          <cell r="H4303">
            <v>0</v>
          </cell>
          <cell r="I4303">
            <v>0</v>
          </cell>
          <cell r="J4303">
            <v>0</v>
          </cell>
          <cell r="K4303">
            <v>0</v>
          </cell>
          <cell r="L4303">
            <v>6</v>
          </cell>
        </row>
        <row r="4304">
          <cell r="A4304" t="str">
            <v>20497.11418</v>
          </cell>
          <cell r="B4304" t="str">
            <v>JOINT</v>
          </cell>
          <cell r="C4304" t="str">
            <v>GOULDS PUMPS IC-125-100-315 P2 VL 1A SERIE I 601E18/19 REP 400</v>
          </cell>
          <cell r="D4304" t="str">
            <v>PE</v>
          </cell>
          <cell r="E4304" t="str">
            <v>515.51517</v>
          </cell>
          <cell r="F4304">
            <v>1530.19</v>
          </cell>
          <cell r="G4304">
            <v>0</v>
          </cell>
          <cell r="H4304">
            <v>0</v>
          </cell>
          <cell r="I4304">
            <v>0</v>
          </cell>
          <cell r="J4304">
            <v>0</v>
          </cell>
          <cell r="K4304">
            <v>0</v>
          </cell>
          <cell r="L4304">
            <v>1</v>
          </cell>
        </row>
        <row r="4305">
          <cell r="A4305" t="str">
            <v>20498.02705</v>
          </cell>
          <cell r="B4305" t="str">
            <v>TRANSMETTEUR DE NIVEAU AVEC PRE-AMPLI</v>
          </cell>
          <cell r="C4305" t="str">
            <v>ROYCE TYPE 2501 A</v>
          </cell>
          <cell r="D4305" t="str">
            <v>PE</v>
          </cell>
          <cell r="E4305" t="str">
            <v>512.51201</v>
          </cell>
          <cell r="F4305">
            <v>82776</v>
          </cell>
          <cell r="G4305">
            <v>0</v>
          </cell>
          <cell r="H4305">
            <v>0</v>
          </cell>
          <cell r="I4305">
            <v>0</v>
          </cell>
          <cell r="J4305">
            <v>0</v>
          </cell>
          <cell r="K4305">
            <v>0</v>
          </cell>
          <cell r="L4305">
            <v>0</v>
          </cell>
        </row>
        <row r="4306">
          <cell r="A4306" t="str">
            <v>20497.02274</v>
          </cell>
          <cell r="B4306" t="str">
            <v>CORPS DE PALIER</v>
          </cell>
          <cell r="C4306" t="str">
            <v>SULZER  TYPE A31-100 REP 330.31 SERIE 100038236</v>
          </cell>
          <cell r="D4306" t="str">
            <v>PE</v>
          </cell>
          <cell r="E4306" t="str">
            <v>515.51505</v>
          </cell>
          <cell r="F4306">
            <v>31447.505499999999</v>
          </cell>
          <cell r="G4306">
            <v>0</v>
          </cell>
          <cell r="H4306">
            <v>0</v>
          </cell>
          <cell r="I4306">
            <v>0</v>
          </cell>
          <cell r="J4306">
            <v>0</v>
          </cell>
          <cell r="K4306">
            <v>0</v>
          </cell>
          <cell r="L4306">
            <v>2</v>
          </cell>
        </row>
        <row r="4307">
          <cell r="A4307" t="str">
            <v>20498.02706</v>
          </cell>
          <cell r="B4307" t="str">
            <v>CAPTEUR DE NIVEAU</v>
          </cell>
          <cell r="C4307" t="str">
            <v>ROYCE TYPE : 25 SN</v>
          </cell>
          <cell r="D4307" t="str">
            <v>PE</v>
          </cell>
          <cell r="E4307" t="str">
            <v>512.51201</v>
          </cell>
          <cell r="F4307">
            <v>11592</v>
          </cell>
          <cell r="G4307">
            <v>0</v>
          </cell>
          <cell r="H4307">
            <v>0</v>
          </cell>
          <cell r="I4307">
            <v>0</v>
          </cell>
          <cell r="J4307">
            <v>0</v>
          </cell>
          <cell r="K4307">
            <v>0</v>
          </cell>
          <cell r="L4307">
            <v>0</v>
          </cell>
        </row>
        <row r="4308">
          <cell r="A4308" t="str">
            <v>20497.10535</v>
          </cell>
          <cell r="B4308" t="str">
            <v>ECROU DE ROULEMENT</v>
          </cell>
          <cell r="C4308" t="str">
            <v>SULZER TYPE A 31-100 SERIE 100038236/100038237/100038238/100038240/100038241/100038242 REP923,31</v>
          </cell>
          <cell r="D4308" t="str">
            <v>PE</v>
          </cell>
          <cell r="E4308" t="str">
            <v>515.51505</v>
          </cell>
          <cell r="F4308">
            <v>203.42</v>
          </cell>
          <cell r="G4308">
            <v>0</v>
          </cell>
          <cell r="H4308">
            <v>0</v>
          </cell>
          <cell r="I4308">
            <v>0</v>
          </cell>
          <cell r="J4308">
            <v>0</v>
          </cell>
          <cell r="K4308">
            <v>0</v>
          </cell>
          <cell r="L4308">
            <v>7</v>
          </cell>
        </row>
        <row r="4309">
          <cell r="A4309" t="str">
            <v>20497.02275</v>
          </cell>
          <cell r="B4309" t="str">
            <v>CORPS DE PALIER</v>
          </cell>
          <cell r="C4309" t="str">
            <v>SULZER  TYPE A23-40 REP 330.31 SERIE 100038256</v>
          </cell>
          <cell r="D4309" t="str">
            <v>PE</v>
          </cell>
          <cell r="E4309" t="str">
            <v>515.51505</v>
          </cell>
          <cell r="F4309">
            <v>9271.4817000000003</v>
          </cell>
          <cell r="G4309">
            <v>0</v>
          </cell>
          <cell r="H4309">
            <v>0</v>
          </cell>
          <cell r="I4309">
            <v>0</v>
          </cell>
          <cell r="J4309">
            <v>0</v>
          </cell>
          <cell r="K4309">
            <v>1</v>
          </cell>
          <cell r="L4309">
            <v>1</v>
          </cell>
        </row>
        <row r="4310">
          <cell r="A4310" t="str">
            <v>20497.10536</v>
          </cell>
          <cell r="B4310" t="str">
            <v>RONDELLE DE SECURITE</v>
          </cell>
          <cell r="C4310" t="str">
            <v>SULZER TYPE A 31-100 SERIE 100038236/100038237/100038238/100038240/100038241/100038242 REP931,31</v>
          </cell>
          <cell r="D4310" t="str">
            <v>PE</v>
          </cell>
          <cell r="E4310" t="str">
            <v>515.51505</v>
          </cell>
          <cell r="F4310">
            <v>113.0111</v>
          </cell>
          <cell r="G4310">
            <v>0</v>
          </cell>
          <cell r="H4310">
            <v>0</v>
          </cell>
          <cell r="I4310">
            <v>0</v>
          </cell>
          <cell r="J4310">
            <v>0</v>
          </cell>
          <cell r="K4310">
            <v>0</v>
          </cell>
          <cell r="L4310">
            <v>7</v>
          </cell>
        </row>
        <row r="4311">
          <cell r="A4311" t="str">
            <v>20497.10537</v>
          </cell>
          <cell r="B4311" t="str">
            <v>COUVERCLE DE PALIER</v>
          </cell>
          <cell r="C4311" t="str">
            <v>SULZER TYPE A 31-100 SERIE 100038236/100038237/100038238/100038240/100038241/100038242 REP360,31</v>
          </cell>
          <cell r="D4311" t="str">
            <v>PE</v>
          </cell>
          <cell r="E4311" t="str">
            <v>515.51505</v>
          </cell>
          <cell r="F4311">
            <v>4275.6165000000001</v>
          </cell>
          <cell r="G4311">
            <v>0</v>
          </cell>
          <cell r="H4311">
            <v>0</v>
          </cell>
          <cell r="I4311">
            <v>0</v>
          </cell>
          <cell r="J4311">
            <v>0</v>
          </cell>
          <cell r="K4311">
            <v>0</v>
          </cell>
          <cell r="L4311">
            <v>4</v>
          </cell>
        </row>
        <row r="4312">
          <cell r="A4312" t="str">
            <v>20497.10540</v>
          </cell>
          <cell r="B4312" t="str">
            <v>VOYANT D'HUILE</v>
          </cell>
          <cell r="C4312" t="str">
            <v>SULZER TYPE A 31-100 SERIE 100038236/100038237/100038238/100038240/100038241/100038242 REP642,31</v>
          </cell>
          <cell r="D4312" t="str">
            <v>PE</v>
          </cell>
          <cell r="E4312" t="str">
            <v>515.51505</v>
          </cell>
          <cell r="F4312">
            <v>145.32480000000001</v>
          </cell>
          <cell r="G4312">
            <v>0</v>
          </cell>
          <cell r="H4312">
            <v>0</v>
          </cell>
          <cell r="I4312">
            <v>0</v>
          </cell>
          <cell r="J4312">
            <v>0</v>
          </cell>
          <cell r="K4312">
            <v>0</v>
          </cell>
          <cell r="L4312">
            <v>6</v>
          </cell>
        </row>
        <row r="4313">
          <cell r="A4313" t="str">
            <v>20497.10541</v>
          </cell>
          <cell r="B4313" t="str">
            <v>CORPS DE POMPE</v>
          </cell>
          <cell r="C4313" t="str">
            <v>SULZER TYPE ASP 53-250 SERIE 100038223/100038224 REP102,11</v>
          </cell>
          <cell r="D4313" t="str">
            <v>PE</v>
          </cell>
          <cell r="E4313" t="str">
            <v>515.51505</v>
          </cell>
          <cell r="F4313">
            <v>324941.26289999997</v>
          </cell>
          <cell r="G4313">
            <v>0</v>
          </cell>
          <cell r="H4313">
            <v>0</v>
          </cell>
          <cell r="I4313">
            <v>0</v>
          </cell>
          <cell r="J4313">
            <v>0</v>
          </cell>
          <cell r="K4313">
            <v>0</v>
          </cell>
          <cell r="L4313">
            <v>1</v>
          </cell>
        </row>
        <row r="4314">
          <cell r="A4314" t="str">
            <v>20497.10542</v>
          </cell>
          <cell r="B4314" t="str">
            <v>PLAQUE LATERALE</v>
          </cell>
          <cell r="C4314" t="str">
            <v>SULZER TYPE ASP 53-250 SERIE 100038223/100038224 REP135,11</v>
          </cell>
          <cell r="D4314" t="str">
            <v>PE</v>
          </cell>
          <cell r="E4314" t="str">
            <v>515.51505</v>
          </cell>
          <cell r="F4314">
            <v>84432.143200000006</v>
          </cell>
          <cell r="G4314">
            <v>0</v>
          </cell>
          <cell r="H4314">
            <v>0</v>
          </cell>
          <cell r="I4314">
            <v>0</v>
          </cell>
          <cell r="J4314">
            <v>0</v>
          </cell>
          <cell r="K4314">
            <v>0</v>
          </cell>
          <cell r="L4314">
            <v>2</v>
          </cell>
        </row>
        <row r="4315">
          <cell r="A4315" t="str">
            <v>20497.10861</v>
          </cell>
          <cell r="B4315" t="str">
            <v>JEU DE VISSERIE</v>
          </cell>
          <cell r="C4315" t="str">
            <v>MILTON ROY MIXING TYPE G5,220-90/53,6 PLAN 17238-5 REP2440/2450</v>
          </cell>
          <cell r="D4315" t="str">
            <v>PE</v>
          </cell>
          <cell r="E4315" t="str">
            <v>515.51514</v>
          </cell>
          <cell r="F4315">
            <v>64.423400000000001</v>
          </cell>
          <cell r="G4315">
            <v>0</v>
          </cell>
          <cell r="H4315">
            <v>0</v>
          </cell>
          <cell r="I4315">
            <v>0</v>
          </cell>
          <cell r="J4315">
            <v>0</v>
          </cell>
          <cell r="K4315">
            <v>0</v>
          </cell>
          <cell r="L4315">
            <v>24</v>
          </cell>
        </row>
        <row r="4316">
          <cell r="A4316" t="str">
            <v>20497.10862</v>
          </cell>
          <cell r="B4316" t="str">
            <v>ARBRE SUPERIEUR</v>
          </cell>
          <cell r="C4316" t="str">
            <v>MILTON ROY MIXING TYPE G5,220-90/53,6 PLAN 17238-5 REP3010</v>
          </cell>
          <cell r="D4316" t="str">
            <v>PE</v>
          </cell>
          <cell r="E4316" t="str">
            <v>515.51514</v>
          </cell>
          <cell r="F4316">
            <v>89651.021200000003</v>
          </cell>
          <cell r="G4316">
            <v>0</v>
          </cell>
          <cell r="H4316">
            <v>0</v>
          </cell>
          <cell r="I4316">
            <v>0</v>
          </cell>
          <cell r="J4316">
            <v>0</v>
          </cell>
          <cell r="K4316">
            <v>1</v>
          </cell>
          <cell r="L4316">
            <v>0</v>
          </cell>
        </row>
        <row r="4317">
          <cell r="A4317" t="str">
            <v>20497.10863</v>
          </cell>
          <cell r="B4317" t="str">
            <v>TOURELLE</v>
          </cell>
          <cell r="C4317" t="str">
            <v>MILTON ROY MIXING TYPE G5,240-160/52,8 PLAN 17236-5 REP2010</v>
          </cell>
          <cell r="D4317" t="str">
            <v>PE</v>
          </cell>
          <cell r="E4317" t="str">
            <v>515.51514</v>
          </cell>
          <cell r="F4317">
            <v>267047.5625</v>
          </cell>
          <cell r="G4317">
            <v>0</v>
          </cell>
          <cell r="H4317">
            <v>0</v>
          </cell>
          <cell r="I4317">
            <v>0</v>
          </cell>
          <cell r="J4317">
            <v>0</v>
          </cell>
          <cell r="K4317">
            <v>1</v>
          </cell>
          <cell r="L4317">
            <v>0</v>
          </cell>
        </row>
        <row r="4318">
          <cell r="A4318" t="str">
            <v>20497.11419</v>
          </cell>
          <cell r="B4318" t="str">
            <v>JOINT</v>
          </cell>
          <cell r="C4318" t="str">
            <v>GOULDS PUMPS IC-125-100-315 P2 VL 1A SERIE I 601E18/19 REP 400A</v>
          </cell>
          <cell r="D4318" t="str">
            <v>PE</v>
          </cell>
          <cell r="E4318" t="str">
            <v>515.51517</v>
          </cell>
          <cell r="F4318">
            <v>91.7</v>
          </cell>
          <cell r="G4318">
            <v>0</v>
          </cell>
          <cell r="H4318">
            <v>0</v>
          </cell>
          <cell r="I4318">
            <v>0</v>
          </cell>
          <cell r="J4318">
            <v>0</v>
          </cell>
          <cell r="K4318">
            <v>0</v>
          </cell>
          <cell r="L4318">
            <v>1</v>
          </cell>
        </row>
        <row r="4319">
          <cell r="A4319" t="str">
            <v>20497.10864</v>
          </cell>
          <cell r="B4319" t="str">
            <v>COUVERCLE SUPERIEUR DE PALIER GUIDE</v>
          </cell>
          <cell r="C4319" t="str">
            <v>MILTON ROY MIXING TYPE G5,240-160/52,8 PLAN 17236-5 REP2120</v>
          </cell>
          <cell r="D4319" t="str">
            <v>PE</v>
          </cell>
          <cell r="E4319" t="str">
            <v>515.51514</v>
          </cell>
          <cell r="F4319">
            <v>11107.220600000001</v>
          </cell>
          <cell r="G4319">
            <v>0</v>
          </cell>
          <cell r="H4319">
            <v>0</v>
          </cell>
          <cell r="I4319">
            <v>0</v>
          </cell>
          <cell r="J4319">
            <v>0</v>
          </cell>
          <cell r="K4319">
            <v>1</v>
          </cell>
          <cell r="L4319">
            <v>2</v>
          </cell>
        </row>
        <row r="4320">
          <cell r="A4320" t="str">
            <v>20497.11420</v>
          </cell>
          <cell r="B4320" t="str">
            <v>JOINT</v>
          </cell>
          <cell r="C4320" t="str">
            <v>GOULDS PUMPS IC-125-100-315 P2 VL 1A SERIE I 601E18/19 REP 412.21</v>
          </cell>
          <cell r="D4320" t="str">
            <v>PE</v>
          </cell>
          <cell r="E4320" t="str">
            <v>515.51517</v>
          </cell>
          <cell r="F4320">
            <v>441.41</v>
          </cell>
          <cell r="G4320">
            <v>0</v>
          </cell>
          <cell r="H4320">
            <v>0</v>
          </cell>
          <cell r="I4320">
            <v>0</v>
          </cell>
          <cell r="J4320">
            <v>0</v>
          </cell>
          <cell r="K4320">
            <v>0</v>
          </cell>
          <cell r="L4320">
            <v>1</v>
          </cell>
        </row>
        <row r="4321">
          <cell r="A4321" t="str">
            <v>20497.10865</v>
          </cell>
          <cell r="B4321" t="str">
            <v>COUVERCLE INFERIEUR DE PALIER GUIDE</v>
          </cell>
          <cell r="C4321" t="str">
            <v>MILTON ROY MIXING TYPE G5,240-160/52,8 PLAN 17236-5 REP2180</v>
          </cell>
          <cell r="D4321" t="str">
            <v>PE</v>
          </cell>
          <cell r="E4321" t="str">
            <v>515.51514</v>
          </cell>
          <cell r="F4321">
            <v>6472.3617000000004</v>
          </cell>
          <cell r="G4321">
            <v>0</v>
          </cell>
          <cell r="H4321">
            <v>0</v>
          </cell>
          <cell r="I4321">
            <v>0</v>
          </cell>
          <cell r="J4321">
            <v>0</v>
          </cell>
          <cell r="K4321">
            <v>1</v>
          </cell>
          <cell r="L4321">
            <v>2</v>
          </cell>
        </row>
        <row r="4322">
          <cell r="A4322" t="str">
            <v>20497.11421</v>
          </cell>
          <cell r="B4322" t="str">
            <v>JOINT</v>
          </cell>
          <cell r="C4322" t="str">
            <v>GOULDS PUMPS IC-125-100-315 P2 VL 1A SERIE I 601E18/19 REP 412.41</v>
          </cell>
          <cell r="D4322" t="str">
            <v>PE</v>
          </cell>
          <cell r="E4322" t="str">
            <v>515.51517</v>
          </cell>
          <cell r="F4322">
            <v>147.19</v>
          </cell>
          <cell r="G4322">
            <v>0</v>
          </cell>
          <cell r="H4322">
            <v>0</v>
          </cell>
          <cell r="I4322">
            <v>0</v>
          </cell>
          <cell r="J4322">
            <v>0</v>
          </cell>
          <cell r="K4322">
            <v>0</v>
          </cell>
          <cell r="L4322">
            <v>1</v>
          </cell>
        </row>
        <row r="4323">
          <cell r="A4323" t="str">
            <v>20497.10866</v>
          </cell>
          <cell r="B4323" t="str">
            <v>BAGUE SOUS ROULEMENT</v>
          </cell>
          <cell r="C4323" t="str">
            <v>MILTON ROY MIXING TYPE G5,240-160/52,8 PLAN 17236-5 REP2320</v>
          </cell>
          <cell r="D4323" t="str">
            <v>PE</v>
          </cell>
          <cell r="E4323" t="str">
            <v>515.51514</v>
          </cell>
          <cell r="F4323">
            <v>2798.7622000000001</v>
          </cell>
          <cell r="G4323">
            <v>0</v>
          </cell>
          <cell r="H4323">
            <v>1</v>
          </cell>
          <cell r="I4323">
            <v>0</v>
          </cell>
          <cell r="J4323">
            <v>0</v>
          </cell>
          <cell r="K4323">
            <v>1</v>
          </cell>
          <cell r="L4323">
            <v>2</v>
          </cell>
        </row>
        <row r="4324">
          <cell r="A4324" t="str">
            <v>20497.11422</v>
          </cell>
          <cell r="B4324" t="str">
            <v>GARNITURE DE PRESSE ETOUPE</v>
          </cell>
          <cell r="C4324" t="str">
            <v>GOULDS PUMPS IC-125-100-315 P2 VL 1A SERIE I 601E18/19 REP 461</v>
          </cell>
          <cell r="D4324" t="str">
            <v>PE</v>
          </cell>
          <cell r="E4324" t="str">
            <v>515.51517</v>
          </cell>
          <cell r="F4324">
            <v>1004.3</v>
          </cell>
          <cell r="G4324">
            <v>0</v>
          </cell>
          <cell r="H4324">
            <v>0</v>
          </cell>
          <cell r="I4324">
            <v>0</v>
          </cell>
          <cell r="J4324">
            <v>0</v>
          </cell>
          <cell r="K4324">
            <v>0</v>
          </cell>
          <cell r="L4324">
            <v>1</v>
          </cell>
        </row>
        <row r="4325">
          <cell r="A4325" t="str">
            <v>20497.10543</v>
          </cell>
          <cell r="B4325" t="str">
            <v>COUVERCLE DE CORPS</v>
          </cell>
          <cell r="C4325" t="str">
            <v>SULZER TYPE ASP 53-250 SERIE 100038223/100038224 REP161,21</v>
          </cell>
          <cell r="D4325" t="str">
            <v>PE</v>
          </cell>
          <cell r="E4325" t="str">
            <v>515.51505</v>
          </cell>
          <cell r="F4325">
            <v>101489.5395</v>
          </cell>
          <cell r="G4325">
            <v>0</v>
          </cell>
          <cell r="H4325">
            <v>0</v>
          </cell>
          <cell r="I4325">
            <v>2</v>
          </cell>
          <cell r="J4325">
            <v>0</v>
          </cell>
          <cell r="K4325">
            <v>0</v>
          </cell>
          <cell r="L4325">
            <v>0</v>
          </cell>
        </row>
        <row r="4326">
          <cell r="A4326" t="str">
            <v>20497.11427</v>
          </cell>
          <cell r="B4326" t="str">
            <v>JOINT</v>
          </cell>
          <cell r="C4326" t="str">
            <v>GOULDS PUMPS IC-200-150-250 S1 VL 1A SERIE I 601E20/21 REP 412.41</v>
          </cell>
          <cell r="D4326" t="str">
            <v>PE</v>
          </cell>
          <cell r="E4326" t="str">
            <v>515.51517</v>
          </cell>
          <cell r="F4326">
            <v>147.19</v>
          </cell>
          <cell r="G4326">
            <v>0</v>
          </cell>
          <cell r="H4326">
            <v>0</v>
          </cell>
          <cell r="I4326">
            <v>0</v>
          </cell>
          <cell r="J4326">
            <v>0</v>
          </cell>
          <cell r="K4326">
            <v>0</v>
          </cell>
          <cell r="L4326">
            <v>1</v>
          </cell>
        </row>
        <row r="4327">
          <cell r="A4327" t="str">
            <v>20497.10544</v>
          </cell>
          <cell r="B4327" t="str">
            <v>ARBRE</v>
          </cell>
          <cell r="C4327" t="str">
            <v>SULZER TYPE ASP 53-250 SERIE 100038223/100038224 REP210,31</v>
          </cell>
          <cell r="D4327" t="str">
            <v>PE</v>
          </cell>
          <cell r="E4327" t="str">
            <v>515.51505</v>
          </cell>
          <cell r="F4327">
            <v>25780</v>
          </cell>
          <cell r="G4327">
            <v>0</v>
          </cell>
          <cell r="H4327">
            <v>0</v>
          </cell>
          <cell r="I4327">
            <v>0</v>
          </cell>
          <cell r="J4327">
            <v>0</v>
          </cell>
          <cell r="K4327">
            <v>2</v>
          </cell>
          <cell r="L4327">
            <v>1</v>
          </cell>
        </row>
        <row r="4328">
          <cell r="A4328" t="str">
            <v>20497.10545</v>
          </cell>
          <cell r="B4328" t="str">
            <v>ROUE</v>
          </cell>
          <cell r="C4328" t="str">
            <v>SULZER TYPE ASP 53-250 SERIE 100038223/100038224 REP230,11</v>
          </cell>
          <cell r="D4328" t="str">
            <v>PE</v>
          </cell>
          <cell r="E4328" t="str">
            <v>515.51505</v>
          </cell>
          <cell r="F4328">
            <v>225890</v>
          </cell>
          <cell r="G4328">
            <v>0</v>
          </cell>
          <cell r="H4328">
            <v>0</v>
          </cell>
          <cell r="I4328">
            <v>0</v>
          </cell>
          <cell r="J4328">
            <v>0</v>
          </cell>
          <cell r="K4328">
            <v>1</v>
          </cell>
          <cell r="L4328">
            <v>2</v>
          </cell>
        </row>
        <row r="4329">
          <cell r="A4329" t="str">
            <v>20497.10546</v>
          </cell>
          <cell r="B4329" t="str">
            <v>ROUE HELICE D'ASPIRATION</v>
          </cell>
          <cell r="C4329" t="str">
            <v>SULZER TYPE ASP 53-250 SERIE 100038223/100038224 REP231</v>
          </cell>
          <cell r="D4329" t="str">
            <v>PE</v>
          </cell>
          <cell r="E4329" t="str">
            <v>515.51505</v>
          </cell>
          <cell r="F4329">
            <v>27225.287400000001</v>
          </cell>
          <cell r="G4329">
            <v>0</v>
          </cell>
          <cell r="H4329">
            <v>2</v>
          </cell>
          <cell r="I4329">
            <v>1</v>
          </cell>
          <cell r="J4329">
            <v>0</v>
          </cell>
          <cell r="K4329">
            <v>2</v>
          </cell>
          <cell r="L4329">
            <v>2</v>
          </cell>
        </row>
        <row r="4330">
          <cell r="A4330" t="str">
            <v>20497.10547</v>
          </cell>
          <cell r="B4330" t="str">
            <v>LANTERNE</v>
          </cell>
          <cell r="C4330" t="str">
            <v>SULZER TYPE ASP 53-250 SERIE 100038223/100038224 REP344</v>
          </cell>
          <cell r="D4330" t="str">
            <v>PE</v>
          </cell>
          <cell r="E4330" t="str">
            <v>515.51505</v>
          </cell>
          <cell r="F4330">
            <v>27067.357499999998</v>
          </cell>
          <cell r="G4330">
            <v>0</v>
          </cell>
          <cell r="H4330">
            <v>0</v>
          </cell>
          <cell r="I4330">
            <v>0</v>
          </cell>
          <cell r="J4330">
            <v>0</v>
          </cell>
          <cell r="K4330">
            <v>0</v>
          </cell>
          <cell r="L4330">
            <v>3</v>
          </cell>
        </row>
        <row r="4331">
          <cell r="A4331" t="str">
            <v>20497.10548</v>
          </cell>
          <cell r="B4331" t="str">
            <v>JEU DE JOINTS</v>
          </cell>
          <cell r="C4331" t="str">
            <v>SULZER TYPE ASP 53-250 SERIE 100038223/100038224 REP400,1/410,2/412,1/412,2/412,3/412,4/412,5/412,6/412,7/412,8/730,2</v>
          </cell>
          <cell r="D4331" t="str">
            <v>PE</v>
          </cell>
          <cell r="E4331" t="str">
            <v>515.51505</v>
          </cell>
          <cell r="F4331">
            <v>5684.8549999999996</v>
          </cell>
          <cell r="G4331">
            <v>0</v>
          </cell>
          <cell r="H4331">
            <v>0</v>
          </cell>
          <cell r="I4331">
            <v>0</v>
          </cell>
          <cell r="J4331">
            <v>0</v>
          </cell>
          <cell r="K4331">
            <v>3</v>
          </cell>
          <cell r="L4331">
            <v>2</v>
          </cell>
        </row>
        <row r="4332">
          <cell r="A4332" t="str">
            <v>20497.04360</v>
          </cell>
          <cell r="B4332" t="str">
            <v>BOULON DE FOULOIRE</v>
          </cell>
          <cell r="C4332" t="str">
            <v>WARMAN E045M-C22 TYPE 6/4 EAH A05A/A05A/FF</v>
          </cell>
          <cell r="D4332" t="str">
            <v>PE</v>
          </cell>
          <cell r="E4332" t="str">
            <v>515.51517</v>
          </cell>
          <cell r="F4332">
            <v>626.69069999999999</v>
          </cell>
          <cell r="G4332">
            <v>0</v>
          </cell>
          <cell r="H4332">
            <v>0</v>
          </cell>
          <cell r="I4332">
            <v>0</v>
          </cell>
          <cell r="J4332">
            <v>0</v>
          </cell>
          <cell r="K4332">
            <v>2</v>
          </cell>
          <cell r="L4332">
            <v>0</v>
          </cell>
        </row>
        <row r="4333">
          <cell r="A4333" t="str">
            <v>20497.04371</v>
          </cell>
          <cell r="B4333" t="str">
            <v>PIECE D ASPIRATION</v>
          </cell>
          <cell r="C4333" t="str">
            <v>WARMAN E4083-A05A TYPE 6/4 EAH A05A/A05A/FF</v>
          </cell>
          <cell r="D4333" t="str">
            <v>PE</v>
          </cell>
          <cell r="E4333" t="str">
            <v>515.51517</v>
          </cell>
          <cell r="F4333">
            <v>15000</v>
          </cell>
          <cell r="G4333">
            <v>0</v>
          </cell>
          <cell r="H4333">
            <v>1</v>
          </cell>
          <cell r="I4333">
            <v>0</v>
          </cell>
          <cell r="J4333">
            <v>0</v>
          </cell>
          <cell r="K4333">
            <v>1</v>
          </cell>
          <cell r="L4333">
            <v>0</v>
          </cell>
        </row>
        <row r="4334">
          <cell r="A4334" t="str">
            <v>20497.04372</v>
          </cell>
          <cell r="B4334" t="str">
            <v>CLAVETTE</v>
          </cell>
          <cell r="C4334" t="str">
            <v>WARMAN E4085-E02 TYPE 6/4 EAH A05A/A05A/FF</v>
          </cell>
          <cell r="D4334" t="str">
            <v>PE</v>
          </cell>
          <cell r="E4334" t="str">
            <v>515.51517</v>
          </cell>
          <cell r="F4334">
            <v>516.90610000000004</v>
          </cell>
          <cell r="G4334">
            <v>0</v>
          </cell>
          <cell r="H4334">
            <v>0</v>
          </cell>
          <cell r="I4334">
            <v>0</v>
          </cell>
          <cell r="J4334">
            <v>0</v>
          </cell>
          <cell r="K4334">
            <v>2</v>
          </cell>
          <cell r="L4334">
            <v>6</v>
          </cell>
        </row>
        <row r="4335">
          <cell r="A4335" t="str">
            <v>20497.10549</v>
          </cell>
          <cell r="B4335" t="str">
            <v>BAGUE LABYRINTHE</v>
          </cell>
          <cell r="C4335" t="str">
            <v>SULZER TYPE ASP 53-250 SERIE 100038223/100038224 REP423,31</v>
          </cell>
          <cell r="D4335" t="str">
            <v>PE</v>
          </cell>
          <cell r="E4335" t="str">
            <v>515.51505</v>
          </cell>
          <cell r="F4335">
            <v>3438.6916000000001</v>
          </cell>
          <cell r="G4335">
            <v>0</v>
          </cell>
          <cell r="H4335">
            <v>0</v>
          </cell>
          <cell r="I4335">
            <v>0</v>
          </cell>
          <cell r="J4335">
            <v>1</v>
          </cell>
          <cell r="K4335">
            <v>1</v>
          </cell>
          <cell r="L4335">
            <v>3</v>
          </cell>
        </row>
        <row r="4336">
          <cell r="A4336" t="str">
            <v>20497.10550</v>
          </cell>
          <cell r="B4336" t="str">
            <v>BAGUE LABYRINTHE</v>
          </cell>
          <cell r="C4336" t="str">
            <v>SULZER TYPE ASP 53-250 SERIE 100038223/100038224 REP423,32</v>
          </cell>
          <cell r="D4336" t="str">
            <v>PE</v>
          </cell>
          <cell r="E4336" t="str">
            <v>515.51505</v>
          </cell>
          <cell r="F4336">
            <v>1973.7927999999999</v>
          </cell>
          <cell r="G4336">
            <v>0</v>
          </cell>
          <cell r="H4336">
            <v>0</v>
          </cell>
          <cell r="I4336">
            <v>0</v>
          </cell>
          <cell r="J4336">
            <v>1</v>
          </cell>
          <cell r="K4336">
            <v>1</v>
          </cell>
          <cell r="L4336">
            <v>2</v>
          </cell>
        </row>
        <row r="4337">
          <cell r="A4337" t="str">
            <v>20497.12487</v>
          </cell>
          <cell r="B4337" t="str">
            <v>CORPS DE REFOULEMENT</v>
          </cell>
          <cell r="C4337" t="str">
            <v>GOULDS PUMPS VIT-CATM TS10X14RHMC (4ETAGES) SERIE 513368.1/2 REP 661</v>
          </cell>
          <cell r="D4337" t="str">
            <v>PE</v>
          </cell>
          <cell r="E4337" t="str">
            <v>515.51517</v>
          </cell>
          <cell r="F4337">
            <v>47261</v>
          </cell>
          <cell r="G4337">
            <v>0</v>
          </cell>
          <cell r="H4337">
            <v>0</v>
          </cell>
          <cell r="I4337">
            <v>0</v>
          </cell>
          <cell r="J4337">
            <v>0</v>
          </cell>
          <cell r="K4337">
            <v>0</v>
          </cell>
          <cell r="L4337">
            <v>1</v>
          </cell>
        </row>
        <row r="4338">
          <cell r="A4338" t="str">
            <v>20497.12488</v>
          </cell>
          <cell r="B4338" t="str">
            <v>CORPS INTERMEDIAIRE</v>
          </cell>
          <cell r="C4338" t="str">
            <v>GOULDS PUMPS VIT-CATM TS10X14RHMC (4ETAGES) SERIE 513368.1/2 REP 670</v>
          </cell>
          <cell r="D4338" t="str">
            <v>PE</v>
          </cell>
          <cell r="E4338" t="str">
            <v>515.51517</v>
          </cell>
          <cell r="F4338">
            <v>85438</v>
          </cell>
          <cell r="G4338">
            <v>0</v>
          </cell>
          <cell r="H4338">
            <v>0</v>
          </cell>
          <cell r="I4338">
            <v>0</v>
          </cell>
          <cell r="J4338">
            <v>0</v>
          </cell>
          <cell r="K4338">
            <v>0</v>
          </cell>
          <cell r="L4338">
            <v>1</v>
          </cell>
        </row>
        <row r="4339">
          <cell r="A4339" t="str">
            <v>20497.12489</v>
          </cell>
          <cell r="B4339" t="str">
            <v>DIFFUSEUR</v>
          </cell>
          <cell r="C4339" t="str">
            <v>GOULDS PUMPS VIT-CATM TS10X14RHMC (4ETAGES) SERIE 513368.1/2 REP 677</v>
          </cell>
          <cell r="D4339" t="str">
            <v>PE</v>
          </cell>
          <cell r="E4339" t="str">
            <v>515.51517</v>
          </cell>
          <cell r="F4339">
            <v>4442</v>
          </cell>
          <cell r="G4339">
            <v>0</v>
          </cell>
          <cell r="H4339">
            <v>0</v>
          </cell>
          <cell r="I4339">
            <v>4</v>
          </cell>
          <cell r="J4339">
            <v>0</v>
          </cell>
          <cell r="K4339">
            <v>0</v>
          </cell>
          <cell r="L4339">
            <v>0</v>
          </cell>
        </row>
        <row r="4340">
          <cell r="A4340" t="str">
            <v>20497.10551</v>
          </cell>
          <cell r="B4340" t="str">
            <v>CHEMISE D'ARBRE</v>
          </cell>
          <cell r="C4340" t="str">
            <v>SULZER TYPE ASP 53-250 SERIE 100038223/100038224 REP524</v>
          </cell>
          <cell r="D4340" t="str">
            <v>PE</v>
          </cell>
          <cell r="E4340" t="str">
            <v>515.51505</v>
          </cell>
          <cell r="F4340">
            <v>11328.127200000001</v>
          </cell>
          <cell r="G4340">
            <v>0</v>
          </cell>
          <cell r="H4340">
            <v>0</v>
          </cell>
          <cell r="I4340">
            <v>1</v>
          </cell>
          <cell r="J4340">
            <v>0</v>
          </cell>
          <cell r="K4340">
            <v>2</v>
          </cell>
          <cell r="L4340">
            <v>1</v>
          </cell>
        </row>
        <row r="4341">
          <cell r="A4341" t="str">
            <v>20497.10552</v>
          </cell>
          <cell r="B4341" t="str">
            <v>ECROU DE ROULEMENT</v>
          </cell>
          <cell r="C4341" t="str">
            <v>SULZER TYPE ASP 53-250 SERIE 100038223/100038224 REP923,31</v>
          </cell>
          <cell r="D4341" t="str">
            <v>PE</v>
          </cell>
          <cell r="E4341" t="str">
            <v>515.51505</v>
          </cell>
          <cell r="F4341">
            <v>548.6001</v>
          </cell>
          <cell r="G4341">
            <v>0</v>
          </cell>
          <cell r="H4341">
            <v>0</v>
          </cell>
          <cell r="I4341">
            <v>1</v>
          </cell>
          <cell r="J4341">
            <v>1</v>
          </cell>
          <cell r="K4341">
            <v>1</v>
          </cell>
          <cell r="L4341">
            <v>1</v>
          </cell>
        </row>
        <row r="4342">
          <cell r="A4342" t="str">
            <v>20497.10553</v>
          </cell>
          <cell r="B4342" t="str">
            <v>RONDELLE DE SECURITE</v>
          </cell>
          <cell r="C4342" t="str">
            <v>SULZER TYPE ASP 53-250 SERIE 100038223/100038224 REP931,31</v>
          </cell>
          <cell r="D4342" t="str">
            <v>PE</v>
          </cell>
          <cell r="E4342" t="str">
            <v>515.51505</v>
          </cell>
          <cell r="F4342">
            <v>124.03319999999999</v>
          </cell>
          <cell r="G4342">
            <v>0</v>
          </cell>
          <cell r="H4342">
            <v>0</v>
          </cell>
          <cell r="I4342">
            <v>1</v>
          </cell>
          <cell r="J4342">
            <v>1</v>
          </cell>
          <cell r="K4342">
            <v>1</v>
          </cell>
          <cell r="L4342">
            <v>2</v>
          </cell>
        </row>
        <row r="4343">
          <cell r="A4343" t="str">
            <v>20497.10554</v>
          </cell>
          <cell r="B4343" t="str">
            <v>COUVERCLE DE PALIER</v>
          </cell>
          <cell r="C4343" t="str">
            <v>SULZER TYPE ASP 53-250 SERIE 100038223/100038224 REP360,31</v>
          </cell>
          <cell r="D4343" t="str">
            <v>PE</v>
          </cell>
          <cell r="E4343" t="str">
            <v>515.51505</v>
          </cell>
          <cell r="F4343">
            <v>6684.8825999999999</v>
          </cell>
          <cell r="G4343">
            <v>0</v>
          </cell>
          <cell r="H4343">
            <v>0</v>
          </cell>
          <cell r="I4343">
            <v>0</v>
          </cell>
          <cell r="J4343">
            <v>0</v>
          </cell>
          <cell r="K4343">
            <v>0</v>
          </cell>
          <cell r="L4343">
            <v>2</v>
          </cell>
        </row>
        <row r="4344">
          <cell r="A4344" t="str">
            <v>20497.04383</v>
          </cell>
          <cell r="B4344" t="str">
            <v>CALE JOINT DU COUVERCLE</v>
          </cell>
          <cell r="C4344" t="str">
            <v>WARMAN E025-P30 TYPE 6/4 EAH A05A/A05A/FF</v>
          </cell>
          <cell r="D4344" t="str">
            <v>PE</v>
          </cell>
          <cell r="E4344" t="str">
            <v>515.51517</v>
          </cell>
          <cell r="F4344">
            <v>372.41930000000002</v>
          </cell>
          <cell r="G4344">
            <v>0</v>
          </cell>
          <cell r="H4344">
            <v>0</v>
          </cell>
          <cell r="I4344">
            <v>0</v>
          </cell>
          <cell r="J4344">
            <v>0</v>
          </cell>
          <cell r="K4344">
            <v>0</v>
          </cell>
          <cell r="L4344">
            <v>3</v>
          </cell>
        </row>
        <row r="4345">
          <cell r="A4345" t="str">
            <v>20497.10555</v>
          </cell>
          <cell r="B4345" t="str">
            <v>COUVERCLE DE GARNITURE</v>
          </cell>
          <cell r="C4345" t="str">
            <v>SULZER TYPE ASP 53-250 SERIE 100038223/100038224 REP471</v>
          </cell>
          <cell r="D4345" t="str">
            <v>PE</v>
          </cell>
          <cell r="E4345" t="str">
            <v>515.51505</v>
          </cell>
          <cell r="F4345">
            <v>4383.0589</v>
          </cell>
          <cell r="G4345">
            <v>0</v>
          </cell>
          <cell r="H4345">
            <v>0</v>
          </cell>
          <cell r="I4345">
            <v>0</v>
          </cell>
          <cell r="J4345">
            <v>0</v>
          </cell>
          <cell r="K4345">
            <v>0</v>
          </cell>
          <cell r="L4345">
            <v>2</v>
          </cell>
        </row>
        <row r="4346">
          <cell r="A4346" t="str">
            <v>20497.10556</v>
          </cell>
          <cell r="B4346" t="str">
            <v>BAGUE DE COMPRESSION</v>
          </cell>
          <cell r="C4346" t="str">
            <v>SULZER TYPE ASP 53-250 SERIE 100038223/100038224 REP487,1</v>
          </cell>
          <cell r="D4346" t="str">
            <v>PE</v>
          </cell>
          <cell r="E4346" t="str">
            <v>515.51505</v>
          </cell>
          <cell r="F4346">
            <v>9431.8917000000001</v>
          </cell>
          <cell r="G4346">
            <v>0</v>
          </cell>
          <cell r="H4346">
            <v>0</v>
          </cell>
          <cell r="I4346">
            <v>1</v>
          </cell>
          <cell r="J4346">
            <v>0</v>
          </cell>
          <cell r="K4346">
            <v>0</v>
          </cell>
          <cell r="L4346">
            <v>1</v>
          </cell>
        </row>
        <row r="4347">
          <cell r="A4347" t="str">
            <v>20497.10557</v>
          </cell>
          <cell r="B4347" t="str">
            <v>DEFLECTEUR</v>
          </cell>
          <cell r="C4347" t="str">
            <v>SULZER TYPE ASP 53-250 SERIE 100038223/100038224 REP507</v>
          </cell>
          <cell r="D4347" t="str">
            <v>PE</v>
          </cell>
          <cell r="E4347" t="str">
            <v>515.51505</v>
          </cell>
          <cell r="F4347">
            <v>599.49379999999996</v>
          </cell>
          <cell r="G4347">
            <v>0</v>
          </cell>
          <cell r="H4347">
            <v>0</v>
          </cell>
          <cell r="I4347">
            <v>2</v>
          </cell>
          <cell r="J4347">
            <v>2</v>
          </cell>
          <cell r="K4347">
            <v>0</v>
          </cell>
          <cell r="L4347">
            <v>2</v>
          </cell>
        </row>
        <row r="4348">
          <cell r="A4348" t="str">
            <v>20497.10558</v>
          </cell>
          <cell r="B4348" t="str">
            <v>CLAVETTE</v>
          </cell>
          <cell r="C4348" t="str">
            <v>SULZER TYPE ASP 53-250 SERIE 100038223/100038224 REP940,31</v>
          </cell>
          <cell r="D4348" t="str">
            <v>PE</v>
          </cell>
          <cell r="E4348" t="str">
            <v>515.51505</v>
          </cell>
          <cell r="F4348">
            <v>113.0432</v>
          </cell>
          <cell r="G4348">
            <v>0</v>
          </cell>
          <cell r="H4348">
            <v>0</v>
          </cell>
          <cell r="I4348">
            <v>0</v>
          </cell>
          <cell r="J4348">
            <v>0</v>
          </cell>
          <cell r="K4348">
            <v>0</v>
          </cell>
          <cell r="L4348">
            <v>3</v>
          </cell>
        </row>
        <row r="4349">
          <cell r="A4349" t="str">
            <v>20497.11432</v>
          </cell>
          <cell r="B4349" t="str">
            <v>VIS D'ARRET</v>
          </cell>
          <cell r="C4349" t="str">
            <v>GOULDS PUMPS IC-200-150-250 S1 VL 1A SERIE I 601E20/21 REP 904.11</v>
          </cell>
          <cell r="D4349" t="str">
            <v>PE</v>
          </cell>
          <cell r="E4349" t="str">
            <v>515.51517</v>
          </cell>
          <cell r="F4349">
            <v>1563.11</v>
          </cell>
          <cell r="G4349">
            <v>0</v>
          </cell>
          <cell r="H4349">
            <v>0</v>
          </cell>
          <cell r="I4349">
            <v>0</v>
          </cell>
          <cell r="J4349">
            <v>0</v>
          </cell>
          <cell r="K4349">
            <v>0</v>
          </cell>
          <cell r="L4349">
            <v>1</v>
          </cell>
        </row>
        <row r="4350">
          <cell r="A4350" t="str">
            <v>20497.10559</v>
          </cell>
          <cell r="B4350" t="str">
            <v>JEU DE VISSERIE VIS DE ROUEVIS DE REGLAGE</v>
          </cell>
          <cell r="C4350" t="str">
            <v>SULZER TYPE ASP 53-250 SERIE 100038223/100038224 REPSANS</v>
          </cell>
          <cell r="D4350" t="str">
            <v>PE</v>
          </cell>
          <cell r="E4350" t="str">
            <v>515.51505</v>
          </cell>
          <cell r="F4350">
            <v>15611.811799999999</v>
          </cell>
          <cell r="G4350">
            <v>0</v>
          </cell>
          <cell r="H4350">
            <v>0</v>
          </cell>
          <cell r="I4350">
            <v>1</v>
          </cell>
          <cell r="J4350">
            <v>0</v>
          </cell>
          <cell r="K4350">
            <v>0</v>
          </cell>
          <cell r="L4350">
            <v>2</v>
          </cell>
        </row>
        <row r="4351">
          <cell r="A4351" t="str">
            <v>20497.11433</v>
          </cell>
          <cell r="B4351" t="str">
            <v>VIS D'ARRET</v>
          </cell>
          <cell r="C4351" t="str">
            <v>GOULDS PUMPS IC-200-150-250 S1 VL 1A SERIE I 601E20/21 REP 904.31</v>
          </cell>
          <cell r="D4351" t="str">
            <v>PE</v>
          </cell>
          <cell r="E4351" t="str">
            <v>515.51517</v>
          </cell>
          <cell r="F4351">
            <v>18.18</v>
          </cell>
          <cell r="G4351">
            <v>0</v>
          </cell>
          <cell r="H4351">
            <v>0</v>
          </cell>
          <cell r="I4351">
            <v>0</v>
          </cell>
          <cell r="J4351">
            <v>0</v>
          </cell>
          <cell r="K4351">
            <v>0</v>
          </cell>
          <cell r="L4351">
            <v>1</v>
          </cell>
        </row>
        <row r="4352">
          <cell r="A4352" t="str">
            <v>20497.11435</v>
          </cell>
          <cell r="B4352" t="str">
            <v>RENIFLARD</v>
          </cell>
          <cell r="C4352" t="str">
            <v>GOULDS PUMPS IC-125-80-200 S1 VL 1A SERIE I 601E22/23/24 REP 637</v>
          </cell>
          <cell r="D4352" t="str">
            <v>PE</v>
          </cell>
          <cell r="E4352" t="str">
            <v>515.51517</v>
          </cell>
          <cell r="F4352">
            <v>1397.74</v>
          </cell>
          <cell r="G4352">
            <v>0</v>
          </cell>
          <cell r="H4352">
            <v>0</v>
          </cell>
          <cell r="I4352">
            <v>0</v>
          </cell>
          <cell r="J4352">
            <v>0</v>
          </cell>
          <cell r="K4352">
            <v>0</v>
          </cell>
          <cell r="L4352">
            <v>1</v>
          </cell>
        </row>
        <row r="4353">
          <cell r="A4353" t="str">
            <v>20497.01284</v>
          </cell>
          <cell r="B4353" t="str">
            <v>COUPELLE DE RETENUE DE GRAISSE</v>
          </cell>
          <cell r="C4353" t="str">
            <v>WARMAN E046-D20 TYPE 8/6 E-AH</v>
          </cell>
          <cell r="D4353" t="str">
            <v>PE</v>
          </cell>
          <cell r="E4353" t="str">
            <v>515.51517</v>
          </cell>
          <cell r="F4353">
            <v>1151.5986</v>
          </cell>
          <cell r="G4353">
            <v>0</v>
          </cell>
          <cell r="H4353">
            <v>0</v>
          </cell>
          <cell r="I4353">
            <v>0</v>
          </cell>
          <cell r="J4353">
            <v>0</v>
          </cell>
          <cell r="K4353">
            <v>0</v>
          </cell>
          <cell r="L4353">
            <v>2</v>
          </cell>
        </row>
        <row r="4354">
          <cell r="A4354" t="str">
            <v>20497.11428</v>
          </cell>
          <cell r="B4354" t="str">
            <v>BAGUE DE FIXATION</v>
          </cell>
          <cell r="C4354" t="str">
            <v>GOULDS PUMPS IC-200-150-250 S1 VL 1A SERIE I 601E20/21 REP 527</v>
          </cell>
          <cell r="D4354" t="str">
            <v>PE</v>
          </cell>
          <cell r="E4354" t="str">
            <v>515.51517</v>
          </cell>
          <cell r="F4354">
            <v>1691.96</v>
          </cell>
          <cell r="G4354">
            <v>0</v>
          </cell>
          <cell r="H4354">
            <v>0</v>
          </cell>
          <cell r="I4354">
            <v>0</v>
          </cell>
          <cell r="J4354">
            <v>0</v>
          </cell>
          <cell r="K4354">
            <v>0</v>
          </cell>
          <cell r="L4354">
            <v>1</v>
          </cell>
        </row>
        <row r="4355">
          <cell r="A4355" t="str">
            <v>20497.11429</v>
          </cell>
          <cell r="B4355" t="str">
            <v>RENIFLARD</v>
          </cell>
          <cell r="C4355" t="str">
            <v>GOULDS PUMPS IC-200-150-250 S1 VL 1A SERIE I 601E20/21 REP 637</v>
          </cell>
          <cell r="D4355" t="str">
            <v>PE</v>
          </cell>
          <cell r="E4355" t="str">
            <v>515.51517</v>
          </cell>
          <cell r="F4355">
            <v>1397.74</v>
          </cell>
          <cell r="G4355">
            <v>0</v>
          </cell>
          <cell r="H4355">
            <v>0</v>
          </cell>
          <cell r="I4355">
            <v>0</v>
          </cell>
          <cell r="J4355">
            <v>0</v>
          </cell>
          <cell r="K4355">
            <v>0</v>
          </cell>
          <cell r="L4355">
            <v>1</v>
          </cell>
        </row>
        <row r="4356">
          <cell r="A4356" t="str">
            <v>20497.11431</v>
          </cell>
          <cell r="B4356" t="str">
            <v>BOUCHON</v>
          </cell>
          <cell r="C4356" t="str">
            <v>GOULDS PUMPS IC-200-150-250 S1 VL 1A SERIE I 601E20/21 REP 903.51</v>
          </cell>
          <cell r="D4356" t="str">
            <v>PE</v>
          </cell>
          <cell r="E4356" t="str">
            <v>515.51517</v>
          </cell>
          <cell r="F4356">
            <v>974.51</v>
          </cell>
          <cell r="G4356">
            <v>0</v>
          </cell>
          <cell r="H4356">
            <v>0</v>
          </cell>
          <cell r="I4356">
            <v>0</v>
          </cell>
          <cell r="J4356">
            <v>0</v>
          </cell>
          <cell r="K4356">
            <v>0</v>
          </cell>
          <cell r="L4356">
            <v>1</v>
          </cell>
        </row>
        <row r="4357">
          <cell r="A4357" t="str">
            <v>20497.12129</v>
          </cell>
          <cell r="B4357" t="str">
            <v>KIT DE  (JOINTS+CHEMISE)</v>
          </cell>
          <cell r="C4357" t="str">
            <v xml:space="preserve">FLUOROSEAL DN200 REF 152F-904L/904L-P-FS REP 16-17-18-21 </v>
          </cell>
          <cell r="D4357" t="str">
            <v>PE</v>
          </cell>
          <cell r="E4357" t="str">
            <v>515.51511</v>
          </cell>
          <cell r="F4357">
            <v>6279.3780999999999</v>
          </cell>
          <cell r="G4357">
            <v>0</v>
          </cell>
          <cell r="H4357">
            <v>3</v>
          </cell>
          <cell r="I4357">
            <v>0</v>
          </cell>
          <cell r="J4357">
            <v>0</v>
          </cell>
          <cell r="K4357">
            <v>0</v>
          </cell>
          <cell r="L4357">
            <v>1</v>
          </cell>
        </row>
        <row r="4358">
          <cell r="A4358" t="str">
            <v>20497.12130</v>
          </cell>
          <cell r="B4358" t="str">
            <v xml:space="preserve">KIT DE (JOINTS+CHEMISE) </v>
          </cell>
          <cell r="C4358" t="str">
            <v xml:space="preserve">FLUOROSEAL DN250 REF 152F-904L/904L-P-FS REP 16-17-18-21 </v>
          </cell>
          <cell r="D4358" t="str">
            <v>PE</v>
          </cell>
          <cell r="E4358" t="str">
            <v>515.51511</v>
          </cell>
          <cell r="F4358">
            <v>9616.67</v>
          </cell>
          <cell r="G4358">
            <v>0</v>
          </cell>
          <cell r="H4358">
            <v>0</v>
          </cell>
          <cell r="I4358">
            <v>0</v>
          </cell>
          <cell r="J4358">
            <v>0</v>
          </cell>
          <cell r="K4358">
            <v>0</v>
          </cell>
          <cell r="L4358">
            <v>2</v>
          </cell>
        </row>
        <row r="4359">
          <cell r="A4359" t="str">
            <v>20497.10560</v>
          </cell>
          <cell r="B4359" t="str">
            <v>VOYANT D'HUILE</v>
          </cell>
          <cell r="C4359" t="str">
            <v>SULZER TYPE ASP 53-250 SERIE 100038223/100038224 REP642,31</v>
          </cell>
          <cell r="D4359" t="str">
            <v>PE</v>
          </cell>
          <cell r="E4359" t="str">
            <v>515.51505</v>
          </cell>
          <cell r="F4359">
            <v>2055.0493999999999</v>
          </cell>
          <cell r="G4359">
            <v>0</v>
          </cell>
          <cell r="H4359">
            <v>0</v>
          </cell>
          <cell r="I4359">
            <v>0</v>
          </cell>
          <cell r="J4359">
            <v>0</v>
          </cell>
          <cell r="K4359">
            <v>0</v>
          </cell>
          <cell r="L4359">
            <v>2</v>
          </cell>
        </row>
        <row r="4360">
          <cell r="A4360" t="str">
            <v>20497.10561</v>
          </cell>
          <cell r="B4360" t="str">
            <v>CORPS DE POMPE</v>
          </cell>
          <cell r="C4360" t="str">
            <v>SULZER TYPE A 32-80 SERIE 100038243/100038244/100038245 REP102,11</v>
          </cell>
          <cell r="D4360" t="str">
            <v>PE</v>
          </cell>
          <cell r="E4360" t="str">
            <v>515.51505</v>
          </cell>
          <cell r="F4360">
            <v>109831.7837</v>
          </cell>
          <cell r="G4360">
            <v>0</v>
          </cell>
          <cell r="H4360">
            <v>1</v>
          </cell>
          <cell r="I4360">
            <v>0</v>
          </cell>
          <cell r="J4360">
            <v>0</v>
          </cell>
          <cell r="K4360">
            <v>0</v>
          </cell>
          <cell r="L4360">
            <v>1</v>
          </cell>
        </row>
        <row r="4361">
          <cell r="A4361" t="str">
            <v>20497.10562</v>
          </cell>
          <cell r="B4361" t="str">
            <v>PLAQUE LATERALE</v>
          </cell>
          <cell r="C4361" t="str">
            <v>SULZER TYPE A 32-80 SERIE 100038243/100038244/100038245 REP135,11</v>
          </cell>
          <cell r="D4361" t="str">
            <v>PE</v>
          </cell>
          <cell r="E4361" t="str">
            <v>515.51505</v>
          </cell>
          <cell r="F4361">
            <v>29160.2808</v>
          </cell>
          <cell r="G4361">
            <v>0</v>
          </cell>
          <cell r="H4361">
            <v>0</v>
          </cell>
          <cell r="I4361">
            <v>0</v>
          </cell>
          <cell r="J4361">
            <v>0</v>
          </cell>
          <cell r="K4361">
            <v>0</v>
          </cell>
          <cell r="L4361">
            <v>2</v>
          </cell>
        </row>
        <row r="4362">
          <cell r="A4362" t="str">
            <v>20497.10563</v>
          </cell>
          <cell r="B4362" t="str">
            <v>COUVERCLE DE CORPS</v>
          </cell>
          <cell r="C4362" t="str">
            <v>SULZER TYPE A 32-80 SERIE 100038243/100038244/100038245 REP161,21</v>
          </cell>
          <cell r="D4362" t="str">
            <v>PE</v>
          </cell>
          <cell r="E4362" t="str">
            <v>515.51505</v>
          </cell>
          <cell r="F4362">
            <v>55108.039700000001</v>
          </cell>
          <cell r="G4362">
            <v>0</v>
          </cell>
          <cell r="H4362">
            <v>0</v>
          </cell>
          <cell r="I4362">
            <v>0</v>
          </cell>
          <cell r="J4362">
            <v>0</v>
          </cell>
          <cell r="K4362">
            <v>0</v>
          </cell>
          <cell r="L4362">
            <v>2</v>
          </cell>
        </row>
        <row r="4363">
          <cell r="A4363" t="str">
            <v>20497.10564</v>
          </cell>
          <cell r="B4363" t="str">
            <v>ARBRE</v>
          </cell>
          <cell r="C4363" t="str">
            <v>SULZER TYPE A 32-80 SERIE 100038243/100038244/100038245 REP210,31</v>
          </cell>
          <cell r="D4363" t="str">
            <v>PE</v>
          </cell>
          <cell r="E4363" t="str">
            <v>515.51505</v>
          </cell>
          <cell r="F4363">
            <v>13290.628500000001</v>
          </cell>
          <cell r="G4363">
            <v>0</v>
          </cell>
          <cell r="H4363">
            <v>0</v>
          </cell>
          <cell r="I4363">
            <v>0</v>
          </cell>
          <cell r="J4363">
            <v>0</v>
          </cell>
          <cell r="K4363">
            <v>0</v>
          </cell>
          <cell r="L4363">
            <v>2</v>
          </cell>
        </row>
        <row r="4364">
          <cell r="A4364" t="str">
            <v>20497.10565</v>
          </cell>
          <cell r="B4364" t="str">
            <v>ROUE</v>
          </cell>
          <cell r="C4364" t="str">
            <v>SULZER TYPE A 32-80 SERIE 100038243/100038244/100038245 REP230,11</v>
          </cell>
          <cell r="D4364" t="str">
            <v>PE</v>
          </cell>
          <cell r="E4364" t="str">
            <v>515.51505</v>
          </cell>
          <cell r="F4364">
            <v>58360.386500000001</v>
          </cell>
          <cell r="G4364">
            <v>0</v>
          </cell>
          <cell r="H4364">
            <v>0</v>
          </cell>
          <cell r="I4364">
            <v>0</v>
          </cell>
          <cell r="J4364">
            <v>0</v>
          </cell>
          <cell r="K4364">
            <v>0</v>
          </cell>
          <cell r="L4364">
            <v>2</v>
          </cell>
        </row>
        <row r="4365">
          <cell r="A4365" t="str">
            <v>20497.10566</v>
          </cell>
          <cell r="B4365" t="str">
            <v>JEU DE JOINTS</v>
          </cell>
          <cell r="C4365" t="str">
            <v>SULZER TYPE A 32-80 SERIE 100038243/100038244/100038245 REP400,21/410,21/412,11/412,12/412,14/412,21</v>
          </cell>
          <cell r="D4365" t="str">
            <v>PE</v>
          </cell>
          <cell r="E4365" t="str">
            <v>515.51505</v>
          </cell>
          <cell r="F4365">
            <v>4558.6860999999999</v>
          </cell>
          <cell r="G4365">
            <v>0</v>
          </cell>
          <cell r="H4365">
            <v>0</v>
          </cell>
          <cell r="I4365">
            <v>0</v>
          </cell>
          <cell r="J4365">
            <v>0</v>
          </cell>
          <cell r="K4365">
            <v>0</v>
          </cell>
          <cell r="L4365">
            <v>4</v>
          </cell>
        </row>
        <row r="4366">
          <cell r="A4366" t="str">
            <v>20497.10567</v>
          </cell>
          <cell r="B4366" t="str">
            <v>BAGUE D'ETANCHEITE</v>
          </cell>
          <cell r="C4366" t="str">
            <v>SULZER TYPE A 32-80 SERIE 100038243/100038244/100038245 REP411,21</v>
          </cell>
          <cell r="D4366" t="str">
            <v>PE</v>
          </cell>
          <cell r="E4366" t="str">
            <v>515.51505</v>
          </cell>
          <cell r="F4366">
            <v>554.56700000000001</v>
          </cell>
          <cell r="G4366">
            <v>0</v>
          </cell>
          <cell r="H4366">
            <v>0</v>
          </cell>
          <cell r="I4366">
            <v>0</v>
          </cell>
          <cell r="J4366">
            <v>0</v>
          </cell>
          <cell r="K4366">
            <v>0</v>
          </cell>
          <cell r="L4366">
            <v>3</v>
          </cell>
        </row>
        <row r="4367">
          <cell r="A4367" t="str">
            <v>20498.00786</v>
          </cell>
          <cell r="B4367" t="str">
            <v>CARTE ELECTRONIQUE</v>
          </cell>
          <cell r="C4367" t="str">
            <v>CORROSION SERVICE  REF : BD1   PLAN D-4546-05/E/0</v>
          </cell>
          <cell r="D4367" t="str">
            <v>PE</v>
          </cell>
          <cell r="E4367" t="str">
            <v>522.52206</v>
          </cell>
          <cell r="F4367">
            <v>9478</v>
          </cell>
          <cell r="G4367">
            <v>0</v>
          </cell>
          <cell r="H4367">
            <v>0</v>
          </cell>
          <cell r="I4367">
            <v>1</v>
          </cell>
          <cell r="J4367">
            <v>0</v>
          </cell>
          <cell r="K4367">
            <v>0</v>
          </cell>
          <cell r="L4367">
            <v>0</v>
          </cell>
        </row>
        <row r="4368">
          <cell r="A4368" t="str">
            <v>20498.09623</v>
          </cell>
          <cell r="B4368" t="str">
            <v xml:space="preserve">PRESSOSTAT </v>
          </cell>
          <cell r="C4368" t="str">
            <v>SUCO   0180-45809-1-340</v>
          </cell>
          <cell r="D4368" t="str">
            <v>PE</v>
          </cell>
          <cell r="E4368" t="str">
            <v>512.51201</v>
          </cell>
          <cell r="F4368">
            <v>517</v>
          </cell>
          <cell r="G4368">
            <v>0</v>
          </cell>
          <cell r="H4368">
            <v>5</v>
          </cell>
          <cell r="I4368">
            <v>0</v>
          </cell>
          <cell r="J4368">
            <v>0</v>
          </cell>
          <cell r="K4368">
            <v>0</v>
          </cell>
          <cell r="L4368">
            <v>0</v>
          </cell>
        </row>
        <row r="4369">
          <cell r="A4369" t="str">
            <v>20498.09624</v>
          </cell>
          <cell r="B4369" t="str">
            <v xml:space="preserve">PRESSOSTAT </v>
          </cell>
          <cell r="C4369" t="str">
            <v xml:space="preserve">SUCO   0180-45703-1-003  </v>
          </cell>
          <cell r="D4369" t="str">
            <v>PE</v>
          </cell>
          <cell r="E4369" t="str">
            <v>512.51201</v>
          </cell>
          <cell r="F4369">
            <v>517</v>
          </cell>
          <cell r="G4369">
            <v>0</v>
          </cell>
          <cell r="H4369">
            <v>4</v>
          </cell>
          <cell r="I4369">
            <v>0</v>
          </cell>
          <cell r="J4369">
            <v>0</v>
          </cell>
          <cell r="K4369">
            <v>0</v>
          </cell>
          <cell r="L4369">
            <v>0</v>
          </cell>
        </row>
        <row r="4370">
          <cell r="A4370" t="str">
            <v>20498.21184</v>
          </cell>
          <cell r="B4370" t="str">
            <v>UNION DOUBLE 10MM DOUBLE BAGUES INOX</v>
          </cell>
          <cell r="C4370" t="str">
            <v>SAGANA, REF : USI 10</v>
          </cell>
          <cell r="D4370" t="str">
            <v>PE</v>
          </cell>
          <cell r="E4370" t="str">
            <v>515.51511</v>
          </cell>
          <cell r="F4370">
            <v>132</v>
          </cell>
          <cell r="G4370">
            <v>0</v>
          </cell>
          <cell r="H4370">
            <v>0</v>
          </cell>
          <cell r="I4370">
            <v>0</v>
          </cell>
          <cell r="J4370">
            <v>0</v>
          </cell>
          <cell r="K4370">
            <v>20</v>
          </cell>
          <cell r="L4370">
            <v>0</v>
          </cell>
        </row>
        <row r="4371">
          <cell r="A4371" t="str">
            <v>20498.21185</v>
          </cell>
          <cell r="B4371" t="str">
            <v>UNION DOUBLE 12MM DOUBLE BAGUES INOX</v>
          </cell>
          <cell r="C4371" t="str">
            <v>SAGANA, REF : USI 12</v>
          </cell>
          <cell r="D4371" t="str">
            <v>PE</v>
          </cell>
          <cell r="E4371" t="str">
            <v>515.51511</v>
          </cell>
          <cell r="F4371">
            <v>198</v>
          </cell>
          <cell r="G4371">
            <v>0</v>
          </cell>
          <cell r="H4371">
            <v>0</v>
          </cell>
          <cell r="I4371">
            <v>0</v>
          </cell>
          <cell r="J4371">
            <v>0</v>
          </cell>
          <cell r="K4371">
            <v>20</v>
          </cell>
          <cell r="L4371">
            <v>0</v>
          </cell>
        </row>
        <row r="4372">
          <cell r="A4372" t="str">
            <v>20498.21187</v>
          </cell>
          <cell r="B4372" t="str">
            <v>UNION DE CLOISON 6MM DOUBLE BAGUES INOX</v>
          </cell>
          <cell r="C4372" t="str">
            <v>SAGANA, REF : UCSI 6</v>
          </cell>
          <cell r="D4372" t="str">
            <v>PE</v>
          </cell>
          <cell r="E4372" t="str">
            <v>515.51511</v>
          </cell>
          <cell r="F4372">
            <v>142</v>
          </cell>
          <cell r="G4372">
            <v>0</v>
          </cell>
          <cell r="H4372">
            <v>0</v>
          </cell>
          <cell r="I4372">
            <v>0</v>
          </cell>
          <cell r="J4372">
            <v>0</v>
          </cell>
          <cell r="K4372">
            <v>0</v>
          </cell>
          <cell r="L4372">
            <v>0</v>
          </cell>
        </row>
        <row r="4373">
          <cell r="A4373" t="str">
            <v>20498.21188</v>
          </cell>
          <cell r="B4373" t="str">
            <v>UNION DE CLOISON 8MM DOUBLE BAGUES INOX</v>
          </cell>
          <cell r="C4373" t="str">
            <v>SAGANA, REF : UCSI 8</v>
          </cell>
          <cell r="D4373" t="str">
            <v>PE</v>
          </cell>
          <cell r="E4373" t="str">
            <v>515.51511</v>
          </cell>
          <cell r="F4373">
            <v>162</v>
          </cell>
          <cell r="G4373">
            <v>0</v>
          </cell>
          <cell r="H4373">
            <v>0</v>
          </cell>
          <cell r="I4373">
            <v>0</v>
          </cell>
          <cell r="J4373">
            <v>0</v>
          </cell>
          <cell r="K4373">
            <v>20</v>
          </cell>
          <cell r="L4373">
            <v>0</v>
          </cell>
        </row>
        <row r="4374">
          <cell r="A4374" t="str">
            <v>20498.21190</v>
          </cell>
          <cell r="B4374" t="str">
            <v>UNION DE CLOISON 12MM DOUBLE BAGUES INOX</v>
          </cell>
          <cell r="C4374" t="str">
            <v>SAGANA, REF : UCSI 12</v>
          </cell>
          <cell r="D4374" t="str">
            <v>PE</v>
          </cell>
          <cell r="E4374" t="str">
            <v>515.51511</v>
          </cell>
          <cell r="F4374">
            <v>288</v>
          </cell>
          <cell r="G4374">
            <v>0</v>
          </cell>
          <cell r="H4374">
            <v>0</v>
          </cell>
          <cell r="I4374">
            <v>0</v>
          </cell>
          <cell r="J4374">
            <v>0</v>
          </cell>
          <cell r="K4374">
            <v>20</v>
          </cell>
          <cell r="L4374">
            <v>0</v>
          </cell>
        </row>
        <row r="4375">
          <cell r="A4375" t="str">
            <v>20498.21189</v>
          </cell>
          <cell r="B4375" t="str">
            <v>UNION DE CLOISON 10MM DOUBLE BAGUES INOX</v>
          </cell>
          <cell r="C4375" t="str">
            <v>SAGANA, REF : UCSI 10</v>
          </cell>
          <cell r="D4375" t="str">
            <v>PE</v>
          </cell>
          <cell r="E4375" t="str">
            <v>515.51511</v>
          </cell>
          <cell r="F4375">
            <v>204</v>
          </cell>
          <cell r="G4375">
            <v>0</v>
          </cell>
          <cell r="H4375">
            <v>0</v>
          </cell>
          <cell r="I4375">
            <v>0</v>
          </cell>
          <cell r="J4375">
            <v>0</v>
          </cell>
          <cell r="K4375">
            <v>20</v>
          </cell>
          <cell r="L4375">
            <v>0</v>
          </cell>
        </row>
        <row r="4376">
          <cell r="A4376" t="str">
            <v>20498.21191</v>
          </cell>
          <cell r="B4376" t="str">
            <v>UNION DE CLOISON 14MM DOUBLE BAGUES INOX</v>
          </cell>
          <cell r="C4376" t="str">
            <v>SAGANA, REF : UCSI 14</v>
          </cell>
          <cell r="D4376" t="str">
            <v>PE</v>
          </cell>
          <cell r="E4376" t="str">
            <v>515.51511</v>
          </cell>
          <cell r="F4376">
            <v>420</v>
          </cell>
          <cell r="G4376">
            <v>0</v>
          </cell>
          <cell r="H4376">
            <v>0</v>
          </cell>
          <cell r="I4376">
            <v>0</v>
          </cell>
          <cell r="J4376">
            <v>0</v>
          </cell>
          <cell r="K4376">
            <v>20</v>
          </cell>
          <cell r="L4376">
            <v>0</v>
          </cell>
        </row>
        <row r="4377">
          <cell r="A4377" t="str">
            <v>20498.21192</v>
          </cell>
          <cell r="B4377" t="str">
            <v>COUDE 6MM DOUBLE BAGUES INOX</v>
          </cell>
          <cell r="C4377" t="str">
            <v>SAGANA, REF : EQSI 6</v>
          </cell>
          <cell r="D4377" t="str">
            <v>PE</v>
          </cell>
          <cell r="E4377" t="str">
            <v>515.51511</v>
          </cell>
          <cell r="F4377">
            <v>138</v>
          </cell>
          <cell r="G4377">
            <v>0</v>
          </cell>
          <cell r="H4377">
            <v>0</v>
          </cell>
          <cell r="I4377">
            <v>0</v>
          </cell>
          <cell r="J4377">
            <v>0</v>
          </cell>
          <cell r="K4377">
            <v>20</v>
          </cell>
          <cell r="L4377">
            <v>0</v>
          </cell>
        </row>
        <row r="4378">
          <cell r="A4378" t="str">
            <v>20498.21193</v>
          </cell>
          <cell r="B4378" t="str">
            <v>COUDE 8MM DOUBLE BAGUES INOX</v>
          </cell>
          <cell r="C4378" t="str">
            <v>SAGANA, REF : EQSI 8</v>
          </cell>
          <cell r="D4378" t="str">
            <v>PE</v>
          </cell>
          <cell r="E4378" t="str">
            <v>515.51511</v>
          </cell>
          <cell r="F4378">
            <v>147</v>
          </cell>
          <cell r="G4378">
            <v>0</v>
          </cell>
          <cell r="H4378">
            <v>0</v>
          </cell>
          <cell r="I4378">
            <v>0</v>
          </cell>
          <cell r="J4378">
            <v>0</v>
          </cell>
          <cell r="K4378">
            <v>0</v>
          </cell>
          <cell r="L4378">
            <v>0</v>
          </cell>
        </row>
        <row r="4379">
          <cell r="A4379" t="str">
            <v>20497.09891</v>
          </cell>
          <cell r="B4379" t="str">
            <v>BAGUE ETANCHEITE A9X16X1</v>
          </cell>
          <cell r="C4379" t="str">
            <v>LEWA REF 0703090065 TYPE:EK1V AEHNL.DIN 7603</v>
          </cell>
          <cell r="D4379" t="str">
            <v>PE</v>
          </cell>
          <cell r="E4379" t="str">
            <v>515.51503</v>
          </cell>
          <cell r="F4379">
            <v>86.775999999999996</v>
          </cell>
          <cell r="G4379">
            <v>0</v>
          </cell>
          <cell r="H4379">
            <v>0</v>
          </cell>
          <cell r="I4379">
            <v>0</v>
          </cell>
          <cell r="J4379">
            <v>0</v>
          </cell>
          <cell r="K4379">
            <v>2</v>
          </cell>
          <cell r="L4379">
            <v>14</v>
          </cell>
        </row>
        <row r="4380">
          <cell r="A4380" t="str">
            <v>20497.11463</v>
          </cell>
          <cell r="B4380" t="str">
            <v>BAGUE DE FIXATION</v>
          </cell>
          <cell r="C4380" t="str">
            <v>GOULDS PUMPS IC-125-80-200 S1 VV 1A SERIE I 601E34/35 REP 527</v>
          </cell>
          <cell r="D4380" t="str">
            <v>PE</v>
          </cell>
          <cell r="E4380" t="str">
            <v>515.51517</v>
          </cell>
          <cell r="F4380">
            <v>2574.7800000000002</v>
          </cell>
          <cell r="G4380">
            <v>0</v>
          </cell>
          <cell r="H4380">
            <v>0</v>
          </cell>
          <cell r="I4380">
            <v>0</v>
          </cell>
          <cell r="J4380">
            <v>0</v>
          </cell>
          <cell r="K4380">
            <v>0</v>
          </cell>
          <cell r="L4380">
            <v>1</v>
          </cell>
        </row>
        <row r="4381">
          <cell r="A4381" t="str">
            <v>20497.11887</v>
          </cell>
          <cell r="B4381" t="str">
            <v>ROTOR MOTEUR</v>
          </cell>
          <cell r="C4381" t="str">
            <v>IMO TYPE AA3G/NVPKCA-250AL REP7</v>
          </cell>
          <cell r="D4381" t="str">
            <v>PE</v>
          </cell>
          <cell r="E4381" t="str">
            <v>515.51512</v>
          </cell>
          <cell r="F4381">
            <v>6710</v>
          </cell>
          <cell r="G4381">
            <v>0</v>
          </cell>
          <cell r="H4381">
            <v>0</v>
          </cell>
          <cell r="I4381">
            <v>0</v>
          </cell>
          <cell r="J4381">
            <v>0</v>
          </cell>
          <cell r="K4381">
            <v>0</v>
          </cell>
          <cell r="L4381">
            <v>1</v>
          </cell>
        </row>
        <row r="4382">
          <cell r="A4382" t="str">
            <v>20497.11464</v>
          </cell>
          <cell r="B4382" t="str">
            <v>RENIFLARD</v>
          </cell>
          <cell r="C4382" t="str">
            <v>GOULDS PUMPS IC-125-80-200 S1 VV 1A SERIE I 601E34/35 REP 637</v>
          </cell>
          <cell r="D4382" t="str">
            <v>PE</v>
          </cell>
          <cell r="E4382" t="str">
            <v>515.51517</v>
          </cell>
          <cell r="F4382">
            <v>1397.74</v>
          </cell>
          <cell r="G4382">
            <v>0</v>
          </cell>
          <cell r="H4382">
            <v>0</v>
          </cell>
          <cell r="I4382">
            <v>0</v>
          </cell>
          <cell r="J4382">
            <v>0</v>
          </cell>
          <cell r="K4382">
            <v>0</v>
          </cell>
          <cell r="L4382">
            <v>1</v>
          </cell>
        </row>
        <row r="4383">
          <cell r="A4383" t="str">
            <v>20497.11473</v>
          </cell>
          <cell r="B4383" t="str">
            <v>VIS D'ARRET</v>
          </cell>
          <cell r="C4383" t="str">
            <v>GOULDS PUMPS IC-125-100-200 S1 VV 1A SERIE I 601E36/37 REP 904.31</v>
          </cell>
          <cell r="D4383" t="str">
            <v>PE</v>
          </cell>
          <cell r="E4383" t="str">
            <v>515.51517</v>
          </cell>
          <cell r="F4383">
            <v>36.840000000000003</v>
          </cell>
          <cell r="G4383">
            <v>0</v>
          </cell>
          <cell r="H4383">
            <v>0</v>
          </cell>
          <cell r="I4383">
            <v>0</v>
          </cell>
          <cell r="J4383">
            <v>0</v>
          </cell>
          <cell r="K4383">
            <v>0</v>
          </cell>
          <cell r="L4383">
            <v>2</v>
          </cell>
        </row>
        <row r="4384">
          <cell r="A4384" t="str">
            <v>20497.11475</v>
          </cell>
          <cell r="B4384" t="str">
            <v>BAGUE DE FIXATION</v>
          </cell>
          <cell r="C4384" t="str">
            <v>GOULDS PUMPS IC-80-50-250 S1 VV 1A SERIE I 601E38 REP 527</v>
          </cell>
          <cell r="D4384" t="str">
            <v>PE</v>
          </cell>
          <cell r="E4384" t="str">
            <v>515.51517</v>
          </cell>
          <cell r="F4384">
            <v>2574.7800000000002</v>
          </cell>
          <cell r="G4384">
            <v>0</v>
          </cell>
          <cell r="H4384">
            <v>0</v>
          </cell>
          <cell r="I4384">
            <v>0</v>
          </cell>
          <cell r="J4384">
            <v>0</v>
          </cell>
          <cell r="K4384">
            <v>0</v>
          </cell>
          <cell r="L4384">
            <v>1</v>
          </cell>
        </row>
        <row r="4385">
          <cell r="A4385" t="str">
            <v>20497.11476</v>
          </cell>
          <cell r="B4385" t="str">
            <v>RENIFLARD</v>
          </cell>
          <cell r="C4385" t="str">
            <v>GOULDS PUMPS IC-80-50-250 S1 VV 1A SERIE I 601E38 REP 637</v>
          </cell>
          <cell r="D4385" t="str">
            <v>PE</v>
          </cell>
          <cell r="E4385" t="str">
            <v>515.51517</v>
          </cell>
          <cell r="F4385">
            <v>1397.74</v>
          </cell>
          <cell r="G4385">
            <v>0</v>
          </cell>
          <cell r="H4385">
            <v>0</v>
          </cell>
          <cell r="I4385">
            <v>0</v>
          </cell>
          <cell r="J4385">
            <v>0</v>
          </cell>
          <cell r="K4385">
            <v>0</v>
          </cell>
          <cell r="L4385">
            <v>1</v>
          </cell>
        </row>
        <row r="4386">
          <cell r="A4386" t="str">
            <v>20497.11470</v>
          </cell>
          <cell r="B4386" t="str">
            <v>RENIFLARD</v>
          </cell>
          <cell r="C4386" t="str">
            <v>GOULDS PUMPS IC-125-100-200 S1 VV 1A SERIE I 601E36/37 REP 637</v>
          </cell>
          <cell r="D4386" t="str">
            <v>PE</v>
          </cell>
          <cell r="E4386" t="str">
            <v>515.51517</v>
          </cell>
          <cell r="F4386">
            <v>1397.74</v>
          </cell>
          <cell r="G4386">
            <v>0</v>
          </cell>
          <cell r="H4386">
            <v>0</v>
          </cell>
          <cell r="I4386">
            <v>0</v>
          </cell>
          <cell r="J4386">
            <v>0</v>
          </cell>
          <cell r="K4386">
            <v>0</v>
          </cell>
          <cell r="L4386">
            <v>1</v>
          </cell>
        </row>
        <row r="4387">
          <cell r="A4387" t="str">
            <v>20497.01262</v>
          </cell>
          <cell r="B4387" t="str">
            <v>ROULEMENT</v>
          </cell>
          <cell r="C4387" t="str">
            <v>WARMAN Q0090-1 TYPE 65QV-SP-1500</v>
          </cell>
          <cell r="D4387" t="str">
            <v>PE</v>
          </cell>
          <cell r="E4387" t="str">
            <v>515.51517</v>
          </cell>
          <cell r="F4387">
            <v>1651.7949000000001</v>
          </cell>
          <cell r="G4387">
            <v>0</v>
          </cell>
          <cell r="H4387">
            <v>0</v>
          </cell>
          <cell r="I4387">
            <v>0</v>
          </cell>
          <cell r="J4387">
            <v>0</v>
          </cell>
          <cell r="K4387">
            <v>1</v>
          </cell>
          <cell r="L4387">
            <v>4</v>
          </cell>
        </row>
        <row r="4388">
          <cell r="A4388" t="str">
            <v>20497.01263</v>
          </cell>
          <cell r="B4388" t="str">
            <v>CHEMISE</v>
          </cell>
          <cell r="C4388" t="str">
            <v>WARMAN QV008 TYPE 65QV-SP-1500</v>
          </cell>
          <cell r="D4388" t="str">
            <v>PE</v>
          </cell>
          <cell r="E4388" t="str">
            <v>515.51517</v>
          </cell>
          <cell r="F4388">
            <v>2585.2213999999999</v>
          </cell>
          <cell r="G4388">
            <v>0</v>
          </cell>
          <cell r="H4388">
            <v>0</v>
          </cell>
          <cell r="I4388">
            <v>0</v>
          </cell>
          <cell r="J4388">
            <v>0</v>
          </cell>
          <cell r="K4388">
            <v>0</v>
          </cell>
          <cell r="L4388">
            <v>2</v>
          </cell>
        </row>
        <row r="4389">
          <cell r="A4389" t="str">
            <v>20497.01264</v>
          </cell>
          <cell r="B4389" t="str">
            <v>DEFLECTEUR</v>
          </cell>
          <cell r="C4389" t="str">
            <v>WARMAN QV184-1 TYPE 65QV-SP-1500</v>
          </cell>
          <cell r="D4389" t="str">
            <v>PE</v>
          </cell>
          <cell r="E4389" t="str">
            <v>515.51517</v>
          </cell>
          <cell r="F4389">
            <v>1233.8557000000001</v>
          </cell>
          <cell r="G4389">
            <v>0</v>
          </cell>
          <cell r="H4389">
            <v>0</v>
          </cell>
          <cell r="I4389">
            <v>0</v>
          </cell>
          <cell r="J4389">
            <v>0</v>
          </cell>
          <cell r="K4389">
            <v>0</v>
          </cell>
          <cell r="L4389">
            <v>2</v>
          </cell>
        </row>
        <row r="4390">
          <cell r="A4390" t="str">
            <v>20497.01265</v>
          </cell>
          <cell r="B4390" t="str">
            <v>JEU DE 4 GOUJONS</v>
          </cell>
          <cell r="C4390" t="str">
            <v>WARMAN M20Z3 60ZM TYPE 65QV-SP-1500</v>
          </cell>
          <cell r="D4390" t="str">
            <v>PE</v>
          </cell>
          <cell r="E4390" t="str">
            <v>515.51517</v>
          </cell>
          <cell r="F4390">
            <v>282.02420000000001</v>
          </cell>
          <cell r="G4390">
            <v>0</v>
          </cell>
          <cell r="H4390">
            <v>0</v>
          </cell>
          <cell r="I4390">
            <v>0</v>
          </cell>
          <cell r="J4390">
            <v>0</v>
          </cell>
          <cell r="K4390">
            <v>0</v>
          </cell>
          <cell r="L4390">
            <v>2</v>
          </cell>
        </row>
        <row r="4391">
          <cell r="A4391" t="str">
            <v>20497.01257</v>
          </cell>
          <cell r="B4391" t="str">
            <v>ROULEMENT</v>
          </cell>
          <cell r="C4391" t="str">
            <v>WARMAN QC09 TYPE 65QV-SP-1500</v>
          </cell>
          <cell r="D4391" t="str">
            <v>PE</v>
          </cell>
          <cell r="E4391" t="str">
            <v>515.51517</v>
          </cell>
          <cell r="F4391">
            <v>3144.5594999999998</v>
          </cell>
          <cell r="G4391">
            <v>0</v>
          </cell>
          <cell r="H4391">
            <v>1</v>
          </cell>
          <cell r="I4391">
            <v>0</v>
          </cell>
          <cell r="J4391">
            <v>0</v>
          </cell>
          <cell r="K4391">
            <v>1</v>
          </cell>
          <cell r="L4391">
            <v>3</v>
          </cell>
        </row>
        <row r="4392">
          <cell r="A4392" t="str">
            <v>20497.01258</v>
          </cell>
          <cell r="B4392" t="str">
            <v>COUVERCLE INFERIEUR</v>
          </cell>
          <cell r="C4392" t="str">
            <v>WARMAN QV024L-1 TYPE 65QV-SP-1500</v>
          </cell>
          <cell r="D4392" t="str">
            <v>PE</v>
          </cell>
          <cell r="E4392" t="str">
            <v>515.51517</v>
          </cell>
          <cell r="F4392">
            <v>1600.335</v>
          </cell>
          <cell r="G4392">
            <v>0</v>
          </cell>
          <cell r="H4392">
            <v>0</v>
          </cell>
          <cell r="I4392">
            <v>0</v>
          </cell>
          <cell r="J4392">
            <v>0</v>
          </cell>
          <cell r="K4392">
            <v>0</v>
          </cell>
          <cell r="L4392">
            <v>2</v>
          </cell>
        </row>
        <row r="4393">
          <cell r="A4393" t="str">
            <v>20497.01261</v>
          </cell>
          <cell r="B4393" t="str">
            <v>COUVERCLE</v>
          </cell>
          <cell r="C4393" t="str">
            <v>WARMAN QV024 TYPE 65QV-SP-1500</v>
          </cell>
          <cell r="D4393" t="str">
            <v>PE</v>
          </cell>
          <cell r="E4393" t="str">
            <v>515.51517</v>
          </cell>
          <cell r="F4393">
            <v>1700</v>
          </cell>
          <cell r="G4393">
            <v>0</v>
          </cell>
          <cell r="H4393">
            <v>0</v>
          </cell>
          <cell r="I4393">
            <v>0</v>
          </cell>
          <cell r="J4393">
            <v>0</v>
          </cell>
          <cell r="K4393">
            <v>0</v>
          </cell>
          <cell r="L4393">
            <v>2</v>
          </cell>
        </row>
        <row r="4394">
          <cell r="A4394" t="str">
            <v>20497.11481</v>
          </cell>
          <cell r="B4394" t="str">
            <v>BAGUE DE FIXATION</v>
          </cell>
          <cell r="C4394" t="str">
            <v>GOULDS PUMPS IC-65-40-200 S1 VL 1A SERIE I 601E39/40 REP 527</v>
          </cell>
          <cell r="D4394" t="str">
            <v>PE</v>
          </cell>
          <cell r="E4394" t="str">
            <v>515.51517</v>
          </cell>
          <cell r="F4394">
            <v>1691.96</v>
          </cell>
          <cell r="G4394">
            <v>0</v>
          </cell>
          <cell r="H4394">
            <v>0</v>
          </cell>
          <cell r="I4394">
            <v>0</v>
          </cell>
          <cell r="J4394">
            <v>0</v>
          </cell>
          <cell r="K4394">
            <v>0</v>
          </cell>
          <cell r="L4394">
            <v>1</v>
          </cell>
        </row>
        <row r="4395">
          <cell r="A4395" t="str">
            <v>20497.11482</v>
          </cell>
          <cell r="B4395" t="str">
            <v>RENIFLARD</v>
          </cell>
          <cell r="C4395" t="str">
            <v>GOULDS PUMPS IC-65-40-200 S1 VL 1A SERIE I 601E39/40 REP 637</v>
          </cell>
          <cell r="D4395" t="str">
            <v>PE</v>
          </cell>
          <cell r="E4395" t="str">
            <v>515.51517</v>
          </cell>
          <cell r="F4395">
            <v>1397.74</v>
          </cell>
          <cell r="G4395">
            <v>0</v>
          </cell>
          <cell r="H4395">
            <v>0</v>
          </cell>
          <cell r="I4395">
            <v>0</v>
          </cell>
          <cell r="J4395">
            <v>0</v>
          </cell>
          <cell r="K4395">
            <v>0</v>
          </cell>
          <cell r="L4395">
            <v>1</v>
          </cell>
        </row>
        <row r="4396">
          <cell r="A4396" t="str">
            <v>20497.11485</v>
          </cell>
          <cell r="B4396" t="str">
            <v>VIS D'ARRET</v>
          </cell>
          <cell r="C4396" t="str">
            <v>GOULDS PUMPS IC-65-40-200 S1 VL 1A SERIE I 601E39/40 REP 904.31</v>
          </cell>
          <cell r="D4396" t="str">
            <v>PE</v>
          </cell>
          <cell r="E4396" t="str">
            <v>515.51517</v>
          </cell>
          <cell r="F4396">
            <v>36.840000000000003</v>
          </cell>
          <cell r="G4396">
            <v>0</v>
          </cell>
          <cell r="H4396">
            <v>0</v>
          </cell>
          <cell r="I4396">
            <v>0</v>
          </cell>
          <cell r="J4396">
            <v>0</v>
          </cell>
          <cell r="K4396">
            <v>0</v>
          </cell>
          <cell r="L4396">
            <v>2</v>
          </cell>
        </row>
        <row r="4397">
          <cell r="A4397" t="str">
            <v>20497.11479</v>
          </cell>
          <cell r="B4397" t="str">
            <v>VIS D'ARRET</v>
          </cell>
          <cell r="C4397" t="str">
            <v>GOULDS PUMPS IC-80-50-250 S1 VV 1A SERIE I 601E38 REP 904.31</v>
          </cell>
          <cell r="D4397" t="str">
            <v>PE</v>
          </cell>
          <cell r="E4397" t="str">
            <v>515.51517</v>
          </cell>
          <cell r="F4397">
            <v>36.840000000000003</v>
          </cell>
          <cell r="G4397">
            <v>0</v>
          </cell>
          <cell r="H4397">
            <v>0</v>
          </cell>
          <cell r="I4397">
            <v>0</v>
          </cell>
          <cell r="J4397">
            <v>0</v>
          </cell>
          <cell r="K4397">
            <v>0</v>
          </cell>
          <cell r="L4397">
            <v>2</v>
          </cell>
        </row>
        <row r="4398">
          <cell r="A4398" t="str">
            <v>20497.11480</v>
          </cell>
          <cell r="B4398" t="str">
            <v>JOINT</v>
          </cell>
          <cell r="C4398" t="str">
            <v>GOULDS PUMPS IC-65-40-200 S1 VL 1A SERIE I 601E39/40 REP 412.41</v>
          </cell>
          <cell r="D4398" t="str">
            <v>PE</v>
          </cell>
          <cell r="E4398" t="str">
            <v>515.51517</v>
          </cell>
          <cell r="F4398">
            <v>974.51</v>
          </cell>
          <cell r="G4398">
            <v>0</v>
          </cell>
          <cell r="H4398">
            <v>0</v>
          </cell>
          <cell r="I4398">
            <v>0</v>
          </cell>
          <cell r="J4398">
            <v>0</v>
          </cell>
          <cell r="K4398">
            <v>0</v>
          </cell>
          <cell r="L4398">
            <v>2</v>
          </cell>
        </row>
        <row r="4399">
          <cell r="A4399" t="str">
            <v>20497.01271</v>
          </cell>
          <cell r="B4399" t="str">
            <v>CREPINE</v>
          </cell>
          <cell r="C4399" t="str">
            <v>WARMAN SP65116L TYPE 65QV-SP-1500</v>
          </cell>
          <cell r="D4399" t="str">
            <v>PE</v>
          </cell>
          <cell r="E4399" t="str">
            <v>515.51517</v>
          </cell>
          <cell r="F4399">
            <v>2773.2375000000002</v>
          </cell>
          <cell r="G4399">
            <v>0</v>
          </cell>
          <cell r="H4399">
            <v>0</v>
          </cell>
          <cell r="I4399">
            <v>0</v>
          </cell>
          <cell r="J4399">
            <v>0</v>
          </cell>
          <cell r="K4399">
            <v>0</v>
          </cell>
          <cell r="L4399">
            <v>1</v>
          </cell>
        </row>
        <row r="4400">
          <cell r="A4400" t="str">
            <v>20497.01274</v>
          </cell>
          <cell r="B4400" t="str">
            <v>CREPINE SUPERIEURE</v>
          </cell>
          <cell r="C4400" t="str">
            <v>WARMAN SP65116-4 TYPE 65QV-SP- 1500</v>
          </cell>
          <cell r="D4400" t="str">
            <v>PE</v>
          </cell>
          <cell r="E4400" t="str">
            <v>515.51517</v>
          </cell>
          <cell r="F4400">
            <v>225.5</v>
          </cell>
          <cell r="G4400">
            <v>0</v>
          </cell>
          <cell r="H4400">
            <v>0</v>
          </cell>
          <cell r="I4400">
            <v>0</v>
          </cell>
          <cell r="J4400">
            <v>0</v>
          </cell>
          <cell r="K4400">
            <v>0</v>
          </cell>
          <cell r="L4400">
            <v>1</v>
          </cell>
        </row>
        <row r="4401">
          <cell r="A4401" t="str">
            <v>20492.06633</v>
          </cell>
          <cell r="B4401" t="str">
            <v>ACCOUPLEMENT</v>
          </cell>
          <cell r="C4401" t="str">
            <v>REXNORD TYPE THOMAS SR 52 TAILLE 450</v>
          </cell>
          <cell r="D4401" t="str">
            <v>PE</v>
          </cell>
          <cell r="E4401" t="str">
            <v>515.51515</v>
          </cell>
          <cell r="F4401">
            <v>51600</v>
          </cell>
          <cell r="G4401">
            <v>0</v>
          </cell>
          <cell r="H4401">
            <v>0</v>
          </cell>
          <cell r="I4401">
            <v>0</v>
          </cell>
          <cell r="J4401">
            <v>0</v>
          </cell>
          <cell r="K4401">
            <v>0</v>
          </cell>
          <cell r="L4401">
            <v>1</v>
          </cell>
        </row>
        <row r="4402">
          <cell r="A4402" t="str">
            <v>20492.06634</v>
          </cell>
          <cell r="B4402" t="str">
            <v>ACCOUPLEMENT</v>
          </cell>
          <cell r="C4402" t="str">
            <v>REXNORD TYPE THOMAS SR 52 TAILLE 600</v>
          </cell>
          <cell r="D4402" t="str">
            <v>PE</v>
          </cell>
          <cell r="E4402" t="str">
            <v>515.51515</v>
          </cell>
          <cell r="F4402">
            <v>195300.54</v>
          </cell>
          <cell r="G4402">
            <v>0</v>
          </cell>
          <cell r="H4402">
            <v>0</v>
          </cell>
          <cell r="I4402">
            <v>0</v>
          </cell>
          <cell r="J4402">
            <v>0</v>
          </cell>
          <cell r="K4402">
            <v>0</v>
          </cell>
          <cell r="L4402">
            <v>0</v>
          </cell>
        </row>
        <row r="4403">
          <cell r="A4403" t="str">
            <v>20497.01267</v>
          </cell>
          <cell r="B4403" t="str">
            <v>JOINT</v>
          </cell>
          <cell r="C4403" t="str">
            <v>WARMAN D3125 TYPE 65QV-SP-1500</v>
          </cell>
          <cell r="D4403" t="str">
            <v>PE</v>
          </cell>
          <cell r="E4403" t="str">
            <v>515.51517</v>
          </cell>
          <cell r="F4403">
            <v>307.02420000000001</v>
          </cell>
          <cell r="G4403">
            <v>0</v>
          </cell>
          <cell r="H4403">
            <v>1</v>
          </cell>
          <cell r="I4403">
            <v>0</v>
          </cell>
          <cell r="J4403">
            <v>0</v>
          </cell>
          <cell r="K4403">
            <v>0</v>
          </cell>
          <cell r="L4403">
            <v>1</v>
          </cell>
        </row>
        <row r="4404">
          <cell r="A4404" t="str">
            <v>20497.01268</v>
          </cell>
          <cell r="B4404" t="str">
            <v>CORPS</v>
          </cell>
          <cell r="C4404" t="str">
            <v>WARMAN SP65092 TYPE 65QV-SP-1500</v>
          </cell>
          <cell r="D4404" t="str">
            <v>PE</v>
          </cell>
          <cell r="E4404" t="str">
            <v>515.51517</v>
          </cell>
          <cell r="F4404">
            <v>28214.166099999999</v>
          </cell>
          <cell r="G4404">
            <v>0</v>
          </cell>
          <cell r="H4404">
            <v>0</v>
          </cell>
          <cell r="I4404">
            <v>0</v>
          </cell>
          <cell r="J4404">
            <v>0</v>
          </cell>
          <cell r="K4404">
            <v>0</v>
          </cell>
          <cell r="L4404">
            <v>1</v>
          </cell>
        </row>
        <row r="4405">
          <cell r="A4405" t="str">
            <v>20497.01269</v>
          </cell>
          <cell r="B4405" t="str">
            <v>FOND</v>
          </cell>
          <cell r="C4405" t="str">
            <v>WARMAN SP65041 TYPE 65QV-SP-1500</v>
          </cell>
          <cell r="D4405" t="str">
            <v>PE</v>
          </cell>
          <cell r="E4405" t="str">
            <v>515.51517</v>
          </cell>
          <cell r="F4405">
            <v>4828.7849999999999</v>
          </cell>
          <cell r="G4405">
            <v>0</v>
          </cell>
          <cell r="H4405">
            <v>0</v>
          </cell>
          <cell r="I4405">
            <v>0</v>
          </cell>
          <cell r="J4405">
            <v>0</v>
          </cell>
          <cell r="K4405">
            <v>0</v>
          </cell>
          <cell r="L4405">
            <v>2</v>
          </cell>
        </row>
        <row r="4406">
          <cell r="A4406" t="str">
            <v>20497.01270</v>
          </cell>
          <cell r="B4406" t="str">
            <v>JEU DE 4 BOULONS</v>
          </cell>
          <cell r="C4406" t="str">
            <v>WARMAN M12H1-50ZC TYPE 65QV-SP-1500</v>
          </cell>
          <cell r="D4406" t="str">
            <v>PE</v>
          </cell>
          <cell r="E4406" t="str">
            <v>515.51517</v>
          </cell>
          <cell r="F4406">
            <v>47.003999999999998</v>
          </cell>
          <cell r="G4406">
            <v>0</v>
          </cell>
          <cell r="H4406">
            <v>0</v>
          </cell>
          <cell r="I4406">
            <v>0</v>
          </cell>
          <cell r="J4406">
            <v>0</v>
          </cell>
          <cell r="K4406">
            <v>0</v>
          </cell>
          <cell r="L4406">
            <v>4</v>
          </cell>
        </row>
        <row r="4407">
          <cell r="A4407" t="str">
            <v>20497.11488</v>
          </cell>
          <cell r="B4407" t="str">
            <v>JOINT</v>
          </cell>
          <cell r="C4407" t="str">
            <v>GOULDS PUMPS MODELE 3171GROUPE M TAILLE 1-1/2X3-13M POMPE SERIE 441A418.1/2 REP 351</v>
          </cell>
          <cell r="D4407" t="str">
            <v>PE</v>
          </cell>
          <cell r="E4407" t="str">
            <v>515.51517</v>
          </cell>
          <cell r="F4407">
            <v>744.88</v>
          </cell>
          <cell r="G4407">
            <v>0</v>
          </cell>
          <cell r="H4407">
            <v>0</v>
          </cell>
          <cell r="I4407">
            <v>0</v>
          </cell>
          <cell r="J4407">
            <v>0</v>
          </cell>
          <cell r="K4407">
            <v>0</v>
          </cell>
          <cell r="L4407">
            <v>2</v>
          </cell>
        </row>
        <row r="4408">
          <cell r="A4408" t="str">
            <v>20497.11489</v>
          </cell>
          <cell r="B4408" t="str">
            <v>JOINT</v>
          </cell>
          <cell r="C4408" t="str">
            <v>GOULDS PUMPS MODELE 3171GROUPE M TAILLE 1-1/2X3-13M POMPE SERIE 441A418.1/2 REP 351A</v>
          </cell>
          <cell r="D4408" t="str">
            <v>PE</v>
          </cell>
          <cell r="E4408" t="str">
            <v>515.51517</v>
          </cell>
          <cell r="F4408">
            <v>183.87</v>
          </cell>
          <cell r="G4408">
            <v>0</v>
          </cell>
          <cell r="H4408">
            <v>0</v>
          </cell>
          <cell r="I4408">
            <v>0</v>
          </cell>
          <cell r="J4408">
            <v>0</v>
          </cell>
          <cell r="K4408">
            <v>0</v>
          </cell>
          <cell r="L4408">
            <v>2</v>
          </cell>
        </row>
        <row r="4409">
          <cell r="A4409" t="str">
            <v>20497.12336</v>
          </cell>
          <cell r="B4409" t="str">
            <v xml:space="preserve">ECROU A ENCOCHE </v>
          </cell>
          <cell r="C4409" t="str">
            <v>FL SMIDTH KREBS MILLMAX REF: MMB-518-10001</v>
          </cell>
          <cell r="D4409" t="str">
            <v>PE</v>
          </cell>
          <cell r="E4409" t="str">
            <v>515.51517</v>
          </cell>
          <cell r="F4409">
            <v>845.50440000000003</v>
          </cell>
          <cell r="G4409">
            <v>0</v>
          </cell>
          <cell r="H4409">
            <v>0</v>
          </cell>
          <cell r="I4409">
            <v>0</v>
          </cell>
          <cell r="J4409">
            <v>0</v>
          </cell>
          <cell r="K4409">
            <v>0</v>
          </cell>
          <cell r="L4409">
            <v>2</v>
          </cell>
        </row>
        <row r="4410">
          <cell r="A4410" t="str">
            <v>20497.12337</v>
          </cell>
          <cell r="B4410" t="str">
            <v xml:space="preserve">RONDELLE FREIN </v>
          </cell>
          <cell r="C4410" t="str">
            <v>FL SMIDTH KREBS MILLMAX REF: MMB-519-10001</v>
          </cell>
          <cell r="D4410" t="str">
            <v>PE</v>
          </cell>
          <cell r="E4410" t="str">
            <v>515.51517</v>
          </cell>
          <cell r="F4410">
            <v>281.83479999999997</v>
          </cell>
          <cell r="G4410">
            <v>0</v>
          </cell>
          <cell r="H4410">
            <v>0</v>
          </cell>
          <cell r="I4410">
            <v>0</v>
          </cell>
          <cell r="J4410">
            <v>0</v>
          </cell>
          <cell r="K4410">
            <v>0</v>
          </cell>
          <cell r="L4410">
            <v>2</v>
          </cell>
        </row>
        <row r="4411">
          <cell r="A4411" t="str">
            <v>20497.12339</v>
          </cell>
          <cell r="B4411" t="str">
            <v xml:space="preserve">ARRET D'HUILE </v>
          </cell>
          <cell r="C4411" t="str">
            <v>FL SMIDTH KREBS MILLMAX REF: MMB-517-28001</v>
          </cell>
          <cell r="D4411" t="str">
            <v>PE</v>
          </cell>
          <cell r="E4411" t="str">
            <v>515.51517</v>
          </cell>
          <cell r="F4411">
            <v>2579.8724000000002</v>
          </cell>
          <cell r="G4411">
            <v>0</v>
          </cell>
          <cell r="H4411">
            <v>0</v>
          </cell>
          <cell r="I4411">
            <v>2</v>
          </cell>
          <cell r="J4411">
            <v>0</v>
          </cell>
          <cell r="K4411">
            <v>0</v>
          </cell>
          <cell r="L4411">
            <v>2</v>
          </cell>
        </row>
        <row r="4412">
          <cell r="A4412" t="str">
            <v>20497.12340</v>
          </cell>
          <cell r="B4412" t="str">
            <v xml:space="preserve">CLAVETTE </v>
          </cell>
          <cell r="C4412" t="str">
            <v>FL SMIDTH KREBS MILLMAX REF: MM200-520-10013</v>
          </cell>
          <cell r="D4412" t="str">
            <v>PE</v>
          </cell>
          <cell r="E4412" t="str">
            <v>515.51517</v>
          </cell>
          <cell r="F4412">
            <v>509.47059999999999</v>
          </cell>
          <cell r="G4412">
            <v>0</v>
          </cell>
          <cell r="H4412">
            <v>0</v>
          </cell>
          <cell r="I4412">
            <v>0</v>
          </cell>
          <cell r="J4412">
            <v>0</v>
          </cell>
          <cell r="K4412">
            <v>0</v>
          </cell>
          <cell r="L4412">
            <v>1</v>
          </cell>
        </row>
        <row r="4413">
          <cell r="A4413" t="str">
            <v>20497.06291</v>
          </cell>
          <cell r="B4413" t="str">
            <v>ENTRETOISE LABYRINTHE</v>
          </cell>
          <cell r="C4413" t="str">
            <v>HIBON P544001618                    TYPE AL140V PLAN E.54.1724</v>
          </cell>
          <cell r="D4413" t="str">
            <v>PE</v>
          </cell>
          <cell r="E4413" t="str">
            <v>515.51503</v>
          </cell>
          <cell r="F4413">
            <v>4113.6691000000001</v>
          </cell>
          <cell r="G4413">
            <v>0</v>
          </cell>
          <cell r="H4413">
            <v>0</v>
          </cell>
          <cell r="I4413">
            <v>0</v>
          </cell>
          <cell r="J4413">
            <v>0</v>
          </cell>
          <cell r="K4413">
            <v>2</v>
          </cell>
          <cell r="L4413">
            <v>4</v>
          </cell>
        </row>
        <row r="4414">
          <cell r="A4414" t="str">
            <v>20492.14979</v>
          </cell>
          <cell r="B4414" t="str">
            <v>POMPE PERISTALIQUE</v>
          </cell>
          <cell r="C4414" t="str">
            <v>M&amp;C  01 P 1100  TYPE SR 25,1-C</v>
          </cell>
          <cell r="D4414" t="str">
            <v>PE</v>
          </cell>
          <cell r="E4414" t="str">
            <v>512.51201</v>
          </cell>
          <cell r="F4414">
            <v>6267</v>
          </cell>
          <cell r="G4414">
            <v>0</v>
          </cell>
          <cell r="H4414">
            <v>0</v>
          </cell>
          <cell r="I4414">
            <v>0</v>
          </cell>
          <cell r="J4414">
            <v>0</v>
          </cell>
          <cell r="K4414">
            <v>1</v>
          </cell>
          <cell r="L4414">
            <v>2</v>
          </cell>
        </row>
        <row r="4415">
          <cell r="A4415" t="str">
            <v>20497.01280</v>
          </cell>
          <cell r="B4415" t="str">
            <v>ECROU DE LABYRINTHE</v>
          </cell>
          <cell r="C4415" t="str">
            <v>WARMAN E061-E62 TYPE 8/6 E-AH</v>
          </cell>
          <cell r="D4415" t="str">
            <v>PE</v>
          </cell>
          <cell r="E4415" t="str">
            <v>515.51517</v>
          </cell>
          <cell r="F4415">
            <v>387.78320000000002</v>
          </cell>
          <cell r="G4415">
            <v>0</v>
          </cell>
          <cell r="H4415">
            <v>0</v>
          </cell>
          <cell r="I4415">
            <v>0</v>
          </cell>
          <cell r="J4415">
            <v>0</v>
          </cell>
          <cell r="K4415">
            <v>0</v>
          </cell>
          <cell r="L4415">
            <v>2</v>
          </cell>
        </row>
        <row r="4416">
          <cell r="A4416" t="str">
            <v>20497.01281</v>
          </cell>
          <cell r="B4416" t="str">
            <v>LABYRINTHE</v>
          </cell>
          <cell r="C4416" t="str">
            <v>WARMAN E062-10D70 TYPE 8/6 E-AH</v>
          </cell>
          <cell r="D4416" t="str">
            <v>PE</v>
          </cell>
          <cell r="E4416" t="str">
            <v>515.51517</v>
          </cell>
          <cell r="F4416">
            <v>1739.1488999999999</v>
          </cell>
          <cell r="G4416">
            <v>0</v>
          </cell>
          <cell r="H4416">
            <v>0</v>
          </cell>
          <cell r="I4416">
            <v>0</v>
          </cell>
          <cell r="J4416">
            <v>0</v>
          </cell>
          <cell r="K4416">
            <v>0</v>
          </cell>
          <cell r="L4416">
            <v>2</v>
          </cell>
        </row>
        <row r="4417">
          <cell r="A4417" t="str">
            <v>20497.01282</v>
          </cell>
          <cell r="B4417" t="str">
            <v>COUVERCLE D'EXTREMITE</v>
          </cell>
          <cell r="C4417" t="str">
            <v>WARMAN E024-10D70 TYPE 8/6 E-AH</v>
          </cell>
          <cell r="D4417" t="str">
            <v>PE</v>
          </cell>
          <cell r="E4417" t="str">
            <v>515.51517</v>
          </cell>
          <cell r="F4417">
            <v>2926.0005999999998</v>
          </cell>
          <cell r="G4417">
            <v>0</v>
          </cell>
          <cell r="H4417">
            <v>0</v>
          </cell>
          <cell r="I4417">
            <v>0</v>
          </cell>
          <cell r="J4417">
            <v>0</v>
          </cell>
          <cell r="K4417">
            <v>0</v>
          </cell>
          <cell r="L4417">
            <v>1</v>
          </cell>
        </row>
        <row r="4418">
          <cell r="A4418" t="str">
            <v>20497.01283</v>
          </cell>
          <cell r="B4418" t="str">
            <v>ROULEMENT</v>
          </cell>
          <cell r="C4418" t="str">
            <v>WARMAN ED09 TYPE 8/6 E-AH</v>
          </cell>
          <cell r="D4418" t="str">
            <v>PE</v>
          </cell>
          <cell r="E4418" t="str">
            <v>515.51517</v>
          </cell>
          <cell r="F4418">
            <v>1270</v>
          </cell>
          <cell r="G4418">
            <v>0</v>
          </cell>
          <cell r="H4418">
            <v>0</v>
          </cell>
          <cell r="I4418">
            <v>0</v>
          </cell>
          <cell r="J4418">
            <v>0</v>
          </cell>
          <cell r="K4418">
            <v>2</v>
          </cell>
          <cell r="L4418">
            <v>4</v>
          </cell>
        </row>
        <row r="4419">
          <cell r="A4419" t="str">
            <v>20497.01275</v>
          </cell>
          <cell r="B4419" t="str">
            <v>ROUE</v>
          </cell>
          <cell r="C4419" t="str">
            <v>WARMAN SANS REF TYPE 65QV-SP1500</v>
          </cell>
          <cell r="D4419" t="str">
            <v>PE</v>
          </cell>
          <cell r="E4419" t="str">
            <v>515.51517</v>
          </cell>
          <cell r="F4419">
            <v>7920</v>
          </cell>
          <cell r="G4419">
            <v>0</v>
          </cell>
          <cell r="H4419">
            <v>0</v>
          </cell>
          <cell r="I4419">
            <v>0</v>
          </cell>
          <cell r="J4419">
            <v>0</v>
          </cell>
          <cell r="K4419">
            <v>0</v>
          </cell>
          <cell r="L4419">
            <v>2</v>
          </cell>
        </row>
        <row r="4420">
          <cell r="A4420" t="str">
            <v>20497.01276</v>
          </cell>
          <cell r="B4420" t="str">
            <v>JOINT PLAT</v>
          </cell>
          <cell r="C4420" t="str">
            <v>WARMAN SP65204 TYPE 65QV-SP-1500</v>
          </cell>
          <cell r="D4420" t="str">
            <v>PE</v>
          </cell>
          <cell r="E4420" t="str">
            <v>515.51517</v>
          </cell>
          <cell r="F4420">
            <v>35.253</v>
          </cell>
          <cell r="G4420">
            <v>0</v>
          </cell>
          <cell r="H4420">
            <v>0</v>
          </cell>
          <cell r="I4420">
            <v>0</v>
          </cell>
          <cell r="J4420">
            <v>0</v>
          </cell>
          <cell r="K4420">
            <v>2</v>
          </cell>
          <cell r="L4420">
            <v>0</v>
          </cell>
        </row>
        <row r="4421">
          <cell r="A4421" t="str">
            <v>20497.12327</v>
          </cell>
          <cell r="B4421" t="str">
            <v xml:space="preserve">LANTERNE SEGMENT </v>
          </cell>
          <cell r="C4421" t="str">
            <v>FL SMIDTH KREBS MILLMAX REF: MM150-063-16001</v>
          </cell>
          <cell r="D4421" t="str">
            <v>PE</v>
          </cell>
          <cell r="E4421" t="str">
            <v>515.51517</v>
          </cell>
          <cell r="F4421">
            <v>3176.0614</v>
          </cell>
          <cell r="G4421">
            <v>0</v>
          </cell>
          <cell r="H4421">
            <v>0</v>
          </cell>
          <cell r="I4421">
            <v>0</v>
          </cell>
          <cell r="J4421">
            <v>0</v>
          </cell>
          <cell r="K4421">
            <v>0</v>
          </cell>
          <cell r="L4421">
            <v>2</v>
          </cell>
        </row>
        <row r="4422">
          <cell r="A4422" t="str">
            <v>20497.00538</v>
          </cell>
          <cell r="B4422" t="str">
            <v>PLAQUE LATERALE</v>
          </cell>
          <cell r="C4422" t="str">
            <v>SULZER A22-80 REF 382054014L-C REP 135.11</v>
          </cell>
          <cell r="D4422" t="str">
            <v>PE</v>
          </cell>
          <cell r="E4422" t="str">
            <v>515.51505</v>
          </cell>
          <cell r="F4422">
            <v>21625.892400000001</v>
          </cell>
          <cell r="G4422">
            <v>0</v>
          </cell>
          <cell r="H4422">
            <v>0</v>
          </cell>
          <cell r="I4422">
            <v>0</v>
          </cell>
          <cell r="J4422">
            <v>0</v>
          </cell>
          <cell r="K4422">
            <v>0</v>
          </cell>
          <cell r="L4422">
            <v>2</v>
          </cell>
        </row>
        <row r="4423">
          <cell r="A4423" t="str">
            <v>20497.12500</v>
          </cell>
          <cell r="B4423" t="str">
            <v>GARNITURE MECANIQUE</v>
          </cell>
          <cell r="C4423" t="str">
            <v>GOULDS PUMPS IC-200-150-250 S1 VL 1A SERIE I 601E20/21 REP 433</v>
          </cell>
          <cell r="D4423" t="str">
            <v>PE</v>
          </cell>
          <cell r="E4423" t="str">
            <v>515.51517</v>
          </cell>
          <cell r="F4423">
            <v>11599.19</v>
          </cell>
          <cell r="G4423">
            <v>0</v>
          </cell>
          <cell r="H4423">
            <v>0</v>
          </cell>
          <cell r="I4423">
            <v>0</v>
          </cell>
          <cell r="J4423">
            <v>0</v>
          </cell>
          <cell r="K4423">
            <v>0</v>
          </cell>
          <cell r="L4423">
            <v>1</v>
          </cell>
        </row>
        <row r="4424">
          <cell r="A4424" t="str">
            <v>20497.12501</v>
          </cell>
          <cell r="B4424" t="str">
            <v>GARNITURE MECANIQUE</v>
          </cell>
          <cell r="C4424" t="str">
            <v>GOULDS PUMPS IC-125-80-200 S1 VL  1A SERIE I 601E 23/24 REP 433</v>
          </cell>
          <cell r="D4424" t="str">
            <v>PE</v>
          </cell>
          <cell r="E4424" t="str">
            <v>515.51517</v>
          </cell>
          <cell r="F4424">
            <v>16092.58</v>
          </cell>
          <cell r="G4424">
            <v>0</v>
          </cell>
          <cell r="H4424">
            <v>0</v>
          </cell>
          <cell r="I4424">
            <v>0</v>
          </cell>
          <cell r="J4424">
            <v>0</v>
          </cell>
          <cell r="K4424">
            <v>0</v>
          </cell>
          <cell r="L4424">
            <v>2</v>
          </cell>
        </row>
        <row r="4425">
          <cell r="A4425" t="str">
            <v>20497.12507</v>
          </cell>
          <cell r="B4425" t="str">
            <v>GARNITURE MECANIQUE</v>
          </cell>
          <cell r="C4425" t="str">
            <v>GOULDS PUMPS IC-100-65-200 S1 VV  1A SERIE I 601E 25/26/27 REP 433</v>
          </cell>
          <cell r="D4425" t="str">
            <v>PE</v>
          </cell>
          <cell r="E4425" t="str">
            <v>515.51517</v>
          </cell>
          <cell r="F4425">
            <v>16092.58</v>
          </cell>
          <cell r="G4425">
            <v>0</v>
          </cell>
          <cell r="H4425">
            <v>0</v>
          </cell>
          <cell r="I4425">
            <v>0</v>
          </cell>
          <cell r="J4425">
            <v>0</v>
          </cell>
          <cell r="K4425">
            <v>0</v>
          </cell>
          <cell r="L4425">
            <v>2</v>
          </cell>
        </row>
        <row r="4426">
          <cell r="A4426" t="str">
            <v>20497.12509</v>
          </cell>
          <cell r="B4426" t="str">
            <v>JOINT PALIER INTERIEUR</v>
          </cell>
          <cell r="C4426" t="str">
            <v>GOULDS PUMPS IC-100-65-200 S1 VV  1A SERIE I 601E 25/26/27 REP 421.41</v>
          </cell>
          <cell r="D4426" t="str">
            <v>PE</v>
          </cell>
          <cell r="E4426" t="str">
            <v>515.51517</v>
          </cell>
          <cell r="F4426">
            <v>1324.22</v>
          </cell>
          <cell r="G4426">
            <v>0</v>
          </cell>
          <cell r="H4426">
            <v>0</v>
          </cell>
          <cell r="I4426">
            <v>0</v>
          </cell>
          <cell r="J4426">
            <v>0</v>
          </cell>
          <cell r="K4426">
            <v>0</v>
          </cell>
          <cell r="L4426">
            <v>1</v>
          </cell>
        </row>
        <row r="4427">
          <cell r="A4427" t="str">
            <v>20497.12510</v>
          </cell>
          <cell r="B4427" t="str">
            <v>JOINT PALIER EXTERIEUR</v>
          </cell>
          <cell r="C4427" t="str">
            <v>GOULDS PUMPS IC-100-65-200 S1 VV  1A SERIE I 601E 25/26/27 REP 421.51</v>
          </cell>
          <cell r="D4427" t="str">
            <v>PE</v>
          </cell>
          <cell r="E4427" t="str">
            <v>515.51517</v>
          </cell>
          <cell r="F4427">
            <v>1508.09</v>
          </cell>
          <cell r="G4427">
            <v>0</v>
          </cell>
          <cell r="H4427">
            <v>0</v>
          </cell>
          <cell r="I4427">
            <v>0</v>
          </cell>
          <cell r="J4427">
            <v>0</v>
          </cell>
          <cell r="K4427">
            <v>0</v>
          </cell>
          <cell r="L4427">
            <v>1</v>
          </cell>
        </row>
        <row r="4428">
          <cell r="A4428" t="str">
            <v>20497.12502</v>
          </cell>
          <cell r="B4428" t="str">
            <v>BOUCHON</v>
          </cell>
          <cell r="C4428" t="str">
            <v>GOULDS PUMPS IC-125-80-200 S1 VL  1A SERIE I 601E 23/24 REP 903.51</v>
          </cell>
          <cell r="D4428" t="str">
            <v>PE</v>
          </cell>
          <cell r="E4428" t="str">
            <v>515.51517</v>
          </cell>
          <cell r="F4428">
            <v>974.51</v>
          </cell>
          <cell r="G4428">
            <v>0</v>
          </cell>
          <cell r="H4428">
            <v>0</v>
          </cell>
          <cell r="I4428">
            <v>0</v>
          </cell>
          <cell r="J4428">
            <v>0</v>
          </cell>
          <cell r="K4428">
            <v>0</v>
          </cell>
          <cell r="L4428">
            <v>1</v>
          </cell>
        </row>
        <row r="4429">
          <cell r="A4429" t="str">
            <v>20497.12503</v>
          </cell>
          <cell r="B4429" t="str">
            <v>ROUE</v>
          </cell>
          <cell r="C4429" t="str">
            <v>GOULDS PUMPS IC-100-65-200 S1 VV  1A SERIE I 601E 25/26/27 REP 230</v>
          </cell>
          <cell r="D4429" t="str">
            <v>PE</v>
          </cell>
          <cell r="E4429" t="str">
            <v>515.51517</v>
          </cell>
          <cell r="F4429">
            <v>30824.1</v>
          </cell>
          <cell r="G4429">
            <v>0</v>
          </cell>
          <cell r="H4429">
            <v>0</v>
          </cell>
          <cell r="I4429">
            <v>0</v>
          </cell>
          <cell r="J4429">
            <v>0</v>
          </cell>
          <cell r="K4429">
            <v>0</v>
          </cell>
          <cell r="L4429">
            <v>1</v>
          </cell>
        </row>
        <row r="4430">
          <cell r="A4430" t="str">
            <v>20497.12504</v>
          </cell>
          <cell r="B4430" t="str">
            <v>JOINT</v>
          </cell>
          <cell r="C4430" t="str">
            <v>GOULDS PUMPS IC-100-65-200 S1 VV  1A SERIE I 601E 25/26/27 REP 400</v>
          </cell>
          <cell r="D4430" t="str">
            <v>PE</v>
          </cell>
          <cell r="E4430" t="str">
            <v>515.51517</v>
          </cell>
          <cell r="F4430">
            <v>706.16</v>
          </cell>
          <cell r="G4430">
            <v>0</v>
          </cell>
          <cell r="H4430">
            <v>0</v>
          </cell>
          <cell r="I4430">
            <v>0</v>
          </cell>
          <cell r="J4430">
            <v>0</v>
          </cell>
          <cell r="K4430">
            <v>0</v>
          </cell>
          <cell r="L4430">
            <v>1</v>
          </cell>
        </row>
        <row r="4431">
          <cell r="A4431" t="str">
            <v>20497.12505</v>
          </cell>
          <cell r="B4431" t="str">
            <v>JOINT</v>
          </cell>
          <cell r="C4431" t="str">
            <v>GOULDS PUMPS IC-100-65-200 S1 VV  1A SERIE I 601E 25/26/27 REP 400A</v>
          </cell>
          <cell r="D4431" t="str">
            <v>PE</v>
          </cell>
          <cell r="E4431" t="str">
            <v>515.51517</v>
          </cell>
          <cell r="F4431">
            <v>91.7</v>
          </cell>
          <cell r="G4431">
            <v>0</v>
          </cell>
          <cell r="H4431">
            <v>0</v>
          </cell>
          <cell r="I4431">
            <v>0</v>
          </cell>
          <cell r="J4431">
            <v>0</v>
          </cell>
          <cell r="K4431">
            <v>0</v>
          </cell>
          <cell r="L4431">
            <v>1</v>
          </cell>
        </row>
        <row r="4432">
          <cell r="A4432" t="str">
            <v>20497.12506</v>
          </cell>
          <cell r="B4432" t="str">
            <v>JOINT</v>
          </cell>
          <cell r="C4432" t="str">
            <v>GOULDS PUMPS IC-100-95-200 S1 VV  1A SERIE I 601E 25/26/27 REP 412.21</v>
          </cell>
          <cell r="D4432" t="str">
            <v>PE</v>
          </cell>
          <cell r="E4432" t="str">
            <v>515.51517</v>
          </cell>
          <cell r="F4432">
            <v>235.44</v>
          </cell>
          <cell r="G4432">
            <v>0</v>
          </cell>
          <cell r="H4432">
            <v>0</v>
          </cell>
          <cell r="I4432">
            <v>0</v>
          </cell>
          <cell r="J4432">
            <v>0</v>
          </cell>
          <cell r="K4432">
            <v>0</v>
          </cell>
          <cell r="L4432">
            <v>1</v>
          </cell>
        </row>
        <row r="4433">
          <cell r="A4433" t="str">
            <v>20497.12511</v>
          </cell>
          <cell r="B4433" t="str">
            <v>CHEMISE D'ARBRE</v>
          </cell>
          <cell r="C4433" t="str">
            <v>GOULDS PUMPS IC-100-65-200 S1 VV  1A SERIE I 601E 25/26/27 REP 524</v>
          </cell>
          <cell r="D4433" t="str">
            <v>PE</v>
          </cell>
          <cell r="E4433" t="str">
            <v>515.51517</v>
          </cell>
          <cell r="F4433">
            <v>4340.41</v>
          </cell>
          <cell r="G4433">
            <v>0</v>
          </cell>
          <cell r="H4433">
            <v>0</v>
          </cell>
          <cell r="I4433">
            <v>0</v>
          </cell>
          <cell r="J4433">
            <v>0</v>
          </cell>
          <cell r="K4433">
            <v>0</v>
          </cell>
          <cell r="L4433">
            <v>2</v>
          </cell>
        </row>
        <row r="4434">
          <cell r="A4434" t="str">
            <v>20497.12512</v>
          </cell>
          <cell r="B4434" t="str">
            <v>BOUCHON</v>
          </cell>
          <cell r="C4434" t="str">
            <v>GOULDS PUMPS IC-100-65-200 S1 VV  1A SERIE I 601E 25/26/27 REP 903.51</v>
          </cell>
          <cell r="D4434" t="str">
            <v>PE</v>
          </cell>
          <cell r="E4434" t="str">
            <v>515.51517</v>
          </cell>
          <cell r="F4434">
            <v>974.51</v>
          </cell>
          <cell r="G4434">
            <v>0</v>
          </cell>
          <cell r="H4434">
            <v>0</v>
          </cell>
          <cell r="I4434">
            <v>0</v>
          </cell>
          <cell r="J4434">
            <v>0</v>
          </cell>
          <cell r="K4434">
            <v>0</v>
          </cell>
          <cell r="L4434">
            <v>1</v>
          </cell>
        </row>
        <row r="4435">
          <cell r="A4435" t="str">
            <v>20497.03947</v>
          </cell>
          <cell r="B4435" t="str">
            <v>PALIER</v>
          </cell>
          <cell r="C4435" t="str">
            <v>HIBON P524001018 P/POMPE TYPE AL 70</v>
          </cell>
          <cell r="D4435" t="str">
            <v>PE</v>
          </cell>
          <cell r="E4435" t="str">
            <v>515.51503</v>
          </cell>
          <cell r="F4435">
            <v>12509.282499999999</v>
          </cell>
          <cell r="G4435">
            <v>0</v>
          </cell>
          <cell r="H4435">
            <v>0</v>
          </cell>
          <cell r="I4435">
            <v>0</v>
          </cell>
          <cell r="J4435">
            <v>0</v>
          </cell>
          <cell r="K4435">
            <v>0</v>
          </cell>
          <cell r="L4435">
            <v>2</v>
          </cell>
        </row>
        <row r="4436">
          <cell r="A4436" t="str">
            <v>20212.09809</v>
          </cell>
          <cell r="B4436" t="str">
            <v>FILTRE DE CIRCUIT D'HUILE</v>
          </cell>
          <cell r="C4436" t="str">
            <v>1613 6105 00 MAX 15bar/120°</v>
          </cell>
          <cell r="D4436" t="str">
            <v>PE</v>
          </cell>
          <cell r="E4436" t="str">
            <v>515.51504</v>
          </cell>
          <cell r="F4436">
            <v>277.6891</v>
          </cell>
          <cell r="G4436">
            <v>0</v>
          </cell>
          <cell r="H4436">
            <v>0</v>
          </cell>
          <cell r="I4436">
            <v>0</v>
          </cell>
          <cell r="J4436">
            <v>0</v>
          </cell>
          <cell r="K4436">
            <v>0</v>
          </cell>
          <cell r="L4436">
            <v>6</v>
          </cell>
        </row>
        <row r="4437">
          <cell r="A4437" t="str">
            <v>20492.05425</v>
          </cell>
          <cell r="B4437" t="str">
            <v>ARBRE DE LAVAGE EN ACIER</v>
          </cell>
          <cell r="C4437" t="str">
            <v>HAYWARD PLAN:SD2596-36 REP4 P/FILTRE TYPE 2596/36" SERIE N°2596.36.02200P</v>
          </cell>
          <cell r="D4437" t="str">
            <v>PE</v>
          </cell>
          <cell r="E4437" t="str">
            <v>515.51506</v>
          </cell>
          <cell r="F4437">
            <v>41500</v>
          </cell>
          <cell r="G4437">
            <v>0</v>
          </cell>
          <cell r="H4437">
            <v>0</v>
          </cell>
          <cell r="I4437">
            <v>0</v>
          </cell>
          <cell r="J4437">
            <v>0</v>
          </cell>
          <cell r="K4437">
            <v>0</v>
          </cell>
          <cell r="L4437">
            <v>0</v>
          </cell>
        </row>
        <row r="4438">
          <cell r="A4438" t="str">
            <v>20492.05456</v>
          </cell>
          <cell r="B4438" t="str">
            <v>PORT HAUT/BAS EN ACIER AU CARBONE</v>
          </cell>
          <cell r="C4438" t="str">
            <v>HAYWARD PLAN:SD2596-36 REP 6A+6B P/FILTRE TYPE 2596/36" SERIE N°2596.36.02200P</v>
          </cell>
          <cell r="D4438" t="str">
            <v>PE</v>
          </cell>
          <cell r="E4438" t="str">
            <v>515.51506</v>
          </cell>
          <cell r="F4438">
            <v>43845</v>
          </cell>
          <cell r="G4438">
            <v>0</v>
          </cell>
          <cell r="H4438">
            <v>0</v>
          </cell>
          <cell r="I4438">
            <v>0</v>
          </cell>
          <cell r="J4438">
            <v>0</v>
          </cell>
          <cell r="K4438">
            <v>0</v>
          </cell>
          <cell r="L4438">
            <v>0</v>
          </cell>
        </row>
        <row r="4439">
          <cell r="A4439" t="str">
            <v>20492.05454</v>
          </cell>
          <cell r="B4439" t="str">
            <v>ECROU DE BLOCAGE+ENTRETOISE EN ACIER AU CARBONE</v>
          </cell>
          <cell r="C4439" t="str">
            <v>HAYWARD PLAN:SD2596-36 REP 21+22 P/FILTRE TYPE 2596/36" SERIE N°2596.36.02200P</v>
          </cell>
          <cell r="D4439" t="str">
            <v>PE</v>
          </cell>
          <cell r="E4439" t="str">
            <v>515.51506</v>
          </cell>
          <cell r="F4439">
            <v>2200</v>
          </cell>
          <cell r="G4439">
            <v>0</v>
          </cell>
          <cell r="H4439">
            <v>0</v>
          </cell>
          <cell r="I4439">
            <v>0</v>
          </cell>
          <cell r="J4439">
            <v>1</v>
          </cell>
          <cell r="K4439">
            <v>0</v>
          </cell>
          <cell r="L4439">
            <v>2</v>
          </cell>
        </row>
        <row r="4440">
          <cell r="A4440" t="str">
            <v>20492.05423</v>
          </cell>
          <cell r="B4440" t="str">
            <v>ELEMENT FILTRANT EN INOX 316</v>
          </cell>
          <cell r="C4440" t="str">
            <v>HAYWARD PLAN:SD2596-36 REP3 P/FILTRE TYPE 2596/36" SERIE N°2596.36.02200P</v>
          </cell>
          <cell r="D4440" t="str">
            <v>PE</v>
          </cell>
          <cell r="E4440" t="str">
            <v>515.51506</v>
          </cell>
          <cell r="F4440">
            <v>197500</v>
          </cell>
          <cell r="G4440">
            <v>0</v>
          </cell>
          <cell r="H4440">
            <v>0</v>
          </cell>
          <cell r="I4440">
            <v>0</v>
          </cell>
          <cell r="J4440">
            <v>0</v>
          </cell>
          <cell r="K4440">
            <v>0</v>
          </cell>
          <cell r="L4440">
            <v>0</v>
          </cell>
        </row>
        <row r="4441">
          <cell r="A4441" t="str">
            <v>20212.07593</v>
          </cell>
          <cell r="B4441" t="str">
            <v>MODULE DE CONTROLE</v>
          </cell>
          <cell r="C4441" t="str">
            <v>1900 0710 32</v>
          </cell>
          <cell r="D4441" t="str">
            <v>PE</v>
          </cell>
          <cell r="E4441" t="str">
            <v>515.51504</v>
          </cell>
          <cell r="F4441">
            <v>13515.2029</v>
          </cell>
          <cell r="G4441">
            <v>0</v>
          </cell>
          <cell r="H4441">
            <v>0</v>
          </cell>
          <cell r="I4441">
            <v>0</v>
          </cell>
          <cell r="J4441">
            <v>0</v>
          </cell>
          <cell r="K4441">
            <v>0</v>
          </cell>
          <cell r="L4441">
            <v>0</v>
          </cell>
        </row>
        <row r="4442">
          <cell r="A4442" t="str">
            <v>20212.07594</v>
          </cell>
          <cell r="B4442" t="str">
            <v>MODULE D'EXTENSION</v>
          </cell>
          <cell r="C4442" t="str">
            <v>1900 0710 71</v>
          </cell>
          <cell r="D4442" t="str">
            <v>PE</v>
          </cell>
          <cell r="E4442" t="str">
            <v>515.51504</v>
          </cell>
          <cell r="F4442">
            <v>6696.1620000000003</v>
          </cell>
          <cell r="G4442">
            <v>0</v>
          </cell>
          <cell r="H4442">
            <v>0</v>
          </cell>
          <cell r="I4442">
            <v>0</v>
          </cell>
          <cell r="J4442">
            <v>0</v>
          </cell>
          <cell r="K4442">
            <v>1</v>
          </cell>
          <cell r="L4442">
            <v>0</v>
          </cell>
        </row>
        <row r="4443">
          <cell r="A4443" t="str">
            <v>20212.07595</v>
          </cell>
          <cell r="B4443" t="str">
            <v>TRANSMETTEUR DE POINT DE ROSEE</v>
          </cell>
          <cell r="C4443" t="str">
            <v>1089 9481 53</v>
          </cell>
          <cell r="D4443" t="str">
            <v>PE</v>
          </cell>
          <cell r="E4443" t="str">
            <v>515.51504</v>
          </cell>
          <cell r="F4443">
            <v>11109.88</v>
          </cell>
          <cell r="G4443">
            <v>0</v>
          </cell>
          <cell r="H4443">
            <v>0</v>
          </cell>
          <cell r="I4443">
            <v>0</v>
          </cell>
          <cell r="J4443">
            <v>0</v>
          </cell>
          <cell r="K4443">
            <v>2</v>
          </cell>
          <cell r="L4443">
            <v>0</v>
          </cell>
        </row>
        <row r="4444">
          <cell r="A4444" t="str">
            <v>20212.07596</v>
          </cell>
          <cell r="B4444" t="str">
            <v>TRANSMETTEUR DE PRESSION 0-250 MBAR</v>
          </cell>
          <cell r="C4444" t="str">
            <v>1089 0492 31</v>
          </cell>
          <cell r="D4444" t="str">
            <v>PE</v>
          </cell>
          <cell r="E4444" t="str">
            <v>515.51504</v>
          </cell>
          <cell r="F4444">
            <v>2400</v>
          </cell>
          <cell r="G4444">
            <v>0</v>
          </cell>
          <cell r="H4444">
            <v>0</v>
          </cell>
          <cell r="I4444">
            <v>0</v>
          </cell>
          <cell r="J4444">
            <v>0</v>
          </cell>
          <cell r="K4444">
            <v>0</v>
          </cell>
          <cell r="L4444">
            <v>2</v>
          </cell>
        </row>
        <row r="4445">
          <cell r="A4445" t="str">
            <v>20212.10304</v>
          </cell>
          <cell r="B4445" t="str">
            <v>KIT ARRET D'HUILE</v>
          </cell>
          <cell r="C4445" t="str">
            <v>2901 5005 00</v>
          </cell>
          <cell r="D4445" t="str">
            <v>PE</v>
          </cell>
          <cell r="E4445" t="str">
            <v>515.51504</v>
          </cell>
          <cell r="F4445">
            <v>933.83439999999996</v>
          </cell>
          <cell r="G4445">
            <v>0</v>
          </cell>
          <cell r="H4445">
            <v>0</v>
          </cell>
          <cell r="I4445">
            <v>0</v>
          </cell>
          <cell r="J4445">
            <v>0</v>
          </cell>
          <cell r="K4445">
            <v>0</v>
          </cell>
          <cell r="L4445">
            <v>1</v>
          </cell>
        </row>
        <row r="4446">
          <cell r="A4446" t="str">
            <v>20212.10336</v>
          </cell>
          <cell r="B4446" t="str">
            <v>BORNIER</v>
          </cell>
          <cell r="C4446" t="str">
            <v>1089 0506 06</v>
          </cell>
          <cell r="D4446" t="str">
            <v>PE</v>
          </cell>
          <cell r="E4446" t="str">
            <v>515.51504</v>
          </cell>
          <cell r="F4446">
            <v>90.947999999999993</v>
          </cell>
          <cell r="G4446">
            <v>0</v>
          </cell>
          <cell r="H4446">
            <v>0</v>
          </cell>
          <cell r="I4446">
            <v>0</v>
          </cell>
          <cell r="J4446">
            <v>0</v>
          </cell>
          <cell r="K4446">
            <v>0</v>
          </cell>
          <cell r="L4446">
            <v>4</v>
          </cell>
        </row>
        <row r="4447">
          <cell r="A4447" t="str">
            <v>20212.10337</v>
          </cell>
          <cell r="B4447" t="str">
            <v>BORNIER</v>
          </cell>
          <cell r="C4447" t="str">
            <v>1089 9398 11</v>
          </cell>
          <cell r="D4447" t="str">
            <v>PE</v>
          </cell>
          <cell r="E4447" t="str">
            <v>515.51504</v>
          </cell>
          <cell r="F4447">
            <v>60.670099999999998</v>
          </cell>
          <cell r="G4447">
            <v>0</v>
          </cell>
          <cell r="H4447">
            <v>0</v>
          </cell>
          <cell r="I4447">
            <v>0</v>
          </cell>
          <cell r="J4447">
            <v>0</v>
          </cell>
          <cell r="K4447">
            <v>0</v>
          </cell>
          <cell r="L4447">
            <v>4</v>
          </cell>
        </row>
        <row r="4448">
          <cell r="A4448" t="str">
            <v>20212.10338</v>
          </cell>
          <cell r="B4448" t="str">
            <v>ADAPTEUR</v>
          </cell>
          <cell r="C4448" t="str">
            <v>1088 0031 18</v>
          </cell>
          <cell r="D4448" t="str">
            <v>PE</v>
          </cell>
          <cell r="E4448" t="str">
            <v>515.51504</v>
          </cell>
          <cell r="F4448">
            <v>12.889799999999999</v>
          </cell>
          <cell r="G4448">
            <v>0</v>
          </cell>
          <cell r="H4448">
            <v>0</v>
          </cell>
          <cell r="I4448">
            <v>0</v>
          </cell>
          <cell r="J4448">
            <v>0</v>
          </cell>
          <cell r="K4448">
            <v>1</v>
          </cell>
          <cell r="L4448">
            <v>0</v>
          </cell>
        </row>
        <row r="4449">
          <cell r="A4449" t="str">
            <v>20212.10339</v>
          </cell>
          <cell r="B4449" t="str">
            <v>CONNECTEUR</v>
          </cell>
          <cell r="C4449" t="str">
            <v>1088 0015 16</v>
          </cell>
          <cell r="D4449" t="str">
            <v>PE</v>
          </cell>
          <cell r="E4449" t="str">
            <v>515.51504</v>
          </cell>
          <cell r="F4449">
            <v>5.1214000000000004</v>
          </cell>
          <cell r="G4449">
            <v>0</v>
          </cell>
          <cell r="H4449">
            <v>0</v>
          </cell>
          <cell r="I4449">
            <v>0</v>
          </cell>
          <cell r="J4449">
            <v>0</v>
          </cell>
          <cell r="K4449">
            <v>2</v>
          </cell>
          <cell r="L4449">
            <v>0</v>
          </cell>
        </row>
        <row r="4450">
          <cell r="A4450" t="str">
            <v>20212.10340</v>
          </cell>
          <cell r="B4450" t="str">
            <v>CONNECTEUR</v>
          </cell>
          <cell r="C4450" t="str">
            <v>1089 0700 04</v>
          </cell>
          <cell r="D4450" t="str">
            <v>PE</v>
          </cell>
          <cell r="E4450" t="str">
            <v>515.51504</v>
          </cell>
          <cell r="F4450">
            <v>2.0566</v>
          </cell>
          <cell r="G4450">
            <v>0</v>
          </cell>
          <cell r="H4450">
            <v>0</v>
          </cell>
          <cell r="I4450">
            <v>0</v>
          </cell>
          <cell r="J4450">
            <v>0</v>
          </cell>
          <cell r="K4450">
            <v>4</v>
          </cell>
          <cell r="L4450">
            <v>0</v>
          </cell>
        </row>
        <row r="4451">
          <cell r="A4451" t="str">
            <v>20212.10332</v>
          </cell>
          <cell r="B4451" t="str">
            <v>VANNE A PAPILLON</v>
          </cell>
          <cell r="C4451" t="str">
            <v>1617 9047 81</v>
          </cell>
          <cell r="D4451" t="str">
            <v>PE</v>
          </cell>
          <cell r="E4451" t="str">
            <v>515.51504</v>
          </cell>
          <cell r="F4451">
            <v>11395.518599999999</v>
          </cell>
          <cell r="G4451">
            <v>0</v>
          </cell>
          <cell r="H4451">
            <v>0</v>
          </cell>
          <cell r="I4451">
            <v>0</v>
          </cell>
          <cell r="J4451">
            <v>0</v>
          </cell>
          <cell r="K4451">
            <v>0</v>
          </cell>
          <cell r="L4451">
            <v>1</v>
          </cell>
        </row>
        <row r="4452">
          <cell r="A4452" t="str">
            <v>20212.10333</v>
          </cell>
          <cell r="B4452" t="str">
            <v>MOTEUR</v>
          </cell>
          <cell r="C4452" t="str">
            <v>1080 4068 01</v>
          </cell>
          <cell r="D4452" t="str">
            <v>PE</v>
          </cell>
          <cell r="E4452" t="str">
            <v>515.51504</v>
          </cell>
          <cell r="F4452">
            <v>7878.7852999999996</v>
          </cell>
          <cell r="G4452">
            <v>0</v>
          </cell>
          <cell r="H4452">
            <v>0</v>
          </cell>
          <cell r="I4452">
            <v>0</v>
          </cell>
          <cell r="J4452">
            <v>0</v>
          </cell>
          <cell r="K4452">
            <v>0</v>
          </cell>
          <cell r="L4452">
            <v>1</v>
          </cell>
        </row>
        <row r="4453">
          <cell r="A4453" t="str">
            <v>20212.10334</v>
          </cell>
          <cell r="B4453" t="str">
            <v>VENTILLATEUR</v>
          </cell>
          <cell r="C4453" t="str">
            <v>1617 7725 00</v>
          </cell>
          <cell r="D4453" t="str">
            <v>PE</v>
          </cell>
          <cell r="E4453" t="str">
            <v>515.51504</v>
          </cell>
          <cell r="F4453">
            <v>17350.268599999999</v>
          </cell>
          <cell r="G4453">
            <v>0</v>
          </cell>
          <cell r="H4453">
            <v>0</v>
          </cell>
          <cell r="I4453">
            <v>0</v>
          </cell>
          <cell r="J4453">
            <v>0</v>
          </cell>
          <cell r="K4453">
            <v>0</v>
          </cell>
          <cell r="L4453">
            <v>2</v>
          </cell>
        </row>
        <row r="4454">
          <cell r="A4454" t="str">
            <v>20212.10335</v>
          </cell>
          <cell r="B4454" t="str">
            <v>GRILLAGE</v>
          </cell>
          <cell r="C4454" t="str">
            <v>1617 7724 00</v>
          </cell>
          <cell r="D4454" t="str">
            <v>PE</v>
          </cell>
          <cell r="E4454" t="str">
            <v>515.51504</v>
          </cell>
          <cell r="F4454">
            <v>9127.2513999999992</v>
          </cell>
          <cell r="G4454">
            <v>0</v>
          </cell>
          <cell r="H4454">
            <v>0</v>
          </cell>
          <cell r="I4454">
            <v>0</v>
          </cell>
          <cell r="J4454">
            <v>0</v>
          </cell>
          <cell r="K4454">
            <v>0</v>
          </cell>
          <cell r="L4454">
            <v>3</v>
          </cell>
        </row>
        <row r="4455">
          <cell r="A4455" t="str">
            <v>20492.15872</v>
          </cell>
          <cell r="B4455" t="str">
            <v>O.RING</v>
          </cell>
          <cell r="C4455" t="str">
            <v>DRESSER ROOTS REF 10267003 REP702</v>
          </cell>
          <cell r="D4455" t="str">
            <v>PE</v>
          </cell>
          <cell r="E4455" t="str">
            <v>515.51517</v>
          </cell>
          <cell r="F4455">
            <v>2648.5771</v>
          </cell>
          <cell r="G4455">
            <v>0</v>
          </cell>
          <cell r="H4455">
            <v>0</v>
          </cell>
          <cell r="I4455">
            <v>0</v>
          </cell>
          <cell r="J4455">
            <v>0</v>
          </cell>
          <cell r="K4455">
            <v>0</v>
          </cell>
          <cell r="L4455">
            <v>1</v>
          </cell>
        </row>
        <row r="4456">
          <cell r="A4456" t="str">
            <v>20492.15873</v>
          </cell>
          <cell r="B4456" t="str">
            <v>BUTEE</v>
          </cell>
          <cell r="C4456" t="str">
            <v>DRESSER ROOTS REF 12277316 REP202</v>
          </cell>
          <cell r="D4456" t="str">
            <v>PE</v>
          </cell>
          <cell r="E4456" t="str">
            <v>515.51517</v>
          </cell>
          <cell r="F4456">
            <v>196439.6158</v>
          </cell>
          <cell r="G4456">
            <v>0</v>
          </cell>
          <cell r="H4456">
            <v>0</v>
          </cell>
          <cell r="I4456">
            <v>0</v>
          </cell>
          <cell r="J4456">
            <v>0</v>
          </cell>
          <cell r="K4456">
            <v>0</v>
          </cell>
          <cell r="L4456">
            <v>0</v>
          </cell>
        </row>
        <row r="4457">
          <cell r="A4457" t="str">
            <v>20492.15874</v>
          </cell>
          <cell r="B4457" t="str">
            <v>PATIN BUTEE</v>
          </cell>
          <cell r="C4457" t="str">
            <v>DRESSER ROOTS REF 12277317 REP203</v>
          </cell>
          <cell r="D4457" t="str">
            <v>PE</v>
          </cell>
          <cell r="E4457" t="str">
            <v>515.51517</v>
          </cell>
          <cell r="F4457">
            <v>196439.6158</v>
          </cell>
          <cell r="G4457">
            <v>0</v>
          </cell>
          <cell r="H4457">
            <v>0</v>
          </cell>
          <cell r="I4457">
            <v>0</v>
          </cell>
          <cell r="J4457">
            <v>0</v>
          </cell>
          <cell r="K4457">
            <v>0</v>
          </cell>
          <cell r="L4457">
            <v>1</v>
          </cell>
        </row>
        <row r="4458">
          <cell r="A4458" t="str">
            <v>20492.15875</v>
          </cell>
          <cell r="B4458" t="str">
            <v>ESPACEUR</v>
          </cell>
          <cell r="C4458" t="str">
            <v>DRESSER ROOTS REF 90688031 REP204</v>
          </cell>
          <cell r="D4458" t="str">
            <v>PE</v>
          </cell>
          <cell r="E4458" t="str">
            <v>515.51517</v>
          </cell>
          <cell r="F4458">
            <v>42060.253299999997</v>
          </cell>
          <cell r="G4458">
            <v>0</v>
          </cell>
          <cell r="H4458">
            <v>0</v>
          </cell>
          <cell r="I4458">
            <v>0</v>
          </cell>
          <cell r="J4458">
            <v>0</v>
          </cell>
          <cell r="K4458">
            <v>0</v>
          </cell>
          <cell r="L4458">
            <v>0</v>
          </cell>
        </row>
        <row r="4459">
          <cell r="A4459" t="str">
            <v>20492.15871</v>
          </cell>
          <cell r="B4459" t="str">
            <v>RESSORT</v>
          </cell>
          <cell r="C4459" t="str">
            <v>DRESSER ROOTS REF 13402009 REP501</v>
          </cell>
          <cell r="D4459" t="str">
            <v>PE</v>
          </cell>
          <cell r="E4459" t="str">
            <v>515.51517</v>
          </cell>
          <cell r="F4459">
            <v>5383.4593000000004</v>
          </cell>
          <cell r="G4459">
            <v>0</v>
          </cell>
          <cell r="H4459">
            <v>0</v>
          </cell>
          <cell r="I4459">
            <v>0</v>
          </cell>
          <cell r="J4459">
            <v>0</v>
          </cell>
          <cell r="K4459">
            <v>0</v>
          </cell>
          <cell r="L4459">
            <v>0</v>
          </cell>
        </row>
        <row r="4460">
          <cell r="A4460" t="str">
            <v>20492.15876</v>
          </cell>
          <cell r="B4460" t="str">
            <v>COUSSINET</v>
          </cell>
          <cell r="C4460" t="str">
            <v>DRESSER ROOTS REF 13330025 REP206</v>
          </cell>
          <cell r="D4460" t="str">
            <v>PE</v>
          </cell>
          <cell r="E4460" t="str">
            <v>515.51517</v>
          </cell>
          <cell r="F4460">
            <v>381637.35190000001</v>
          </cell>
          <cell r="G4460">
            <v>0</v>
          </cell>
          <cell r="H4460">
            <v>0</v>
          </cell>
          <cell r="I4460">
            <v>0</v>
          </cell>
          <cell r="J4460">
            <v>0</v>
          </cell>
          <cell r="K4460">
            <v>0</v>
          </cell>
          <cell r="L4460">
            <v>0</v>
          </cell>
        </row>
        <row r="4461">
          <cell r="A4461" t="str">
            <v>20492.15877</v>
          </cell>
          <cell r="B4461" t="str">
            <v>GARNITURE D'HUILE</v>
          </cell>
          <cell r="C4461" t="str">
            <v>DRESSER ROOTS REF 91024032 REP 208</v>
          </cell>
          <cell r="D4461" t="str">
            <v>PE</v>
          </cell>
          <cell r="E4461" t="str">
            <v>515.51517</v>
          </cell>
          <cell r="F4461">
            <v>82936.674799999993</v>
          </cell>
          <cell r="G4461">
            <v>0</v>
          </cell>
          <cell r="H4461">
            <v>0</v>
          </cell>
          <cell r="I4461">
            <v>0</v>
          </cell>
          <cell r="J4461">
            <v>0</v>
          </cell>
          <cell r="K4461">
            <v>0</v>
          </cell>
          <cell r="L4461">
            <v>1</v>
          </cell>
        </row>
        <row r="4462">
          <cell r="A4462" t="str">
            <v>20497.00491</v>
          </cell>
          <cell r="B4462" t="str">
            <v>CORPS DE POMPE</v>
          </cell>
          <cell r="C4462" t="str">
            <v>SULZER A22-80 N°100034922 REP 102.11 REF.142143014L-C</v>
          </cell>
          <cell r="D4462" t="str">
            <v>PE</v>
          </cell>
          <cell r="E4462" t="str">
            <v>515.51505</v>
          </cell>
          <cell r="F4462">
            <v>92496.223100000003</v>
          </cell>
          <cell r="G4462">
            <v>0</v>
          </cell>
          <cell r="H4462">
            <v>0</v>
          </cell>
          <cell r="I4462">
            <v>0</v>
          </cell>
          <cell r="J4462">
            <v>0</v>
          </cell>
          <cell r="K4462">
            <v>0</v>
          </cell>
          <cell r="L4462">
            <v>2</v>
          </cell>
        </row>
        <row r="4463">
          <cell r="A4463" t="str">
            <v>20212.10128</v>
          </cell>
          <cell r="B4463" t="str">
            <v>CARTE INTERFACE</v>
          </cell>
          <cell r="C4463" t="str">
            <v>TYPE: BD 390 REF: 1900 0711 62</v>
          </cell>
          <cell r="D4463" t="str">
            <v>PE</v>
          </cell>
          <cell r="E4463" t="str">
            <v>515.51504</v>
          </cell>
          <cell r="F4463">
            <v>3617.6651000000002</v>
          </cell>
          <cell r="G4463">
            <v>0</v>
          </cell>
          <cell r="H4463">
            <v>0</v>
          </cell>
          <cell r="I4463">
            <v>0</v>
          </cell>
          <cell r="J4463">
            <v>0</v>
          </cell>
          <cell r="K4463">
            <v>0</v>
          </cell>
          <cell r="L4463">
            <v>1</v>
          </cell>
        </row>
        <row r="4464">
          <cell r="A4464" t="str">
            <v>20212.10129</v>
          </cell>
          <cell r="B4464" t="str">
            <v>REGENERATEUR VALVE</v>
          </cell>
          <cell r="C4464" t="str">
            <v>TYPE: BD 390 REF: 1617 9072 81</v>
          </cell>
          <cell r="D4464" t="str">
            <v>PE</v>
          </cell>
          <cell r="E4464" t="str">
            <v>515.51504</v>
          </cell>
          <cell r="F4464">
            <v>17384.62</v>
          </cell>
          <cell r="G4464">
            <v>0</v>
          </cell>
          <cell r="H4464">
            <v>0</v>
          </cell>
          <cell r="I4464">
            <v>0</v>
          </cell>
          <cell r="J4464">
            <v>0</v>
          </cell>
          <cell r="K4464">
            <v>0</v>
          </cell>
          <cell r="L4464">
            <v>1</v>
          </cell>
        </row>
        <row r="4465">
          <cell r="A4465" t="str">
            <v>20212.07588</v>
          </cell>
          <cell r="B4465" t="str">
            <v>ACTIONNEUR POUR VANNE DE REGENERATION</v>
          </cell>
          <cell r="C4465" t="str">
            <v>1617 9080 00</v>
          </cell>
          <cell r="D4465" t="str">
            <v>PE</v>
          </cell>
          <cell r="E4465" t="str">
            <v>515.51504</v>
          </cell>
          <cell r="F4465">
            <v>6173.5316000000003</v>
          </cell>
          <cell r="G4465">
            <v>0</v>
          </cell>
          <cell r="H4465">
            <v>0</v>
          </cell>
          <cell r="I4465">
            <v>0</v>
          </cell>
          <cell r="J4465">
            <v>0</v>
          </cell>
          <cell r="K4465">
            <v>0</v>
          </cell>
          <cell r="L4465">
            <v>2</v>
          </cell>
        </row>
        <row r="4466">
          <cell r="A4466" t="str">
            <v>20212.07589</v>
          </cell>
          <cell r="B4466" t="str">
            <v>BOITE FIN DE COURSE POUR VANNE DE REGENERATION</v>
          </cell>
          <cell r="C4466" t="str">
            <v>1617 9067 00</v>
          </cell>
          <cell r="D4466" t="str">
            <v>PE</v>
          </cell>
          <cell r="E4466" t="str">
            <v>515.51504</v>
          </cell>
          <cell r="F4466">
            <v>5300.2361000000001</v>
          </cell>
          <cell r="G4466">
            <v>0</v>
          </cell>
          <cell r="H4466">
            <v>0</v>
          </cell>
          <cell r="I4466">
            <v>0</v>
          </cell>
          <cell r="J4466">
            <v>0</v>
          </cell>
          <cell r="K4466">
            <v>0</v>
          </cell>
          <cell r="L4466">
            <v>4</v>
          </cell>
        </row>
        <row r="4467">
          <cell r="A4467" t="str">
            <v>20212.07591</v>
          </cell>
          <cell r="B4467" t="str">
            <v>MODULE DE CONTROLE DU COMPRSSEUR</v>
          </cell>
          <cell r="C4467" t="str">
            <v>1900 0710 12</v>
          </cell>
          <cell r="D4467" t="str">
            <v>PE</v>
          </cell>
          <cell r="E4467" t="str">
            <v>515.51504</v>
          </cell>
          <cell r="F4467">
            <v>7622.7152999999998</v>
          </cell>
          <cell r="G4467">
            <v>0</v>
          </cell>
          <cell r="H4467">
            <v>0</v>
          </cell>
          <cell r="I4467">
            <v>0</v>
          </cell>
          <cell r="J4467">
            <v>0</v>
          </cell>
          <cell r="K4467">
            <v>0</v>
          </cell>
          <cell r="L4467">
            <v>1</v>
          </cell>
        </row>
        <row r="4468">
          <cell r="A4468" t="str">
            <v>20212.07584</v>
          </cell>
          <cell r="B4468" t="str">
            <v>MANOMETRE DIA:50MM 0-16 BARS PIQUAGE:1/4" EN BAS</v>
          </cell>
          <cell r="C4468" t="str">
            <v>0872 1000 37</v>
          </cell>
          <cell r="D4468" t="str">
            <v>PE</v>
          </cell>
          <cell r="E4468" t="str">
            <v>515.51504</v>
          </cell>
          <cell r="F4468">
            <v>375</v>
          </cell>
          <cell r="G4468">
            <v>0</v>
          </cell>
          <cell r="H4468">
            <v>0</v>
          </cell>
          <cell r="I4468">
            <v>0</v>
          </cell>
          <cell r="J4468">
            <v>0</v>
          </cell>
          <cell r="K4468">
            <v>0</v>
          </cell>
          <cell r="L4468">
            <v>2</v>
          </cell>
        </row>
        <row r="4469">
          <cell r="A4469" t="str">
            <v>20212.10716</v>
          </cell>
          <cell r="B4469" t="str">
            <v>FLEXIBLE</v>
          </cell>
          <cell r="C4469" t="str">
            <v>1622 0141 00</v>
          </cell>
          <cell r="D4469" t="str">
            <v>PE</v>
          </cell>
          <cell r="E4469" t="str">
            <v>515.51504</v>
          </cell>
          <cell r="F4469">
            <v>3411.99</v>
          </cell>
          <cell r="G4469">
            <v>0</v>
          </cell>
          <cell r="H4469">
            <v>0</v>
          </cell>
          <cell r="I4469">
            <v>0</v>
          </cell>
          <cell r="J4469">
            <v>0</v>
          </cell>
          <cell r="K4469">
            <v>0</v>
          </cell>
          <cell r="L4469">
            <v>1</v>
          </cell>
        </row>
        <row r="4470">
          <cell r="A4470" t="str">
            <v>20212.10717</v>
          </cell>
          <cell r="B4470" t="str">
            <v>FLEXIBLE</v>
          </cell>
          <cell r="C4470" t="str">
            <v>1622 0142 00</v>
          </cell>
          <cell r="D4470" t="str">
            <v>PE</v>
          </cell>
          <cell r="E4470" t="str">
            <v>515.51504</v>
          </cell>
          <cell r="F4470">
            <v>2298.77</v>
          </cell>
          <cell r="G4470">
            <v>0</v>
          </cell>
          <cell r="H4470">
            <v>0</v>
          </cell>
          <cell r="I4470">
            <v>0</v>
          </cell>
          <cell r="J4470">
            <v>0</v>
          </cell>
          <cell r="K4470">
            <v>0</v>
          </cell>
          <cell r="L4470">
            <v>1</v>
          </cell>
        </row>
        <row r="4471">
          <cell r="A4471" t="str">
            <v>20212.10710</v>
          </cell>
          <cell r="B4471" t="str">
            <v>FLEXIBLE</v>
          </cell>
          <cell r="C4471" t="str">
            <v>1622 0074 00</v>
          </cell>
          <cell r="D4471" t="str">
            <v>PE</v>
          </cell>
          <cell r="E4471" t="str">
            <v>515.51504</v>
          </cell>
          <cell r="F4471">
            <v>1885.82</v>
          </cell>
          <cell r="G4471">
            <v>0</v>
          </cell>
          <cell r="H4471">
            <v>0</v>
          </cell>
          <cell r="I4471">
            <v>0</v>
          </cell>
          <cell r="J4471">
            <v>0</v>
          </cell>
          <cell r="K4471">
            <v>0</v>
          </cell>
          <cell r="L4471">
            <v>1</v>
          </cell>
        </row>
        <row r="4472">
          <cell r="A4472" t="str">
            <v>20492.15600</v>
          </cell>
          <cell r="B4472" t="str">
            <v>PLAQUE DE BLINDAGE</v>
          </cell>
          <cell r="C4472" t="str">
            <v>METSO 31-348616102</v>
          </cell>
          <cell r="D4472" t="str">
            <v>PE</v>
          </cell>
          <cell r="E4472" t="str">
            <v>522.52207</v>
          </cell>
          <cell r="F4472">
            <v>2203.5432999999998</v>
          </cell>
          <cell r="G4472">
            <v>0</v>
          </cell>
          <cell r="H4472">
            <v>0</v>
          </cell>
          <cell r="I4472">
            <v>0</v>
          </cell>
          <cell r="J4472">
            <v>0</v>
          </cell>
          <cell r="K4472">
            <v>0</v>
          </cell>
          <cell r="L4472">
            <v>50</v>
          </cell>
        </row>
        <row r="4473">
          <cell r="A4473" t="str">
            <v>20492.15601</v>
          </cell>
          <cell r="B4473" t="str">
            <v>RELEVEUR PROFILE</v>
          </cell>
          <cell r="C4473" t="str">
            <v>METSO 31-413242102</v>
          </cell>
          <cell r="D4473" t="str">
            <v>PE</v>
          </cell>
          <cell r="E4473" t="str">
            <v>522.52207</v>
          </cell>
          <cell r="F4473">
            <v>1952.3557000000001</v>
          </cell>
          <cell r="G4473">
            <v>0</v>
          </cell>
          <cell r="H4473">
            <v>0</v>
          </cell>
          <cell r="I4473">
            <v>0</v>
          </cell>
          <cell r="J4473">
            <v>0</v>
          </cell>
          <cell r="K4473">
            <v>0</v>
          </cell>
          <cell r="L4473">
            <v>0</v>
          </cell>
        </row>
        <row r="4474">
          <cell r="A4474" t="str">
            <v>20492.15602</v>
          </cell>
          <cell r="B4474" t="str">
            <v>PROFILE</v>
          </cell>
          <cell r="C4474" t="str">
            <v>METSO 31-374559102</v>
          </cell>
          <cell r="D4474" t="str">
            <v>PE</v>
          </cell>
          <cell r="E4474" t="str">
            <v>522.52207</v>
          </cell>
          <cell r="F4474">
            <v>3615.1464999999998</v>
          </cell>
          <cell r="G4474">
            <v>0</v>
          </cell>
          <cell r="H4474">
            <v>0</v>
          </cell>
          <cell r="I4474">
            <v>0</v>
          </cell>
          <cell r="J4474">
            <v>0</v>
          </cell>
          <cell r="K4474">
            <v>0</v>
          </cell>
          <cell r="L4474">
            <v>0</v>
          </cell>
        </row>
        <row r="4475">
          <cell r="A4475" t="str">
            <v>20492.12884</v>
          </cell>
          <cell r="B4475" t="str">
            <v>POSITIONNEUR NUMERIQUE</v>
          </cell>
          <cell r="C4475" t="str">
            <v>METSO ND9103HNT-A1-K1</v>
          </cell>
          <cell r="D4475" t="str">
            <v>PE</v>
          </cell>
          <cell r="E4475" t="str">
            <v>512.51202</v>
          </cell>
          <cell r="F4475">
            <v>16100</v>
          </cell>
          <cell r="G4475">
            <v>0</v>
          </cell>
          <cell r="H4475">
            <v>0</v>
          </cell>
          <cell r="I4475">
            <v>0</v>
          </cell>
          <cell r="J4475">
            <v>0</v>
          </cell>
          <cell r="K4475">
            <v>0</v>
          </cell>
          <cell r="L4475">
            <v>0</v>
          </cell>
        </row>
        <row r="4476">
          <cell r="A4476" t="str">
            <v>20492.13281</v>
          </cell>
          <cell r="B4476" t="str">
            <v>SECTIONNEUR DE MISE A LA TERRE POUR CELLULE UT</v>
          </cell>
          <cell r="C4476" t="str">
            <v>EATON SMAT01-CCB-UUT POUR TABLEAU MT-10KV</v>
          </cell>
          <cell r="D4476" t="str">
            <v>PE</v>
          </cell>
          <cell r="E4476" t="str">
            <v>522.52206</v>
          </cell>
          <cell r="F4476">
            <v>30690</v>
          </cell>
          <cell r="G4476">
            <v>0</v>
          </cell>
          <cell r="H4476">
            <v>0</v>
          </cell>
          <cell r="I4476">
            <v>0</v>
          </cell>
          <cell r="J4476">
            <v>0</v>
          </cell>
          <cell r="K4476">
            <v>0</v>
          </cell>
          <cell r="L4476">
            <v>1</v>
          </cell>
        </row>
        <row r="4477">
          <cell r="A4477" t="str">
            <v>20340.01183</v>
          </cell>
          <cell r="B4477" t="str">
            <v>ARRET D'URGENCE</v>
          </cell>
          <cell r="C4477" t="str">
            <v>800EM-MTS643LX01</v>
          </cell>
          <cell r="D4477" t="str">
            <v>PE</v>
          </cell>
          <cell r="E4477" t="str">
            <v>522.52206</v>
          </cell>
          <cell r="F4477">
            <v>152.63999999999999</v>
          </cell>
          <cell r="G4477">
            <v>0</v>
          </cell>
          <cell r="H4477">
            <v>0</v>
          </cell>
          <cell r="I4477">
            <v>0</v>
          </cell>
          <cell r="J4477">
            <v>0</v>
          </cell>
          <cell r="K4477">
            <v>0</v>
          </cell>
          <cell r="L4477">
            <v>5</v>
          </cell>
        </row>
        <row r="4478">
          <cell r="A4478" t="str">
            <v>20340.01184</v>
          </cell>
          <cell r="B4478" t="str">
            <v>VOYANT LUMINEUX VERT</v>
          </cell>
          <cell r="C4478" t="str">
            <v>800FP-P3PN7G</v>
          </cell>
          <cell r="D4478" t="str">
            <v>PE</v>
          </cell>
          <cell r="E4478" t="str">
            <v>522.52206</v>
          </cell>
          <cell r="F4478">
            <v>22.308</v>
          </cell>
          <cell r="G4478">
            <v>0</v>
          </cell>
          <cell r="H4478">
            <v>0</v>
          </cell>
          <cell r="I4478">
            <v>0</v>
          </cell>
          <cell r="J4478">
            <v>0</v>
          </cell>
          <cell r="K4478">
            <v>5</v>
          </cell>
          <cell r="L4478">
            <v>0</v>
          </cell>
        </row>
        <row r="4479">
          <cell r="A4479" t="str">
            <v>20340.01185</v>
          </cell>
          <cell r="B4479" t="str">
            <v>VOYANT LUMINEUX ROUGE</v>
          </cell>
          <cell r="C4479" t="str">
            <v>800FP-P4</v>
          </cell>
          <cell r="D4479" t="str">
            <v>PE</v>
          </cell>
          <cell r="E4479" t="str">
            <v>522.52206</v>
          </cell>
          <cell r="F4479">
            <v>22.308</v>
          </cell>
          <cell r="G4479">
            <v>0</v>
          </cell>
          <cell r="H4479">
            <v>0</v>
          </cell>
          <cell r="I4479">
            <v>0</v>
          </cell>
          <cell r="J4479">
            <v>0</v>
          </cell>
          <cell r="K4479">
            <v>5</v>
          </cell>
          <cell r="L4479">
            <v>0</v>
          </cell>
        </row>
        <row r="4480">
          <cell r="A4480" t="str">
            <v>20340.01186</v>
          </cell>
          <cell r="B4480" t="str">
            <v>VOYANT LUMINEUX JAUNE</v>
          </cell>
          <cell r="C4480" t="str">
            <v>800FP-P5</v>
          </cell>
          <cell r="D4480" t="str">
            <v>PE</v>
          </cell>
          <cell r="E4480" t="str">
            <v>522.52206</v>
          </cell>
          <cell r="F4480">
            <v>22.308</v>
          </cell>
          <cell r="G4480">
            <v>0</v>
          </cell>
          <cell r="H4480">
            <v>0</v>
          </cell>
          <cell r="I4480">
            <v>0</v>
          </cell>
          <cell r="J4480">
            <v>0</v>
          </cell>
          <cell r="K4480">
            <v>5</v>
          </cell>
          <cell r="L4480">
            <v>0</v>
          </cell>
        </row>
        <row r="4481">
          <cell r="A4481" t="str">
            <v>20340.01187</v>
          </cell>
          <cell r="B4481" t="str">
            <v>CADRE DE MONTAGE SUR PORTE</v>
          </cell>
          <cell r="C4481" t="str">
            <v>20-HIM-B1</v>
          </cell>
          <cell r="D4481" t="str">
            <v>PE</v>
          </cell>
          <cell r="E4481" t="str">
            <v>522.52206</v>
          </cell>
          <cell r="F4481">
            <v>758.28</v>
          </cell>
          <cell r="G4481">
            <v>0</v>
          </cell>
          <cell r="H4481">
            <v>0</v>
          </cell>
          <cell r="I4481">
            <v>0</v>
          </cell>
          <cell r="J4481">
            <v>0</v>
          </cell>
          <cell r="K4481">
            <v>0</v>
          </cell>
          <cell r="L4481">
            <v>0</v>
          </cell>
        </row>
        <row r="4482">
          <cell r="A4482" t="str">
            <v>20340.01188</v>
          </cell>
          <cell r="B4482" t="str">
            <v>ARRET D'URGENCE</v>
          </cell>
          <cell r="C4482" t="str">
            <v>800FP-MT44PX01</v>
          </cell>
          <cell r="D4482" t="str">
            <v>PE</v>
          </cell>
          <cell r="E4482" t="str">
            <v>522.52206</v>
          </cell>
          <cell r="F4482">
            <v>93.12</v>
          </cell>
          <cell r="G4482">
            <v>0</v>
          </cell>
          <cell r="H4482">
            <v>0</v>
          </cell>
          <cell r="I4482">
            <v>0</v>
          </cell>
          <cell r="J4482">
            <v>0</v>
          </cell>
          <cell r="K4482">
            <v>1</v>
          </cell>
          <cell r="L4482">
            <v>0</v>
          </cell>
        </row>
        <row r="4483">
          <cell r="A4483" t="str">
            <v>20340.01191</v>
          </cell>
          <cell r="B4483" t="str">
            <v>COMMUTATEUR</v>
          </cell>
          <cell r="C4483" t="str">
            <v>800EP-SM323LX20</v>
          </cell>
          <cell r="D4483" t="str">
            <v>PE</v>
          </cell>
          <cell r="E4483" t="str">
            <v>522.52206</v>
          </cell>
          <cell r="F4483">
            <v>115</v>
          </cell>
          <cell r="G4483">
            <v>0</v>
          </cell>
          <cell r="H4483">
            <v>0</v>
          </cell>
          <cell r="I4483">
            <v>0</v>
          </cell>
          <cell r="J4483">
            <v>0</v>
          </cell>
          <cell r="K4483">
            <v>0</v>
          </cell>
          <cell r="L4483">
            <v>5</v>
          </cell>
        </row>
        <row r="4484">
          <cell r="A4484" t="str">
            <v>20340.01192</v>
          </cell>
          <cell r="B4484" t="str">
            <v>DISJONCTEUR MODULAIRE</v>
          </cell>
          <cell r="C4484" t="str">
            <v>1492-SP1C040</v>
          </cell>
          <cell r="D4484" t="str">
            <v>PE</v>
          </cell>
          <cell r="E4484" t="str">
            <v>522.52206</v>
          </cell>
          <cell r="F4484">
            <v>100.104</v>
          </cell>
          <cell r="G4484">
            <v>0</v>
          </cell>
          <cell r="H4484">
            <v>0</v>
          </cell>
          <cell r="I4484">
            <v>0</v>
          </cell>
          <cell r="J4484">
            <v>0</v>
          </cell>
          <cell r="K4484">
            <v>0</v>
          </cell>
          <cell r="L4484">
            <v>0</v>
          </cell>
        </row>
        <row r="4485">
          <cell r="A4485" t="str">
            <v>20340.01193</v>
          </cell>
          <cell r="B4485" t="str">
            <v>CONTACT AUXILIAIRE</v>
          </cell>
          <cell r="C4485" t="str">
            <v>1492-ASPH3</v>
          </cell>
          <cell r="D4485" t="str">
            <v>PE</v>
          </cell>
          <cell r="E4485" t="str">
            <v>522.52206</v>
          </cell>
          <cell r="F4485">
            <v>81.864000000000004</v>
          </cell>
          <cell r="G4485">
            <v>0</v>
          </cell>
          <cell r="H4485">
            <v>0</v>
          </cell>
          <cell r="I4485">
            <v>0</v>
          </cell>
          <cell r="J4485">
            <v>0</v>
          </cell>
          <cell r="K4485">
            <v>0</v>
          </cell>
          <cell r="L4485">
            <v>19</v>
          </cell>
        </row>
        <row r="4486">
          <cell r="A4486" t="str">
            <v>20340.01194</v>
          </cell>
          <cell r="B4486" t="str">
            <v>DISJONCTEUR MODULAIRE 10KA 3 POLES-2A</v>
          </cell>
          <cell r="C4486" t="str">
            <v>1492-SP3C020</v>
          </cell>
          <cell r="D4486" t="str">
            <v>PE</v>
          </cell>
          <cell r="E4486" t="str">
            <v>522.52206</v>
          </cell>
          <cell r="F4486">
            <v>386.4</v>
          </cell>
          <cell r="G4486">
            <v>0</v>
          </cell>
          <cell r="H4486">
            <v>0</v>
          </cell>
          <cell r="I4486">
            <v>0</v>
          </cell>
          <cell r="J4486">
            <v>0</v>
          </cell>
          <cell r="K4486">
            <v>0</v>
          </cell>
          <cell r="L4486">
            <v>1</v>
          </cell>
        </row>
        <row r="4487">
          <cell r="A4487" t="str">
            <v>20340.01198</v>
          </cell>
          <cell r="B4487" t="str">
            <v>RELAIS DE PROTECTION</v>
          </cell>
          <cell r="C4487" t="str">
            <v>193-EA1DB</v>
          </cell>
          <cell r="D4487" t="str">
            <v>PE</v>
          </cell>
          <cell r="E4487" t="str">
            <v>522.52206</v>
          </cell>
          <cell r="F4487">
            <v>265.53140000000002</v>
          </cell>
          <cell r="G4487">
            <v>0</v>
          </cell>
          <cell r="H4487">
            <v>0</v>
          </cell>
          <cell r="I4487">
            <v>0</v>
          </cell>
          <cell r="J4487">
            <v>0</v>
          </cell>
          <cell r="K4487">
            <v>0</v>
          </cell>
          <cell r="L4487">
            <v>7</v>
          </cell>
        </row>
        <row r="4488">
          <cell r="A4488" t="str">
            <v>20492.13285</v>
          </cell>
          <cell r="B4488" t="str">
            <v>KIT API POUR COLONNE INTELLIGENTE</v>
          </cell>
          <cell r="C4488" t="str">
            <v>EATON SP-1763-L16BWA  ACCESSOIRES POUR TABLEAU MCC</v>
          </cell>
          <cell r="D4488" t="str">
            <v>PE</v>
          </cell>
          <cell r="E4488" t="str">
            <v>522.52206</v>
          </cell>
          <cell r="F4488">
            <v>6112.82</v>
          </cell>
          <cell r="G4488">
            <v>0</v>
          </cell>
          <cell r="H4488">
            <v>0</v>
          </cell>
          <cell r="I4488">
            <v>0</v>
          </cell>
          <cell r="J4488">
            <v>0</v>
          </cell>
          <cell r="K4488">
            <v>0</v>
          </cell>
          <cell r="L4488">
            <v>4</v>
          </cell>
        </row>
        <row r="4489">
          <cell r="A4489" t="str">
            <v>20492.13286</v>
          </cell>
          <cell r="B4489" t="str">
            <v>KIT STATION LCD 15' ECRAN TACTILE STANDARD</v>
          </cell>
          <cell r="C4489" t="str">
            <v>EATON SP-6180W-15BSXPH  ACCESSOIRES POUR TABLEAU MCC</v>
          </cell>
          <cell r="D4489" t="str">
            <v>PE</v>
          </cell>
          <cell r="E4489" t="str">
            <v>522.52206</v>
          </cell>
          <cell r="F4489">
            <v>75330</v>
          </cell>
          <cell r="G4489">
            <v>0</v>
          </cell>
          <cell r="H4489">
            <v>0</v>
          </cell>
          <cell r="I4489">
            <v>0</v>
          </cell>
          <cell r="J4489">
            <v>0</v>
          </cell>
          <cell r="K4489">
            <v>0</v>
          </cell>
          <cell r="L4489">
            <v>1</v>
          </cell>
        </row>
        <row r="4490">
          <cell r="A4490" t="str">
            <v>20492.13290</v>
          </cell>
          <cell r="B4490" t="str">
            <v>KIT SWITCH</v>
          </cell>
          <cell r="C4490" t="str">
            <v>EATON SP-SWIT8P24V  ACCESSOIRES POUR TABLEAU MCC</v>
          </cell>
          <cell r="D4490" t="str">
            <v>PE</v>
          </cell>
          <cell r="E4490" t="str">
            <v>522.52206</v>
          </cell>
          <cell r="F4490">
            <v>1259.5999999999999</v>
          </cell>
          <cell r="G4490">
            <v>0</v>
          </cell>
          <cell r="H4490">
            <v>0</v>
          </cell>
          <cell r="I4490">
            <v>0</v>
          </cell>
          <cell r="J4490">
            <v>0</v>
          </cell>
          <cell r="K4490">
            <v>0</v>
          </cell>
          <cell r="L4490">
            <v>0</v>
          </cell>
        </row>
        <row r="4491">
          <cell r="A4491" t="str">
            <v>20340.01182</v>
          </cell>
          <cell r="B4491" t="str">
            <v>ALIMENTATION</v>
          </cell>
          <cell r="C4491" t="str">
            <v>1606-XL480E</v>
          </cell>
          <cell r="D4491" t="str">
            <v>PE</v>
          </cell>
          <cell r="E4491" t="str">
            <v>522.52206</v>
          </cell>
          <cell r="F4491">
            <v>4722.768</v>
          </cell>
          <cell r="G4491">
            <v>0</v>
          </cell>
          <cell r="H4491">
            <v>0</v>
          </cell>
          <cell r="I4491">
            <v>0</v>
          </cell>
          <cell r="J4491">
            <v>0</v>
          </cell>
          <cell r="K4491">
            <v>0</v>
          </cell>
          <cell r="L4491">
            <v>3</v>
          </cell>
        </row>
        <row r="4492">
          <cell r="A4492" t="str">
            <v>20492.13298</v>
          </cell>
          <cell r="B4492" t="str">
            <v>KIT CONTACT DE SORTIE 250 A</v>
          </cell>
          <cell r="C4492" t="str">
            <v>EATON SP-TABCS2503  ACCESSOIRES POUR TABLEAU MCC</v>
          </cell>
          <cell r="D4492" t="str">
            <v>PE</v>
          </cell>
          <cell r="E4492" t="str">
            <v>522.52206</v>
          </cell>
          <cell r="F4492">
            <v>260.38</v>
          </cell>
          <cell r="G4492">
            <v>0</v>
          </cell>
          <cell r="H4492">
            <v>0</v>
          </cell>
          <cell r="I4492">
            <v>0</v>
          </cell>
          <cell r="J4492">
            <v>0</v>
          </cell>
          <cell r="K4492">
            <v>4</v>
          </cell>
          <cell r="L4492">
            <v>0</v>
          </cell>
        </row>
        <row r="4493">
          <cell r="A4493" t="str">
            <v>20492.13296</v>
          </cell>
          <cell r="B4493" t="str">
            <v>KIT CONTACT DE SORTIE 125 A</v>
          </cell>
          <cell r="C4493" t="str">
            <v>EATON SP-TABCS1253  ACCESSOIRES POUR TABLEAU MCC</v>
          </cell>
          <cell r="D4493" t="str">
            <v>PE</v>
          </cell>
          <cell r="E4493" t="str">
            <v>522.52206</v>
          </cell>
          <cell r="F4493">
            <v>202.1</v>
          </cell>
          <cell r="G4493">
            <v>0</v>
          </cell>
          <cell r="H4493">
            <v>0</v>
          </cell>
          <cell r="I4493">
            <v>0</v>
          </cell>
          <cell r="J4493">
            <v>0</v>
          </cell>
          <cell r="K4493">
            <v>10</v>
          </cell>
          <cell r="L4493">
            <v>0</v>
          </cell>
        </row>
        <row r="4494">
          <cell r="A4494" t="str">
            <v>20492.13299</v>
          </cell>
          <cell r="B4494" t="str">
            <v>KIT CONTACT DE SORTIE 400 A</v>
          </cell>
          <cell r="C4494" t="str">
            <v>EATON SP-TABCS4003  ACCESSOIRES POUR TABLEAU MCC</v>
          </cell>
          <cell r="D4494" t="str">
            <v>PE</v>
          </cell>
          <cell r="E4494" t="str">
            <v>522.52206</v>
          </cell>
          <cell r="F4494">
            <v>346.86</v>
          </cell>
          <cell r="G4494">
            <v>0</v>
          </cell>
          <cell r="H4494">
            <v>0</v>
          </cell>
          <cell r="I4494">
            <v>0</v>
          </cell>
          <cell r="J4494">
            <v>0</v>
          </cell>
          <cell r="K4494">
            <v>10</v>
          </cell>
          <cell r="L4494">
            <v>0</v>
          </cell>
        </row>
        <row r="4495">
          <cell r="A4495" t="str">
            <v>20492.13297</v>
          </cell>
          <cell r="B4495" t="str">
            <v>KIT CONTACT DE SORTIE 160 A</v>
          </cell>
          <cell r="C4495" t="str">
            <v>EATON SP-TABCS1603  ACCESSOIRES POUR TABLEAU MCC</v>
          </cell>
          <cell r="D4495" t="str">
            <v>PE</v>
          </cell>
          <cell r="E4495" t="str">
            <v>522.52206</v>
          </cell>
          <cell r="F4495">
            <v>216.2</v>
          </cell>
          <cell r="G4495">
            <v>0</v>
          </cell>
          <cell r="H4495">
            <v>0</v>
          </cell>
          <cell r="I4495">
            <v>0</v>
          </cell>
          <cell r="J4495">
            <v>0</v>
          </cell>
          <cell r="K4495">
            <v>10</v>
          </cell>
          <cell r="L4495">
            <v>0</v>
          </cell>
        </row>
        <row r="4496">
          <cell r="A4496" t="str">
            <v>20492.13300</v>
          </cell>
          <cell r="B4496" t="str">
            <v>KIT CONTACT DE SORTIE 630 A</v>
          </cell>
          <cell r="C4496" t="str">
            <v>EATON SP-TABCS6303  ACCESSOIRES POUR TABLEAU MCC</v>
          </cell>
          <cell r="D4496" t="str">
            <v>PE</v>
          </cell>
          <cell r="E4496" t="str">
            <v>522.52206</v>
          </cell>
          <cell r="F4496">
            <v>419.24</v>
          </cell>
          <cell r="G4496">
            <v>0</v>
          </cell>
          <cell r="H4496">
            <v>0</v>
          </cell>
          <cell r="I4496">
            <v>0</v>
          </cell>
          <cell r="J4496">
            <v>0</v>
          </cell>
          <cell r="K4496">
            <v>10</v>
          </cell>
          <cell r="L4496">
            <v>0</v>
          </cell>
        </row>
        <row r="4497">
          <cell r="A4497" t="str">
            <v>20492.13301</v>
          </cell>
          <cell r="B4497" t="str">
            <v>DEPART MOTEUR 30KW</v>
          </cell>
          <cell r="C4497" t="str">
            <v>EATON T2C30EDZJ-AMMSBCSS010SEMR-1SS POUR TABLEAU MCC REP GEOGRAPHIQUE 303-EB-40</v>
          </cell>
          <cell r="D4497" t="str">
            <v>PE</v>
          </cell>
          <cell r="E4497" t="str">
            <v>522.52206</v>
          </cell>
          <cell r="F4497">
            <v>45540</v>
          </cell>
          <cell r="G4497">
            <v>0</v>
          </cell>
          <cell r="H4497">
            <v>0</v>
          </cell>
          <cell r="I4497">
            <v>0</v>
          </cell>
          <cell r="J4497">
            <v>0</v>
          </cell>
          <cell r="K4497">
            <v>0</v>
          </cell>
          <cell r="L4497">
            <v>0</v>
          </cell>
        </row>
        <row r="4498">
          <cell r="A4498" t="str">
            <v>20340.01142</v>
          </cell>
          <cell r="B4498" t="str">
            <v>SOCLE POUR RELAIS</v>
          </cell>
          <cell r="C4498" t="str">
            <v>700-HN103</v>
          </cell>
          <cell r="D4498" t="str">
            <v>PE</v>
          </cell>
          <cell r="E4498" t="str">
            <v>522.52206</v>
          </cell>
          <cell r="F4498">
            <v>38</v>
          </cell>
          <cell r="G4498">
            <v>0</v>
          </cell>
          <cell r="H4498">
            <v>0</v>
          </cell>
          <cell r="I4498">
            <v>0</v>
          </cell>
          <cell r="J4498">
            <v>0</v>
          </cell>
          <cell r="K4498">
            <v>0</v>
          </cell>
          <cell r="L4498">
            <v>15</v>
          </cell>
        </row>
        <row r="4499">
          <cell r="A4499" t="str">
            <v>20340.01143</v>
          </cell>
          <cell r="B4499" t="str">
            <v>RELAIS 24VCC</v>
          </cell>
          <cell r="C4499" t="str">
            <v>700-HC24Z24</v>
          </cell>
          <cell r="D4499" t="str">
            <v>PE</v>
          </cell>
          <cell r="E4499" t="str">
            <v>522.52206</v>
          </cell>
          <cell r="F4499">
            <v>49</v>
          </cell>
          <cell r="G4499">
            <v>0</v>
          </cell>
          <cell r="H4499">
            <v>0</v>
          </cell>
          <cell r="I4499">
            <v>0</v>
          </cell>
          <cell r="J4499">
            <v>0</v>
          </cell>
          <cell r="K4499">
            <v>0</v>
          </cell>
          <cell r="L4499">
            <v>11</v>
          </cell>
        </row>
        <row r="4500">
          <cell r="A4500" t="str">
            <v>20340.01144</v>
          </cell>
          <cell r="B4500" t="str">
            <v>RELAIS 240VAC</v>
          </cell>
          <cell r="C4500" t="str">
            <v>700-HC24A2-3</v>
          </cell>
          <cell r="D4500" t="str">
            <v>PE</v>
          </cell>
          <cell r="E4500" t="str">
            <v>522.52206</v>
          </cell>
          <cell r="F4500">
            <v>65.183999999999997</v>
          </cell>
          <cell r="G4500">
            <v>0</v>
          </cell>
          <cell r="H4500">
            <v>0</v>
          </cell>
          <cell r="I4500">
            <v>0</v>
          </cell>
          <cell r="J4500">
            <v>0</v>
          </cell>
          <cell r="K4500">
            <v>0</v>
          </cell>
          <cell r="L4500">
            <v>17</v>
          </cell>
        </row>
        <row r="4501">
          <cell r="A4501" t="str">
            <v>20492.15603</v>
          </cell>
          <cell r="B4501" t="str">
            <v>RELEVEUR PROFILE</v>
          </cell>
          <cell r="C4501" t="str">
            <v>METSO 31-414372102</v>
          </cell>
          <cell r="D4501" t="str">
            <v>PE</v>
          </cell>
          <cell r="E4501" t="str">
            <v>522.52207</v>
          </cell>
          <cell r="F4501">
            <v>3757.7804999999998</v>
          </cell>
          <cell r="G4501">
            <v>0</v>
          </cell>
          <cell r="H4501">
            <v>0</v>
          </cell>
          <cell r="I4501">
            <v>0</v>
          </cell>
          <cell r="J4501">
            <v>0</v>
          </cell>
          <cell r="K4501">
            <v>0</v>
          </cell>
          <cell r="L4501">
            <v>0</v>
          </cell>
        </row>
        <row r="4502">
          <cell r="A4502" t="str">
            <v>20492.15604</v>
          </cell>
          <cell r="B4502" t="str">
            <v>RELEVEUR PROFILE</v>
          </cell>
          <cell r="C4502" t="str">
            <v>METSO 31-412944102</v>
          </cell>
          <cell r="D4502" t="str">
            <v>PE</v>
          </cell>
          <cell r="E4502" t="str">
            <v>522.52207</v>
          </cell>
          <cell r="F4502">
            <v>3757.7804999999998</v>
          </cell>
          <cell r="G4502">
            <v>0</v>
          </cell>
          <cell r="H4502">
            <v>0</v>
          </cell>
          <cell r="I4502">
            <v>0</v>
          </cell>
          <cell r="J4502">
            <v>0</v>
          </cell>
          <cell r="K4502">
            <v>0</v>
          </cell>
          <cell r="L4502">
            <v>0</v>
          </cell>
        </row>
        <row r="4503">
          <cell r="A4503" t="str">
            <v>20492.15605</v>
          </cell>
          <cell r="B4503" t="str">
            <v>RELEVEUR PROFILE</v>
          </cell>
          <cell r="C4503" t="str">
            <v>METSO 31-411965102</v>
          </cell>
          <cell r="D4503" t="str">
            <v>PE</v>
          </cell>
          <cell r="E4503" t="str">
            <v>522.52207</v>
          </cell>
          <cell r="F4503">
            <v>3757.7804999999998</v>
          </cell>
          <cell r="G4503">
            <v>0</v>
          </cell>
          <cell r="H4503">
            <v>0</v>
          </cell>
          <cell r="I4503">
            <v>0</v>
          </cell>
          <cell r="J4503">
            <v>0</v>
          </cell>
          <cell r="K4503">
            <v>0</v>
          </cell>
          <cell r="L4503">
            <v>0</v>
          </cell>
        </row>
        <row r="4504">
          <cell r="A4504" t="str">
            <v>20492.15606</v>
          </cell>
          <cell r="B4504" t="str">
            <v>BLINDAGE PORTE DE VISITE</v>
          </cell>
          <cell r="C4504" t="str">
            <v>METSO 31-348615102</v>
          </cell>
          <cell r="D4504" t="str">
            <v>PE</v>
          </cell>
          <cell r="E4504" t="str">
            <v>522.52207</v>
          </cell>
          <cell r="F4504">
            <v>1294.8657000000001</v>
          </cell>
          <cell r="G4504">
            <v>0</v>
          </cell>
          <cell r="H4504">
            <v>0</v>
          </cell>
          <cell r="I4504">
            <v>0</v>
          </cell>
          <cell r="J4504">
            <v>0</v>
          </cell>
          <cell r="K4504">
            <v>0</v>
          </cell>
          <cell r="L4504">
            <v>2</v>
          </cell>
        </row>
        <row r="4505">
          <cell r="A4505" t="str">
            <v>20340.01200</v>
          </cell>
          <cell r="B4505" t="str">
            <v>RELAIS DE PROTECTION</v>
          </cell>
          <cell r="C4505" t="str">
            <v>193-EF2AKF</v>
          </cell>
          <cell r="D4505" t="str">
            <v>PE</v>
          </cell>
          <cell r="E4505" t="str">
            <v>522.52206</v>
          </cell>
          <cell r="F4505">
            <v>3142.8</v>
          </cell>
          <cell r="G4505">
            <v>0</v>
          </cell>
          <cell r="H4505">
            <v>0</v>
          </cell>
          <cell r="I4505">
            <v>0</v>
          </cell>
          <cell r="J4505">
            <v>0</v>
          </cell>
          <cell r="K4505">
            <v>0</v>
          </cell>
          <cell r="L4505">
            <v>2</v>
          </cell>
        </row>
        <row r="4506">
          <cell r="A4506" t="str">
            <v>20340.01201</v>
          </cell>
          <cell r="B4506" t="str">
            <v>CONTACTEUR 2,2KW</v>
          </cell>
          <cell r="C4506" t="str">
            <v>100-C09KF10</v>
          </cell>
          <cell r="D4506" t="str">
            <v>PE</v>
          </cell>
          <cell r="E4506" t="str">
            <v>522.52206</v>
          </cell>
          <cell r="F4506">
            <v>195.744</v>
          </cell>
          <cell r="G4506">
            <v>0</v>
          </cell>
          <cell r="H4506">
            <v>0</v>
          </cell>
          <cell r="I4506">
            <v>0</v>
          </cell>
          <cell r="J4506">
            <v>2</v>
          </cell>
          <cell r="K4506">
            <v>0</v>
          </cell>
          <cell r="L4506">
            <v>6</v>
          </cell>
        </row>
        <row r="4507">
          <cell r="A4507" t="str">
            <v>20340.01205</v>
          </cell>
          <cell r="B4507" t="str">
            <v>CONTACTEUR 15KW</v>
          </cell>
          <cell r="C4507" t="str">
            <v>100-C37KF00</v>
          </cell>
          <cell r="D4507" t="str">
            <v>PE</v>
          </cell>
          <cell r="E4507" t="str">
            <v>522.52206</v>
          </cell>
          <cell r="F4507">
            <v>582</v>
          </cell>
          <cell r="G4507">
            <v>0</v>
          </cell>
          <cell r="H4507">
            <v>1</v>
          </cell>
          <cell r="I4507">
            <v>0</v>
          </cell>
          <cell r="J4507">
            <v>0</v>
          </cell>
          <cell r="K4507">
            <v>0</v>
          </cell>
          <cell r="L4507">
            <v>0</v>
          </cell>
        </row>
        <row r="4508">
          <cell r="A4508" t="str">
            <v>20340.01206</v>
          </cell>
          <cell r="B4508" t="str">
            <v>CONTACTEUR 45KW</v>
          </cell>
          <cell r="C4508" t="str">
            <v>100-C85KF10</v>
          </cell>
          <cell r="D4508" t="str">
            <v>PE</v>
          </cell>
          <cell r="E4508" t="str">
            <v>522.52206</v>
          </cell>
          <cell r="F4508">
            <v>1629.6</v>
          </cell>
          <cell r="G4508">
            <v>0</v>
          </cell>
          <cell r="H4508">
            <v>0</v>
          </cell>
          <cell r="I4508">
            <v>0</v>
          </cell>
          <cell r="J4508">
            <v>0</v>
          </cell>
          <cell r="K4508">
            <v>0</v>
          </cell>
          <cell r="L4508">
            <v>2</v>
          </cell>
        </row>
        <row r="4509">
          <cell r="A4509" t="str">
            <v>20340.01199</v>
          </cell>
          <cell r="B4509" t="str">
            <v>RELAIS DE PROTECTION</v>
          </cell>
          <cell r="C4509" t="str">
            <v>193-EF1AKF</v>
          </cell>
          <cell r="D4509" t="str">
            <v>PE</v>
          </cell>
          <cell r="E4509" t="str">
            <v>522.52206</v>
          </cell>
          <cell r="F4509">
            <v>2458.308</v>
          </cell>
          <cell r="G4509">
            <v>0</v>
          </cell>
          <cell r="H4509">
            <v>2</v>
          </cell>
          <cell r="I4509">
            <v>0</v>
          </cell>
          <cell r="J4509">
            <v>0</v>
          </cell>
          <cell r="K4509">
            <v>0</v>
          </cell>
          <cell r="L4509">
            <v>0</v>
          </cell>
        </row>
        <row r="4510">
          <cell r="A4510" t="str">
            <v>20340.01208</v>
          </cell>
          <cell r="B4510" t="str">
            <v>CONTACTEUR 110KW</v>
          </cell>
          <cell r="C4510" t="str">
            <v>100-D140ED11</v>
          </cell>
          <cell r="D4510" t="str">
            <v>PE</v>
          </cell>
          <cell r="E4510" t="str">
            <v>522.52206</v>
          </cell>
          <cell r="F4510">
            <v>2372.91</v>
          </cell>
          <cell r="G4510">
            <v>0</v>
          </cell>
          <cell r="H4510">
            <v>0</v>
          </cell>
          <cell r="I4510">
            <v>0</v>
          </cell>
          <cell r="J4510">
            <v>0</v>
          </cell>
          <cell r="K4510">
            <v>0</v>
          </cell>
          <cell r="L4510">
            <v>4</v>
          </cell>
        </row>
        <row r="4511">
          <cell r="A4511" t="str">
            <v>20492.15607</v>
          </cell>
          <cell r="B4511" t="str">
            <v>VIS</v>
          </cell>
          <cell r="C4511" t="str">
            <v>METSO 31-251206</v>
          </cell>
          <cell r="D4511" t="str">
            <v>PE</v>
          </cell>
          <cell r="E4511" t="str">
            <v>522.52207</v>
          </cell>
          <cell r="F4511">
            <v>34.075400000000002</v>
          </cell>
          <cell r="G4511">
            <v>0</v>
          </cell>
          <cell r="H4511">
            <v>0</v>
          </cell>
          <cell r="I4511">
            <v>0</v>
          </cell>
          <cell r="J4511">
            <v>0</v>
          </cell>
          <cell r="K4511">
            <v>0</v>
          </cell>
          <cell r="L4511">
            <v>228</v>
          </cell>
        </row>
        <row r="4512">
          <cell r="A4512" t="str">
            <v>20340.01209</v>
          </cell>
          <cell r="B4512" t="str">
            <v>CONTACTEUR 132KW</v>
          </cell>
          <cell r="C4512" t="str">
            <v>100-D250ED11</v>
          </cell>
          <cell r="D4512" t="str">
            <v>PE</v>
          </cell>
          <cell r="E4512" t="str">
            <v>522.52206</v>
          </cell>
          <cell r="F4512">
            <v>5704.7759999999998</v>
          </cell>
          <cell r="G4512">
            <v>0</v>
          </cell>
          <cell r="H4512">
            <v>0</v>
          </cell>
          <cell r="I4512">
            <v>0</v>
          </cell>
          <cell r="J4512">
            <v>0</v>
          </cell>
          <cell r="K4512">
            <v>0</v>
          </cell>
          <cell r="L4512">
            <v>2</v>
          </cell>
        </row>
        <row r="4513">
          <cell r="A4513" t="str">
            <v>20340.01210</v>
          </cell>
          <cell r="B4513" t="str">
            <v>CONTACTEUR 160KW</v>
          </cell>
          <cell r="C4513" t="str">
            <v>100-D210ED11</v>
          </cell>
          <cell r="D4513" t="str">
            <v>PE</v>
          </cell>
          <cell r="E4513" t="str">
            <v>522.52206</v>
          </cell>
          <cell r="F4513">
            <v>4306.8</v>
          </cell>
          <cell r="G4513">
            <v>0</v>
          </cell>
          <cell r="H4513">
            <v>3</v>
          </cell>
          <cell r="I4513">
            <v>0</v>
          </cell>
          <cell r="J4513">
            <v>0</v>
          </cell>
          <cell r="K4513">
            <v>0</v>
          </cell>
          <cell r="L4513">
            <v>0</v>
          </cell>
        </row>
        <row r="4514">
          <cell r="A4514" t="str">
            <v>20340.01211</v>
          </cell>
          <cell r="B4514" t="str">
            <v>CONTACTEUR 250KW</v>
          </cell>
          <cell r="C4514" t="str">
            <v>100-D300EA11</v>
          </cell>
          <cell r="D4514" t="str">
            <v>PE</v>
          </cell>
          <cell r="E4514" t="str">
            <v>522.52206</v>
          </cell>
          <cell r="F4514">
            <v>6074.7280000000001</v>
          </cell>
          <cell r="G4514">
            <v>0</v>
          </cell>
          <cell r="H4514">
            <v>2</v>
          </cell>
          <cell r="I4514">
            <v>0</v>
          </cell>
          <cell r="J4514">
            <v>0</v>
          </cell>
          <cell r="K4514">
            <v>0</v>
          </cell>
          <cell r="L4514">
            <v>0</v>
          </cell>
        </row>
        <row r="4515">
          <cell r="A4515" t="str">
            <v>20340.01212</v>
          </cell>
          <cell r="B4515" t="str">
            <v>CONTACTEUR 400KW</v>
          </cell>
          <cell r="C4515" t="str">
            <v>100-D420EA11</v>
          </cell>
          <cell r="D4515" t="str">
            <v>PE</v>
          </cell>
          <cell r="E4515" t="str">
            <v>522.52206</v>
          </cell>
          <cell r="F4515">
            <v>8748.9285999999993</v>
          </cell>
          <cell r="G4515">
            <v>0</v>
          </cell>
          <cell r="H4515">
            <v>2</v>
          </cell>
          <cell r="I4515">
            <v>0</v>
          </cell>
          <cell r="J4515">
            <v>0</v>
          </cell>
          <cell r="K4515">
            <v>0</v>
          </cell>
          <cell r="L4515">
            <v>0</v>
          </cell>
        </row>
        <row r="4516">
          <cell r="A4516" t="str">
            <v>20492.15608</v>
          </cell>
          <cell r="B4516" t="str">
            <v>ECROU</v>
          </cell>
          <cell r="C4516" t="str">
            <v>METSO 31-250831</v>
          </cell>
          <cell r="D4516" t="str">
            <v>PE</v>
          </cell>
          <cell r="E4516" t="str">
            <v>522.52207</v>
          </cell>
          <cell r="F4516">
            <v>11.358499999999999</v>
          </cell>
          <cell r="G4516">
            <v>0</v>
          </cell>
          <cell r="H4516">
            <v>0</v>
          </cell>
          <cell r="I4516">
            <v>0</v>
          </cell>
          <cell r="J4516">
            <v>0</v>
          </cell>
          <cell r="K4516">
            <v>0</v>
          </cell>
          <cell r="L4516">
            <v>290</v>
          </cell>
        </row>
        <row r="4517">
          <cell r="A4517" t="str">
            <v>20492.15609</v>
          </cell>
          <cell r="B4517" t="str">
            <v>RONDELLE FREIN</v>
          </cell>
          <cell r="C4517" t="str">
            <v>METSO 31-200025</v>
          </cell>
          <cell r="D4517" t="str">
            <v>PE</v>
          </cell>
          <cell r="E4517" t="str">
            <v>522.52207</v>
          </cell>
          <cell r="F4517">
            <v>64.334500000000006</v>
          </cell>
          <cell r="G4517">
            <v>0</v>
          </cell>
          <cell r="H4517">
            <v>0</v>
          </cell>
          <cell r="I4517">
            <v>0</v>
          </cell>
          <cell r="J4517">
            <v>0</v>
          </cell>
          <cell r="K4517">
            <v>0</v>
          </cell>
          <cell r="L4517">
            <v>0</v>
          </cell>
        </row>
        <row r="4518">
          <cell r="A4518" t="str">
            <v>20492.15610</v>
          </cell>
          <cell r="B4518" t="str">
            <v>RONDELLE FREIN</v>
          </cell>
          <cell r="C4518" t="str">
            <v>METSO 31-200024</v>
          </cell>
          <cell r="D4518" t="str">
            <v>PE</v>
          </cell>
          <cell r="E4518" t="str">
            <v>522.52207</v>
          </cell>
          <cell r="F4518">
            <v>11.358499999999999</v>
          </cell>
          <cell r="G4518">
            <v>0</v>
          </cell>
          <cell r="H4518">
            <v>0</v>
          </cell>
          <cell r="I4518">
            <v>0</v>
          </cell>
          <cell r="J4518">
            <v>0</v>
          </cell>
          <cell r="K4518">
            <v>0</v>
          </cell>
          <cell r="L4518">
            <v>282</v>
          </cell>
        </row>
        <row r="4519">
          <cell r="A4519" t="str">
            <v>20492.15611</v>
          </cell>
          <cell r="B4519" t="str">
            <v>JOINT CAOUTCHOUC</v>
          </cell>
          <cell r="C4519" t="str">
            <v>METSO 31-248007</v>
          </cell>
          <cell r="D4519" t="str">
            <v>PE</v>
          </cell>
          <cell r="E4519" t="str">
            <v>522.52207</v>
          </cell>
          <cell r="F4519">
            <v>22.716899999999999</v>
          </cell>
          <cell r="G4519">
            <v>0</v>
          </cell>
          <cell r="H4519">
            <v>0</v>
          </cell>
          <cell r="I4519">
            <v>0</v>
          </cell>
          <cell r="J4519">
            <v>0</v>
          </cell>
          <cell r="K4519">
            <v>0</v>
          </cell>
          <cell r="L4519">
            <v>286</v>
          </cell>
        </row>
        <row r="4520">
          <cell r="A4520" t="str">
            <v>20492.15612</v>
          </cell>
          <cell r="B4520" t="str">
            <v>ATTACHE BLOC</v>
          </cell>
          <cell r="C4520" t="str">
            <v>METSO 31-209566</v>
          </cell>
          <cell r="D4520" t="str">
            <v>PE</v>
          </cell>
          <cell r="E4520" t="str">
            <v>522.52207</v>
          </cell>
          <cell r="F4520">
            <v>45.433900000000001</v>
          </cell>
          <cell r="G4520">
            <v>0</v>
          </cell>
          <cell r="H4520">
            <v>0</v>
          </cell>
          <cell r="I4520">
            <v>0</v>
          </cell>
          <cell r="J4520">
            <v>0</v>
          </cell>
          <cell r="K4520">
            <v>0</v>
          </cell>
          <cell r="L4520">
            <v>286</v>
          </cell>
        </row>
        <row r="4521">
          <cell r="A4521" t="str">
            <v>20340.01225</v>
          </cell>
          <cell r="B4521" t="str">
            <v>CONTACTEUR   88KW 660V</v>
          </cell>
          <cell r="C4521" t="str">
            <v>100-D180KF11</v>
          </cell>
          <cell r="D4521" t="str">
            <v>PE</v>
          </cell>
          <cell r="E4521" t="str">
            <v>522.52206</v>
          </cell>
          <cell r="F4521">
            <v>2400</v>
          </cell>
          <cell r="G4521">
            <v>0</v>
          </cell>
          <cell r="H4521">
            <v>0</v>
          </cell>
          <cell r="I4521">
            <v>0</v>
          </cell>
          <cell r="J4521">
            <v>0</v>
          </cell>
          <cell r="K4521">
            <v>0</v>
          </cell>
          <cell r="L4521">
            <v>3</v>
          </cell>
        </row>
        <row r="4522">
          <cell r="A4522" t="str">
            <v>20492.13302</v>
          </cell>
          <cell r="B4522" t="str">
            <v>DEPART MOTEUR 42KW</v>
          </cell>
          <cell r="C4522" t="str">
            <v>EATON T3C45EDZG-AMMSBCSS010SEMR-1SS POUR TABLEAU MCC REP GEOGRAPHIQUE 303-EB-40</v>
          </cell>
          <cell r="D4522" t="str">
            <v>PE</v>
          </cell>
          <cell r="E4522" t="str">
            <v>522.52206</v>
          </cell>
          <cell r="F4522">
            <v>37500</v>
          </cell>
          <cell r="G4522">
            <v>0</v>
          </cell>
          <cell r="H4522">
            <v>0</v>
          </cell>
          <cell r="I4522">
            <v>1</v>
          </cell>
          <cell r="J4522">
            <v>0</v>
          </cell>
          <cell r="K4522">
            <v>0</v>
          </cell>
          <cell r="L4522">
            <v>0</v>
          </cell>
        </row>
        <row r="4523">
          <cell r="A4523" t="str">
            <v>20492.13317</v>
          </cell>
          <cell r="B4523" t="str">
            <v>KIT TC 3200 A</v>
          </cell>
          <cell r="C4523" t="str">
            <v>EATON TACB-D320A-35  ACCESSOIRES POUR TABLEAU MCC</v>
          </cell>
          <cell r="D4523" t="str">
            <v>PE</v>
          </cell>
          <cell r="E4523" t="str">
            <v>522.52206</v>
          </cell>
          <cell r="F4523">
            <v>25110</v>
          </cell>
          <cell r="G4523">
            <v>0</v>
          </cell>
          <cell r="H4523">
            <v>0</v>
          </cell>
          <cell r="I4523">
            <v>0</v>
          </cell>
          <cell r="J4523">
            <v>0</v>
          </cell>
          <cell r="K4523">
            <v>0</v>
          </cell>
          <cell r="L4523">
            <v>1</v>
          </cell>
        </row>
        <row r="4524">
          <cell r="A4524" t="str">
            <v>20492.13316</v>
          </cell>
          <cell r="B4524" t="str">
            <v>KIT TC 1600A</v>
          </cell>
          <cell r="C4524" t="str">
            <v>EATON TACB-D160A-35  ACCESSOIRES POUR TABLEAU MCC</v>
          </cell>
          <cell r="D4524" t="str">
            <v>PE</v>
          </cell>
          <cell r="E4524" t="str">
            <v>522.52206</v>
          </cell>
          <cell r="F4524">
            <v>16833</v>
          </cell>
          <cell r="G4524">
            <v>0</v>
          </cell>
          <cell r="H4524">
            <v>0</v>
          </cell>
          <cell r="I4524">
            <v>0</v>
          </cell>
          <cell r="J4524">
            <v>0</v>
          </cell>
          <cell r="K4524">
            <v>0</v>
          </cell>
          <cell r="L4524">
            <v>2</v>
          </cell>
        </row>
        <row r="4525">
          <cell r="A4525" t="str">
            <v>20340.01616</v>
          </cell>
          <cell r="B4525" t="str">
            <v>SONDE DE VIBRATION 9842V</v>
          </cell>
          <cell r="C4525" t="str">
            <v>EK-48958</v>
          </cell>
          <cell r="D4525" t="str">
            <v>PE</v>
          </cell>
          <cell r="E4525" t="str">
            <v>522.52206</v>
          </cell>
          <cell r="F4525">
            <v>9789</v>
          </cell>
          <cell r="G4525">
            <v>0</v>
          </cell>
          <cell r="H4525">
            <v>0</v>
          </cell>
          <cell r="I4525">
            <v>3</v>
          </cell>
          <cell r="J4525">
            <v>0</v>
          </cell>
          <cell r="K4525">
            <v>0</v>
          </cell>
          <cell r="L4525">
            <v>0</v>
          </cell>
        </row>
        <row r="4526">
          <cell r="A4526" t="str">
            <v>20340.01617</v>
          </cell>
          <cell r="B4526" t="str">
            <v>CABLE P/SONDE DE VIBRATION 9842V</v>
          </cell>
          <cell r="C4526" t="str">
            <v>EK-46800I</v>
          </cell>
          <cell r="D4526" t="str">
            <v>PE</v>
          </cell>
          <cell r="E4526" t="str">
            <v>522.52206</v>
          </cell>
          <cell r="F4526">
            <v>2999</v>
          </cell>
          <cell r="G4526">
            <v>0</v>
          </cell>
          <cell r="H4526">
            <v>0</v>
          </cell>
          <cell r="I4526">
            <v>3</v>
          </cell>
          <cell r="J4526">
            <v>0</v>
          </cell>
          <cell r="K4526">
            <v>0</v>
          </cell>
          <cell r="L4526">
            <v>0</v>
          </cell>
        </row>
        <row r="4527">
          <cell r="A4527" t="str">
            <v>20340.01626</v>
          </cell>
          <cell r="B4527" t="str">
            <v>RELAIS 230 VAC</v>
          </cell>
          <cell r="C4527" t="str">
            <v>700-HK32A2</v>
          </cell>
          <cell r="D4527" t="str">
            <v>PE</v>
          </cell>
          <cell r="E4527" t="str">
            <v>522.52206</v>
          </cell>
          <cell r="F4527">
            <v>80</v>
          </cell>
          <cell r="G4527">
            <v>0</v>
          </cell>
          <cell r="H4527">
            <v>0</v>
          </cell>
          <cell r="I4527">
            <v>0</v>
          </cell>
          <cell r="J4527">
            <v>0</v>
          </cell>
          <cell r="K4527">
            <v>0</v>
          </cell>
          <cell r="L4527">
            <v>15</v>
          </cell>
        </row>
        <row r="4528">
          <cell r="A4528" t="str">
            <v>20492.15613</v>
          </cell>
          <cell r="B4528" t="str">
            <v>JOINT</v>
          </cell>
          <cell r="C4528" t="str">
            <v>METSO 31-251918</v>
          </cell>
          <cell r="D4528" t="str">
            <v>PE</v>
          </cell>
          <cell r="E4528" t="str">
            <v>522.52207</v>
          </cell>
          <cell r="F4528">
            <v>11.358499999999999</v>
          </cell>
          <cell r="G4528">
            <v>0</v>
          </cell>
          <cell r="H4528">
            <v>0</v>
          </cell>
          <cell r="I4528">
            <v>0</v>
          </cell>
          <cell r="J4528">
            <v>0</v>
          </cell>
          <cell r="K4528">
            <v>0</v>
          </cell>
          <cell r="L4528">
            <v>286</v>
          </cell>
        </row>
        <row r="4529">
          <cell r="A4529" t="str">
            <v>20492.15614</v>
          </cell>
          <cell r="B4529" t="str">
            <v>RACCORD UNION</v>
          </cell>
          <cell r="C4529" t="str">
            <v>METSO BK24217117</v>
          </cell>
          <cell r="D4529" t="str">
            <v>PE</v>
          </cell>
          <cell r="E4529" t="str">
            <v>522.52207</v>
          </cell>
          <cell r="F4529">
            <v>260.3965</v>
          </cell>
          <cell r="G4529">
            <v>0</v>
          </cell>
          <cell r="H4529">
            <v>0</v>
          </cell>
          <cell r="I4529">
            <v>0</v>
          </cell>
          <cell r="J4529">
            <v>0</v>
          </cell>
          <cell r="K4529">
            <v>12</v>
          </cell>
          <cell r="L4529">
            <v>0</v>
          </cell>
        </row>
        <row r="4530">
          <cell r="A4530" t="str">
            <v>20492.15615</v>
          </cell>
          <cell r="B4530" t="str">
            <v>RACCORD UNION</v>
          </cell>
          <cell r="C4530" t="str">
            <v>METSO BK14217131</v>
          </cell>
          <cell r="D4530" t="str">
            <v>PE</v>
          </cell>
          <cell r="E4530" t="str">
            <v>522.52207</v>
          </cell>
          <cell r="F4530">
            <v>1526.8706</v>
          </cell>
          <cell r="G4530">
            <v>0</v>
          </cell>
          <cell r="H4530">
            <v>0</v>
          </cell>
          <cell r="I4530">
            <v>0</v>
          </cell>
          <cell r="J4530">
            <v>0</v>
          </cell>
          <cell r="K4530">
            <v>0</v>
          </cell>
          <cell r="L4530">
            <v>16</v>
          </cell>
        </row>
        <row r="4531">
          <cell r="A4531" t="str">
            <v>20492.15616</v>
          </cell>
          <cell r="B4531" t="str">
            <v>KIT DE MAINTENANCE DU REDUCTEUR DE L'ENTRAINEMENT A MARCHE LENTE</v>
          </cell>
          <cell r="C4531" t="str">
            <v>METSO 04-999999 KIT</v>
          </cell>
          <cell r="D4531" t="str">
            <v>PE</v>
          </cell>
          <cell r="E4531" t="str">
            <v>522.52207</v>
          </cell>
          <cell r="F4531">
            <v>276143.82319999998</v>
          </cell>
          <cell r="G4531">
            <v>0</v>
          </cell>
          <cell r="H4531">
            <v>0</v>
          </cell>
          <cell r="I4531">
            <v>0</v>
          </cell>
          <cell r="J4531">
            <v>0</v>
          </cell>
          <cell r="K4531">
            <v>0</v>
          </cell>
          <cell r="L4531">
            <v>1</v>
          </cell>
        </row>
        <row r="4532">
          <cell r="A4532" t="str">
            <v>20492.03390</v>
          </cell>
          <cell r="B4532" t="str">
            <v>ELEMENT INTERNE POUR LAVEUR DES GAZ</v>
          </cell>
          <cell r="C4532" t="str">
            <v>KIMRE  KON-TAN  874MM Lx250MM Wx2923MM H</v>
          </cell>
          <cell r="D4532" t="str">
            <v>PE</v>
          </cell>
          <cell r="E4532" t="str">
            <v>515.51506</v>
          </cell>
          <cell r="F4532">
            <v>64500</v>
          </cell>
          <cell r="G4532">
            <v>0</v>
          </cell>
          <cell r="H4532">
            <v>0</v>
          </cell>
          <cell r="I4532">
            <v>0</v>
          </cell>
          <cell r="J4532">
            <v>0</v>
          </cell>
          <cell r="K4532">
            <v>0</v>
          </cell>
          <cell r="L4532">
            <v>0</v>
          </cell>
        </row>
        <row r="4533">
          <cell r="A4533" t="str">
            <v>20492.03394</v>
          </cell>
          <cell r="B4533" t="str">
            <v>TOILE POUR CRIBLE</v>
          </cell>
          <cell r="C4533" t="str">
            <v>DERRICK  48X30 PANEL 500U P/MODELE 2SG48-60R-5STK</v>
          </cell>
          <cell r="D4533" t="str">
            <v>PE</v>
          </cell>
          <cell r="E4533" t="str">
            <v>515.51506</v>
          </cell>
          <cell r="F4533">
            <v>5738.6841999999997</v>
          </cell>
          <cell r="G4533">
            <v>0</v>
          </cell>
          <cell r="H4533">
            <v>0</v>
          </cell>
          <cell r="I4533">
            <v>0</v>
          </cell>
          <cell r="J4533">
            <v>0</v>
          </cell>
          <cell r="K4533">
            <v>0</v>
          </cell>
          <cell r="L4533">
            <v>0</v>
          </cell>
        </row>
        <row r="4534">
          <cell r="A4534" t="str">
            <v>20492.03395</v>
          </cell>
          <cell r="B4534" t="str">
            <v>TOILE POUR CRIBLE</v>
          </cell>
          <cell r="C4534" t="str">
            <v>DERRICK  48X30 PANEL 700U P/MODELE 2SG48-60R-5STK</v>
          </cell>
          <cell r="D4534" t="str">
            <v>PE</v>
          </cell>
          <cell r="E4534" t="str">
            <v>515.51506</v>
          </cell>
          <cell r="F4534">
            <v>5989.6153000000004</v>
          </cell>
          <cell r="G4534">
            <v>0</v>
          </cell>
          <cell r="H4534">
            <v>0</v>
          </cell>
          <cell r="I4534">
            <v>0</v>
          </cell>
          <cell r="J4534">
            <v>0</v>
          </cell>
          <cell r="K4534">
            <v>0</v>
          </cell>
          <cell r="L4534">
            <v>0</v>
          </cell>
        </row>
        <row r="4535">
          <cell r="A4535" t="str">
            <v>20497.10237</v>
          </cell>
          <cell r="B4535" t="str">
            <v>JOINT</v>
          </cell>
          <cell r="C4535" t="str">
            <v>HIBON C122305025 TYPE AL140+ PLAN E54.1724 REP 0031</v>
          </cell>
          <cell r="D4535" t="str">
            <v>PE</v>
          </cell>
          <cell r="E4535" t="str">
            <v>515.51503</v>
          </cell>
          <cell r="F4535">
            <v>1331.5649000000001</v>
          </cell>
          <cell r="G4535">
            <v>0</v>
          </cell>
          <cell r="H4535">
            <v>0</v>
          </cell>
          <cell r="I4535">
            <v>0</v>
          </cell>
          <cell r="J4535">
            <v>0</v>
          </cell>
          <cell r="K4535">
            <v>2</v>
          </cell>
          <cell r="L4535">
            <v>4</v>
          </cell>
        </row>
        <row r="4536">
          <cell r="A4536" t="str">
            <v>20497.10238</v>
          </cell>
          <cell r="B4536" t="str">
            <v>JOINT</v>
          </cell>
          <cell r="C4536" t="str">
            <v xml:space="preserve">HIBON C271622015 TYPE AL140+ PLAN E54.1724 </v>
          </cell>
          <cell r="D4536" t="str">
            <v>PE</v>
          </cell>
          <cell r="E4536" t="str">
            <v>515.51503</v>
          </cell>
          <cell r="F4536">
            <v>264.22430000000003</v>
          </cell>
          <cell r="G4536">
            <v>0</v>
          </cell>
          <cell r="H4536">
            <v>0</v>
          </cell>
          <cell r="I4536">
            <v>0</v>
          </cell>
          <cell r="J4536">
            <v>0</v>
          </cell>
          <cell r="K4536">
            <v>2</v>
          </cell>
          <cell r="L4536">
            <v>4</v>
          </cell>
        </row>
        <row r="4537">
          <cell r="A4537" t="str">
            <v>20497.10239</v>
          </cell>
          <cell r="B4537" t="str">
            <v>FEUTRE</v>
          </cell>
          <cell r="C4537" t="str">
            <v>HIBON C981003636 TYPE AL140+ PLAN E54.1724  REP 0038</v>
          </cell>
          <cell r="D4537" t="str">
            <v>PE</v>
          </cell>
          <cell r="E4537" t="str">
            <v>515.51503</v>
          </cell>
          <cell r="F4537">
            <v>68.796499999999995</v>
          </cell>
          <cell r="G4537">
            <v>0</v>
          </cell>
          <cell r="H4537">
            <v>0</v>
          </cell>
          <cell r="I4537">
            <v>0</v>
          </cell>
          <cell r="J4537">
            <v>0</v>
          </cell>
          <cell r="K4537">
            <v>2</v>
          </cell>
          <cell r="L4537">
            <v>4</v>
          </cell>
        </row>
        <row r="4538">
          <cell r="A4538" t="str">
            <v>20497.10240</v>
          </cell>
          <cell r="B4538" t="str">
            <v>JOINT DE TUBULAIRE</v>
          </cell>
          <cell r="C4538" t="str">
            <v xml:space="preserve">HIBON  P544004657 TYPE AL140+ PLAN E54.1724  </v>
          </cell>
          <cell r="D4538" t="str">
            <v>PE</v>
          </cell>
          <cell r="E4538" t="str">
            <v>515.51503</v>
          </cell>
          <cell r="F4538">
            <v>575.31150000000002</v>
          </cell>
          <cell r="G4538">
            <v>0</v>
          </cell>
          <cell r="H4538">
            <v>0</v>
          </cell>
          <cell r="I4538">
            <v>0</v>
          </cell>
          <cell r="J4538">
            <v>0</v>
          </cell>
          <cell r="K4538">
            <v>2</v>
          </cell>
          <cell r="L4538">
            <v>4</v>
          </cell>
        </row>
        <row r="4539">
          <cell r="A4539" t="str">
            <v>20497.00608</v>
          </cell>
          <cell r="B4539" t="str">
            <v>ECROU DE ROULEMENT</v>
          </cell>
          <cell r="C4539" t="str">
            <v>GOULDS PUMPS IC-100-65-200   SERIE I 601E 25/26/27  REP 923.51</v>
          </cell>
          <cell r="D4539" t="str">
            <v>PE</v>
          </cell>
          <cell r="E4539" t="str">
            <v>515.51517</v>
          </cell>
          <cell r="F4539">
            <v>413.63600000000002</v>
          </cell>
          <cell r="G4539">
            <v>0</v>
          </cell>
          <cell r="H4539">
            <v>0</v>
          </cell>
          <cell r="I4539">
            <v>0</v>
          </cell>
          <cell r="J4539">
            <v>0</v>
          </cell>
          <cell r="K4539">
            <v>0</v>
          </cell>
          <cell r="L4539">
            <v>1</v>
          </cell>
        </row>
        <row r="4540">
          <cell r="A4540" t="str">
            <v>20497.10249</v>
          </cell>
          <cell r="B4540" t="str">
            <v>LANTERNE DE PRESSE ETOUPE</v>
          </cell>
          <cell r="C4540" t="str">
            <v>HIBON P544073318 TYPE AL140+ PLAN E54.1724  REP 27</v>
          </cell>
          <cell r="D4540" t="str">
            <v>PE</v>
          </cell>
          <cell r="E4540" t="str">
            <v>515.51503</v>
          </cell>
          <cell r="F4540">
            <v>15323.1996</v>
          </cell>
          <cell r="G4540">
            <v>0</v>
          </cell>
          <cell r="H4540">
            <v>0</v>
          </cell>
          <cell r="I4540">
            <v>0</v>
          </cell>
          <cell r="J4540">
            <v>0</v>
          </cell>
          <cell r="K4540">
            <v>0</v>
          </cell>
          <cell r="L4540">
            <v>4</v>
          </cell>
        </row>
        <row r="4541">
          <cell r="A4541" t="str">
            <v>20497.00609</v>
          </cell>
          <cell r="B4541" t="str">
            <v>JOINT</v>
          </cell>
          <cell r="C4541" t="str">
            <v>GOULDS PUMPS IC-100-65-200   SERIE I 601E 25/26/27  REP 400</v>
          </cell>
          <cell r="D4541" t="str">
            <v>PE</v>
          </cell>
          <cell r="E4541" t="str">
            <v>515.51517</v>
          </cell>
          <cell r="F4541">
            <v>560.15869999999995</v>
          </cell>
          <cell r="G4541">
            <v>0</v>
          </cell>
          <cell r="H4541">
            <v>0</v>
          </cell>
          <cell r="I4541">
            <v>0</v>
          </cell>
          <cell r="J4541">
            <v>0</v>
          </cell>
          <cell r="K4541">
            <v>0</v>
          </cell>
          <cell r="L4541">
            <v>1</v>
          </cell>
        </row>
        <row r="4542">
          <cell r="A4542" t="str">
            <v>20497.00610</v>
          </cell>
          <cell r="B4542" t="str">
            <v>JOINT</v>
          </cell>
          <cell r="C4542" t="str">
            <v>GOULDS PUMPSIC-100-65-200  SERIE I 601E 25/26/27  REP 400A</v>
          </cell>
          <cell r="D4542" t="str">
            <v>PE</v>
          </cell>
          <cell r="E4542" t="str">
            <v>515.51517</v>
          </cell>
          <cell r="F4542">
            <v>68.958699999999993</v>
          </cell>
          <cell r="G4542">
            <v>0</v>
          </cell>
          <cell r="H4542">
            <v>0</v>
          </cell>
          <cell r="I4542">
            <v>0</v>
          </cell>
          <cell r="J4542">
            <v>0</v>
          </cell>
          <cell r="K4542">
            <v>1</v>
          </cell>
          <cell r="L4542">
            <v>0</v>
          </cell>
        </row>
        <row r="4543">
          <cell r="A4543" t="str">
            <v>20497.00611</v>
          </cell>
          <cell r="B4543" t="str">
            <v>JOINT</v>
          </cell>
          <cell r="C4543" t="str">
            <v>GOULDS PUMPS IC-100-65-200  SERIE I 601E 25/26/27  REP 412.21</v>
          </cell>
          <cell r="D4543" t="str">
            <v>PE</v>
          </cell>
          <cell r="E4543" t="str">
            <v>515.51517</v>
          </cell>
          <cell r="F4543">
            <v>77.563999999999993</v>
          </cell>
          <cell r="G4543">
            <v>0</v>
          </cell>
          <cell r="H4543">
            <v>0</v>
          </cell>
          <cell r="I4543">
            <v>0</v>
          </cell>
          <cell r="J4543">
            <v>0</v>
          </cell>
          <cell r="K4543">
            <v>1</v>
          </cell>
          <cell r="L4543">
            <v>0</v>
          </cell>
        </row>
        <row r="4544">
          <cell r="A4544" t="str">
            <v>20497.00614</v>
          </cell>
          <cell r="B4544" t="str">
            <v>BAGUE RADIALE D'ARBRE</v>
          </cell>
          <cell r="C4544" t="str">
            <v>GOULDS PUMPS IC-100-65-250   SERIE I 601E 30/31  REP 421.41</v>
          </cell>
          <cell r="D4544" t="str">
            <v>PE</v>
          </cell>
          <cell r="E4544" t="str">
            <v>515.51517</v>
          </cell>
          <cell r="F4544">
            <v>439.45190000000002</v>
          </cell>
          <cell r="G4544">
            <v>0</v>
          </cell>
          <cell r="H4544">
            <v>0</v>
          </cell>
          <cell r="I4544">
            <v>0</v>
          </cell>
          <cell r="J4544">
            <v>0</v>
          </cell>
          <cell r="K4544">
            <v>0</v>
          </cell>
          <cell r="L4544">
            <v>2</v>
          </cell>
        </row>
        <row r="4545">
          <cell r="A4545" t="str">
            <v>20497.00616</v>
          </cell>
          <cell r="B4545" t="str">
            <v>CHEMISE D'ARBRE</v>
          </cell>
          <cell r="C4545" t="str">
            <v>GOULDS PUMPS IC-100-65-250  SERIE I 601E 30/31  REP 524</v>
          </cell>
          <cell r="D4545" t="str">
            <v>PE</v>
          </cell>
          <cell r="E4545" t="str">
            <v>515.51517</v>
          </cell>
          <cell r="F4545">
            <v>2602.29</v>
          </cell>
          <cell r="G4545">
            <v>0</v>
          </cell>
          <cell r="H4545">
            <v>0</v>
          </cell>
          <cell r="I4545">
            <v>0</v>
          </cell>
          <cell r="J4545">
            <v>0</v>
          </cell>
          <cell r="K4545">
            <v>0</v>
          </cell>
          <cell r="L4545">
            <v>1</v>
          </cell>
        </row>
        <row r="4546">
          <cell r="A4546" t="str">
            <v>20497.00617</v>
          </cell>
          <cell r="B4546" t="str">
            <v>CIRCLIPS</v>
          </cell>
          <cell r="C4546" t="str">
            <v>GOULDS PUMPS IC-100-65-250  SERIE I 601E 30/31  REP 932.51</v>
          </cell>
          <cell r="D4546" t="str">
            <v>PE</v>
          </cell>
          <cell r="E4546" t="str">
            <v>515.51517</v>
          </cell>
          <cell r="F4546">
            <v>68.958699999999993</v>
          </cell>
          <cell r="G4546">
            <v>0</v>
          </cell>
          <cell r="H4546">
            <v>0</v>
          </cell>
          <cell r="I4546">
            <v>0</v>
          </cell>
          <cell r="J4546">
            <v>0</v>
          </cell>
          <cell r="K4546">
            <v>2</v>
          </cell>
          <cell r="L4546">
            <v>0</v>
          </cell>
        </row>
        <row r="4547">
          <cell r="A4547" t="str">
            <v>20497.10113</v>
          </cell>
          <cell r="B4547" t="str">
            <v>ARBRE DU CORPS CODE 2218</v>
          </cell>
          <cell r="C4547" t="str">
            <v>GOULDS PUMPS VIT-CATM-TS10X14RHMC (4ÉTAGES) POMPES  SERIE SO 513367/68   REP: 660</v>
          </cell>
          <cell r="D4547" t="str">
            <v>PE</v>
          </cell>
          <cell r="E4547" t="str">
            <v>515.51517</v>
          </cell>
          <cell r="F4547">
            <v>68377</v>
          </cell>
          <cell r="G4547">
            <v>0</v>
          </cell>
          <cell r="H4547">
            <v>0</v>
          </cell>
          <cell r="I4547">
            <v>1</v>
          </cell>
          <cell r="J4547">
            <v>0</v>
          </cell>
          <cell r="K4547">
            <v>0</v>
          </cell>
          <cell r="L4547">
            <v>0</v>
          </cell>
        </row>
        <row r="4548">
          <cell r="A4548" t="str">
            <v>20497.10257</v>
          </cell>
          <cell r="B4548" t="str">
            <v>DOUILLE D'USURE SOUS TRESSE</v>
          </cell>
          <cell r="C4548" t="str">
            <v>HIBON P544041726 TYPE AL140+ PLAN E54.1724  REP 19</v>
          </cell>
          <cell r="D4548" t="str">
            <v>PE</v>
          </cell>
          <cell r="E4548" t="str">
            <v>515.51503</v>
          </cell>
          <cell r="F4548">
            <v>76701.616200000004</v>
          </cell>
          <cell r="G4548">
            <v>0</v>
          </cell>
          <cell r="H4548">
            <v>0</v>
          </cell>
          <cell r="I4548">
            <v>0</v>
          </cell>
          <cell r="J4548">
            <v>0</v>
          </cell>
          <cell r="K4548">
            <v>2</v>
          </cell>
          <cell r="L4548">
            <v>4</v>
          </cell>
        </row>
        <row r="4549">
          <cell r="A4549" t="str">
            <v>20497.10258</v>
          </cell>
          <cell r="B4549" t="str">
            <v>BOITIER PRESSE ETOUPE</v>
          </cell>
          <cell r="C4549" t="str">
            <v>HIBON P544081418 TYPE AL140+ PLAN E54.1724  REP 015</v>
          </cell>
          <cell r="D4549" t="str">
            <v>PE</v>
          </cell>
          <cell r="E4549" t="str">
            <v>515.51503</v>
          </cell>
          <cell r="F4549">
            <v>27060.5</v>
          </cell>
          <cell r="G4549">
            <v>0</v>
          </cell>
          <cell r="H4549">
            <v>0</v>
          </cell>
          <cell r="I4549">
            <v>0</v>
          </cell>
          <cell r="J4549">
            <v>0</v>
          </cell>
          <cell r="K4549">
            <v>0</v>
          </cell>
          <cell r="L4549">
            <v>2</v>
          </cell>
        </row>
        <row r="4550">
          <cell r="A4550" t="str">
            <v>20497.10250</v>
          </cell>
          <cell r="B4550" t="str">
            <v>ARBRE DE COMMANDE</v>
          </cell>
          <cell r="C4550" t="str">
            <v>HIBON P544002435C TYPE AL140+ PLAN E54.1724  REP 005</v>
          </cell>
          <cell r="D4550" t="str">
            <v>PE</v>
          </cell>
          <cell r="E4550" t="str">
            <v>515.51503</v>
          </cell>
          <cell r="F4550">
            <v>710211.59649999999</v>
          </cell>
          <cell r="G4550">
            <v>0</v>
          </cell>
          <cell r="H4550">
            <v>0</v>
          </cell>
          <cell r="I4550">
            <v>0</v>
          </cell>
          <cell r="J4550">
            <v>0</v>
          </cell>
          <cell r="K4550">
            <v>1</v>
          </cell>
          <cell r="L4550">
            <v>1</v>
          </cell>
        </row>
        <row r="4551">
          <cell r="A4551" t="str">
            <v>20497.10251</v>
          </cell>
          <cell r="B4551" t="str">
            <v>PRESSE ETOUPE</v>
          </cell>
          <cell r="C4551" t="str">
            <v>HIBON P544041518 TYPE AL140+ PLAN E54.1724  REP 016</v>
          </cell>
          <cell r="D4551" t="str">
            <v>PE</v>
          </cell>
          <cell r="E4551" t="str">
            <v>515.51503</v>
          </cell>
          <cell r="F4551">
            <v>10356.086499999999</v>
          </cell>
          <cell r="G4551">
            <v>0</v>
          </cell>
          <cell r="H4551">
            <v>0</v>
          </cell>
          <cell r="I4551">
            <v>0</v>
          </cell>
          <cell r="J4551">
            <v>0</v>
          </cell>
          <cell r="K4551">
            <v>0</v>
          </cell>
          <cell r="L4551">
            <v>2</v>
          </cell>
        </row>
        <row r="4552">
          <cell r="A4552" t="str">
            <v>20497.00618</v>
          </cell>
          <cell r="B4552" t="str">
            <v>ECROU DE ROUE</v>
          </cell>
          <cell r="C4552" t="str">
            <v>GOULDS PUMPS IC-100-65-250   SERIE I 601E 30/31  REP 922</v>
          </cell>
          <cell r="D4552" t="str">
            <v>PE</v>
          </cell>
          <cell r="E4552" t="str">
            <v>515.51517</v>
          </cell>
          <cell r="F4552">
            <v>2326.5713999999998</v>
          </cell>
          <cell r="G4552">
            <v>0</v>
          </cell>
          <cell r="H4552">
            <v>0</v>
          </cell>
          <cell r="I4552">
            <v>0</v>
          </cell>
          <cell r="J4552">
            <v>0</v>
          </cell>
          <cell r="K4552">
            <v>0</v>
          </cell>
          <cell r="L4552">
            <v>1</v>
          </cell>
        </row>
        <row r="4553">
          <cell r="A4553" t="str">
            <v>20497.00619</v>
          </cell>
          <cell r="B4553" t="str">
            <v>ECROU DE ROULEMENT</v>
          </cell>
          <cell r="C4553" t="str">
            <v>GOULDS PUMPS IC-100-65-250   SERIE I 601E 30/31  REP 923.51</v>
          </cell>
          <cell r="D4553" t="str">
            <v>PE</v>
          </cell>
          <cell r="E4553" t="str">
            <v>515.51517</v>
          </cell>
          <cell r="F4553">
            <v>413.63600000000002</v>
          </cell>
          <cell r="G4553">
            <v>0</v>
          </cell>
          <cell r="H4553">
            <v>0</v>
          </cell>
          <cell r="I4553">
            <v>0</v>
          </cell>
          <cell r="J4553">
            <v>0</v>
          </cell>
          <cell r="K4553">
            <v>0</v>
          </cell>
          <cell r="L4553">
            <v>1</v>
          </cell>
        </row>
        <row r="4554">
          <cell r="A4554" t="str">
            <v>20497.00620</v>
          </cell>
          <cell r="B4554" t="str">
            <v>JOINT</v>
          </cell>
          <cell r="C4554" t="str">
            <v>GOULDS PUMPS IC-100-65-250  SERIE I 601E 30/31  REP 400</v>
          </cell>
          <cell r="D4554" t="str">
            <v>PE</v>
          </cell>
          <cell r="E4554" t="str">
            <v>515.51517</v>
          </cell>
          <cell r="F4554">
            <v>723.83389999999997</v>
          </cell>
          <cell r="G4554">
            <v>0</v>
          </cell>
          <cell r="H4554">
            <v>0</v>
          </cell>
          <cell r="I4554">
            <v>0</v>
          </cell>
          <cell r="J4554">
            <v>0</v>
          </cell>
          <cell r="K4554">
            <v>0</v>
          </cell>
          <cell r="L4554">
            <v>2</v>
          </cell>
        </row>
        <row r="4555">
          <cell r="A4555" t="str">
            <v>20497.00621</v>
          </cell>
          <cell r="B4555" t="str">
            <v>JOINT</v>
          </cell>
          <cell r="C4555" t="str">
            <v>GOULDS PUMPS IC-100-65-250   SERIE I 601E 30/31  REP 400A</v>
          </cell>
          <cell r="D4555" t="str">
            <v>PE</v>
          </cell>
          <cell r="E4555" t="str">
            <v>515.51517</v>
          </cell>
          <cell r="F4555">
            <v>68.958699999999993</v>
          </cell>
          <cell r="G4555">
            <v>0</v>
          </cell>
          <cell r="H4555">
            <v>0</v>
          </cell>
          <cell r="I4555">
            <v>0</v>
          </cell>
          <cell r="J4555">
            <v>0</v>
          </cell>
          <cell r="K4555">
            <v>2</v>
          </cell>
          <cell r="L4555">
            <v>0</v>
          </cell>
        </row>
        <row r="4556">
          <cell r="A4556" t="str">
            <v>20497.10259</v>
          </cell>
          <cell r="B4556" t="str">
            <v>ROUE</v>
          </cell>
          <cell r="C4556" t="str">
            <v>HIBON P547100126 TYPE AL140+ PLAN E54.1724  REP 004</v>
          </cell>
          <cell r="D4556" t="str">
            <v>PE</v>
          </cell>
          <cell r="E4556" t="str">
            <v>515.51503</v>
          </cell>
          <cell r="F4556">
            <v>1700143.1</v>
          </cell>
          <cell r="G4556">
            <v>0</v>
          </cell>
          <cell r="H4556">
            <v>0</v>
          </cell>
          <cell r="I4556">
            <v>0</v>
          </cell>
          <cell r="J4556">
            <v>0</v>
          </cell>
          <cell r="K4556">
            <v>1</v>
          </cell>
          <cell r="L4556">
            <v>0</v>
          </cell>
        </row>
        <row r="4557">
          <cell r="A4557" t="str">
            <v>20497.10260</v>
          </cell>
          <cell r="B4557" t="str">
            <v>PLATEAU DISTRIBUTEUR COTE COMMANDE</v>
          </cell>
          <cell r="C4557" t="str">
            <v>HIBON P547581400 TYPE AL140+ PLAN E54.1724  REP 002</v>
          </cell>
          <cell r="D4557" t="str">
            <v>PE</v>
          </cell>
          <cell r="E4557" t="str">
            <v>515.51503</v>
          </cell>
          <cell r="F4557">
            <v>973549.07579999999</v>
          </cell>
          <cell r="G4557">
            <v>0</v>
          </cell>
          <cell r="H4557">
            <v>0</v>
          </cell>
          <cell r="I4557">
            <v>0</v>
          </cell>
          <cell r="J4557">
            <v>0</v>
          </cell>
          <cell r="K4557">
            <v>1</v>
          </cell>
          <cell r="L4557">
            <v>0</v>
          </cell>
        </row>
        <row r="4558">
          <cell r="A4558" t="str">
            <v>20497.00640</v>
          </cell>
          <cell r="B4558" t="str">
            <v>ECROU DE ROUE</v>
          </cell>
          <cell r="C4558" t="str">
            <v>GOULDS PUMPS IC-125-80-200   SERIE I 601E 22/23/24  REP 922</v>
          </cell>
          <cell r="D4558" t="str">
            <v>PE</v>
          </cell>
          <cell r="E4558" t="str">
            <v>515.51517</v>
          </cell>
          <cell r="F4558">
            <v>2059.85</v>
          </cell>
          <cell r="G4558">
            <v>0</v>
          </cell>
          <cell r="H4558">
            <v>0</v>
          </cell>
          <cell r="I4558">
            <v>0</v>
          </cell>
          <cell r="J4558">
            <v>0</v>
          </cell>
          <cell r="K4558">
            <v>0</v>
          </cell>
          <cell r="L4558">
            <v>2</v>
          </cell>
        </row>
        <row r="4559">
          <cell r="A4559" t="str">
            <v>20497.00644</v>
          </cell>
          <cell r="B4559" t="str">
            <v>JOINT</v>
          </cell>
          <cell r="C4559" t="str">
            <v>GOULDS PUMPS IC-125-80-200  SERIE I 601E 22/23/24  REP 412.21</v>
          </cell>
          <cell r="D4559" t="str">
            <v>PE</v>
          </cell>
          <cell r="E4559" t="str">
            <v>515.51517</v>
          </cell>
          <cell r="F4559">
            <v>235.44</v>
          </cell>
          <cell r="G4559">
            <v>0</v>
          </cell>
          <cell r="H4559">
            <v>0</v>
          </cell>
          <cell r="I4559">
            <v>0</v>
          </cell>
          <cell r="J4559">
            <v>0</v>
          </cell>
          <cell r="K4559">
            <v>0</v>
          </cell>
          <cell r="L4559">
            <v>2</v>
          </cell>
        </row>
        <row r="4560">
          <cell r="A4560" t="str">
            <v>20497.00645</v>
          </cell>
          <cell r="B4560" t="str">
            <v>ROUE</v>
          </cell>
          <cell r="C4560" t="str">
            <v>GOULDS PUMPS IC-125-80-200   SERIE I 601E 22/23/24  REP 230</v>
          </cell>
          <cell r="D4560" t="str">
            <v>PE</v>
          </cell>
          <cell r="E4560" t="str">
            <v>515.51517</v>
          </cell>
          <cell r="F4560">
            <v>28120.32</v>
          </cell>
          <cell r="G4560">
            <v>0</v>
          </cell>
          <cell r="H4560">
            <v>0</v>
          </cell>
          <cell r="I4560">
            <v>0</v>
          </cell>
          <cell r="J4560">
            <v>0</v>
          </cell>
          <cell r="K4560">
            <v>0</v>
          </cell>
          <cell r="L4560">
            <v>1</v>
          </cell>
        </row>
        <row r="4561">
          <cell r="A4561" t="str">
            <v>20497.13179</v>
          </cell>
          <cell r="B4561" t="str">
            <v xml:space="preserve">ENSEMBLE RACCORDEMENT </v>
          </cell>
          <cell r="C4561" t="str">
            <v xml:space="preserve">MILTON ROY SERIE G MODEL CEGA 5P1T3 REF:70182 </v>
          </cell>
          <cell r="D4561" t="str">
            <v>PE</v>
          </cell>
          <cell r="E4561" t="str">
            <v>515.51511</v>
          </cell>
          <cell r="F4561">
            <v>284</v>
          </cell>
          <cell r="G4561">
            <v>0</v>
          </cell>
          <cell r="H4561">
            <v>0</v>
          </cell>
          <cell r="I4561">
            <v>0</v>
          </cell>
          <cell r="J4561">
            <v>0</v>
          </cell>
          <cell r="K4561">
            <v>0</v>
          </cell>
          <cell r="L4561">
            <v>14</v>
          </cell>
        </row>
        <row r="4562">
          <cell r="A4562" t="str">
            <v>20497.13177</v>
          </cell>
          <cell r="B4562" t="str">
            <v xml:space="preserve">DOSEUR </v>
          </cell>
          <cell r="C4562" t="str">
            <v xml:space="preserve">MILTON ROY SERIE G MODEL CEGA 5P1T3 PLAN 226.IP.16 REP 46 </v>
          </cell>
          <cell r="D4562" t="str">
            <v>PE</v>
          </cell>
          <cell r="E4562" t="str">
            <v>515.51511</v>
          </cell>
          <cell r="F4562">
            <v>2465</v>
          </cell>
          <cell r="G4562">
            <v>0</v>
          </cell>
          <cell r="H4562">
            <v>0</v>
          </cell>
          <cell r="I4562">
            <v>0</v>
          </cell>
          <cell r="J4562">
            <v>0</v>
          </cell>
          <cell r="K4562">
            <v>0</v>
          </cell>
          <cell r="L4562">
            <v>6</v>
          </cell>
        </row>
        <row r="4563">
          <cell r="A4563" t="str">
            <v>20497.13178</v>
          </cell>
          <cell r="B4563" t="str">
            <v xml:space="preserve">LANTERNE </v>
          </cell>
          <cell r="C4563" t="str">
            <v xml:space="preserve">MILTON ROY SERIE G MODEL CEGA 5P1T3 PLAN 226.IP.16 REP 42 </v>
          </cell>
          <cell r="D4563" t="str">
            <v>PE</v>
          </cell>
          <cell r="E4563" t="str">
            <v>515.51511</v>
          </cell>
          <cell r="F4563">
            <v>1400</v>
          </cell>
          <cell r="G4563">
            <v>0</v>
          </cell>
          <cell r="H4563">
            <v>0</v>
          </cell>
          <cell r="I4563">
            <v>0</v>
          </cell>
          <cell r="J4563">
            <v>0</v>
          </cell>
          <cell r="K4563">
            <v>0</v>
          </cell>
          <cell r="L4563">
            <v>6</v>
          </cell>
        </row>
        <row r="4564">
          <cell r="A4564" t="str">
            <v>20497.13271</v>
          </cell>
          <cell r="B4564" t="str">
            <v xml:space="preserve">CORPS DE CLAPET </v>
          </cell>
          <cell r="C4564" t="str">
            <v>LEWA 005219.0001</v>
          </cell>
          <cell r="D4564" t="str">
            <v>PE</v>
          </cell>
          <cell r="E4564" t="str">
            <v>515.51503</v>
          </cell>
          <cell r="F4564">
            <v>3458</v>
          </cell>
          <cell r="G4564">
            <v>0</v>
          </cell>
          <cell r="H4564">
            <v>0</v>
          </cell>
          <cell r="I4564">
            <v>0</v>
          </cell>
          <cell r="J4564">
            <v>0</v>
          </cell>
          <cell r="K4564">
            <v>0</v>
          </cell>
          <cell r="L4564">
            <v>1</v>
          </cell>
        </row>
        <row r="4565">
          <cell r="A4565" t="str">
            <v>20497.13272</v>
          </cell>
          <cell r="B4565" t="str">
            <v xml:space="preserve">CLAPET A BILLE </v>
          </cell>
          <cell r="C4565" t="str">
            <v>LEWA 038852.0012</v>
          </cell>
          <cell r="D4565" t="str">
            <v>PE</v>
          </cell>
          <cell r="E4565" t="str">
            <v>515.51503</v>
          </cell>
          <cell r="F4565">
            <v>3686</v>
          </cell>
          <cell r="G4565">
            <v>0</v>
          </cell>
          <cell r="H4565">
            <v>0</v>
          </cell>
          <cell r="I4565">
            <v>0</v>
          </cell>
          <cell r="J4565">
            <v>0</v>
          </cell>
          <cell r="K4565">
            <v>0</v>
          </cell>
          <cell r="L4565">
            <v>2</v>
          </cell>
        </row>
        <row r="4566">
          <cell r="A4566" t="str">
            <v>20497.13340</v>
          </cell>
          <cell r="B4566" t="str">
            <v xml:space="preserve">BOITE A ROULEMENT  </v>
          </cell>
          <cell r="C4566" t="str">
            <v>FL SMIDTH KREBS MILLMAX TYPE: 8X6-24 REF: MMB-511-11001 REP 7</v>
          </cell>
          <cell r="D4566" t="str">
            <v>PE</v>
          </cell>
          <cell r="E4566" t="str">
            <v>515.51517</v>
          </cell>
          <cell r="F4566">
            <v>11305.911400000001</v>
          </cell>
          <cell r="G4566">
            <v>0</v>
          </cell>
          <cell r="H4566">
            <v>0</v>
          </cell>
          <cell r="I4566">
            <v>0</v>
          </cell>
          <cell r="J4566">
            <v>0</v>
          </cell>
          <cell r="K4566">
            <v>0</v>
          </cell>
          <cell r="L4566">
            <v>1</v>
          </cell>
        </row>
        <row r="4567">
          <cell r="A4567" t="str">
            <v>20497.13341</v>
          </cell>
          <cell r="B4567" t="str">
            <v xml:space="preserve">ARBRE </v>
          </cell>
          <cell r="C4567" t="str">
            <v>FL SMIDTH KREBS MILLMAX TYPE: 8X6-24 REF: MMB-513-10001 REP 8</v>
          </cell>
          <cell r="D4567" t="str">
            <v>PE</v>
          </cell>
          <cell r="E4567" t="str">
            <v>515.51517</v>
          </cell>
          <cell r="F4567">
            <v>14872.205599999999</v>
          </cell>
          <cell r="G4567">
            <v>0</v>
          </cell>
          <cell r="H4567">
            <v>0</v>
          </cell>
          <cell r="I4567">
            <v>0</v>
          </cell>
          <cell r="J4567">
            <v>0</v>
          </cell>
          <cell r="K4567">
            <v>0</v>
          </cell>
          <cell r="L4567">
            <v>1</v>
          </cell>
        </row>
        <row r="4568">
          <cell r="A4568" t="str">
            <v>20497.13343</v>
          </cell>
          <cell r="B4568" t="str">
            <v xml:space="preserve">ADAPTATEUR </v>
          </cell>
          <cell r="C4568" t="str">
            <v>FL SMIDTH KREBS MILLMAX TYPE: 8X6-24 REF: MM250-099-12013  REP 1</v>
          </cell>
          <cell r="D4568" t="str">
            <v>PE</v>
          </cell>
          <cell r="E4568" t="str">
            <v>515.51517</v>
          </cell>
          <cell r="F4568">
            <v>18926.290799999999</v>
          </cell>
          <cell r="G4568">
            <v>0</v>
          </cell>
          <cell r="H4568">
            <v>0</v>
          </cell>
          <cell r="I4568">
            <v>0</v>
          </cell>
          <cell r="J4568">
            <v>0</v>
          </cell>
          <cell r="K4568">
            <v>0</v>
          </cell>
          <cell r="L4568">
            <v>1</v>
          </cell>
        </row>
        <row r="4569">
          <cell r="A4569" t="str">
            <v>20497.13345</v>
          </cell>
          <cell r="B4569" t="str">
            <v xml:space="preserve">JOINT POUR REVETEMENT ARRIERE </v>
          </cell>
          <cell r="C4569" t="str">
            <v>FL SMIDTH KREBS MILLMAX TYPE: 8X6-24 REF: MM250-225-35001 REP 5</v>
          </cell>
          <cell r="D4569" t="str">
            <v>PE</v>
          </cell>
          <cell r="E4569" t="str">
            <v>515.51517</v>
          </cell>
          <cell r="F4569">
            <v>1018.9412</v>
          </cell>
          <cell r="G4569">
            <v>0</v>
          </cell>
          <cell r="H4569">
            <v>0</v>
          </cell>
          <cell r="I4569">
            <v>0</v>
          </cell>
          <cell r="J4569">
            <v>0</v>
          </cell>
          <cell r="K4569">
            <v>0</v>
          </cell>
          <cell r="L4569">
            <v>2</v>
          </cell>
        </row>
        <row r="4570">
          <cell r="A4570" t="str">
            <v>20497.13278</v>
          </cell>
          <cell r="B4570" t="str">
            <v xml:space="preserve">VIS </v>
          </cell>
          <cell r="C4570" t="str">
            <v>LEWA 070025.0482</v>
          </cell>
          <cell r="D4570" t="str">
            <v>PE</v>
          </cell>
          <cell r="E4570" t="str">
            <v>515.51503</v>
          </cell>
          <cell r="F4570">
            <v>46</v>
          </cell>
          <cell r="G4570">
            <v>0</v>
          </cell>
          <cell r="H4570">
            <v>0</v>
          </cell>
          <cell r="I4570">
            <v>0</v>
          </cell>
          <cell r="J4570">
            <v>0</v>
          </cell>
          <cell r="K4570">
            <v>0</v>
          </cell>
          <cell r="L4570">
            <v>4</v>
          </cell>
        </row>
        <row r="4571">
          <cell r="A4571" t="str">
            <v>20497.13279</v>
          </cell>
          <cell r="B4571" t="str">
            <v xml:space="preserve">COUVERCLE </v>
          </cell>
          <cell r="C4571" t="str">
            <v>LEWA 115233.0007</v>
          </cell>
          <cell r="D4571" t="str">
            <v>PE</v>
          </cell>
          <cell r="E4571" t="str">
            <v>515.51503</v>
          </cell>
          <cell r="F4571">
            <v>2913</v>
          </cell>
          <cell r="G4571">
            <v>0</v>
          </cell>
          <cell r="H4571">
            <v>0</v>
          </cell>
          <cell r="I4571">
            <v>0</v>
          </cell>
          <cell r="J4571">
            <v>0</v>
          </cell>
          <cell r="K4571">
            <v>0</v>
          </cell>
          <cell r="L4571">
            <v>1</v>
          </cell>
        </row>
        <row r="4572">
          <cell r="A4572" t="str">
            <v>20497.13280</v>
          </cell>
          <cell r="B4572" t="str">
            <v xml:space="preserve">GOUPILLE MECANIQUE </v>
          </cell>
          <cell r="C4572" t="str">
            <v>LEWA 071566.0346</v>
          </cell>
          <cell r="D4572" t="str">
            <v>PE</v>
          </cell>
          <cell r="E4572" t="str">
            <v>515.51503</v>
          </cell>
          <cell r="F4572">
            <v>13</v>
          </cell>
          <cell r="G4572">
            <v>0</v>
          </cell>
          <cell r="H4572">
            <v>0</v>
          </cell>
          <cell r="I4572">
            <v>0</v>
          </cell>
          <cell r="J4572">
            <v>0</v>
          </cell>
          <cell r="K4572">
            <v>2</v>
          </cell>
          <cell r="L4572">
            <v>0</v>
          </cell>
        </row>
        <row r="4573">
          <cell r="A4573" t="str">
            <v>20497.13281</v>
          </cell>
          <cell r="B4573" t="str">
            <v>GUIDE TIGE PISTON</v>
          </cell>
          <cell r="C4573" t="str">
            <v xml:space="preserve"> LEWA 110850.0198</v>
          </cell>
          <cell r="D4573" t="str">
            <v>PE</v>
          </cell>
          <cell r="E4573" t="str">
            <v>515.51503</v>
          </cell>
          <cell r="F4573">
            <v>5763</v>
          </cell>
          <cell r="G4573">
            <v>0</v>
          </cell>
          <cell r="H4573">
            <v>0</v>
          </cell>
          <cell r="I4573">
            <v>0</v>
          </cell>
          <cell r="J4573">
            <v>0</v>
          </cell>
          <cell r="K4573">
            <v>0</v>
          </cell>
          <cell r="L4573">
            <v>1</v>
          </cell>
        </row>
        <row r="4574">
          <cell r="A4574" t="str">
            <v>20497.13282</v>
          </cell>
          <cell r="B4574" t="str">
            <v xml:space="preserve">JOINT PLAT </v>
          </cell>
          <cell r="C4574" t="str">
            <v>LEWA 109326.0092</v>
          </cell>
          <cell r="D4574" t="str">
            <v>PE</v>
          </cell>
          <cell r="E4574" t="str">
            <v>515.51503</v>
          </cell>
          <cell r="F4574">
            <v>201</v>
          </cell>
          <cell r="G4574">
            <v>0</v>
          </cell>
          <cell r="H4574">
            <v>0</v>
          </cell>
          <cell r="I4574">
            <v>0</v>
          </cell>
          <cell r="J4574">
            <v>0</v>
          </cell>
          <cell r="K4574">
            <v>0</v>
          </cell>
          <cell r="L4574">
            <v>2</v>
          </cell>
        </row>
        <row r="4575">
          <cell r="A4575" t="str">
            <v>20497.13273</v>
          </cell>
          <cell r="B4575" t="str">
            <v xml:space="preserve">GARNITURE PISTON </v>
          </cell>
          <cell r="C4575" t="str">
            <v xml:space="preserve">LEWA 029600.0025 </v>
          </cell>
          <cell r="D4575" t="str">
            <v>PE</v>
          </cell>
          <cell r="E4575" t="str">
            <v>515.51503</v>
          </cell>
          <cell r="F4575">
            <v>1760</v>
          </cell>
          <cell r="G4575">
            <v>0</v>
          </cell>
          <cell r="H4575">
            <v>0</v>
          </cell>
          <cell r="I4575">
            <v>0</v>
          </cell>
          <cell r="J4575">
            <v>0</v>
          </cell>
          <cell r="K4575">
            <v>0</v>
          </cell>
          <cell r="L4575">
            <v>2</v>
          </cell>
        </row>
        <row r="4576">
          <cell r="A4576" t="str">
            <v>20497.13274</v>
          </cell>
          <cell r="B4576" t="str">
            <v xml:space="preserve">DOUILLE </v>
          </cell>
          <cell r="C4576" t="str">
            <v>LEWA 014456.0001</v>
          </cell>
          <cell r="D4576" t="str">
            <v>PE</v>
          </cell>
          <cell r="E4576" t="str">
            <v>515.51503</v>
          </cell>
          <cell r="F4576">
            <v>1025</v>
          </cell>
          <cell r="G4576">
            <v>0</v>
          </cell>
          <cell r="H4576">
            <v>0</v>
          </cell>
          <cell r="I4576">
            <v>0</v>
          </cell>
          <cell r="J4576">
            <v>0</v>
          </cell>
          <cell r="K4576">
            <v>0</v>
          </cell>
          <cell r="L4576">
            <v>1</v>
          </cell>
        </row>
        <row r="4577">
          <cell r="A4577" t="str">
            <v>20497.13275</v>
          </cell>
          <cell r="B4577" t="str">
            <v xml:space="preserve">ECROU </v>
          </cell>
          <cell r="C4577" t="str">
            <v>LEWA 103378.0001</v>
          </cell>
          <cell r="D4577" t="str">
            <v>PE</v>
          </cell>
          <cell r="E4577" t="str">
            <v>515.51503</v>
          </cell>
          <cell r="F4577">
            <v>2708</v>
          </cell>
          <cell r="G4577">
            <v>0</v>
          </cell>
          <cell r="H4577">
            <v>0</v>
          </cell>
          <cell r="I4577">
            <v>0</v>
          </cell>
          <cell r="J4577">
            <v>0</v>
          </cell>
          <cell r="K4577">
            <v>0</v>
          </cell>
          <cell r="L4577">
            <v>1</v>
          </cell>
        </row>
        <row r="4578">
          <cell r="A4578" t="str">
            <v>20497.13276</v>
          </cell>
          <cell r="B4578" t="str">
            <v xml:space="preserve">ETRIER </v>
          </cell>
          <cell r="C4578" t="str">
            <v>LEWA 115231.0198</v>
          </cell>
          <cell r="D4578" t="str">
            <v>PE</v>
          </cell>
          <cell r="E4578" t="str">
            <v>515.51503</v>
          </cell>
          <cell r="F4578">
            <v>7223</v>
          </cell>
          <cell r="G4578">
            <v>0</v>
          </cell>
          <cell r="H4578">
            <v>0</v>
          </cell>
          <cell r="I4578">
            <v>0</v>
          </cell>
          <cell r="J4578">
            <v>0</v>
          </cell>
          <cell r="K4578">
            <v>0</v>
          </cell>
          <cell r="L4578">
            <v>1</v>
          </cell>
        </row>
        <row r="4579">
          <cell r="A4579" t="str">
            <v>20497.13277</v>
          </cell>
          <cell r="B4579" t="str">
            <v xml:space="preserve">VIS </v>
          </cell>
          <cell r="C4579" t="str">
            <v>LEWA 071069.0482</v>
          </cell>
          <cell r="D4579" t="str">
            <v>PE</v>
          </cell>
          <cell r="E4579" t="str">
            <v>515.51503</v>
          </cell>
          <cell r="F4579">
            <v>23</v>
          </cell>
          <cell r="G4579">
            <v>0</v>
          </cell>
          <cell r="H4579">
            <v>0</v>
          </cell>
          <cell r="I4579">
            <v>0</v>
          </cell>
          <cell r="J4579">
            <v>0</v>
          </cell>
          <cell r="K4579">
            <v>1</v>
          </cell>
          <cell r="L4579">
            <v>0</v>
          </cell>
        </row>
        <row r="4580">
          <cell r="A4580" t="str">
            <v>20497.13287</v>
          </cell>
          <cell r="B4580" t="str">
            <v xml:space="preserve">ECROU BORGNE  </v>
          </cell>
          <cell r="C4580" t="str">
            <v>LEWA 046308.0161</v>
          </cell>
          <cell r="D4580" t="str">
            <v>PE</v>
          </cell>
          <cell r="E4580" t="str">
            <v>515.51503</v>
          </cell>
          <cell r="F4580">
            <v>1070</v>
          </cell>
          <cell r="G4580">
            <v>0</v>
          </cell>
          <cell r="H4580">
            <v>0</v>
          </cell>
          <cell r="I4580">
            <v>0</v>
          </cell>
          <cell r="J4580">
            <v>0</v>
          </cell>
          <cell r="K4580">
            <v>0</v>
          </cell>
          <cell r="L4580">
            <v>1</v>
          </cell>
        </row>
        <row r="4581">
          <cell r="A4581" t="str">
            <v>20497.13288</v>
          </cell>
          <cell r="B4581" t="str">
            <v xml:space="preserve">VIS </v>
          </cell>
          <cell r="C4581" t="str">
            <v>LEWA 046307.0014</v>
          </cell>
          <cell r="D4581" t="str">
            <v>PE</v>
          </cell>
          <cell r="E4581" t="str">
            <v>515.51503</v>
          </cell>
          <cell r="F4581">
            <v>1070</v>
          </cell>
          <cell r="G4581">
            <v>0</v>
          </cell>
          <cell r="H4581">
            <v>0</v>
          </cell>
          <cell r="I4581">
            <v>0</v>
          </cell>
          <cell r="J4581">
            <v>0</v>
          </cell>
          <cell r="K4581">
            <v>0</v>
          </cell>
          <cell r="L4581">
            <v>1</v>
          </cell>
        </row>
        <row r="4582">
          <cell r="A4582" t="str">
            <v>20497.13289</v>
          </cell>
          <cell r="B4582" t="str">
            <v xml:space="preserve">ECROU </v>
          </cell>
          <cell r="C4582" t="str">
            <v>LEWA 046305.0014</v>
          </cell>
          <cell r="D4582" t="str">
            <v>PE</v>
          </cell>
          <cell r="E4582" t="str">
            <v>515.51503</v>
          </cell>
          <cell r="F4582">
            <v>598</v>
          </cell>
          <cell r="G4582">
            <v>0</v>
          </cell>
          <cell r="H4582">
            <v>0</v>
          </cell>
          <cell r="I4582">
            <v>0</v>
          </cell>
          <cell r="J4582">
            <v>0</v>
          </cell>
          <cell r="K4582">
            <v>0</v>
          </cell>
          <cell r="L4582">
            <v>1</v>
          </cell>
        </row>
        <row r="4583">
          <cell r="A4583" t="str">
            <v>20497.13292</v>
          </cell>
          <cell r="B4583" t="str">
            <v>RONDELLE</v>
          </cell>
          <cell r="C4583" t="str">
            <v>LEWA 073859.0278</v>
          </cell>
          <cell r="D4583" t="str">
            <v>PE</v>
          </cell>
          <cell r="E4583" t="str">
            <v>515.51503</v>
          </cell>
          <cell r="F4583">
            <v>3</v>
          </cell>
          <cell r="G4583">
            <v>0</v>
          </cell>
          <cell r="H4583">
            <v>0</v>
          </cell>
          <cell r="I4583">
            <v>0</v>
          </cell>
          <cell r="J4583">
            <v>0</v>
          </cell>
          <cell r="K4583">
            <v>2</v>
          </cell>
          <cell r="L4583">
            <v>0</v>
          </cell>
        </row>
        <row r="4584">
          <cell r="A4584" t="str">
            <v>20497.13283</v>
          </cell>
          <cell r="B4584" t="str">
            <v xml:space="preserve">VIS  </v>
          </cell>
          <cell r="C4584" t="str">
            <v>LEWA 070030.0101</v>
          </cell>
          <cell r="D4584" t="str">
            <v>PE</v>
          </cell>
          <cell r="E4584" t="str">
            <v>515.51503</v>
          </cell>
          <cell r="F4584">
            <v>23</v>
          </cell>
          <cell r="G4584">
            <v>0</v>
          </cell>
          <cell r="H4584">
            <v>0</v>
          </cell>
          <cell r="I4584">
            <v>0</v>
          </cell>
          <cell r="J4584">
            <v>0</v>
          </cell>
          <cell r="K4584">
            <v>4</v>
          </cell>
          <cell r="L4584">
            <v>0</v>
          </cell>
        </row>
        <row r="4585">
          <cell r="A4585" t="str">
            <v>20497.13284</v>
          </cell>
          <cell r="B4585" t="str">
            <v xml:space="preserve">VIS </v>
          </cell>
          <cell r="C4585" t="str">
            <v>LEWA 072713.0482</v>
          </cell>
          <cell r="D4585" t="str">
            <v>PE</v>
          </cell>
          <cell r="E4585" t="str">
            <v>515.51503</v>
          </cell>
          <cell r="F4585">
            <v>23</v>
          </cell>
          <cell r="G4585">
            <v>0</v>
          </cell>
          <cell r="H4585">
            <v>0</v>
          </cell>
          <cell r="I4585">
            <v>0</v>
          </cell>
          <cell r="J4585">
            <v>0</v>
          </cell>
          <cell r="K4585">
            <v>4</v>
          </cell>
          <cell r="L4585">
            <v>0</v>
          </cell>
        </row>
        <row r="4586">
          <cell r="A4586" t="str">
            <v>20497.13285</v>
          </cell>
          <cell r="B4586" t="str">
            <v xml:space="preserve">FLECTOR ACCOUPLEMENT </v>
          </cell>
          <cell r="C4586" t="str">
            <v>LEWA 073379.0000</v>
          </cell>
          <cell r="D4586" t="str">
            <v>PE</v>
          </cell>
          <cell r="E4586" t="str">
            <v>515.51503</v>
          </cell>
          <cell r="F4586">
            <v>76</v>
          </cell>
          <cell r="G4586">
            <v>0</v>
          </cell>
          <cell r="H4586">
            <v>0</v>
          </cell>
          <cell r="I4586">
            <v>0</v>
          </cell>
          <cell r="J4586">
            <v>0</v>
          </cell>
          <cell r="K4586">
            <v>0</v>
          </cell>
          <cell r="L4586">
            <v>0</v>
          </cell>
        </row>
        <row r="4587">
          <cell r="A4587" t="str">
            <v>20497.13286</v>
          </cell>
          <cell r="B4587" t="str">
            <v xml:space="preserve">RONDELLE  </v>
          </cell>
          <cell r="C4587" t="str">
            <v>LEWA 032268.0166</v>
          </cell>
          <cell r="D4587" t="str">
            <v>PE</v>
          </cell>
          <cell r="E4587" t="str">
            <v>515.51503</v>
          </cell>
          <cell r="F4587">
            <v>350</v>
          </cell>
          <cell r="G4587">
            <v>0</v>
          </cell>
          <cell r="H4587">
            <v>0</v>
          </cell>
          <cell r="I4587">
            <v>0</v>
          </cell>
          <cell r="J4587">
            <v>0</v>
          </cell>
          <cell r="K4587">
            <v>0</v>
          </cell>
          <cell r="L4587">
            <v>1</v>
          </cell>
        </row>
        <row r="4588">
          <cell r="A4588" t="str">
            <v>20497.00647</v>
          </cell>
          <cell r="B4588" t="str">
            <v>BAGUE RADIALE D'ARBRE</v>
          </cell>
          <cell r="C4588" t="str">
            <v>GOULDS PUMPS IC-125-80-200   SERIE I 601E 34/35  REP 421.41</v>
          </cell>
          <cell r="D4588" t="str">
            <v>PE</v>
          </cell>
          <cell r="E4588" t="str">
            <v>515.51517</v>
          </cell>
          <cell r="F4588">
            <v>439.45190000000002</v>
          </cell>
          <cell r="G4588">
            <v>0</v>
          </cell>
          <cell r="H4588">
            <v>0</v>
          </cell>
          <cell r="I4588">
            <v>0</v>
          </cell>
          <cell r="J4588">
            <v>0</v>
          </cell>
          <cell r="K4588">
            <v>0</v>
          </cell>
          <cell r="L4588">
            <v>3</v>
          </cell>
        </row>
        <row r="4589">
          <cell r="A4589" t="str">
            <v>20497.00648</v>
          </cell>
          <cell r="B4589" t="str">
            <v>BAGUE RADIALE D'ARBRE</v>
          </cell>
          <cell r="C4589" t="str">
            <v>GOULDS PUMPS IC-125-80-200   SERIE I 601E 34/35   REP 421.51</v>
          </cell>
          <cell r="D4589" t="str">
            <v>PE</v>
          </cell>
          <cell r="E4589" t="str">
            <v>515.51517</v>
          </cell>
          <cell r="F4589">
            <v>370.53190000000001</v>
          </cell>
          <cell r="G4589">
            <v>0</v>
          </cell>
          <cell r="H4589">
            <v>0</v>
          </cell>
          <cell r="I4589">
            <v>0</v>
          </cell>
          <cell r="J4589">
            <v>0</v>
          </cell>
          <cell r="K4589">
            <v>0</v>
          </cell>
          <cell r="L4589">
            <v>3</v>
          </cell>
        </row>
        <row r="4590">
          <cell r="A4590" t="str">
            <v>20497.00649</v>
          </cell>
          <cell r="B4590" t="str">
            <v>CHEMISE D'ARBRE</v>
          </cell>
          <cell r="C4590" t="str">
            <v>GOULDS PUMPS IC-125-80-200   SERIE I 601E 34/35  REP 524</v>
          </cell>
          <cell r="D4590" t="str">
            <v>PE</v>
          </cell>
          <cell r="E4590" t="str">
            <v>515.51517</v>
          </cell>
          <cell r="F4590">
            <v>2602.29</v>
          </cell>
          <cell r="G4590">
            <v>0</v>
          </cell>
          <cell r="H4590">
            <v>0</v>
          </cell>
          <cell r="I4590">
            <v>0</v>
          </cell>
          <cell r="J4590">
            <v>0</v>
          </cell>
          <cell r="K4590">
            <v>0</v>
          </cell>
          <cell r="L4590">
            <v>1</v>
          </cell>
        </row>
        <row r="4591">
          <cell r="A4591" t="str">
            <v>20497.00652</v>
          </cell>
          <cell r="B4591" t="str">
            <v>ECROU DE ROULEMENT</v>
          </cell>
          <cell r="C4591" t="str">
            <v>GOULDS PUMPS IC-125-80-200   SERIE I 601E 34/35  REP 923.51</v>
          </cell>
          <cell r="D4591" t="str">
            <v>PE</v>
          </cell>
          <cell r="E4591" t="str">
            <v>515.51517</v>
          </cell>
          <cell r="F4591">
            <v>413.63600000000002</v>
          </cell>
          <cell r="G4591">
            <v>0</v>
          </cell>
          <cell r="H4591">
            <v>0</v>
          </cell>
          <cell r="I4591">
            <v>0</v>
          </cell>
          <cell r="J4591">
            <v>0</v>
          </cell>
          <cell r="K4591">
            <v>0</v>
          </cell>
          <cell r="L4591">
            <v>1</v>
          </cell>
        </row>
        <row r="4592">
          <cell r="A4592" t="str">
            <v>20497.00653</v>
          </cell>
          <cell r="B4592" t="str">
            <v>JOINT</v>
          </cell>
          <cell r="C4592" t="str">
            <v>GOULDS PUMPS IC-125-80-200   SERIE I 601E 34/35  REP 400</v>
          </cell>
          <cell r="D4592" t="str">
            <v>PE</v>
          </cell>
          <cell r="E4592" t="str">
            <v>515.51517</v>
          </cell>
          <cell r="F4592">
            <v>560.11990000000003</v>
          </cell>
          <cell r="G4592">
            <v>0</v>
          </cell>
          <cell r="H4592">
            <v>0</v>
          </cell>
          <cell r="I4592">
            <v>0</v>
          </cell>
          <cell r="J4592">
            <v>0</v>
          </cell>
          <cell r="K4592">
            <v>0</v>
          </cell>
          <cell r="L4592">
            <v>3</v>
          </cell>
        </row>
        <row r="4593">
          <cell r="A4593" t="str">
            <v>20497.00654</v>
          </cell>
          <cell r="B4593" t="str">
            <v>JOINT</v>
          </cell>
          <cell r="C4593" t="str">
            <v>GOULDS PUMPS IC-125-80-200   SERIE I 601E 34/35  REP 400A</v>
          </cell>
          <cell r="D4593" t="str">
            <v>PE</v>
          </cell>
          <cell r="E4593" t="str">
            <v>515.51517</v>
          </cell>
          <cell r="F4593">
            <v>68.929599999999994</v>
          </cell>
          <cell r="G4593">
            <v>0</v>
          </cell>
          <cell r="H4593">
            <v>0</v>
          </cell>
          <cell r="I4593">
            <v>0</v>
          </cell>
          <cell r="J4593">
            <v>0</v>
          </cell>
          <cell r="K4593">
            <v>0</v>
          </cell>
          <cell r="L4593">
            <v>4</v>
          </cell>
        </row>
        <row r="4594">
          <cell r="A4594" t="str">
            <v>20497.00655</v>
          </cell>
          <cell r="B4594" t="str">
            <v>JOINT</v>
          </cell>
          <cell r="C4594" t="str">
            <v>GOULDS PUMPS IC-125-80-200   SERIE I 601E 34/35  REP 412.21</v>
          </cell>
          <cell r="D4594" t="str">
            <v>PE</v>
          </cell>
          <cell r="E4594" t="str">
            <v>515.51517</v>
          </cell>
          <cell r="F4594">
            <v>77.563999999999993</v>
          </cell>
          <cell r="G4594">
            <v>0</v>
          </cell>
          <cell r="H4594">
            <v>0</v>
          </cell>
          <cell r="I4594">
            <v>0</v>
          </cell>
          <cell r="J4594">
            <v>0</v>
          </cell>
          <cell r="K4594">
            <v>2</v>
          </cell>
          <cell r="L4594">
            <v>0</v>
          </cell>
        </row>
        <row r="4595">
          <cell r="A4595" t="str">
            <v>20497.00380</v>
          </cell>
          <cell r="B4595" t="str">
            <v>PIECE D'ASPIRATION</v>
          </cell>
          <cell r="C4595" t="str">
            <v>WARMAN TYPE:200 EM A05/A/A05A/FF N° DE SERIE: 044063/044064 REP:F8083ML-A05A</v>
          </cell>
          <cell r="D4595" t="str">
            <v>PE</v>
          </cell>
          <cell r="E4595" t="str">
            <v>515.51517</v>
          </cell>
          <cell r="F4595">
            <v>40046.627800000002</v>
          </cell>
          <cell r="G4595">
            <v>0</v>
          </cell>
          <cell r="H4595">
            <v>0</v>
          </cell>
          <cell r="I4595">
            <v>0</v>
          </cell>
          <cell r="J4595">
            <v>0</v>
          </cell>
          <cell r="K4595">
            <v>0</v>
          </cell>
          <cell r="L4595">
            <v>0</v>
          </cell>
        </row>
        <row r="4596">
          <cell r="A4596" t="str">
            <v>20497.00381</v>
          </cell>
          <cell r="B4596" t="str">
            <v>JOINT DE BRIDE DE REFOULEMENT</v>
          </cell>
          <cell r="C4596" t="str">
            <v>WARMAN TYPE:200 EM A05/A/A05A/FF N° DE SERIE: 044063/044064 REP:F8132L-U13A</v>
          </cell>
          <cell r="D4596" t="str">
            <v>PE</v>
          </cell>
          <cell r="E4596" t="str">
            <v>515.51517</v>
          </cell>
          <cell r="F4596">
            <v>2293.8150000000001</v>
          </cell>
          <cell r="G4596">
            <v>0</v>
          </cell>
          <cell r="H4596">
            <v>0</v>
          </cell>
          <cell r="I4596">
            <v>0</v>
          </cell>
          <cell r="J4596">
            <v>0</v>
          </cell>
          <cell r="K4596">
            <v>0</v>
          </cell>
          <cell r="L4596">
            <v>5</v>
          </cell>
        </row>
        <row r="4597">
          <cell r="A4597" t="str">
            <v>20497.10162</v>
          </cell>
          <cell r="B4597" t="str">
            <v>CLAPET</v>
          </cell>
          <cell r="C4597" t="str">
            <v>DRESSER P/SPOUPAPE 8" MODEL 1920-00TT-4CC-TD-34</v>
          </cell>
          <cell r="D4597" t="str">
            <v>PE</v>
          </cell>
          <cell r="E4597" t="str">
            <v>512.51201</v>
          </cell>
          <cell r="F4597">
            <v>22039.085500000001</v>
          </cell>
          <cell r="G4597">
            <v>0</v>
          </cell>
          <cell r="H4597">
            <v>0</v>
          </cell>
          <cell r="I4597">
            <v>2</v>
          </cell>
          <cell r="J4597">
            <v>0</v>
          </cell>
          <cell r="K4597">
            <v>0</v>
          </cell>
          <cell r="L4597">
            <v>0</v>
          </cell>
        </row>
        <row r="4598">
          <cell r="A4598" t="str">
            <v>20497.00807</v>
          </cell>
          <cell r="B4598" t="str">
            <v>ROUE TANGENTE</v>
          </cell>
          <cell r="C4598" t="str">
            <v>LEWA 109255.0246</v>
          </cell>
          <cell r="D4598" t="str">
            <v>PE</v>
          </cell>
          <cell r="E4598" t="str">
            <v>515.51503</v>
          </cell>
          <cell r="F4598">
            <v>3510.36</v>
          </cell>
          <cell r="G4598">
            <v>0</v>
          </cell>
          <cell r="H4598">
            <v>0</v>
          </cell>
          <cell r="I4598">
            <v>0</v>
          </cell>
          <cell r="J4598">
            <v>0</v>
          </cell>
          <cell r="K4598">
            <v>0</v>
          </cell>
          <cell r="L4598">
            <v>1</v>
          </cell>
        </row>
        <row r="4599">
          <cell r="A4599" t="str">
            <v>20497.00808</v>
          </cell>
          <cell r="B4599" t="str">
            <v>ECCENTER</v>
          </cell>
          <cell r="C4599" t="str">
            <v>LEWA 109244.0158</v>
          </cell>
          <cell r="D4599" t="str">
            <v>PE</v>
          </cell>
          <cell r="E4599" t="str">
            <v>515.51503</v>
          </cell>
          <cell r="F4599">
            <v>7330.0079999999998</v>
          </cell>
          <cell r="G4599">
            <v>0</v>
          </cell>
          <cell r="H4599">
            <v>0</v>
          </cell>
          <cell r="I4599">
            <v>0</v>
          </cell>
          <cell r="J4599">
            <v>0</v>
          </cell>
          <cell r="K4599">
            <v>0</v>
          </cell>
          <cell r="L4599">
            <v>1</v>
          </cell>
        </row>
        <row r="4600">
          <cell r="A4600" t="str">
            <v>20497.00809</v>
          </cell>
          <cell r="B4600" t="str">
            <v>BIELLE</v>
          </cell>
          <cell r="C4600" t="str">
            <v>LEWA 112719.0002</v>
          </cell>
          <cell r="D4600" t="str">
            <v>PE</v>
          </cell>
          <cell r="E4600" t="str">
            <v>515.51503</v>
          </cell>
          <cell r="F4600">
            <v>5259.0720000000001</v>
          </cell>
          <cell r="G4600">
            <v>0</v>
          </cell>
          <cell r="H4600">
            <v>0</v>
          </cell>
          <cell r="I4600">
            <v>0</v>
          </cell>
          <cell r="J4600">
            <v>0</v>
          </cell>
          <cell r="K4600">
            <v>0</v>
          </cell>
          <cell r="L4600">
            <v>2</v>
          </cell>
        </row>
        <row r="4601">
          <cell r="A4601" t="str">
            <v>20497.00810</v>
          </cell>
          <cell r="B4601" t="str">
            <v>CIRCLIPS</v>
          </cell>
          <cell r="C4601" t="str">
            <v>LEWA 071420.0130</v>
          </cell>
          <cell r="D4601" t="str">
            <v>PE</v>
          </cell>
          <cell r="E4601" t="str">
            <v>515.51503</v>
          </cell>
          <cell r="F4601">
            <v>24.696000000000002</v>
          </cell>
          <cell r="G4601">
            <v>0</v>
          </cell>
          <cell r="H4601">
            <v>0</v>
          </cell>
          <cell r="I4601">
            <v>0</v>
          </cell>
          <cell r="J4601">
            <v>0</v>
          </cell>
          <cell r="K4601">
            <v>0</v>
          </cell>
          <cell r="L4601">
            <v>0</v>
          </cell>
        </row>
        <row r="4602">
          <cell r="A4602" t="str">
            <v>20497.00811</v>
          </cell>
          <cell r="B4602" t="str">
            <v>RONDELLE CALIBRE</v>
          </cell>
          <cell r="C4602" t="str">
            <v>LEWA 070128.0122</v>
          </cell>
          <cell r="D4602" t="str">
            <v>PE</v>
          </cell>
          <cell r="E4602" t="str">
            <v>515.51503</v>
          </cell>
          <cell r="F4602">
            <v>24.696000000000002</v>
          </cell>
          <cell r="G4602">
            <v>0</v>
          </cell>
          <cell r="H4602">
            <v>0</v>
          </cell>
          <cell r="I4602">
            <v>0</v>
          </cell>
          <cell r="J4602">
            <v>0</v>
          </cell>
          <cell r="K4602">
            <v>1</v>
          </cell>
          <cell r="L4602">
            <v>0</v>
          </cell>
        </row>
        <row r="4603">
          <cell r="A4603" t="str">
            <v>20497.00812</v>
          </cell>
          <cell r="B4603" t="str">
            <v>CIRCLIPS</v>
          </cell>
          <cell r="C4603" t="str">
            <v>LEWA 071515.0130</v>
          </cell>
          <cell r="D4603" t="str">
            <v>PE</v>
          </cell>
          <cell r="E4603" t="str">
            <v>515.51503</v>
          </cell>
          <cell r="F4603">
            <v>15.288</v>
          </cell>
          <cell r="G4603">
            <v>0</v>
          </cell>
          <cell r="H4603">
            <v>0</v>
          </cell>
          <cell r="I4603">
            <v>0</v>
          </cell>
          <cell r="J4603">
            <v>0</v>
          </cell>
          <cell r="K4603">
            <v>0</v>
          </cell>
          <cell r="L4603">
            <v>0</v>
          </cell>
        </row>
        <row r="4604">
          <cell r="A4604" t="str">
            <v>20497.00813</v>
          </cell>
          <cell r="B4604" t="str">
            <v>ROULEMENT A BILLES</v>
          </cell>
          <cell r="C4604" t="str">
            <v>LEWA 083256.0000</v>
          </cell>
          <cell r="D4604" t="str">
            <v>PE</v>
          </cell>
          <cell r="E4604" t="str">
            <v>515.51503</v>
          </cell>
          <cell r="F4604">
            <v>291.64800000000002</v>
          </cell>
          <cell r="G4604">
            <v>0</v>
          </cell>
          <cell r="H4604">
            <v>0</v>
          </cell>
          <cell r="I4604">
            <v>0</v>
          </cell>
          <cell r="J4604">
            <v>0</v>
          </cell>
          <cell r="K4604">
            <v>0</v>
          </cell>
          <cell r="L4604">
            <v>2</v>
          </cell>
        </row>
        <row r="4605">
          <cell r="A4605" t="str">
            <v>20497.00814</v>
          </cell>
          <cell r="B4605" t="str">
            <v>JOINT TORIQUE</v>
          </cell>
          <cell r="C4605" t="str">
            <v>LEWA 072069.0062</v>
          </cell>
          <cell r="D4605" t="str">
            <v>PE</v>
          </cell>
          <cell r="E4605" t="str">
            <v>515.51503</v>
          </cell>
          <cell r="F4605">
            <v>78.792000000000002</v>
          </cell>
          <cell r="G4605">
            <v>0</v>
          </cell>
          <cell r="H4605">
            <v>0</v>
          </cell>
          <cell r="I4605">
            <v>0</v>
          </cell>
          <cell r="J4605">
            <v>0</v>
          </cell>
          <cell r="K4605">
            <v>2</v>
          </cell>
          <cell r="L4605">
            <v>0</v>
          </cell>
        </row>
        <row r="4606">
          <cell r="A4606" t="str">
            <v>20497.00815</v>
          </cell>
          <cell r="B4606" t="str">
            <v>ARBRE VIS SANS FIN</v>
          </cell>
          <cell r="C4606" t="str">
            <v>LEWA 109260.0178</v>
          </cell>
          <cell r="D4606" t="str">
            <v>PE</v>
          </cell>
          <cell r="E4606" t="str">
            <v>515.51503</v>
          </cell>
          <cell r="F4606">
            <v>4080.72</v>
          </cell>
          <cell r="G4606">
            <v>0</v>
          </cell>
          <cell r="H4606">
            <v>0</v>
          </cell>
          <cell r="I4606">
            <v>0</v>
          </cell>
          <cell r="J4606">
            <v>0</v>
          </cell>
          <cell r="K4606">
            <v>0</v>
          </cell>
          <cell r="L4606">
            <v>1</v>
          </cell>
        </row>
        <row r="4607">
          <cell r="A4607" t="str">
            <v>20497.00816</v>
          </cell>
          <cell r="B4607" t="str">
            <v>VOLANT</v>
          </cell>
          <cell r="C4607" t="str">
            <v>LEWA 109262.0408</v>
          </cell>
          <cell r="D4607" t="str">
            <v>PE</v>
          </cell>
          <cell r="E4607" t="str">
            <v>515.51503</v>
          </cell>
          <cell r="F4607">
            <v>466.87200000000001</v>
          </cell>
          <cell r="G4607">
            <v>0</v>
          </cell>
          <cell r="H4607">
            <v>0</v>
          </cell>
          <cell r="I4607">
            <v>0</v>
          </cell>
          <cell r="J4607">
            <v>0</v>
          </cell>
          <cell r="K4607">
            <v>0</v>
          </cell>
          <cell r="L4607">
            <v>1</v>
          </cell>
        </row>
        <row r="4608">
          <cell r="A4608" t="str">
            <v>20497.00817</v>
          </cell>
          <cell r="B4608" t="str">
            <v>JOINT A LEVRE</v>
          </cell>
          <cell r="C4608" t="str">
            <v>LEWA 083457.0090</v>
          </cell>
          <cell r="D4608" t="str">
            <v>PE</v>
          </cell>
          <cell r="E4608" t="str">
            <v>515.51503</v>
          </cell>
          <cell r="F4608">
            <v>306.93599999999998</v>
          </cell>
          <cell r="G4608">
            <v>0</v>
          </cell>
          <cell r="H4608">
            <v>0</v>
          </cell>
          <cell r="I4608">
            <v>0</v>
          </cell>
          <cell r="J4608">
            <v>0</v>
          </cell>
          <cell r="K4608">
            <v>0</v>
          </cell>
          <cell r="L4608">
            <v>0</v>
          </cell>
        </row>
        <row r="4609">
          <cell r="A4609" t="str">
            <v>20497.00818</v>
          </cell>
          <cell r="B4609" t="str">
            <v>JOINT TORIQUE</v>
          </cell>
          <cell r="C4609" t="str">
            <v>LEWA 075499.0062</v>
          </cell>
          <cell r="D4609" t="str">
            <v>PE</v>
          </cell>
          <cell r="E4609" t="str">
            <v>515.51503</v>
          </cell>
          <cell r="F4609">
            <v>87.024000000000001</v>
          </cell>
          <cell r="G4609">
            <v>0</v>
          </cell>
          <cell r="H4609">
            <v>0</v>
          </cell>
          <cell r="I4609">
            <v>0</v>
          </cell>
          <cell r="J4609">
            <v>0</v>
          </cell>
          <cell r="K4609">
            <v>2</v>
          </cell>
          <cell r="L4609">
            <v>0</v>
          </cell>
        </row>
        <row r="4610">
          <cell r="A4610" t="str">
            <v>20497.00819</v>
          </cell>
          <cell r="B4610" t="str">
            <v>DE DE CROSSE</v>
          </cell>
          <cell r="C4610" t="str">
            <v>LEWA 109245.0158</v>
          </cell>
          <cell r="D4610" t="str">
            <v>PE</v>
          </cell>
          <cell r="E4610" t="str">
            <v>515.51503</v>
          </cell>
          <cell r="F4610">
            <v>1547.616</v>
          </cell>
          <cell r="G4610">
            <v>0</v>
          </cell>
          <cell r="H4610">
            <v>0</v>
          </cell>
          <cell r="I4610">
            <v>0</v>
          </cell>
          <cell r="J4610">
            <v>0</v>
          </cell>
          <cell r="K4610">
            <v>0</v>
          </cell>
          <cell r="L4610">
            <v>0</v>
          </cell>
        </row>
        <row r="4611">
          <cell r="A4611" t="str">
            <v>20497.00820</v>
          </cell>
          <cell r="B4611" t="str">
            <v>ROULEMENT A BILLES</v>
          </cell>
          <cell r="C4611" t="str">
            <v>LEWA 083059.0000</v>
          </cell>
          <cell r="D4611" t="str">
            <v>PE</v>
          </cell>
          <cell r="E4611" t="str">
            <v>515.51503</v>
          </cell>
          <cell r="F4611">
            <v>449.23200000000003</v>
          </cell>
          <cell r="G4611">
            <v>0</v>
          </cell>
          <cell r="H4611">
            <v>0</v>
          </cell>
          <cell r="I4611">
            <v>0</v>
          </cell>
          <cell r="J4611">
            <v>0</v>
          </cell>
          <cell r="K4611">
            <v>0</v>
          </cell>
          <cell r="L4611">
            <v>2</v>
          </cell>
        </row>
        <row r="4612">
          <cell r="A4612" t="str">
            <v>20497.00821</v>
          </cell>
          <cell r="B4612" t="str">
            <v>CIRCLIPS</v>
          </cell>
          <cell r="C4612" t="str">
            <v>LEWA 071415.0130</v>
          </cell>
          <cell r="D4612" t="str">
            <v>PE</v>
          </cell>
          <cell r="E4612" t="str">
            <v>515.51503</v>
          </cell>
          <cell r="F4612">
            <v>12.936</v>
          </cell>
          <cell r="G4612">
            <v>0</v>
          </cell>
          <cell r="H4612">
            <v>0</v>
          </cell>
          <cell r="I4612">
            <v>0</v>
          </cell>
          <cell r="J4612">
            <v>0</v>
          </cell>
          <cell r="K4612">
            <v>0</v>
          </cell>
          <cell r="L4612">
            <v>0</v>
          </cell>
        </row>
        <row r="4613">
          <cell r="A4613" t="str">
            <v>20497.00822</v>
          </cell>
          <cell r="B4613" t="str">
            <v>PISTON PLONGEUR</v>
          </cell>
          <cell r="C4613" t="str">
            <v>LEWA 014432.0002</v>
          </cell>
          <cell r="D4613" t="str">
            <v>PE</v>
          </cell>
          <cell r="E4613" t="str">
            <v>515.51503</v>
          </cell>
          <cell r="F4613">
            <v>16534.560000000001</v>
          </cell>
          <cell r="G4613">
            <v>0</v>
          </cell>
          <cell r="H4613">
            <v>0</v>
          </cell>
          <cell r="I4613">
            <v>0</v>
          </cell>
          <cell r="J4613">
            <v>0</v>
          </cell>
          <cell r="K4613">
            <v>0</v>
          </cell>
          <cell r="L4613">
            <v>0</v>
          </cell>
        </row>
        <row r="4614">
          <cell r="A4614" t="str">
            <v>20497.00823</v>
          </cell>
          <cell r="B4614" t="str">
            <v>SOUFLET</v>
          </cell>
          <cell r="C4614" t="str">
            <v>LEWA 081047.0083</v>
          </cell>
          <cell r="D4614" t="str">
            <v>PE</v>
          </cell>
          <cell r="E4614" t="str">
            <v>515.51503</v>
          </cell>
          <cell r="F4614">
            <v>458.64</v>
          </cell>
          <cell r="G4614">
            <v>0</v>
          </cell>
          <cell r="H4614">
            <v>0</v>
          </cell>
          <cell r="I4614">
            <v>0</v>
          </cell>
          <cell r="J4614">
            <v>0</v>
          </cell>
          <cell r="K4614">
            <v>0</v>
          </cell>
          <cell r="L4614">
            <v>1</v>
          </cell>
        </row>
        <row r="4615">
          <cell r="A4615" t="str">
            <v>20497.00824</v>
          </cell>
          <cell r="B4615" t="str">
            <v>JOINT A LEVRE</v>
          </cell>
          <cell r="C4615" t="str">
            <v>LEWA 083161.0297</v>
          </cell>
          <cell r="D4615" t="str">
            <v>PE</v>
          </cell>
          <cell r="E4615" t="str">
            <v>515.51503</v>
          </cell>
          <cell r="F4615">
            <v>994.89599999999996</v>
          </cell>
          <cell r="G4615">
            <v>0</v>
          </cell>
          <cell r="H4615">
            <v>0</v>
          </cell>
          <cell r="I4615">
            <v>0</v>
          </cell>
          <cell r="J4615">
            <v>0</v>
          </cell>
          <cell r="K4615">
            <v>0</v>
          </cell>
          <cell r="L4615">
            <v>1</v>
          </cell>
        </row>
        <row r="4616">
          <cell r="A4616" t="str">
            <v>20497.03180</v>
          </cell>
          <cell r="B4616" t="str">
            <v>CONTRE ECROU OPPOSE COMMANDE</v>
          </cell>
          <cell r="C4616" t="str">
            <v>HIBON  P524015805  TYPE LA 70</v>
          </cell>
          <cell r="D4616" t="str">
            <v>PE</v>
          </cell>
          <cell r="E4616" t="str">
            <v>515.51503</v>
          </cell>
          <cell r="F4616">
            <v>784.85990000000004</v>
          </cell>
          <cell r="G4616">
            <v>0</v>
          </cell>
          <cell r="H4616">
            <v>0</v>
          </cell>
          <cell r="I4616">
            <v>0</v>
          </cell>
          <cell r="J4616">
            <v>0</v>
          </cell>
          <cell r="K4616">
            <v>0</v>
          </cell>
          <cell r="L4616">
            <v>2</v>
          </cell>
        </row>
        <row r="4617">
          <cell r="A4617" t="str">
            <v>20497.03177</v>
          </cell>
          <cell r="B4617" t="str">
            <v>JOINT TORIQUE DIA 114X6</v>
          </cell>
          <cell r="C4617" t="str">
            <v>HIBON  C121302502  TYPE AL 70</v>
          </cell>
          <cell r="D4617" t="str">
            <v>PE</v>
          </cell>
          <cell r="E4617" t="str">
            <v>515.51503</v>
          </cell>
          <cell r="F4617">
            <v>291.55529999999999</v>
          </cell>
          <cell r="G4617">
            <v>0</v>
          </cell>
          <cell r="H4617">
            <v>0</v>
          </cell>
          <cell r="I4617">
            <v>0</v>
          </cell>
          <cell r="J4617">
            <v>0</v>
          </cell>
          <cell r="K4617">
            <v>0</v>
          </cell>
          <cell r="L4617">
            <v>4</v>
          </cell>
        </row>
        <row r="4618">
          <cell r="A4618" t="str">
            <v>20497.03178</v>
          </cell>
          <cell r="B4618" t="str">
            <v>JOINT TORIQUE  DIA 289.3X5.7</v>
          </cell>
          <cell r="C4618" t="str">
            <v>HIBON C122895702  TYPE LA 70</v>
          </cell>
          <cell r="D4618" t="str">
            <v>PE</v>
          </cell>
          <cell r="E4618" t="str">
            <v>515.51503</v>
          </cell>
          <cell r="F4618">
            <v>133.7029</v>
          </cell>
          <cell r="G4618">
            <v>0</v>
          </cell>
          <cell r="H4618">
            <v>0</v>
          </cell>
          <cell r="I4618">
            <v>0</v>
          </cell>
          <cell r="J4618">
            <v>0</v>
          </cell>
          <cell r="K4618">
            <v>0</v>
          </cell>
          <cell r="L4618">
            <v>4</v>
          </cell>
        </row>
        <row r="4619">
          <cell r="A4619" t="str">
            <v>20497.13508</v>
          </cell>
          <cell r="B4619" t="str">
            <v>JEU DE GRILLE POUR PREFILTRE</v>
          </cell>
          <cell r="C4619" t="str">
            <v>BLACKMER  P/PREFILTRE TYPE PF 70 AL P/POMPE AL 0</v>
          </cell>
          <cell r="D4619" t="str">
            <v>PE</v>
          </cell>
          <cell r="E4619" t="str">
            <v>515.51507</v>
          </cell>
          <cell r="F4619">
            <v>1518</v>
          </cell>
          <cell r="G4619">
            <v>0</v>
          </cell>
          <cell r="H4619">
            <v>0</v>
          </cell>
          <cell r="I4619">
            <v>0</v>
          </cell>
          <cell r="J4619">
            <v>0</v>
          </cell>
          <cell r="K4619">
            <v>0</v>
          </cell>
          <cell r="L4619">
            <v>1</v>
          </cell>
        </row>
        <row r="4620">
          <cell r="A4620" t="str">
            <v>20492.13770</v>
          </cell>
          <cell r="B4620" t="str">
            <v>JOINT EXTRUDÉ DE 85 PO. DU PALIER DE TOURILLON</v>
          </cell>
          <cell r="C4620" t="str">
            <v>METSO REF 02-063588 POUR PALIERS DE TOURILLON PLAN05-055598 DU BROYEUR  MINERALS  9'X14'</v>
          </cell>
          <cell r="D4620" t="str">
            <v>PE</v>
          </cell>
          <cell r="E4620" t="str">
            <v>522.52207</v>
          </cell>
          <cell r="F4620">
            <v>3131.7804000000001</v>
          </cell>
          <cell r="G4620">
            <v>0</v>
          </cell>
          <cell r="H4620">
            <v>0</v>
          </cell>
          <cell r="I4620">
            <v>0</v>
          </cell>
          <cell r="J4620">
            <v>0</v>
          </cell>
          <cell r="K4620">
            <v>0</v>
          </cell>
          <cell r="L4620">
            <v>0</v>
          </cell>
        </row>
        <row r="4621">
          <cell r="A4621" t="str">
            <v>20492.13745</v>
          </cell>
          <cell r="B4621" t="str">
            <v>ACCOUPLEMENT DE L'ENTRAINEMENT A MARCHE LENTE, DEMI ACCOUPLEMENT D'ENTRAINEMENT 4??</v>
          </cell>
          <cell r="C4621" t="str">
            <v>METSO REF. 04-999999 P/ENTRAINEMENT A MARCHE LENTE DU BROYEUR MINERALS 9'x14'</v>
          </cell>
          <cell r="D4621" t="str">
            <v>PE</v>
          </cell>
          <cell r="E4621" t="str">
            <v>522.52207</v>
          </cell>
          <cell r="F4621">
            <v>260901.23939999999</v>
          </cell>
          <cell r="G4621">
            <v>0</v>
          </cell>
          <cell r="H4621">
            <v>0</v>
          </cell>
          <cell r="I4621">
            <v>0</v>
          </cell>
          <cell r="J4621">
            <v>0</v>
          </cell>
          <cell r="K4621">
            <v>0</v>
          </cell>
          <cell r="L4621">
            <v>1</v>
          </cell>
        </row>
        <row r="4622">
          <cell r="A4622" t="str">
            <v>20492.12558</v>
          </cell>
          <cell r="B4622" t="str">
            <v>FILTRE UNIVERSEL</v>
          </cell>
          <cell r="C4622" t="str">
            <v>M&amp;C TYPE FP-AP</v>
          </cell>
          <cell r="D4622" t="str">
            <v>PE</v>
          </cell>
          <cell r="E4622" t="str">
            <v>512.51201</v>
          </cell>
          <cell r="F4622">
            <v>3155</v>
          </cell>
          <cell r="G4622">
            <v>0</v>
          </cell>
          <cell r="H4622">
            <v>0</v>
          </cell>
          <cell r="I4622">
            <v>0</v>
          </cell>
          <cell r="J4622">
            <v>0</v>
          </cell>
          <cell r="K4622">
            <v>3</v>
          </cell>
          <cell r="L4622">
            <v>2</v>
          </cell>
        </row>
        <row r="4623">
          <cell r="A4623" t="str">
            <v>20492.12559</v>
          </cell>
          <cell r="B4623" t="str">
            <v>FILTRE UNIVERSEL</v>
          </cell>
          <cell r="C4623" t="str">
            <v>M&amp;C TYPE FP-0,1 GF/LA1,4 (230V)</v>
          </cell>
          <cell r="D4623" t="str">
            <v>PE</v>
          </cell>
          <cell r="E4623" t="str">
            <v>512.51201</v>
          </cell>
          <cell r="F4623">
            <v>8000</v>
          </cell>
          <cell r="G4623">
            <v>0</v>
          </cell>
          <cell r="H4623">
            <v>0</v>
          </cell>
          <cell r="I4623">
            <v>0</v>
          </cell>
          <cell r="J4623">
            <v>0</v>
          </cell>
          <cell r="K4623">
            <v>3</v>
          </cell>
          <cell r="L4623">
            <v>2</v>
          </cell>
        </row>
        <row r="4624">
          <cell r="A4624" t="str">
            <v>20492.13728</v>
          </cell>
          <cell r="B4624" t="str">
            <v>ELEMENTS DE FILTRE</v>
          </cell>
          <cell r="C4624" t="str">
            <v>METSO REF 04-136358 POUR SYSTÉME DE LUBRIFICATION DES PALIERS DE TOURILLON PLAN05-057596 DU BROYEUR MINERALS  9'X14'</v>
          </cell>
          <cell r="D4624" t="str">
            <v>PE</v>
          </cell>
          <cell r="E4624" t="str">
            <v>522.52207</v>
          </cell>
          <cell r="F4624">
            <v>5485.1064999999999</v>
          </cell>
          <cell r="G4624">
            <v>0</v>
          </cell>
          <cell r="H4624">
            <v>0</v>
          </cell>
          <cell r="I4624">
            <v>0</v>
          </cell>
          <cell r="J4624">
            <v>0</v>
          </cell>
          <cell r="K4624">
            <v>0</v>
          </cell>
          <cell r="L4624">
            <v>0</v>
          </cell>
        </row>
        <row r="4625">
          <cell r="A4625" t="str">
            <v>20492.13736</v>
          </cell>
          <cell r="B4625" t="str">
            <v>TUYAU DE GRAISSE DE LUBRIFICATION, LONGUEUR : 4,5M</v>
          </cell>
          <cell r="C4625" t="str">
            <v>METSO REF 04-136366 POUR SYSTÉME D'ARROSAGE DE LA COURONNE  DENTÉE PLAN05-058369 DU BROYEUR  MINERALS  9'X14'</v>
          </cell>
          <cell r="D4625" t="str">
            <v>PE</v>
          </cell>
          <cell r="E4625" t="str">
            <v>522.52207</v>
          </cell>
          <cell r="F4625">
            <v>5094.9669000000004</v>
          </cell>
          <cell r="G4625">
            <v>0</v>
          </cell>
          <cell r="H4625">
            <v>0</v>
          </cell>
          <cell r="I4625">
            <v>0</v>
          </cell>
          <cell r="J4625">
            <v>0</v>
          </cell>
          <cell r="K4625">
            <v>0</v>
          </cell>
          <cell r="L4625">
            <v>0</v>
          </cell>
        </row>
        <row r="4626">
          <cell r="A4626" t="str">
            <v>20492.13737</v>
          </cell>
          <cell r="B4626" t="str">
            <v>TUYAU DE GRAISSE DE GICLEUR, LONGUEUR : 1M</v>
          </cell>
          <cell r="C4626" t="str">
            <v>METSO REF 04-136367 POUR SYSTÉME D'ARROSAGE DE LA COURONNE  DENTÉE PLAN05-058369 DU BROYEUR MINERALS  9'X14'</v>
          </cell>
          <cell r="D4626" t="str">
            <v>PE</v>
          </cell>
          <cell r="E4626" t="str">
            <v>522.52207</v>
          </cell>
          <cell r="F4626">
            <v>1675.7532000000001</v>
          </cell>
          <cell r="G4626">
            <v>0</v>
          </cell>
          <cell r="H4626">
            <v>0</v>
          </cell>
          <cell r="I4626">
            <v>0</v>
          </cell>
          <cell r="J4626">
            <v>0</v>
          </cell>
          <cell r="K4626">
            <v>0</v>
          </cell>
          <cell r="L4626">
            <v>1</v>
          </cell>
        </row>
        <row r="4627">
          <cell r="A4627" t="str">
            <v>20492.13738</v>
          </cell>
          <cell r="B4627" t="str">
            <v>TUYAU D'AIR DU GICLEUR, LONGUEUR : 1M</v>
          </cell>
          <cell r="C4627" t="str">
            <v>METSO REF 04-136368 POUR SYSTÉME D'ARROSAGE DE LA COURONNE  DENTÉE PLAN05-058369 DU BROYEUR MINERALS  9'X14'</v>
          </cell>
          <cell r="D4627" t="str">
            <v>PE</v>
          </cell>
          <cell r="E4627" t="str">
            <v>522.52207</v>
          </cell>
          <cell r="F4627">
            <v>2178.1179000000002</v>
          </cell>
          <cell r="G4627">
            <v>0</v>
          </cell>
          <cell r="H4627">
            <v>0</v>
          </cell>
          <cell r="I4627">
            <v>0</v>
          </cell>
          <cell r="J4627">
            <v>0</v>
          </cell>
          <cell r="K4627">
            <v>0</v>
          </cell>
          <cell r="L4627">
            <v>0</v>
          </cell>
        </row>
        <row r="4628">
          <cell r="A4628" t="str">
            <v>20492.13739</v>
          </cell>
          <cell r="B4628" t="str">
            <v>TROUSSE DE RÉPARATION DU SYSTÉME D'ARROSAGE DE LA COURONNE DENTÉE</v>
          </cell>
          <cell r="C4628" t="str">
            <v>METSO REF 04-136374 POUR SYSTÉME D'ARROSAGE DE LA COURONNE  DENTÉE PLAN05-058369 DU BROYEUR MINERALS  9'X14'</v>
          </cell>
          <cell r="D4628" t="str">
            <v>PE</v>
          </cell>
          <cell r="E4628" t="str">
            <v>522.52207</v>
          </cell>
          <cell r="F4628">
            <v>13574.9728</v>
          </cell>
          <cell r="G4628">
            <v>0</v>
          </cell>
          <cell r="H4628">
            <v>0</v>
          </cell>
          <cell r="I4628">
            <v>0</v>
          </cell>
          <cell r="J4628">
            <v>0</v>
          </cell>
          <cell r="K4628">
            <v>0</v>
          </cell>
          <cell r="L4628">
            <v>1</v>
          </cell>
        </row>
        <row r="4629">
          <cell r="A4629" t="str">
            <v>20492.13732</v>
          </cell>
          <cell r="B4629" t="str">
            <v>VANNE DE SURETÉ</v>
          </cell>
          <cell r="C4629" t="str">
            <v>METSO REF 04-136362 POUR SYSTÉME DE LUBRIFICATION DES PALIERS DE TOURILLON PLAN05-057596 DU BROYEUR MINERALS  9'X14'</v>
          </cell>
          <cell r="D4629" t="str">
            <v>PE</v>
          </cell>
          <cell r="E4629" t="str">
            <v>522.52207</v>
          </cell>
          <cell r="F4629">
            <v>30138.168300000001</v>
          </cell>
          <cell r="G4629">
            <v>0</v>
          </cell>
          <cell r="H4629">
            <v>0</v>
          </cell>
          <cell r="I4629">
            <v>0</v>
          </cell>
          <cell r="J4629">
            <v>0</v>
          </cell>
          <cell r="K4629">
            <v>0</v>
          </cell>
          <cell r="L4629">
            <v>0</v>
          </cell>
        </row>
        <row r="4630">
          <cell r="A4630" t="str">
            <v>20492.13735</v>
          </cell>
          <cell r="B4630" t="str">
            <v>TUYAU D'AIR, LONGUEUR : 1,5M</v>
          </cell>
          <cell r="C4630" t="str">
            <v>METSO REF 04-136365 POUR SYSTÉME D'ARROSAGE DE LA COURONNE  DENTÉE PLAN05-058369 DU BROYEUR MINERALS  9'X14'</v>
          </cell>
          <cell r="D4630" t="str">
            <v>PE</v>
          </cell>
          <cell r="E4630" t="str">
            <v>522.52207</v>
          </cell>
          <cell r="F4630">
            <v>1802.7043000000001</v>
          </cell>
          <cell r="G4630">
            <v>0</v>
          </cell>
          <cell r="H4630">
            <v>0</v>
          </cell>
          <cell r="I4630">
            <v>0</v>
          </cell>
          <cell r="J4630">
            <v>0</v>
          </cell>
          <cell r="K4630">
            <v>0</v>
          </cell>
          <cell r="L4630">
            <v>1</v>
          </cell>
        </row>
        <row r="4631">
          <cell r="A4631" t="str">
            <v>20492.13748</v>
          </cell>
          <cell r="B4631" t="str">
            <v>JOINT DU ROTOR</v>
          </cell>
          <cell r="C4631" t="str">
            <v>METSO REF 04-073339 POUR EMBRAYAGE ENSEMBLE 24VC1001 PLAN05-055605 DU BROYEUR  MINERALS  9'X14'</v>
          </cell>
          <cell r="D4631" t="str">
            <v>PE</v>
          </cell>
          <cell r="E4631" t="str">
            <v>522.52207</v>
          </cell>
          <cell r="F4631">
            <v>10604.6405</v>
          </cell>
          <cell r="G4631">
            <v>0</v>
          </cell>
          <cell r="H4631">
            <v>0</v>
          </cell>
          <cell r="I4631">
            <v>0</v>
          </cell>
          <cell r="J4631">
            <v>0</v>
          </cell>
          <cell r="K4631">
            <v>0</v>
          </cell>
          <cell r="L4631">
            <v>1</v>
          </cell>
        </row>
        <row r="4632">
          <cell r="A4632" t="str">
            <v>20492.13749</v>
          </cell>
          <cell r="B4632" t="str">
            <v>ENSEMBLE D'ÉLEMENT</v>
          </cell>
          <cell r="C4632" t="str">
            <v>METSO REF 04-073405 POUR EMBRAYAGE ENSEMBLE 24VC1002 PLAN05-055605 DU BROYEUR MINERALS  9'X14'</v>
          </cell>
          <cell r="D4632" t="str">
            <v>PE</v>
          </cell>
          <cell r="E4632" t="str">
            <v>522.52207</v>
          </cell>
          <cell r="F4632">
            <v>160639.14019999999</v>
          </cell>
          <cell r="G4632">
            <v>0</v>
          </cell>
          <cell r="H4632">
            <v>0</v>
          </cell>
          <cell r="I4632">
            <v>0</v>
          </cell>
          <cell r="J4632">
            <v>0</v>
          </cell>
          <cell r="K4632">
            <v>0</v>
          </cell>
          <cell r="L4632">
            <v>0</v>
          </cell>
        </row>
        <row r="4633">
          <cell r="A4633" t="str">
            <v>20492.13750</v>
          </cell>
          <cell r="B4633" t="str">
            <v>TROUSSE DU SABOT BDE FRICTION</v>
          </cell>
          <cell r="C4633" t="str">
            <v>METSO REF 04-999999 POUR EMBRAYAGE ENSEMBLE 24VC1003 PLAN05-055605 DU BROYEUR MINERALS  9'X14'</v>
          </cell>
          <cell r="D4633" t="str">
            <v>PE</v>
          </cell>
          <cell r="E4633" t="str">
            <v>522.52207</v>
          </cell>
          <cell r="F4633">
            <v>69856.905599999998</v>
          </cell>
          <cell r="G4633">
            <v>0</v>
          </cell>
          <cell r="H4633">
            <v>0</v>
          </cell>
          <cell r="I4633">
            <v>0</v>
          </cell>
          <cell r="J4633">
            <v>0</v>
          </cell>
          <cell r="K4633">
            <v>0</v>
          </cell>
          <cell r="L4633">
            <v>1</v>
          </cell>
        </row>
        <row r="4634">
          <cell r="A4634" t="str">
            <v>20492.13751</v>
          </cell>
          <cell r="B4634" t="str">
            <v>BLINDAGE DU TOURILLON D'ALIMENTATION</v>
          </cell>
          <cell r="C4634" t="str">
            <v>METSO REF 02-086962 POUR ENSEMBLE DE L'EXTRIMITÉ D'ALIMENTATION PLAN05-055650 DU BROYEUR  MINERALS  9'X14'</v>
          </cell>
          <cell r="D4634" t="str">
            <v>PE</v>
          </cell>
          <cell r="E4634" t="str">
            <v>522.52207</v>
          </cell>
          <cell r="F4634">
            <v>185493.2317</v>
          </cell>
          <cell r="G4634">
            <v>0</v>
          </cell>
          <cell r="H4634">
            <v>0</v>
          </cell>
          <cell r="I4634">
            <v>0</v>
          </cell>
          <cell r="J4634">
            <v>0</v>
          </cell>
          <cell r="K4634">
            <v>0</v>
          </cell>
          <cell r="L4634">
            <v>1</v>
          </cell>
        </row>
        <row r="4635">
          <cell r="A4635" t="str">
            <v>20492.13741</v>
          </cell>
          <cell r="B4635" t="str">
            <v>ACCOUPLEMENT HAUTE VITESSE, DEMI ACCOUPLEMENT ENTRAINÉ REF 04-135898</v>
          </cell>
          <cell r="C4635" t="str">
            <v>METSO REF 04-135898 POUR RÉDUCTEUR DE VITESSE DU BROYEUR MINERALS  9'X14'</v>
          </cell>
          <cell r="D4635" t="str">
            <v>PE</v>
          </cell>
          <cell r="E4635" t="str">
            <v>522.52207</v>
          </cell>
          <cell r="F4635">
            <v>67144.900099999999</v>
          </cell>
          <cell r="G4635">
            <v>0</v>
          </cell>
          <cell r="H4635">
            <v>0</v>
          </cell>
          <cell r="I4635">
            <v>0</v>
          </cell>
          <cell r="J4635">
            <v>0</v>
          </cell>
          <cell r="K4635">
            <v>0</v>
          </cell>
          <cell r="L4635">
            <v>1</v>
          </cell>
        </row>
        <row r="4636">
          <cell r="A4636" t="str">
            <v>20492.13742</v>
          </cell>
          <cell r="B4636" t="str">
            <v>ACCOUPLEMENT HAUTE VITESSE, DEMI ACCOUPLEMENT D'ENTRAINEMENT REF 04-135897</v>
          </cell>
          <cell r="C4636" t="str">
            <v>METSO REF 04-135897 POUR RÉDUCTEUR DE VITESSE DU BROYEUR MINERALS  9'X14'</v>
          </cell>
          <cell r="D4636" t="str">
            <v>PE</v>
          </cell>
          <cell r="E4636" t="str">
            <v>522.52207</v>
          </cell>
          <cell r="F4636">
            <v>57551.121700000003</v>
          </cell>
          <cell r="G4636">
            <v>0</v>
          </cell>
          <cell r="H4636">
            <v>0</v>
          </cell>
          <cell r="I4636">
            <v>0</v>
          </cell>
          <cell r="J4636">
            <v>0</v>
          </cell>
          <cell r="K4636">
            <v>0</v>
          </cell>
          <cell r="L4636">
            <v>1</v>
          </cell>
        </row>
        <row r="4637">
          <cell r="A4637" t="str">
            <v>20492.13772</v>
          </cell>
          <cell r="B4637" t="str">
            <v>GICLEUR D'ARROSAGE</v>
          </cell>
          <cell r="C4637" t="str">
            <v>METSO REF 04-136375 POUR SYSTÉME D'ARROSAGE DE LA COURONNE  DENTÉE PLAN05-058369 DU BROYEUR MINERALS  9'X14'</v>
          </cell>
          <cell r="D4637" t="str">
            <v>PE</v>
          </cell>
          <cell r="E4637" t="str">
            <v>522.52207</v>
          </cell>
          <cell r="F4637">
            <v>3967.7067000000002</v>
          </cell>
          <cell r="G4637">
            <v>0</v>
          </cell>
          <cell r="H4637">
            <v>0</v>
          </cell>
          <cell r="I4637">
            <v>0</v>
          </cell>
          <cell r="J4637">
            <v>0</v>
          </cell>
          <cell r="K4637">
            <v>0</v>
          </cell>
          <cell r="L4637">
            <v>4</v>
          </cell>
        </row>
        <row r="4638">
          <cell r="A4638" t="str">
            <v>20492.13747</v>
          </cell>
          <cell r="B4638" t="str">
            <v>TAMBOUR</v>
          </cell>
          <cell r="C4638" t="str">
            <v>METSO REF 04-073417 POUR EMBRAYAGE ENSEMBLE 24VC1000 PLAN05-055605 DU BROYEUR MINERALS  9'X14'</v>
          </cell>
          <cell r="D4638" t="str">
            <v>PE</v>
          </cell>
          <cell r="E4638" t="str">
            <v>522.52207</v>
          </cell>
          <cell r="F4638">
            <v>59683.898500000003</v>
          </cell>
          <cell r="G4638">
            <v>0</v>
          </cell>
          <cell r="H4638">
            <v>0</v>
          </cell>
          <cell r="I4638">
            <v>0</v>
          </cell>
          <cell r="J4638">
            <v>0</v>
          </cell>
          <cell r="K4638">
            <v>0</v>
          </cell>
          <cell r="L4638">
            <v>1</v>
          </cell>
        </row>
        <row r="4639">
          <cell r="A4639" t="str">
            <v>20492.13756</v>
          </cell>
          <cell r="B4639" t="str">
            <v>JOINT DE L'ÉXTRÉMITÉ DE DÉCHARGE</v>
          </cell>
          <cell r="C4639" t="str">
            <v>METSO REF 02-025202 POUR ENSEMBLE DE L'EXTRIMITÉ D'ALIMENTATION PLAN05-055650 DU BROYEUR MINERALS  9'X14'</v>
          </cell>
          <cell r="D4639" t="str">
            <v>PE</v>
          </cell>
          <cell r="E4639" t="str">
            <v>522.52207</v>
          </cell>
          <cell r="F4639">
            <v>2268.1913</v>
          </cell>
          <cell r="G4639">
            <v>0</v>
          </cell>
          <cell r="H4639">
            <v>0</v>
          </cell>
          <cell r="I4639">
            <v>0</v>
          </cell>
          <cell r="J4639">
            <v>0</v>
          </cell>
          <cell r="K4639">
            <v>1</v>
          </cell>
          <cell r="L4639">
            <v>0</v>
          </cell>
        </row>
        <row r="4640">
          <cell r="A4640" t="str">
            <v>20492.13757</v>
          </cell>
          <cell r="B4640" t="str">
            <v>BLINDAGE DU TOURILLON DE LA SECTION DE DÉCHARGE</v>
          </cell>
          <cell r="C4640" t="str">
            <v>METSO REF 05-054577 POUR SECTION DE DECHARGE PLAN05-055601 DU BROYEUR  MINERALS  9'X14'</v>
          </cell>
          <cell r="D4640" t="str">
            <v>PE</v>
          </cell>
          <cell r="E4640" t="str">
            <v>522.52207</v>
          </cell>
          <cell r="F4640">
            <v>119996.63710000001</v>
          </cell>
          <cell r="G4640">
            <v>0</v>
          </cell>
          <cell r="H4640">
            <v>0</v>
          </cell>
          <cell r="I4640">
            <v>0</v>
          </cell>
          <cell r="J4640">
            <v>0</v>
          </cell>
          <cell r="K4640">
            <v>1</v>
          </cell>
          <cell r="L4640">
            <v>0</v>
          </cell>
        </row>
        <row r="4641">
          <cell r="A4641" t="str">
            <v>20492.13759</v>
          </cell>
          <cell r="B4641" t="str">
            <v>ECRAN DU CRIBE TOURNANT</v>
          </cell>
          <cell r="C4641" t="str">
            <v>METSO REF 05-054598 POUR SECTION DE DECHARGE PLAN05-055601 DU BROYEUR O MINERALS  9'X14'</v>
          </cell>
          <cell r="D4641" t="str">
            <v>PE</v>
          </cell>
          <cell r="E4641" t="str">
            <v>522.52207</v>
          </cell>
          <cell r="F4641">
            <v>96474.299400000004</v>
          </cell>
          <cell r="G4641">
            <v>0</v>
          </cell>
          <cell r="H4641">
            <v>0</v>
          </cell>
          <cell r="I4641">
            <v>0</v>
          </cell>
          <cell r="J4641">
            <v>0</v>
          </cell>
          <cell r="K4641">
            <v>0</v>
          </cell>
          <cell r="L4641">
            <v>0</v>
          </cell>
        </row>
        <row r="4642">
          <cell r="A4642" t="str">
            <v>20492.13752</v>
          </cell>
          <cell r="B4642" t="str">
            <v>JOINT EN CAOUTCOUC EXTRUDÉ</v>
          </cell>
          <cell r="C4642" t="str">
            <v>METSO REF 02-068338 POUR ENSEMBLE DE L'EXTRIMITÉ D'ALIMENTATION PLAN05-055650 DU BROYEUR METSO MINERALS  9'X14'</v>
          </cell>
          <cell r="D4642" t="str">
            <v>PE</v>
          </cell>
          <cell r="E4642" t="str">
            <v>522.52207</v>
          </cell>
          <cell r="F4642">
            <v>3029.8973000000001</v>
          </cell>
          <cell r="G4642">
            <v>0</v>
          </cell>
          <cell r="H4642">
            <v>0</v>
          </cell>
          <cell r="I4642">
            <v>0</v>
          </cell>
          <cell r="J4642">
            <v>0</v>
          </cell>
          <cell r="K4642">
            <v>0</v>
          </cell>
          <cell r="L4642">
            <v>4</v>
          </cell>
        </row>
        <row r="4643">
          <cell r="A4643" t="str">
            <v>20492.13753</v>
          </cell>
          <cell r="B4643" t="str">
            <v>BLINDAGE SUPÉRIEUR DE LA GOULOTTE D'ALIMENTATION</v>
          </cell>
          <cell r="C4643" t="str">
            <v>METSO REF 05-010022 POUR ENSEMBLE DE L'EXTRIMITÉ D'ALIMENTATION PLAN05-055650 DU BROYEUR METSO MINERALS  9'X14'</v>
          </cell>
          <cell r="D4643" t="str">
            <v>PE</v>
          </cell>
          <cell r="E4643" t="str">
            <v>522.52207</v>
          </cell>
          <cell r="F4643">
            <v>12610.466399999999</v>
          </cell>
          <cell r="G4643">
            <v>0</v>
          </cell>
          <cell r="H4643">
            <v>0</v>
          </cell>
          <cell r="I4643">
            <v>0</v>
          </cell>
          <cell r="J4643">
            <v>0</v>
          </cell>
          <cell r="K4643">
            <v>0</v>
          </cell>
          <cell r="L4643">
            <v>1</v>
          </cell>
        </row>
        <row r="4644">
          <cell r="A4644" t="str">
            <v>20492.13754</v>
          </cell>
          <cell r="B4644" t="str">
            <v>BLINDAGE INTERMÉDIAIRE DE LA GOULOTTE D'ALIMENTATION</v>
          </cell>
          <cell r="C4644" t="str">
            <v>METSO REF 05-010026 POUR ENSEMBLE DE L'EXTRIMITÉ D'ALIMENTATION PLAN05-055650 DU BROYEUR MINERALS  9'X14'</v>
          </cell>
          <cell r="D4644" t="str">
            <v>PE</v>
          </cell>
          <cell r="E4644" t="str">
            <v>522.52207</v>
          </cell>
          <cell r="F4644">
            <v>7498.5726000000004</v>
          </cell>
          <cell r="G4644">
            <v>0</v>
          </cell>
          <cell r="H4644">
            <v>0</v>
          </cell>
          <cell r="I4644">
            <v>0</v>
          </cell>
          <cell r="J4644">
            <v>0</v>
          </cell>
          <cell r="K4644">
            <v>0</v>
          </cell>
          <cell r="L4644">
            <v>1</v>
          </cell>
        </row>
        <row r="4645">
          <cell r="A4645" t="str">
            <v>20492.13755</v>
          </cell>
          <cell r="B4645" t="str">
            <v>BLINDAGE INFÉRIEUR DE LA GOULOTTE D'ALIMENTATION</v>
          </cell>
          <cell r="C4645" t="str">
            <v>METSO REF 05-010027 POUR ENSEMBLE DE L'EXTRIMITÉ D'ALIMENTATION PLAN05-055650 DU BROYEUR  MINERALS  9'X14'</v>
          </cell>
          <cell r="D4645" t="str">
            <v>PE</v>
          </cell>
          <cell r="E4645" t="str">
            <v>522.52207</v>
          </cell>
          <cell r="F4645">
            <v>7498.5726000000004</v>
          </cell>
          <cell r="G4645">
            <v>0</v>
          </cell>
          <cell r="H4645">
            <v>0</v>
          </cell>
          <cell r="I4645">
            <v>0</v>
          </cell>
          <cell r="J4645">
            <v>0</v>
          </cell>
          <cell r="K4645">
            <v>0</v>
          </cell>
          <cell r="L4645">
            <v>1</v>
          </cell>
        </row>
        <row r="4646">
          <cell r="A4646" t="str">
            <v>20492.13766</v>
          </cell>
          <cell r="B4646" t="str">
            <v>ENSEMBLE ROTULE</v>
          </cell>
          <cell r="C4646" t="str">
            <v>METSO REF 05-055065 POUR PALIERS DE TOURILLON PLAN05-055598 DU BROYEUR  MINERALS  9'X14'</v>
          </cell>
          <cell r="D4646" t="str">
            <v>PE</v>
          </cell>
          <cell r="E4646" t="str">
            <v>522.52207</v>
          </cell>
          <cell r="F4646">
            <v>466611.72700000001</v>
          </cell>
          <cell r="G4646">
            <v>0</v>
          </cell>
          <cell r="H4646">
            <v>0</v>
          </cell>
          <cell r="I4646">
            <v>0</v>
          </cell>
          <cell r="J4646">
            <v>0</v>
          </cell>
          <cell r="K4646">
            <v>0</v>
          </cell>
          <cell r="L4646">
            <v>1</v>
          </cell>
        </row>
        <row r="4647">
          <cell r="A4647" t="str">
            <v>20492.13762</v>
          </cell>
          <cell r="B4647" t="str">
            <v>BAGUE D'ÉTANCHÉITÉ TRIPLE LER 156</v>
          </cell>
          <cell r="C4647" t="str">
            <v>METSO REF 04-076377 POUR PALIERS DE PINGON PLAN05-055599 DU BROYEUR  MINERALS  9'X14'</v>
          </cell>
          <cell r="D4647" t="str">
            <v>PE</v>
          </cell>
          <cell r="E4647" t="str">
            <v>522.52207</v>
          </cell>
          <cell r="F4647">
            <v>1177.3610000000001</v>
          </cell>
          <cell r="G4647">
            <v>0</v>
          </cell>
          <cell r="H4647">
            <v>0</v>
          </cell>
          <cell r="I4647">
            <v>0</v>
          </cell>
          <cell r="J4647">
            <v>0</v>
          </cell>
          <cell r="K4647">
            <v>0</v>
          </cell>
          <cell r="L4647">
            <v>2</v>
          </cell>
        </row>
        <row r="4648">
          <cell r="A4648" t="str">
            <v>20492.13763</v>
          </cell>
          <cell r="B4648" t="str">
            <v>BAGUE D'ÉTANCHÉITÉ TRIPLE LER 142</v>
          </cell>
          <cell r="C4648" t="str">
            <v>METSO REF 04-076371 POUR PALIERS DE PINGON PLAN05-055599 DU BROYEUR  MINERALS  9'X14'</v>
          </cell>
          <cell r="D4648" t="str">
            <v>PE</v>
          </cell>
          <cell r="E4648" t="str">
            <v>522.52207</v>
          </cell>
          <cell r="F4648">
            <v>883.02080000000001</v>
          </cell>
          <cell r="G4648">
            <v>0</v>
          </cell>
          <cell r="H4648">
            <v>0</v>
          </cell>
          <cell r="I4648">
            <v>0</v>
          </cell>
          <cell r="J4648">
            <v>0</v>
          </cell>
          <cell r="K4648">
            <v>0</v>
          </cell>
          <cell r="L4648">
            <v>2</v>
          </cell>
        </row>
        <row r="4649">
          <cell r="A4649" t="str">
            <v>20492.07025</v>
          </cell>
          <cell r="B4649" t="str">
            <v>FIN DE COURSE</v>
          </cell>
          <cell r="C4649" t="str">
            <v>OMRON D4N 1120</v>
          </cell>
          <cell r="D4649" t="str">
            <v>PE</v>
          </cell>
          <cell r="E4649" t="str">
            <v>522.52206</v>
          </cell>
          <cell r="F4649">
            <v>176.9</v>
          </cell>
          <cell r="G4649">
            <v>0</v>
          </cell>
          <cell r="H4649">
            <v>0</v>
          </cell>
          <cell r="I4649">
            <v>0</v>
          </cell>
          <cell r="J4649">
            <v>0</v>
          </cell>
          <cell r="K4649">
            <v>0</v>
          </cell>
          <cell r="L4649">
            <v>20</v>
          </cell>
        </row>
        <row r="4650">
          <cell r="A4650" t="str">
            <v>20492.15916</v>
          </cell>
          <cell r="B4650" t="str">
            <v>BLOC DE CONNECTION</v>
          </cell>
          <cell r="C4650" t="str">
            <v>DRESSER RAND 1A14014-1 NOMENCLATURE OR27502 REP8</v>
          </cell>
          <cell r="D4650" t="str">
            <v>PE</v>
          </cell>
          <cell r="E4650" t="str">
            <v>515.51517</v>
          </cell>
          <cell r="F4650">
            <v>34264.291400000002</v>
          </cell>
          <cell r="G4650">
            <v>0</v>
          </cell>
          <cell r="H4650">
            <v>0</v>
          </cell>
          <cell r="I4650">
            <v>0</v>
          </cell>
          <cell r="J4650">
            <v>0</v>
          </cell>
          <cell r="K4650">
            <v>0</v>
          </cell>
          <cell r="L4650">
            <v>1</v>
          </cell>
        </row>
        <row r="4651">
          <cell r="A4651" t="str">
            <v>20492.15917</v>
          </cell>
          <cell r="B4651" t="str">
            <v>DOUILLE</v>
          </cell>
          <cell r="C4651" t="str">
            <v>DRESSER RAND 1A7050-2 NOMENCLATURE OR27502 REP6</v>
          </cell>
          <cell r="D4651" t="str">
            <v>PE</v>
          </cell>
          <cell r="E4651" t="str">
            <v>515.51517</v>
          </cell>
          <cell r="F4651">
            <v>59028.364200000004</v>
          </cell>
          <cell r="G4651">
            <v>0</v>
          </cell>
          <cell r="H4651">
            <v>0</v>
          </cell>
          <cell r="I4651">
            <v>0</v>
          </cell>
          <cell r="J4651">
            <v>0</v>
          </cell>
          <cell r="K4651">
            <v>0</v>
          </cell>
          <cell r="L4651">
            <v>2</v>
          </cell>
        </row>
        <row r="4652">
          <cell r="A4652" t="str">
            <v>20492.15918</v>
          </cell>
          <cell r="B4652" t="str">
            <v>BAGUE</v>
          </cell>
          <cell r="C4652" t="str">
            <v>DRESSER RAND 1A6893-1 NOMENCLATURE OR27502 REP13</v>
          </cell>
          <cell r="D4652" t="str">
            <v>PE</v>
          </cell>
          <cell r="E4652" t="str">
            <v>515.51517</v>
          </cell>
          <cell r="F4652">
            <v>67823.459499999997</v>
          </cell>
          <cell r="G4652">
            <v>0</v>
          </cell>
          <cell r="H4652">
            <v>0</v>
          </cell>
          <cell r="I4652">
            <v>0</v>
          </cell>
          <cell r="J4652">
            <v>2</v>
          </cell>
          <cell r="K4652">
            <v>0</v>
          </cell>
          <cell r="L4652">
            <v>0</v>
          </cell>
        </row>
        <row r="4653">
          <cell r="A4653" t="str">
            <v>20222.06938</v>
          </cell>
          <cell r="B4653" t="str">
            <v>CONTACT INVERSEUR DF SDF</v>
          </cell>
          <cell r="C4653">
            <v>29450</v>
          </cell>
          <cell r="D4653" t="str">
            <v>PE</v>
          </cell>
          <cell r="E4653" t="str">
            <v>522.52206</v>
          </cell>
          <cell r="F4653">
            <v>136.62</v>
          </cell>
          <cell r="G4653">
            <v>0</v>
          </cell>
          <cell r="H4653">
            <v>0</v>
          </cell>
          <cell r="I4653">
            <v>0</v>
          </cell>
          <cell r="J4653">
            <v>0</v>
          </cell>
          <cell r="K4653">
            <v>1</v>
          </cell>
          <cell r="L4653">
            <v>0</v>
          </cell>
        </row>
        <row r="4654">
          <cell r="A4654" t="str">
            <v>20492.03631</v>
          </cell>
          <cell r="B4654" t="str">
            <v>PRESSOSTAT</v>
          </cell>
          <cell r="C4654" t="str">
            <v>BAUMER RP2NR646</v>
          </cell>
          <cell r="D4654" t="str">
            <v>PE</v>
          </cell>
          <cell r="E4654" t="str">
            <v>512.51201</v>
          </cell>
          <cell r="F4654">
            <v>4609.92</v>
          </cell>
          <cell r="G4654">
            <v>0</v>
          </cell>
          <cell r="H4654">
            <v>0</v>
          </cell>
          <cell r="I4654">
            <v>0</v>
          </cell>
          <cell r="J4654">
            <v>0</v>
          </cell>
          <cell r="K4654">
            <v>0</v>
          </cell>
          <cell r="L4654">
            <v>1</v>
          </cell>
        </row>
        <row r="4655">
          <cell r="A4655" t="str">
            <v>20497.00825</v>
          </cell>
          <cell r="B4655" t="str">
            <v>SIEGE DE CLAPET</v>
          </cell>
          <cell r="C4655" t="str">
            <v>LEWA 006607.0001</v>
          </cell>
          <cell r="D4655" t="str">
            <v>PE</v>
          </cell>
          <cell r="E4655" t="str">
            <v>515.51503</v>
          </cell>
          <cell r="F4655">
            <v>1083.7813000000001</v>
          </cell>
          <cell r="G4655">
            <v>0</v>
          </cell>
          <cell r="H4655">
            <v>0</v>
          </cell>
          <cell r="I4655">
            <v>0</v>
          </cell>
          <cell r="J4655">
            <v>0</v>
          </cell>
          <cell r="K4655">
            <v>0</v>
          </cell>
          <cell r="L4655">
            <v>3</v>
          </cell>
        </row>
        <row r="4656">
          <cell r="A4656" t="str">
            <v>20497.00826</v>
          </cell>
          <cell r="B4656" t="str">
            <v>CAGE CLAPETSIEGE</v>
          </cell>
          <cell r="C4656" t="str">
            <v>LEWA 010056.0001</v>
          </cell>
          <cell r="D4656" t="str">
            <v>PE</v>
          </cell>
          <cell r="E4656" t="str">
            <v>515.51503</v>
          </cell>
          <cell r="F4656">
            <v>1039.5840000000001</v>
          </cell>
          <cell r="G4656">
            <v>0</v>
          </cell>
          <cell r="H4656">
            <v>0</v>
          </cell>
          <cell r="I4656">
            <v>0</v>
          </cell>
          <cell r="J4656">
            <v>0</v>
          </cell>
          <cell r="K4656">
            <v>0</v>
          </cell>
          <cell r="L4656">
            <v>4</v>
          </cell>
        </row>
        <row r="4657">
          <cell r="A4657" t="str">
            <v>20497.00827</v>
          </cell>
          <cell r="B4657" t="str">
            <v>BILLE</v>
          </cell>
          <cell r="C4657" t="str">
            <v>LEWA 074401.0078</v>
          </cell>
          <cell r="D4657" t="str">
            <v>PE</v>
          </cell>
          <cell r="E4657" t="str">
            <v>515.51503</v>
          </cell>
          <cell r="F4657">
            <v>483.33600000000001</v>
          </cell>
          <cell r="G4657">
            <v>0</v>
          </cell>
          <cell r="H4657">
            <v>0</v>
          </cell>
          <cell r="I4657">
            <v>0</v>
          </cell>
          <cell r="J4657">
            <v>0</v>
          </cell>
          <cell r="K4657">
            <v>2</v>
          </cell>
          <cell r="L4657">
            <v>0</v>
          </cell>
        </row>
        <row r="4658">
          <cell r="A4658" t="str">
            <v>20497.00828</v>
          </cell>
          <cell r="B4658" t="str">
            <v>BAGUE DE GUIDAGE</v>
          </cell>
          <cell r="C4658" t="str">
            <v>LEWA 032318.0233</v>
          </cell>
          <cell r="D4658" t="str">
            <v>PE</v>
          </cell>
          <cell r="E4658" t="str">
            <v>515.51503</v>
          </cell>
          <cell r="F4658">
            <v>182</v>
          </cell>
          <cell r="G4658">
            <v>0</v>
          </cell>
          <cell r="H4658">
            <v>0</v>
          </cell>
          <cell r="I4658">
            <v>0</v>
          </cell>
          <cell r="J4658">
            <v>0</v>
          </cell>
          <cell r="K4658">
            <v>4</v>
          </cell>
          <cell r="L4658">
            <v>4</v>
          </cell>
        </row>
        <row r="4659">
          <cell r="A4659" t="str">
            <v>20497.10267</v>
          </cell>
          <cell r="B4659" t="str">
            <v>PLATEAU DISTRIBUTEUR OPPOSE COMMANDE</v>
          </cell>
          <cell r="C4659" t="str">
            <v>HIBON P547581500 TYPE AL140+ PLAN E54.1724  REP 003</v>
          </cell>
          <cell r="D4659" t="str">
            <v>PE</v>
          </cell>
          <cell r="E4659" t="str">
            <v>515.51503</v>
          </cell>
          <cell r="F4659">
            <v>973549.07579999999</v>
          </cell>
          <cell r="G4659">
            <v>0</v>
          </cell>
          <cell r="H4659">
            <v>0</v>
          </cell>
          <cell r="I4659">
            <v>0</v>
          </cell>
          <cell r="J4659">
            <v>0</v>
          </cell>
          <cell r="K4659">
            <v>1</v>
          </cell>
          <cell r="L4659">
            <v>0</v>
          </cell>
        </row>
        <row r="4660">
          <cell r="A4660" t="str">
            <v>20497.10268</v>
          </cell>
          <cell r="B4660" t="str">
            <v>FILTRE A TAMIS EN Y</v>
          </cell>
          <cell r="C4660" t="str">
            <v>HIBON TYPE AL140+ PLAN  E54.1724  REP 17</v>
          </cell>
          <cell r="D4660" t="str">
            <v>PE</v>
          </cell>
          <cell r="E4660" t="str">
            <v>515.51503</v>
          </cell>
          <cell r="F4660">
            <v>3916.0720000000001</v>
          </cell>
          <cell r="G4660">
            <v>0</v>
          </cell>
          <cell r="H4660">
            <v>0</v>
          </cell>
          <cell r="I4660">
            <v>0</v>
          </cell>
          <cell r="J4660">
            <v>0</v>
          </cell>
          <cell r="K4660">
            <v>0</v>
          </cell>
          <cell r="L4660">
            <v>1</v>
          </cell>
        </row>
        <row r="4661">
          <cell r="A4661" t="str">
            <v>20492.01475</v>
          </cell>
          <cell r="B4661" t="str">
            <v>SUPPORT CONSOLE</v>
          </cell>
          <cell r="C4661" t="str">
            <v>VACON DRA-02B (-04B,-15B) P/VARIATEUR NXP ET NXS</v>
          </cell>
          <cell r="D4661" t="str">
            <v>PE</v>
          </cell>
          <cell r="E4661" t="str">
            <v>522.52206</v>
          </cell>
          <cell r="F4661">
            <v>1373.52</v>
          </cell>
          <cell r="G4661">
            <v>0</v>
          </cell>
          <cell r="H4661">
            <v>0</v>
          </cell>
          <cell r="I4661">
            <v>0</v>
          </cell>
          <cell r="J4661">
            <v>0</v>
          </cell>
          <cell r="K4661">
            <v>0</v>
          </cell>
          <cell r="L4661">
            <v>4</v>
          </cell>
        </row>
        <row r="4662">
          <cell r="A4662" t="str">
            <v>20497.10269</v>
          </cell>
          <cell r="B4662" t="str">
            <v>DOUILLE DE ROUE MONTAGE GMS</v>
          </cell>
          <cell r="C4662" t="str">
            <v>HIBON  P524081720 REP 0019 P/POMPE A VIDE TYPE AL 70</v>
          </cell>
          <cell r="D4662" t="str">
            <v>PE</v>
          </cell>
          <cell r="E4662" t="str">
            <v>515.51503</v>
          </cell>
          <cell r="F4662">
            <v>14464.565500000001</v>
          </cell>
          <cell r="G4662">
            <v>0</v>
          </cell>
          <cell r="H4662">
            <v>0</v>
          </cell>
          <cell r="I4662">
            <v>0</v>
          </cell>
          <cell r="J4662">
            <v>0</v>
          </cell>
          <cell r="K4662">
            <v>0</v>
          </cell>
          <cell r="L4662">
            <v>1</v>
          </cell>
        </row>
        <row r="4663">
          <cell r="A4663" t="str">
            <v>20497.10270</v>
          </cell>
          <cell r="B4663" t="str">
            <v>DOUILLE DE GARNITURE ROPAC</v>
          </cell>
          <cell r="C4663" t="str">
            <v>HIBON  P524091720 REP 0022 P/POMPE A VIDE TYPE AL 70</v>
          </cell>
          <cell r="D4663" t="str">
            <v>PE</v>
          </cell>
          <cell r="E4663" t="str">
            <v>515.51503</v>
          </cell>
          <cell r="F4663">
            <v>24526.871999999999</v>
          </cell>
          <cell r="G4663">
            <v>0</v>
          </cell>
          <cell r="H4663">
            <v>0</v>
          </cell>
          <cell r="I4663">
            <v>0</v>
          </cell>
          <cell r="J4663">
            <v>0</v>
          </cell>
          <cell r="K4663">
            <v>0</v>
          </cell>
          <cell r="L4663">
            <v>1</v>
          </cell>
        </row>
        <row r="4664">
          <cell r="A4664" t="str">
            <v>20497.12125</v>
          </cell>
          <cell r="B4664" t="str">
            <v xml:space="preserve">KIT DE  (JOINTS+CHEMISE) </v>
          </cell>
          <cell r="C4664" t="str">
            <v xml:space="preserve">FLUOROSEAL DN50 REF 152F-904L/904L-P-FS REP 16-17-18-21 </v>
          </cell>
          <cell r="D4664" t="str">
            <v>PE</v>
          </cell>
          <cell r="E4664" t="str">
            <v>515.51511</v>
          </cell>
          <cell r="F4664">
            <v>1492.999</v>
          </cell>
          <cell r="G4664">
            <v>0</v>
          </cell>
          <cell r="H4664">
            <v>0</v>
          </cell>
          <cell r="I4664">
            <v>0</v>
          </cell>
          <cell r="J4664">
            <v>0</v>
          </cell>
          <cell r="K4664">
            <v>0</v>
          </cell>
          <cell r="L4664">
            <v>7</v>
          </cell>
        </row>
        <row r="4665">
          <cell r="A4665" t="str">
            <v>20497.11877</v>
          </cell>
          <cell r="B4665" t="str">
            <v>CORPS</v>
          </cell>
          <cell r="C4665" t="str">
            <v>IMO TYPE G3DKC-250R REP2</v>
          </cell>
          <cell r="D4665" t="str">
            <v>PE</v>
          </cell>
          <cell r="E4665" t="str">
            <v>515.51512</v>
          </cell>
          <cell r="F4665">
            <v>120210</v>
          </cell>
          <cell r="G4665">
            <v>0</v>
          </cell>
          <cell r="H4665">
            <v>0</v>
          </cell>
          <cell r="I4665">
            <v>0</v>
          </cell>
          <cell r="J4665">
            <v>0</v>
          </cell>
          <cell r="K4665">
            <v>0</v>
          </cell>
          <cell r="L4665">
            <v>1</v>
          </cell>
        </row>
        <row r="4666">
          <cell r="A4666" t="str">
            <v>20497.11878</v>
          </cell>
          <cell r="B4666" t="str">
            <v>JOINT TORIQUE</v>
          </cell>
          <cell r="C4666" t="str">
            <v>IMO TYPE G3DKC-250R REP5</v>
          </cell>
          <cell r="D4666" t="str">
            <v>PE</v>
          </cell>
          <cell r="E4666" t="str">
            <v>515.51512</v>
          </cell>
          <cell r="F4666">
            <v>1810.7491</v>
          </cell>
          <cell r="G4666">
            <v>0</v>
          </cell>
          <cell r="H4666">
            <v>0</v>
          </cell>
          <cell r="I4666">
            <v>0</v>
          </cell>
          <cell r="J4666">
            <v>0</v>
          </cell>
          <cell r="K4666">
            <v>0</v>
          </cell>
          <cell r="L4666">
            <v>0</v>
          </cell>
        </row>
        <row r="4667">
          <cell r="A4667" t="str">
            <v>20492.01400</v>
          </cell>
          <cell r="B4667" t="str">
            <v>LIMITEUR DE COUPLE</v>
          </cell>
          <cell r="C4667" t="str">
            <v>MAYR REF 0 437 500 0 18/6885/1- 24/6885/1   COUPLE:9NM</v>
          </cell>
          <cell r="D4667" t="str">
            <v>PE</v>
          </cell>
          <cell r="E4667" t="str">
            <v>515.51515</v>
          </cell>
          <cell r="F4667">
            <v>15841.859</v>
          </cell>
          <cell r="G4667">
            <v>0</v>
          </cell>
          <cell r="H4667">
            <v>0</v>
          </cell>
          <cell r="I4667">
            <v>0</v>
          </cell>
          <cell r="J4667">
            <v>0</v>
          </cell>
          <cell r="K4667">
            <v>1</v>
          </cell>
          <cell r="L4667">
            <v>0</v>
          </cell>
        </row>
        <row r="4668">
          <cell r="A4668" t="str">
            <v>20497.11872</v>
          </cell>
          <cell r="B4668" t="str">
            <v>BAGUE DE RETENUE</v>
          </cell>
          <cell r="C4668" t="str">
            <v>IMO TYPE AA3G/NVPKCA-162SC-2.OD REP15</v>
          </cell>
          <cell r="D4668" t="str">
            <v>PE</v>
          </cell>
          <cell r="E4668" t="str">
            <v>515.51512</v>
          </cell>
          <cell r="F4668">
            <v>4272.7947999999997</v>
          </cell>
          <cell r="G4668">
            <v>0</v>
          </cell>
          <cell r="H4668">
            <v>0</v>
          </cell>
          <cell r="I4668">
            <v>0</v>
          </cell>
          <cell r="J4668">
            <v>0</v>
          </cell>
          <cell r="K4668">
            <v>0</v>
          </cell>
          <cell r="L4668">
            <v>1</v>
          </cell>
        </row>
        <row r="4669">
          <cell r="A4669" t="str">
            <v>20497.12126</v>
          </cell>
          <cell r="B4669" t="str">
            <v>KIT DE (JOINTS+CHEMISE)</v>
          </cell>
          <cell r="C4669" t="str">
            <v xml:space="preserve">FLUOROSEAL DN80 REF 152F-904L/904L-P-FS REP 16-17-18-21 </v>
          </cell>
          <cell r="D4669" t="str">
            <v>PE</v>
          </cell>
          <cell r="E4669" t="str">
            <v>515.51511</v>
          </cell>
          <cell r="F4669">
            <v>1712.5577000000001</v>
          </cell>
          <cell r="G4669">
            <v>0</v>
          </cell>
          <cell r="H4669">
            <v>0</v>
          </cell>
          <cell r="I4669">
            <v>0</v>
          </cell>
          <cell r="J4669">
            <v>0</v>
          </cell>
          <cell r="K4669">
            <v>0</v>
          </cell>
          <cell r="L4669">
            <v>11</v>
          </cell>
        </row>
        <row r="4670">
          <cell r="A4670" t="str">
            <v>20497.12127</v>
          </cell>
          <cell r="B4670" t="str">
            <v>KIT DE (JOINTS+CHEMISE)</v>
          </cell>
          <cell r="C4670" t="str">
            <v xml:space="preserve">FLUOROSEAL DN100 REF 152F-904L/904L-P-FS REP 16-17-18-21 </v>
          </cell>
          <cell r="D4670" t="str">
            <v>PE</v>
          </cell>
          <cell r="E4670" t="str">
            <v>515.51511</v>
          </cell>
          <cell r="F4670">
            <v>2634.7040999999999</v>
          </cell>
          <cell r="G4670">
            <v>0</v>
          </cell>
          <cell r="H4670">
            <v>1</v>
          </cell>
          <cell r="I4670">
            <v>0</v>
          </cell>
          <cell r="J4670">
            <v>0</v>
          </cell>
          <cell r="K4670">
            <v>2</v>
          </cell>
          <cell r="L4670">
            <v>0</v>
          </cell>
        </row>
        <row r="4671">
          <cell r="A4671" t="str">
            <v>20497.12128</v>
          </cell>
          <cell r="B4671" t="str">
            <v xml:space="preserve">KIT DE (JOINTS+CHEMISE) </v>
          </cell>
          <cell r="C4671" t="str">
            <v xml:space="preserve">FLUOROSEAL DN150 REF 152F-904L/904L-P-FS REP 16-17-18-21 </v>
          </cell>
          <cell r="D4671" t="str">
            <v>PE</v>
          </cell>
          <cell r="E4671" t="str">
            <v>515.51511</v>
          </cell>
          <cell r="F4671">
            <v>3644.674</v>
          </cell>
          <cell r="G4671">
            <v>0</v>
          </cell>
          <cell r="H4671">
            <v>0</v>
          </cell>
          <cell r="I4671">
            <v>0</v>
          </cell>
          <cell r="J4671">
            <v>0</v>
          </cell>
          <cell r="K4671">
            <v>0</v>
          </cell>
          <cell r="L4671">
            <v>12</v>
          </cell>
        </row>
        <row r="4672">
          <cell r="A4672" t="str">
            <v>20497.10229</v>
          </cell>
          <cell r="B4672" t="str">
            <v>TRESSE</v>
          </cell>
          <cell r="C4672" t="str">
            <v>HIBON C079199908 TYPE AL140+ PLAN E54.1724    REP 035</v>
          </cell>
          <cell r="D4672" t="str">
            <v>PE</v>
          </cell>
          <cell r="E4672" t="str">
            <v>515.51503</v>
          </cell>
          <cell r="F4672">
            <v>5134.8982999999998</v>
          </cell>
          <cell r="G4672">
            <v>0</v>
          </cell>
          <cell r="H4672">
            <v>0</v>
          </cell>
          <cell r="I4672">
            <v>0</v>
          </cell>
          <cell r="J4672">
            <v>0</v>
          </cell>
          <cell r="K4672">
            <v>4</v>
          </cell>
          <cell r="L4672">
            <v>4</v>
          </cell>
        </row>
        <row r="4673">
          <cell r="A4673" t="str">
            <v>20222.06781</v>
          </cell>
          <cell r="B4673" t="str">
            <v>VIGILOHM TR 22A</v>
          </cell>
          <cell r="C4673">
            <v>50396</v>
          </cell>
          <cell r="D4673" t="str">
            <v>PE</v>
          </cell>
          <cell r="E4673" t="str">
            <v>522.52206</v>
          </cell>
          <cell r="F4673">
            <v>5179.68</v>
          </cell>
          <cell r="G4673">
            <v>0</v>
          </cell>
          <cell r="H4673">
            <v>0</v>
          </cell>
          <cell r="I4673">
            <v>0</v>
          </cell>
          <cell r="J4673">
            <v>0</v>
          </cell>
          <cell r="K4673">
            <v>0</v>
          </cell>
          <cell r="L4673">
            <v>2</v>
          </cell>
        </row>
        <row r="4674">
          <cell r="A4674" t="str">
            <v>20497.10104</v>
          </cell>
          <cell r="B4674" t="str">
            <v>JOINT DE ROUE</v>
          </cell>
          <cell r="C4674" t="str">
            <v>GOULDS PUMPS MODELE 3171GROUPE M TAILLE 1-1/2X3-13M POMPES  SERIE 441418   REP: 199</v>
          </cell>
          <cell r="D4674" t="str">
            <v>PE</v>
          </cell>
          <cell r="E4674" t="str">
            <v>515.51517</v>
          </cell>
          <cell r="F4674">
            <v>2832.32</v>
          </cell>
          <cell r="G4674">
            <v>0</v>
          </cell>
          <cell r="H4674">
            <v>0</v>
          </cell>
          <cell r="I4674">
            <v>0</v>
          </cell>
          <cell r="J4674">
            <v>0</v>
          </cell>
          <cell r="K4674">
            <v>0</v>
          </cell>
          <cell r="L4674">
            <v>2</v>
          </cell>
        </row>
        <row r="4675">
          <cell r="A4675" t="str">
            <v>20497.10105</v>
          </cell>
          <cell r="B4675" t="str">
            <v>DEFLECTEUR</v>
          </cell>
          <cell r="C4675" t="str">
            <v>GOULDS PUMPS MODELE 3171GROUPE M TAILLE 1-1/2X3-13M POMPES  SERIE 441418   REP: 123</v>
          </cell>
          <cell r="D4675" t="str">
            <v>PE</v>
          </cell>
          <cell r="E4675" t="str">
            <v>515.51517</v>
          </cell>
          <cell r="F4675">
            <v>156.28</v>
          </cell>
          <cell r="G4675">
            <v>0</v>
          </cell>
          <cell r="H4675">
            <v>0</v>
          </cell>
          <cell r="I4675">
            <v>0</v>
          </cell>
          <cell r="J4675">
            <v>0</v>
          </cell>
          <cell r="K4675">
            <v>0</v>
          </cell>
          <cell r="L4675">
            <v>2</v>
          </cell>
        </row>
        <row r="4676">
          <cell r="A4676" t="str">
            <v>20497.10107</v>
          </cell>
          <cell r="B4676" t="str">
            <v>CLAVETTE DE ROUE</v>
          </cell>
          <cell r="C4676" t="str">
            <v>GOULDS PUMPS MODELE 3171MT TAILLE 4X4-8 POMPES  SERIE 441419   REP: 178</v>
          </cell>
          <cell r="D4676" t="str">
            <v>PE</v>
          </cell>
          <cell r="E4676" t="str">
            <v>515.51517</v>
          </cell>
          <cell r="F4676">
            <v>514.91999999999996</v>
          </cell>
          <cell r="G4676">
            <v>0</v>
          </cell>
          <cell r="H4676">
            <v>0</v>
          </cell>
          <cell r="I4676">
            <v>0</v>
          </cell>
          <cell r="J4676">
            <v>0</v>
          </cell>
          <cell r="K4676">
            <v>0</v>
          </cell>
          <cell r="L4676">
            <v>1</v>
          </cell>
        </row>
        <row r="4677">
          <cell r="A4677" t="str">
            <v>20497.10108</v>
          </cell>
          <cell r="B4677" t="str">
            <v>JOINT DE ROUE</v>
          </cell>
          <cell r="C4677" t="str">
            <v>GOULDS PUMPS MODELE 3171MT TAILLE 4X4-8 POMPES  SERIE 441419   REP: 199</v>
          </cell>
          <cell r="D4677" t="str">
            <v>PE</v>
          </cell>
          <cell r="E4677" t="str">
            <v>515.51517</v>
          </cell>
          <cell r="F4677">
            <v>901.16</v>
          </cell>
          <cell r="G4677">
            <v>0</v>
          </cell>
          <cell r="H4677">
            <v>0</v>
          </cell>
          <cell r="I4677">
            <v>0</v>
          </cell>
          <cell r="J4677">
            <v>0</v>
          </cell>
          <cell r="K4677">
            <v>0</v>
          </cell>
          <cell r="L4677">
            <v>2</v>
          </cell>
        </row>
        <row r="4678">
          <cell r="A4678" t="str">
            <v>20497.10235</v>
          </cell>
          <cell r="B4678" t="str">
            <v>JOINT</v>
          </cell>
          <cell r="C4678" t="str">
            <v>HIBON C121746901 TYPE AL140+ PLAN E54.1724 REP 0063</v>
          </cell>
          <cell r="D4678" t="str">
            <v>PE</v>
          </cell>
          <cell r="E4678" t="str">
            <v>515.51503</v>
          </cell>
          <cell r="F4678">
            <v>88.249600000000001</v>
          </cell>
          <cell r="G4678">
            <v>0</v>
          </cell>
          <cell r="H4678">
            <v>0</v>
          </cell>
          <cell r="I4678">
            <v>0</v>
          </cell>
          <cell r="J4678">
            <v>0</v>
          </cell>
          <cell r="K4678">
            <v>4</v>
          </cell>
          <cell r="L4678">
            <v>6</v>
          </cell>
        </row>
        <row r="4679">
          <cell r="A4679" t="str">
            <v>20497.10109</v>
          </cell>
          <cell r="B4679" t="str">
            <v>DEFLECTEUR</v>
          </cell>
          <cell r="C4679" t="str">
            <v>GOULDS PUMPS MODELE 3171MT TAILLE 4X4-8 POMPES  SERIE 441419   REP: 123</v>
          </cell>
          <cell r="D4679" t="str">
            <v>PE</v>
          </cell>
          <cell r="E4679" t="str">
            <v>515.51517</v>
          </cell>
          <cell r="F4679">
            <v>156.28</v>
          </cell>
          <cell r="G4679">
            <v>0</v>
          </cell>
          <cell r="H4679">
            <v>0</v>
          </cell>
          <cell r="I4679">
            <v>0</v>
          </cell>
          <cell r="J4679">
            <v>0</v>
          </cell>
          <cell r="K4679">
            <v>0</v>
          </cell>
          <cell r="L4679">
            <v>0</v>
          </cell>
        </row>
        <row r="4680">
          <cell r="A4680" t="str">
            <v>20497.10110</v>
          </cell>
          <cell r="B4680" t="str">
            <v>ECROU CODE 2298</v>
          </cell>
          <cell r="C4680" t="str">
            <v>GOULDS PUMPS VIT-CATM-TS10X14RHMC (4ÉTAGES) POMPES  SERIE SO 513367/68   REP: 760</v>
          </cell>
          <cell r="D4680" t="str">
            <v>PE</v>
          </cell>
          <cell r="E4680" t="str">
            <v>515.51517</v>
          </cell>
          <cell r="F4680">
            <v>167</v>
          </cell>
          <cell r="G4680">
            <v>0</v>
          </cell>
          <cell r="H4680">
            <v>0</v>
          </cell>
          <cell r="I4680">
            <v>0</v>
          </cell>
          <cell r="J4680">
            <v>0</v>
          </cell>
          <cell r="K4680">
            <v>0</v>
          </cell>
          <cell r="L4680">
            <v>4</v>
          </cell>
        </row>
        <row r="4681">
          <cell r="A4681" t="str">
            <v>20497.10112</v>
          </cell>
          <cell r="B4681" t="str">
            <v>ARBRE CODE 2218</v>
          </cell>
          <cell r="C4681" t="str">
            <v>GOULDS PUMPS VIT-CATM-TS10X14RHMC (4ÉTAGES) POMPES  SERIE SO 513367/68   REP: 646</v>
          </cell>
          <cell r="D4681" t="str">
            <v>PE</v>
          </cell>
          <cell r="E4681" t="str">
            <v>515.51517</v>
          </cell>
          <cell r="F4681">
            <v>26753</v>
          </cell>
          <cell r="G4681">
            <v>0</v>
          </cell>
          <cell r="H4681">
            <v>0</v>
          </cell>
          <cell r="I4681">
            <v>1</v>
          </cell>
          <cell r="J4681">
            <v>0</v>
          </cell>
          <cell r="K4681">
            <v>0</v>
          </cell>
          <cell r="L4681">
            <v>0</v>
          </cell>
        </row>
        <row r="4682">
          <cell r="A4682" t="str">
            <v>20361.04871</v>
          </cell>
          <cell r="B4682" t="str">
            <v>CLE A ERGOT A GROS EFFORT</v>
          </cell>
          <cell r="C4682" t="str">
            <v>119.3/8</v>
          </cell>
          <cell r="D4682" t="str">
            <v>PE</v>
          </cell>
          <cell r="E4682" t="str">
            <v>522.52208</v>
          </cell>
          <cell r="F4682">
            <v>2834</v>
          </cell>
          <cell r="G4682">
            <v>0</v>
          </cell>
          <cell r="H4682">
            <v>0</v>
          </cell>
          <cell r="I4682">
            <v>0</v>
          </cell>
          <cell r="J4682">
            <v>0</v>
          </cell>
          <cell r="K4682">
            <v>0</v>
          </cell>
          <cell r="L4682">
            <v>0</v>
          </cell>
        </row>
        <row r="4683">
          <cell r="A4683" t="str">
            <v>20361.04872</v>
          </cell>
          <cell r="B4683" t="str">
            <v>CLE A ERGOT A GROS EFFORT</v>
          </cell>
          <cell r="C4683" t="str">
            <v>119.3/4</v>
          </cell>
          <cell r="D4683" t="str">
            <v>PE</v>
          </cell>
          <cell r="E4683" t="str">
            <v>522.52208</v>
          </cell>
          <cell r="F4683">
            <v>5376</v>
          </cell>
          <cell r="G4683">
            <v>0</v>
          </cell>
          <cell r="H4683">
            <v>0</v>
          </cell>
          <cell r="I4683">
            <v>0</v>
          </cell>
          <cell r="J4683">
            <v>0</v>
          </cell>
          <cell r="K4683">
            <v>0</v>
          </cell>
          <cell r="L4683">
            <v>0</v>
          </cell>
        </row>
        <row r="4684">
          <cell r="A4684" t="str">
            <v>20361.04873</v>
          </cell>
          <cell r="B4684" t="str">
            <v>EQUILIBREUR DE CHARGE</v>
          </cell>
          <cell r="C4684" t="str">
            <v>DL.101</v>
          </cell>
          <cell r="D4684" t="str">
            <v>PE</v>
          </cell>
          <cell r="E4684" t="str">
            <v>522.52208</v>
          </cell>
          <cell r="F4684">
            <v>1275</v>
          </cell>
          <cell r="G4684">
            <v>0</v>
          </cell>
          <cell r="H4684">
            <v>0</v>
          </cell>
          <cell r="I4684">
            <v>0</v>
          </cell>
          <cell r="J4684">
            <v>0</v>
          </cell>
          <cell r="K4684">
            <v>0</v>
          </cell>
          <cell r="L4684">
            <v>0</v>
          </cell>
        </row>
        <row r="4685">
          <cell r="A4685" t="str">
            <v>20361.04874</v>
          </cell>
          <cell r="B4685" t="str">
            <v>PAIRE DE CHANDELLES</v>
          </cell>
          <cell r="C4685" t="str">
            <v>DL.3</v>
          </cell>
          <cell r="D4685" t="str">
            <v>PE</v>
          </cell>
          <cell r="E4685" t="str">
            <v>522.52208</v>
          </cell>
          <cell r="F4685">
            <v>763.92</v>
          </cell>
          <cell r="G4685">
            <v>0</v>
          </cell>
          <cell r="H4685">
            <v>0</v>
          </cell>
          <cell r="I4685">
            <v>0</v>
          </cell>
          <cell r="J4685">
            <v>0</v>
          </cell>
          <cell r="K4685">
            <v>0</v>
          </cell>
          <cell r="L4685">
            <v>0</v>
          </cell>
        </row>
        <row r="4686">
          <cell r="A4686" t="str">
            <v>20361.04875</v>
          </cell>
          <cell r="B4686" t="str">
            <v>CLE A CHAINE</v>
          </cell>
          <cell r="C4686" t="str">
            <v>136B.4</v>
          </cell>
          <cell r="D4686" t="str">
            <v>PE</v>
          </cell>
          <cell r="E4686" t="str">
            <v>522.52208</v>
          </cell>
          <cell r="F4686">
            <v>223</v>
          </cell>
          <cell r="G4686">
            <v>0</v>
          </cell>
          <cell r="H4686">
            <v>0</v>
          </cell>
          <cell r="I4686">
            <v>0</v>
          </cell>
          <cell r="J4686">
            <v>0</v>
          </cell>
          <cell r="K4686">
            <v>0</v>
          </cell>
          <cell r="L4686">
            <v>0</v>
          </cell>
        </row>
        <row r="4687">
          <cell r="A4687" t="str">
            <v>20361.04876</v>
          </cell>
          <cell r="B4687" t="str">
            <v>CLIQUET</v>
          </cell>
          <cell r="C4687" t="str">
            <v>V.950F</v>
          </cell>
          <cell r="D4687" t="str">
            <v>PE</v>
          </cell>
          <cell r="E4687" t="str">
            <v>522.52208</v>
          </cell>
          <cell r="F4687">
            <v>2832</v>
          </cell>
          <cell r="G4687">
            <v>0</v>
          </cell>
          <cell r="H4687">
            <v>0</v>
          </cell>
          <cell r="I4687">
            <v>0</v>
          </cell>
          <cell r="J4687">
            <v>0</v>
          </cell>
          <cell r="K4687">
            <v>0</v>
          </cell>
          <cell r="L4687">
            <v>0</v>
          </cell>
        </row>
        <row r="4688">
          <cell r="A4688" t="str">
            <v>20361.04881</v>
          </cell>
          <cell r="B4688" t="str">
            <v>RACCORD RAPIDE</v>
          </cell>
          <cell r="C4688" t="str">
            <v>NBB.101</v>
          </cell>
          <cell r="D4688" t="str">
            <v>PE</v>
          </cell>
          <cell r="E4688" t="str">
            <v>522.52208</v>
          </cell>
          <cell r="F4688">
            <v>61</v>
          </cell>
          <cell r="G4688">
            <v>0</v>
          </cell>
          <cell r="H4688">
            <v>0</v>
          </cell>
          <cell r="I4688">
            <v>0</v>
          </cell>
          <cell r="J4688">
            <v>0</v>
          </cell>
          <cell r="K4688">
            <v>0</v>
          </cell>
          <cell r="L4688">
            <v>0</v>
          </cell>
        </row>
        <row r="4689">
          <cell r="A4689" t="str">
            <v>20361.04883</v>
          </cell>
          <cell r="B4689" t="str">
            <v>DOUILLE IMPACT</v>
          </cell>
          <cell r="C4689" t="str">
            <v>NM.30A</v>
          </cell>
          <cell r="D4689" t="str">
            <v>PE</v>
          </cell>
          <cell r="E4689" t="str">
            <v>522.52208</v>
          </cell>
          <cell r="F4689">
            <v>336</v>
          </cell>
          <cell r="G4689">
            <v>0</v>
          </cell>
          <cell r="H4689">
            <v>0</v>
          </cell>
          <cell r="I4689">
            <v>0</v>
          </cell>
          <cell r="J4689">
            <v>0</v>
          </cell>
          <cell r="K4689">
            <v>0</v>
          </cell>
          <cell r="L4689">
            <v>0</v>
          </cell>
        </row>
        <row r="4690">
          <cell r="A4690" t="str">
            <v>20361.04892</v>
          </cell>
          <cell r="B4690" t="str">
            <v>CLE MIXTE OGV</v>
          </cell>
          <cell r="C4690" t="str">
            <v>440.11</v>
          </cell>
          <cell r="D4690" t="str">
            <v>PE</v>
          </cell>
          <cell r="E4690" t="str">
            <v>522.52208</v>
          </cell>
          <cell r="F4690">
            <v>46</v>
          </cell>
          <cell r="G4690">
            <v>0</v>
          </cell>
          <cell r="H4690">
            <v>0</v>
          </cell>
          <cell r="I4690">
            <v>0</v>
          </cell>
          <cell r="J4690">
            <v>0</v>
          </cell>
          <cell r="K4690">
            <v>0</v>
          </cell>
          <cell r="L4690">
            <v>0</v>
          </cell>
        </row>
        <row r="4691">
          <cell r="A4691" t="str">
            <v>20361.04893</v>
          </cell>
          <cell r="B4691" t="str">
            <v>CLE MIXTE OGV</v>
          </cell>
          <cell r="C4691" t="str">
            <v>440.12</v>
          </cell>
          <cell r="D4691" t="str">
            <v>PE</v>
          </cell>
          <cell r="E4691" t="str">
            <v>522.52208</v>
          </cell>
          <cell r="F4691">
            <v>47</v>
          </cell>
          <cell r="G4691">
            <v>0</v>
          </cell>
          <cell r="H4691">
            <v>0</v>
          </cell>
          <cell r="I4691">
            <v>0</v>
          </cell>
          <cell r="J4691">
            <v>0</v>
          </cell>
          <cell r="K4691">
            <v>0</v>
          </cell>
          <cell r="L4691">
            <v>0</v>
          </cell>
        </row>
        <row r="4692">
          <cell r="A4692" t="str">
            <v>20361.04899</v>
          </cell>
          <cell r="B4692" t="str">
            <v>CLE MIXTE OGV</v>
          </cell>
          <cell r="C4692" t="str">
            <v>440.32</v>
          </cell>
          <cell r="D4692" t="str">
            <v>PE</v>
          </cell>
          <cell r="E4692" t="str">
            <v>522.52208</v>
          </cell>
          <cell r="F4692">
            <v>157.91999999999999</v>
          </cell>
          <cell r="G4692">
            <v>0</v>
          </cell>
          <cell r="H4692">
            <v>0</v>
          </cell>
          <cell r="I4692">
            <v>0</v>
          </cell>
          <cell r="J4692">
            <v>0</v>
          </cell>
          <cell r="K4692">
            <v>0</v>
          </cell>
          <cell r="L4692">
            <v>0</v>
          </cell>
        </row>
        <row r="4693">
          <cell r="A4693" t="str">
            <v>20361.04900</v>
          </cell>
          <cell r="B4693" t="str">
            <v>CLE MIXTE OGV</v>
          </cell>
          <cell r="C4693" t="str">
            <v>440.36</v>
          </cell>
          <cell r="D4693" t="str">
            <v>PE</v>
          </cell>
          <cell r="E4693" t="str">
            <v>522.52208</v>
          </cell>
          <cell r="F4693">
            <v>280</v>
          </cell>
          <cell r="G4693">
            <v>0</v>
          </cell>
          <cell r="H4693">
            <v>0</v>
          </cell>
          <cell r="I4693">
            <v>0</v>
          </cell>
          <cell r="J4693">
            <v>0</v>
          </cell>
          <cell r="K4693">
            <v>0</v>
          </cell>
          <cell r="L4693">
            <v>0</v>
          </cell>
        </row>
        <row r="4694">
          <cell r="A4694" t="str">
            <v>20361.04901</v>
          </cell>
          <cell r="B4694" t="str">
            <v>DECOLEUR</v>
          </cell>
          <cell r="C4694" t="str">
            <v>U.53T3</v>
          </cell>
          <cell r="D4694" t="str">
            <v>PE</v>
          </cell>
          <cell r="E4694" t="str">
            <v>522.52208</v>
          </cell>
          <cell r="F4694">
            <v>5363</v>
          </cell>
          <cell r="G4694">
            <v>0</v>
          </cell>
          <cell r="H4694">
            <v>0</v>
          </cell>
          <cell r="I4694">
            <v>0</v>
          </cell>
          <cell r="J4694">
            <v>0</v>
          </cell>
          <cell r="K4694">
            <v>0</v>
          </cell>
          <cell r="L4694">
            <v>0</v>
          </cell>
        </row>
        <row r="4695">
          <cell r="A4695" t="str">
            <v>20361.04889</v>
          </cell>
          <cell r="B4695" t="str">
            <v>CLE MIXTE OGV</v>
          </cell>
          <cell r="C4695" t="str">
            <v>440.8</v>
          </cell>
          <cell r="D4695" t="str">
            <v>PE</v>
          </cell>
          <cell r="E4695" t="str">
            <v>522.52208</v>
          </cell>
          <cell r="F4695">
            <v>42</v>
          </cell>
          <cell r="G4695">
            <v>0</v>
          </cell>
          <cell r="H4695">
            <v>0</v>
          </cell>
          <cell r="I4695">
            <v>0</v>
          </cell>
          <cell r="J4695">
            <v>0</v>
          </cell>
          <cell r="K4695">
            <v>0</v>
          </cell>
          <cell r="L4695">
            <v>0</v>
          </cell>
        </row>
        <row r="4696">
          <cell r="A4696" t="str">
            <v>20361.04890</v>
          </cell>
          <cell r="B4696" t="str">
            <v>CLE MIXTE OGV</v>
          </cell>
          <cell r="C4696" t="str">
            <v>440.9</v>
          </cell>
          <cell r="D4696" t="str">
            <v>PE</v>
          </cell>
          <cell r="E4696" t="str">
            <v>522.52208</v>
          </cell>
          <cell r="F4696">
            <v>43</v>
          </cell>
          <cell r="G4696">
            <v>0</v>
          </cell>
          <cell r="H4696">
            <v>0</v>
          </cell>
          <cell r="I4696">
            <v>0</v>
          </cell>
          <cell r="J4696">
            <v>0</v>
          </cell>
          <cell r="K4696">
            <v>0</v>
          </cell>
          <cell r="L4696">
            <v>0</v>
          </cell>
        </row>
        <row r="4697">
          <cell r="A4697" t="str">
            <v>20361.04891</v>
          </cell>
          <cell r="B4697" t="str">
            <v>CLE MIXTE OGV</v>
          </cell>
          <cell r="C4697" t="str">
            <v>440.10</v>
          </cell>
          <cell r="D4697" t="str">
            <v>PE</v>
          </cell>
          <cell r="E4697" t="str">
            <v>522.52208</v>
          </cell>
          <cell r="F4697">
            <v>42.8</v>
          </cell>
          <cell r="G4697">
            <v>0</v>
          </cell>
          <cell r="H4697">
            <v>0</v>
          </cell>
          <cell r="I4697">
            <v>0</v>
          </cell>
          <cell r="J4697">
            <v>0</v>
          </cell>
          <cell r="K4697">
            <v>0</v>
          </cell>
          <cell r="L4697">
            <v>0</v>
          </cell>
        </row>
        <row r="4698">
          <cell r="A4698" t="str">
            <v>20361.04902</v>
          </cell>
          <cell r="B4698" t="str">
            <v>DECOLLEUR</v>
          </cell>
          <cell r="C4698" t="str">
            <v>U.53T4</v>
          </cell>
          <cell r="D4698" t="str">
            <v>PE</v>
          </cell>
          <cell r="E4698" t="str">
            <v>522.52208</v>
          </cell>
          <cell r="F4698">
            <v>6138</v>
          </cell>
          <cell r="G4698">
            <v>0</v>
          </cell>
          <cell r="H4698">
            <v>0</v>
          </cell>
          <cell r="I4698">
            <v>0</v>
          </cell>
          <cell r="J4698">
            <v>0</v>
          </cell>
          <cell r="K4698">
            <v>0</v>
          </cell>
          <cell r="L4698">
            <v>0</v>
          </cell>
        </row>
        <row r="4699">
          <cell r="A4699" t="str">
            <v>20361.04908</v>
          </cell>
          <cell r="B4699" t="str">
            <v>POTENCE TARAUDEE</v>
          </cell>
          <cell r="C4699" t="str">
            <v>U.53K4</v>
          </cell>
          <cell r="D4699" t="str">
            <v>PE</v>
          </cell>
          <cell r="E4699" t="str">
            <v>522.52208</v>
          </cell>
          <cell r="F4699">
            <v>6084</v>
          </cell>
          <cell r="G4699">
            <v>0</v>
          </cell>
          <cell r="H4699">
            <v>0</v>
          </cell>
          <cell r="I4699">
            <v>0</v>
          </cell>
          <cell r="J4699">
            <v>0</v>
          </cell>
          <cell r="K4699">
            <v>0</v>
          </cell>
          <cell r="L4699">
            <v>0</v>
          </cell>
        </row>
        <row r="4700">
          <cell r="A4700" t="str">
            <v>20361.04910</v>
          </cell>
          <cell r="B4700" t="str">
            <v>CLE SERRE TUBE</v>
          </cell>
          <cell r="C4700" t="str">
            <v>134A.24</v>
          </cell>
          <cell r="D4700" t="str">
            <v>PE</v>
          </cell>
          <cell r="E4700" t="str">
            <v>522.52208</v>
          </cell>
          <cell r="F4700">
            <v>1020</v>
          </cell>
          <cell r="G4700">
            <v>0</v>
          </cell>
          <cell r="H4700">
            <v>0</v>
          </cell>
          <cell r="I4700">
            <v>0</v>
          </cell>
          <cell r="J4700">
            <v>0</v>
          </cell>
          <cell r="K4700">
            <v>0</v>
          </cell>
          <cell r="L4700">
            <v>0</v>
          </cell>
        </row>
        <row r="4701">
          <cell r="A4701" t="str">
            <v>20497.09868</v>
          </cell>
          <cell r="B4701" t="str">
            <v>BOITIER DE ROULEMENT C.C</v>
          </cell>
          <cell r="C4701" t="str">
            <v>HIBON P524001118 P/POMPE TYPE AL 70</v>
          </cell>
          <cell r="D4701" t="str">
            <v>PE</v>
          </cell>
          <cell r="E4701" t="str">
            <v>515.51503</v>
          </cell>
          <cell r="F4701">
            <v>9194.4325000000008</v>
          </cell>
          <cell r="G4701">
            <v>0</v>
          </cell>
          <cell r="H4701">
            <v>0</v>
          </cell>
          <cell r="I4701">
            <v>0</v>
          </cell>
          <cell r="J4701">
            <v>0</v>
          </cell>
          <cell r="K4701">
            <v>0</v>
          </cell>
          <cell r="L4701">
            <v>1</v>
          </cell>
        </row>
        <row r="4702">
          <cell r="A4702" t="str">
            <v>20358.00501</v>
          </cell>
          <cell r="B4702" t="str">
            <v>DISTRIBUTEUR A TIROIR</v>
          </cell>
          <cell r="C4702" t="str">
            <v>SCG551A005MS</v>
          </cell>
          <cell r="D4702" t="str">
            <v>PE</v>
          </cell>
          <cell r="E4702" t="str">
            <v>522.52209</v>
          </cell>
          <cell r="F4702">
            <v>769</v>
          </cell>
          <cell r="G4702">
            <v>0</v>
          </cell>
          <cell r="H4702">
            <v>0</v>
          </cell>
          <cell r="I4702">
            <v>0</v>
          </cell>
          <cell r="J4702">
            <v>0</v>
          </cell>
          <cell r="K4702">
            <v>0</v>
          </cell>
          <cell r="L4702">
            <v>2</v>
          </cell>
        </row>
        <row r="4703">
          <cell r="A4703" t="str">
            <v>20358.00502</v>
          </cell>
          <cell r="B4703" t="str">
            <v>ELECTROVANNE</v>
          </cell>
          <cell r="C4703" t="str">
            <v>8320G712</v>
          </cell>
          <cell r="D4703" t="str">
            <v>PE</v>
          </cell>
          <cell r="E4703" t="str">
            <v>522.52209</v>
          </cell>
          <cell r="F4703">
            <v>1851</v>
          </cell>
          <cell r="G4703">
            <v>0</v>
          </cell>
          <cell r="H4703">
            <v>0</v>
          </cell>
          <cell r="I4703">
            <v>0</v>
          </cell>
          <cell r="J4703">
            <v>0</v>
          </cell>
          <cell r="K4703">
            <v>0</v>
          </cell>
          <cell r="L4703">
            <v>10</v>
          </cell>
        </row>
        <row r="4704">
          <cell r="A4704" t="str">
            <v>20497.09863</v>
          </cell>
          <cell r="B4704" t="str">
            <v>JOINT TORIQUE</v>
          </cell>
          <cell r="C4704" t="str">
            <v>HIBON C121595702 P/POMPE TYPE AL 70</v>
          </cell>
          <cell r="D4704" t="str">
            <v>PE</v>
          </cell>
          <cell r="E4704" t="str">
            <v>515.51503</v>
          </cell>
          <cell r="F4704">
            <v>468.65190000000001</v>
          </cell>
          <cell r="G4704">
            <v>0</v>
          </cell>
          <cell r="H4704">
            <v>0</v>
          </cell>
          <cell r="I4704">
            <v>0</v>
          </cell>
          <cell r="J4704">
            <v>0</v>
          </cell>
          <cell r="K4704">
            <v>0</v>
          </cell>
          <cell r="L4704">
            <v>4</v>
          </cell>
        </row>
        <row r="4705">
          <cell r="A4705" t="str">
            <v>20358.00518</v>
          </cell>
          <cell r="B4705" t="str">
            <v>ELECTROVANNE COMMANDE ASSISTE CORPS INOX AINSI 303</v>
          </cell>
          <cell r="C4705" t="str">
            <v>SCB345E081 TENSION STANDARD 24V CC</v>
          </cell>
          <cell r="D4705" t="str">
            <v>PE</v>
          </cell>
          <cell r="E4705" t="str">
            <v>522.52209</v>
          </cell>
          <cell r="F4705">
            <v>27608.012999999999</v>
          </cell>
          <cell r="G4705">
            <v>0</v>
          </cell>
          <cell r="H4705">
            <v>5</v>
          </cell>
          <cell r="I4705">
            <v>0</v>
          </cell>
          <cell r="J4705">
            <v>0</v>
          </cell>
          <cell r="K4705">
            <v>0</v>
          </cell>
          <cell r="L4705">
            <v>0</v>
          </cell>
        </row>
        <row r="4706">
          <cell r="A4706" t="str">
            <v>20358.00519</v>
          </cell>
          <cell r="B4706" t="str">
            <v>BOBINE</v>
          </cell>
          <cell r="C4706" t="str">
            <v>CMXX-FT P/ELECTROVANNE SCB345E081 TENSION STANDARD 24V CC</v>
          </cell>
          <cell r="D4706" t="str">
            <v>PE</v>
          </cell>
          <cell r="E4706" t="str">
            <v>522.52209</v>
          </cell>
          <cell r="F4706">
            <v>268.66699999999997</v>
          </cell>
          <cell r="G4706">
            <v>0</v>
          </cell>
          <cell r="H4706">
            <v>0</v>
          </cell>
          <cell r="I4706">
            <v>1</v>
          </cell>
          <cell r="J4706">
            <v>0</v>
          </cell>
          <cell r="K4706">
            <v>0</v>
          </cell>
          <cell r="L4706">
            <v>4</v>
          </cell>
        </row>
        <row r="4707">
          <cell r="A4707" t="str">
            <v>20497.09864</v>
          </cell>
          <cell r="B4707" t="str">
            <v>JOINT TORIQUE</v>
          </cell>
          <cell r="C4707" t="str">
            <v>HIBON C121146001 P/POMPE TYPE AL 70</v>
          </cell>
          <cell r="D4707" t="str">
            <v>PE</v>
          </cell>
          <cell r="E4707" t="str">
            <v>515.51503</v>
          </cell>
          <cell r="F4707">
            <v>49.921599999999998</v>
          </cell>
          <cell r="G4707">
            <v>0</v>
          </cell>
          <cell r="H4707">
            <v>0</v>
          </cell>
          <cell r="I4707">
            <v>0</v>
          </cell>
          <cell r="J4707">
            <v>0</v>
          </cell>
          <cell r="K4707">
            <v>0</v>
          </cell>
          <cell r="L4707">
            <v>4</v>
          </cell>
        </row>
        <row r="4708">
          <cell r="A4708" t="str">
            <v>20492.12472</v>
          </cell>
          <cell r="B4708" t="str">
            <v>SYSTEME DE MISE A LA TERRE</v>
          </cell>
          <cell r="C4708" t="str">
            <v>CATU MT-5805</v>
          </cell>
          <cell r="D4708" t="str">
            <v>PE</v>
          </cell>
          <cell r="E4708" t="str">
            <v>522.52217</v>
          </cell>
          <cell r="F4708">
            <v>13690</v>
          </cell>
          <cell r="G4708">
            <v>0</v>
          </cell>
          <cell r="H4708">
            <v>0</v>
          </cell>
          <cell r="I4708">
            <v>0</v>
          </cell>
          <cell r="J4708">
            <v>0</v>
          </cell>
          <cell r="K4708">
            <v>0</v>
          </cell>
          <cell r="L4708">
            <v>0</v>
          </cell>
        </row>
        <row r="4709">
          <cell r="A4709" t="str">
            <v>20492.12474</v>
          </cell>
          <cell r="B4709" t="str">
            <v>PERCHE DE SAUVETAGE</v>
          </cell>
          <cell r="C4709" t="str">
            <v>CATU CS-45</v>
          </cell>
          <cell r="D4709" t="str">
            <v>PE</v>
          </cell>
          <cell r="E4709" t="str">
            <v>522.52217</v>
          </cell>
          <cell r="F4709">
            <v>763</v>
          </cell>
          <cell r="G4709">
            <v>0</v>
          </cell>
          <cell r="H4709">
            <v>0</v>
          </cell>
          <cell r="I4709">
            <v>0</v>
          </cell>
          <cell r="J4709">
            <v>0</v>
          </cell>
          <cell r="K4709">
            <v>0</v>
          </cell>
          <cell r="L4709">
            <v>0</v>
          </cell>
        </row>
        <row r="4710">
          <cell r="A4710" t="str">
            <v>20358.00520</v>
          </cell>
          <cell r="B4710" t="str">
            <v>ELECTROVANNE 3/2 NF 24V DC</v>
          </cell>
          <cell r="C4710" t="str">
            <v>SCG356A014VMS</v>
          </cell>
          <cell r="D4710" t="str">
            <v>PE</v>
          </cell>
          <cell r="E4710" t="str">
            <v>522.52209</v>
          </cell>
          <cell r="F4710">
            <v>668</v>
          </cell>
          <cell r="G4710">
            <v>0</v>
          </cell>
          <cell r="H4710">
            <v>0</v>
          </cell>
          <cell r="I4710">
            <v>0</v>
          </cell>
          <cell r="J4710">
            <v>0</v>
          </cell>
          <cell r="K4710">
            <v>0</v>
          </cell>
          <cell r="L4710">
            <v>2</v>
          </cell>
        </row>
        <row r="4711">
          <cell r="A4711" t="str">
            <v>20358.00521</v>
          </cell>
          <cell r="B4711" t="str">
            <v>VANNE 2/2 NF 24V DC</v>
          </cell>
          <cell r="C4711" t="str">
            <v>E290A393</v>
          </cell>
          <cell r="D4711" t="str">
            <v>PE</v>
          </cell>
          <cell r="E4711" t="str">
            <v>522.52209</v>
          </cell>
          <cell r="F4711">
            <v>2153.6669999999999</v>
          </cell>
          <cell r="G4711">
            <v>0</v>
          </cell>
          <cell r="H4711">
            <v>0</v>
          </cell>
          <cell r="I4711">
            <v>0</v>
          </cell>
          <cell r="J4711">
            <v>0</v>
          </cell>
          <cell r="K4711">
            <v>0</v>
          </cell>
          <cell r="L4711">
            <v>2</v>
          </cell>
        </row>
        <row r="4712">
          <cell r="A4712" t="str">
            <v>20358.00522</v>
          </cell>
          <cell r="B4712" t="str">
            <v>PILOTE AVEC RACCORD ORIENTABLE 24V DC</v>
          </cell>
          <cell r="C4712">
            <v>18900032</v>
          </cell>
          <cell r="D4712" t="str">
            <v>PE</v>
          </cell>
          <cell r="E4712" t="str">
            <v>522.52209</v>
          </cell>
          <cell r="F4712">
            <v>487.24</v>
          </cell>
          <cell r="G4712">
            <v>0</v>
          </cell>
          <cell r="H4712">
            <v>0</v>
          </cell>
          <cell r="I4712">
            <v>0</v>
          </cell>
          <cell r="J4712">
            <v>0</v>
          </cell>
          <cell r="K4712">
            <v>0</v>
          </cell>
          <cell r="L4712">
            <v>2</v>
          </cell>
        </row>
        <row r="4713">
          <cell r="A4713" t="str">
            <v>20358.00528</v>
          </cell>
          <cell r="B4713" t="str">
            <v>ELECTOVANNE 3/2 NF  115V</v>
          </cell>
          <cell r="C4713" t="str">
            <v>SCG356A014VMS</v>
          </cell>
          <cell r="D4713" t="str">
            <v>PE</v>
          </cell>
          <cell r="E4713" t="str">
            <v>522.52209</v>
          </cell>
          <cell r="F4713">
            <v>668</v>
          </cell>
          <cell r="G4713">
            <v>0</v>
          </cell>
          <cell r="H4713">
            <v>0</v>
          </cell>
          <cell r="I4713">
            <v>0</v>
          </cell>
          <cell r="J4713">
            <v>0</v>
          </cell>
          <cell r="K4713">
            <v>0</v>
          </cell>
          <cell r="L4713">
            <v>3</v>
          </cell>
        </row>
        <row r="4714">
          <cell r="A4714" t="str">
            <v>20492.12468</v>
          </cell>
          <cell r="B4714" t="str">
            <v>AFFICHE REGLE D'INTERVENTION</v>
          </cell>
          <cell r="C4714" t="str">
            <v>CATU AM-510-EX</v>
          </cell>
          <cell r="D4714" t="str">
            <v>PE</v>
          </cell>
          <cell r="E4714" t="str">
            <v>522.52217</v>
          </cell>
          <cell r="F4714">
            <v>175</v>
          </cell>
          <cell r="G4714">
            <v>0</v>
          </cell>
          <cell r="H4714">
            <v>0</v>
          </cell>
          <cell r="I4714">
            <v>0</v>
          </cell>
          <cell r="J4714">
            <v>0</v>
          </cell>
          <cell r="K4714">
            <v>0</v>
          </cell>
          <cell r="L4714">
            <v>0</v>
          </cell>
        </row>
        <row r="4715">
          <cell r="A4715" t="str">
            <v>20497.03828</v>
          </cell>
          <cell r="B4715" t="str">
            <v>VIS DE FIXATION COUVERCLE</v>
          </cell>
          <cell r="C4715" t="str">
            <v>WARMAN QV 027M-E62 TYPE 65QV SPR1500</v>
          </cell>
          <cell r="D4715" t="str">
            <v>PE</v>
          </cell>
          <cell r="E4715" t="str">
            <v>515.51517</v>
          </cell>
          <cell r="F4715">
            <v>93.982900000000001</v>
          </cell>
          <cell r="G4715">
            <v>0</v>
          </cell>
          <cell r="H4715">
            <v>0</v>
          </cell>
          <cell r="I4715">
            <v>0</v>
          </cell>
          <cell r="J4715">
            <v>0</v>
          </cell>
          <cell r="K4715">
            <v>0</v>
          </cell>
          <cell r="L4715">
            <v>3</v>
          </cell>
        </row>
        <row r="4716">
          <cell r="A4716" t="str">
            <v>20358.00456</v>
          </cell>
          <cell r="B4716" t="str">
            <v>ELECTOVANNE CORPS EN INOX</v>
          </cell>
          <cell r="C4716" t="str">
            <v>8210G038  24V/DC-11,6W RACCORDEMENT 3/4"  PN 80PSI</v>
          </cell>
          <cell r="D4716" t="str">
            <v>PE</v>
          </cell>
          <cell r="E4716" t="str">
            <v>522.52209</v>
          </cell>
          <cell r="F4716">
            <v>8031.6</v>
          </cell>
          <cell r="G4716">
            <v>0</v>
          </cell>
          <cell r="H4716">
            <v>0</v>
          </cell>
          <cell r="I4716">
            <v>0</v>
          </cell>
          <cell r="J4716">
            <v>0</v>
          </cell>
          <cell r="K4716">
            <v>0</v>
          </cell>
          <cell r="L4716">
            <v>0</v>
          </cell>
        </row>
        <row r="4717">
          <cell r="A4717" t="str">
            <v>20358.00457</v>
          </cell>
          <cell r="B4717" t="str">
            <v>BOBINE</v>
          </cell>
          <cell r="C4717" t="str">
            <v>238714 P/ELECTROVANNE 8210 24V/DC-11,6W</v>
          </cell>
          <cell r="D4717" t="str">
            <v>PE</v>
          </cell>
          <cell r="E4717" t="str">
            <v>522.52209</v>
          </cell>
          <cell r="F4717">
            <v>1536.48</v>
          </cell>
          <cell r="G4717">
            <v>0</v>
          </cell>
          <cell r="H4717">
            <v>0</v>
          </cell>
          <cell r="I4717">
            <v>0</v>
          </cell>
          <cell r="J4717">
            <v>0</v>
          </cell>
          <cell r="K4717">
            <v>0</v>
          </cell>
          <cell r="L4717">
            <v>2</v>
          </cell>
        </row>
        <row r="4718">
          <cell r="A4718" t="str">
            <v>20358.00458</v>
          </cell>
          <cell r="B4718" t="str">
            <v>ELECTOVANNE 2VOIES  CORPS EN INOX  220V/50Hz</v>
          </cell>
          <cell r="C4718" t="str">
            <v>8210G88  3/4" NPT  NEMA 4/4X</v>
          </cell>
          <cell r="D4718" t="str">
            <v>PE</v>
          </cell>
          <cell r="E4718" t="str">
            <v>522.52209</v>
          </cell>
          <cell r="F4718">
            <v>7687.8905000000004</v>
          </cell>
          <cell r="G4718">
            <v>0</v>
          </cell>
          <cell r="H4718">
            <v>0</v>
          </cell>
          <cell r="I4718">
            <v>0</v>
          </cell>
          <cell r="J4718">
            <v>0</v>
          </cell>
          <cell r="K4718">
            <v>0</v>
          </cell>
          <cell r="L4718">
            <v>2</v>
          </cell>
        </row>
        <row r="4719">
          <cell r="A4719" t="str">
            <v>20358.00459</v>
          </cell>
          <cell r="B4719" t="str">
            <v>BOBINE DE RECHNAGE P/DISTRIBUTEUR  24V CC</v>
          </cell>
          <cell r="C4719">
            <v>43004869</v>
          </cell>
          <cell r="D4719" t="str">
            <v>PE</v>
          </cell>
          <cell r="E4719" t="str">
            <v>522.52209</v>
          </cell>
          <cell r="F4719">
            <v>197</v>
          </cell>
          <cell r="G4719">
            <v>0</v>
          </cell>
          <cell r="H4719">
            <v>0</v>
          </cell>
          <cell r="I4719">
            <v>0</v>
          </cell>
          <cell r="J4719">
            <v>0</v>
          </cell>
          <cell r="K4719">
            <v>0</v>
          </cell>
          <cell r="L4719">
            <v>4</v>
          </cell>
        </row>
        <row r="4720">
          <cell r="A4720" t="str">
            <v>20358.00454</v>
          </cell>
          <cell r="B4720" t="str">
            <v>DISTRIBUTEUR MONOSTABLE ( C1 )</v>
          </cell>
          <cell r="C4720" t="str">
            <v>SC G551A001 MS   P/ELECTROVANNE SERIE 551</v>
          </cell>
          <cell r="D4720" t="str">
            <v>PE</v>
          </cell>
          <cell r="E4720" t="str">
            <v>522.52209</v>
          </cell>
          <cell r="F4720">
            <v>846.72</v>
          </cell>
          <cell r="G4720">
            <v>0</v>
          </cell>
          <cell r="H4720">
            <v>1</v>
          </cell>
          <cell r="I4720">
            <v>1</v>
          </cell>
          <cell r="J4720">
            <v>0</v>
          </cell>
          <cell r="K4720">
            <v>0</v>
          </cell>
          <cell r="L4720">
            <v>0</v>
          </cell>
        </row>
        <row r="4721">
          <cell r="A4721" t="str">
            <v>20492.11792</v>
          </cell>
          <cell r="B4721" t="str">
            <v>BUSE DE PULVERISATION</v>
          </cell>
          <cell r="C4721" t="str">
            <v>SPRAYING SYSTEMS TYPE : WHIRLJET REF. 1/2BA-309SS75 EN ACIER INOX 309SS</v>
          </cell>
          <cell r="D4721" t="str">
            <v>PE</v>
          </cell>
          <cell r="E4721" t="str">
            <v>515.51502</v>
          </cell>
          <cell r="F4721">
            <v>10200</v>
          </cell>
          <cell r="G4721">
            <v>0</v>
          </cell>
          <cell r="H4721">
            <v>0</v>
          </cell>
          <cell r="I4721">
            <v>0</v>
          </cell>
          <cell r="J4721">
            <v>0</v>
          </cell>
          <cell r="K4721">
            <v>6</v>
          </cell>
          <cell r="L4721">
            <v>0</v>
          </cell>
        </row>
        <row r="4722">
          <cell r="A4722" t="str">
            <v>20497.11869</v>
          </cell>
          <cell r="B4722" t="str">
            <v>ROTOR MOTEUR</v>
          </cell>
          <cell r="C4722" t="str">
            <v>IMO TYPE AA3G/NVPKCA-162SC-2.OD REP7</v>
          </cell>
          <cell r="D4722" t="str">
            <v>PE</v>
          </cell>
          <cell r="E4722" t="str">
            <v>515.51512</v>
          </cell>
          <cell r="F4722">
            <v>30179.151600000001</v>
          </cell>
          <cell r="G4722">
            <v>0</v>
          </cell>
          <cell r="H4722">
            <v>0</v>
          </cell>
          <cell r="I4722">
            <v>0</v>
          </cell>
          <cell r="J4722">
            <v>0</v>
          </cell>
          <cell r="K4722">
            <v>0</v>
          </cell>
          <cell r="L4722">
            <v>1</v>
          </cell>
        </row>
        <row r="4723">
          <cell r="A4723" t="str">
            <v>20497.11870</v>
          </cell>
          <cell r="B4723" t="str">
            <v>ROTOR DE RENVOI</v>
          </cell>
          <cell r="C4723" t="str">
            <v>IMO TYPE AA3G/NVPKCA-162SC-2.OD REP8</v>
          </cell>
          <cell r="D4723" t="str">
            <v>PE</v>
          </cell>
          <cell r="E4723" t="str">
            <v>515.51512</v>
          </cell>
          <cell r="F4723">
            <v>3370</v>
          </cell>
          <cell r="G4723">
            <v>0</v>
          </cell>
          <cell r="H4723">
            <v>0</v>
          </cell>
          <cell r="I4723">
            <v>0</v>
          </cell>
          <cell r="J4723">
            <v>0</v>
          </cell>
          <cell r="K4723">
            <v>0</v>
          </cell>
          <cell r="L4723">
            <v>1</v>
          </cell>
        </row>
        <row r="4724">
          <cell r="A4724" t="str">
            <v>20358.00471</v>
          </cell>
          <cell r="B4724" t="str">
            <v>PRESOSSTAT A MEMBRANE TERE A 0,5 BAR</v>
          </cell>
          <cell r="C4724">
            <v>34900049</v>
          </cell>
          <cell r="D4724" t="str">
            <v>PE</v>
          </cell>
          <cell r="E4724" t="str">
            <v>522.52209</v>
          </cell>
          <cell r="F4724">
            <v>262</v>
          </cell>
          <cell r="G4724">
            <v>0</v>
          </cell>
          <cell r="H4724">
            <v>0</v>
          </cell>
          <cell r="I4724">
            <v>0</v>
          </cell>
          <cell r="J4724">
            <v>0</v>
          </cell>
          <cell r="K4724">
            <v>0</v>
          </cell>
          <cell r="L4724">
            <v>0</v>
          </cell>
        </row>
        <row r="4725">
          <cell r="A4725" t="str">
            <v>20361.04870</v>
          </cell>
          <cell r="B4725" t="str">
            <v>CLE A ERGOT A CREMAILLERE</v>
          </cell>
          <cell r="C4725" t="str">
            <v>115A.200</v>
          </cell>
          <cell r="D4725" t="str">
            <v>PE</v>
          </cell>
          <cell r="E4725" t="str">
            <v>522.52208</v>
          </cell>
          <cell r="F4725">
            <v>1638</v>
          </cell>
          <cell r="G4725">
            <v>0</v>
          </cell>
          <cell r="H4725">
            <v>0</v>
          </cell>
          <cell r="I4725">
            <v>0</v>
          </cell>
          <cell r="J4725">
            <v>0</v>
          </cell>
          <cell r="K4725">
            <v>0</v>
          </cell>
          <cell r="L4725">
            <v>0</v>
          </cell>
        </row>
        <row r="4726">
          <cell r="A4726" t="str">
            <v>20358.00472</v>
          </cell>
          <cell r="B4726" t="str">
            <v>PROTECTEUR D'ECHAPPEMENT</v>
          </cell>
          <cell r="C4726">
            <v>34600407</v>
          </cell>
          <cell r="D4726" t="str">
            <v>PE</v>
          </cell>
          <cell r="E4726" t="str">
            <v>522.52209</v>
          </cell>
          <cell r="F4726">
            <v>79</v>
          </cell>
          <cell r="G4726">
            <v>0</v>
          </cell>
          <cell r="H4726">
            <v>0</v>
          </cell>
          <cell r="I4726">
            <v>0</v>
          </cell>
          <cell r="J4726">
            <v>0</v>
          </cell>
          <cell r="K4726">
            <v>0</v>
          </cell>
          <cell r="L4726">
            <v>0</v>
          </cell>
        </row>
        <row r="4727">
          <cell r="A4727" t="str">
            <v>20358.00473</v>
          </cell>
          <cell r="B4727" t="str">
            <v>PROTECTEUR D'ECHAPPEMENT</v>
          </cell>
          <cell r="C4727">
            <v>34600419</v>
          </cell>
          <cell r="D4727" t="str">
            <v>PE</v>
          </cell>
          <cell r="E4727" t="str">
            <v>522.52209</v>
          </cell>
          <cell r="F4727">
            <v>97</v>
          </cell>
          <cell r="G4727">
            <v>0</v>
          </cell>
          <cell r="H4727">
            <v>0</v>
          </cell>
          <cell r="I4727">
            <v>0</v>
          </cell>
          <cell r="J4727">
            <v>0</v>
          </cell>
          <cell r="K4727">
            <v>0</v>
          </cell>
          <cell r="L4727">
            <v>10</v>
          </cell>
        </row>
        <row r="4728">
          <cell r="A4728" t="str">
            <v>20358.00474</v>
          </cell>
          <cell r="B4728" t="str">
            <v>CONNECTEUR STANDARD TAILLE 22</v>
          </cell>
          <cell r="C4728">
            <v>88122404</v>
          </cell>
          <cell r="D4728" t="str">
            <v>PE</v>
          </cell>
          <cell r="E4728" t="str">
            <v>522.52209</v>
          </cell>
          <cell r="F4728">
            <v>10</v>
          </cell>
          <cell r="G4728">
            <v>0</v>
          </cell>
          <cell r="H4728">
            <v>0</v>
          </cell>
          <cell r="I4728">
            <v>0</v>
          </cell>
          <cell r="J4728">
            <v>0</v>
          </cell>
          <cell r="K4728">
            <v>0</v>
          </cell>
          <cell r="L4728">
            <v>0</v>
          </cell>
        </row>
        <row r="4729">
          <cell r="A4729" t="str">
            <v>20358.00475</v>
          </cell>
          <cell r="B4729" t="str">
            <v>CONNECTEUR STANDARD TAILLE 30</v>
          </cell>
          <cell r="C4729">
            <v>88122602</v>
          </cell>
          <cell r="D4729" t="str">
            <v>PE</v>
          </cell>
          <cell r="E4729" t="str">
            <v>522.52209</v>
          </cell>
          <cell r="F4729">
            <v>10</v>
          </cell>
          <cell r="G4729">
            <v>0</v>
          </cell>
          <cell r="H4729">
            <v>0</v>
          </cell>
          <cell r="I4729">
            <v>0</v>
          </cell>
          <cell r="J4729">
            <v>0</v>
          </cell>
          <cell r="K4729">
            <v>0</v>
          </cell>
          <cell r="L4729">
            <v>0</v>
          </cell>
        </row>
        <row r="4730">
          <cell r="A4730" t="str">
            <v>20492.00424</v>
          </cell>
          <cell r="B4730" t="str">
            <v>LOQUETS DE FIXATION</v>
          </cell>
          <cell r="C4730" t="str">
            <v>AAF EN INOX 316SS</v>
          </cell>
          <cell r="D4730" t="str">
            <v>PE</v>
          </cell>
          <cell r="E4730" t="str">
            <v>515.51506</v>
          </cell>
          <cell r="F4730">
            <v>6.9614000000000003</v>
          </cell>
          <cell r="G4730">
            <v>0</v>
          </cell>
          <cell r="H4730">
            <v>0</v>
          </cell>
          <cell r="I4730">
            <v>0</v>
          </cell>
          <cell r="J4730">
            <v>0</v>
          </cell>
          <cell r="K4730">
            <v>0</v>
          </cell>
          <cell r="L4730">
            <v>0</v>
          </cell>
        </row>
        <row r="4731">
          <cell r="A4731" t="str">
            <v>20492.13528</v>
          </cell>
          <cell r="B4731" t="str">
            <v xml:space="preserve">SOCLE POUR RELAIS </v>
          </cell>
          <cell r="C4731" t="str">
            <v>FINDER REF:95,05</v>
          </cell>
          <cell r="D4731" t="str">
            <v>PE</v>
          </cell>
          <cell r="E4731" t="str">
            <v>512.51201</v>
          </cell>
          <cell r="F4731">
            <v>192</v>
          </cell>
          <cell r="G4731">
            <v>0</v>
          </cell>
          <cell r="H4731">
            <v>0</v>
          </cell>
          <cell r="I4731">
            <v>0</v>
          </cell>
          <cell r="J4731">
            <v>0</v>
          </cell>
          <cell r="K4731">
            <v>0</v>
          </cell>
          <cell r="L4731">
            <v>0</v>
          </cell>
        </row>
        <row r="4732">
          <cell r="A4732" t="str">
            <v>20492.13529</v>
          </cell>
          <cell r="B4732" t="str">
            <v>RELAIS 4 CONTACTES 24VDC + BASE</v>
          </cell>
          <cell r="C4732" t="str">
            <v>FINDER REF:405280240000</v>
          </cell>
          <cell r="D4732" t="str">
            <v>PE</v>
          </cell>
          <cell r="E4732" t="str">
            <v>512.51201</v>
          </cell>
          <cell r="F4732">
            <v>192</v>
          </cell>
          <cell r="G4732">
            <v>0</v>
          </cell>
          <cell r="H4732">
            <v>0</v>
          </cell>
          <cell r="I4732">
            <v>0</v>
          </cell>
          <cell r="J4732">
            <v>0</v>
          </cell>
          <cell r="K4732">
            <v>0</v>
          </cell>
          <cell r="L4732">
            <v>0</v>
          </cell>
        </row>
        <row r="4733">
          <cell r="A4733" t="str">
            <v>20492.13222</v>
          </cell>
          <cell r="B4733" t="str">
            <v>DEPART DISJ 200KW 220A</v>
          </cell>
          <cell r="C4733" t="str">
            <v>EATON D2DD20EDZ3H-MSAFCSSER0SS POUR TABLEAU MCC REP GEOGRAPHIQUE 303-EB-41</v>
          </cell>
          <cell r="D4733" t="str">
            <v>PE</v>
          </cell>
          <cell r="E4733" t="str">
            <v>522.52206</v>
          </cell>
          <cell r="F4733">
            <v>69560</v>
          </cell>
          <cell r="G4733">
            <v>0</v>
          </cell>
          <cell r="H4733">
            <v>0</v>
          </cell>
          <cell r="I4733">
            <v>0</v>
          </cell>
          <cell r="J4733">
            <v>0</v>
          </cell>
          <cell r="K4733">
            <v>0</v>
          </cell>
          <cell r="L4733">
            <v>1</v>
          </cell>
        </row>
        <row r="4734">
          <cell r="A4734" t="str">
            <v>20492.13223</v>
          </cell>
          <cell r="B4734" t="str">
            <v>DEPART DISJ 250 KW 270A</v>
          </cell>
          <cell r="C4734" t="str">
            <v>EATON D2DD40EDZ3H-MSAFCSSER0SS POUR TABLEAU MCC REP GEOGRAPHIQUE 303-EB-40</v>
          </cell>
          <cell r="D4734" t="str">
            <v>PE</v>
          </cell>
          <cell r="E4734" t="str">
            <v>522.52206</v>
          </cell>
          <cell r="F4734">
            <v>70650.399999999994</v>
          </cell>
          <cell r="G4734">
            <v>0</v>
          </cell>
          <cell r="H4734">
            <v>0</v>
          </cell>
          <cell r="I4734">
            <v>0</v>
          </cell>
          <cell r="J4734">
            <v>0</v>
          </cell>
          <cell r="K4734">
            <v>1</v>
          </cell>
          <cell r="L4734">
            <v>0</v>
          </cell>
        </row>
        <row r="4735">
          <cell r="A4735" t="str">
            <v>20492.13227</v>
          </cell>
          <cell r="B4735" t="str">
            <v>DISJONCTEURS1250  POUR CELLULES UT</v>
          </cell>
          <cell r="C4735" t="str">
            <v>EATON DCV0101BM POUR TABLEAU MT-10KV</v>
          </cell>
          <cell r="D4735" t="str">
            <v>PE</v>
          </cell>
          <cell r="E4735" t="str">
            <v>522.52206</v>
          </cell>
          <cell r="F4735">
            <v>360000</v>
          </cell>
          <cell r="G4735">
            <v>0</v>
          </cell>
          <cell r="H4735">
            <v>0</v>
          </cell>
          <cell r="I4735">
            <v>0</v>
          </cell>
          <cell r="J4735">
            <v>1</v>
          </cell>
          <cell r="K4735">
            <v>0</v>
          </cell>
          <cell r="L4735">
            <v>0</v>
          </cell>
        </row>
        <row r="4736">
          <cell r="A4736" t="str">
            <v>20492.13230</v>
          </cell>
          <cell r="B4736" t="str">
            <v>DEPART DISJ 7,5 KW 9A</v>
          </cell>
          <cell r="C4736" t="str">
            <v>EATON DXDC10EDZ3H-MSAFCSSER0SS POUR TABLEAU MCC REP GEOGRAPHIQUE 303-EB-40</v>
          </cell>
          <cell r="D4736" t="str">
            <v>PE</v>
          </cell>
          <cell r="E4736" t="str">
            <v>522.52206</v>
          </cell>
          <cell r="F4736">
            <v>29760</v>
          </cell>
          <cell r="G4736">
            <v>0</v>
          </cell>
          <cell r="H4736">
            <v>0</v>
          </cell>
          <cell r="I4736">
            <v>0</v>
          </cell>
          <cell r="J4736">
            <v>0</v>
          </cell>
          <cell r="K4736">
            <v>0</v>
          </cell>
          <cell r="L4736">
            <v>0</v>
          </cell>
        </row>
        <row r="4737">
          <cell r="A4737" t="str">
            <v>20497.11741</v>
          </cell>
          <cell r="B4737" t="str">
            <v>CORPS DE PALIER</v>
          </cell>
          <cell r="C4737" t="str">
            <v>SULZER REP 330.31 P/POMPE A22-50</v>
          </cell>
          <cell r="D4737" t="str">
            <v>PE</v>
          </cell>
          <cell r="E4737" t="str">
            <v>515.51505</v>
          </cell>
          <cell r="F4737">
            <v>8982.0709000000006</v>
          </cell>
          <cell r="G4737">
            <v>0</v>
          </cell>
          <cell r="H4737">
            <v>0</v>
          </cell>
          <cell r="I4737">
            <v>0</v>
          </cell>
          <cell r="J4737">
            <v>0</v>
          </cell>
          <cell r="K4737">
            <v>1</v>
          </cell>
          <cell r="L4737">
            <v>2</v>
          </cell>
        </row>
        <row r="4738">
          <cell r="A4738" t="str">
            <v>20497.11742</v>
          </cell>
          <cell r="B4738" t="str">
            <v>CORPS DE PALIER</v>
          </cell>
          <cell r="C4738" t="str">
            <v>SULZER REP 330.31 P/POMPE A32-80</v>
          </cell>
          <cell r="D4738" t="str">
            <v>PE</v>
          </cell>
          <cell r="E4738" t="str">
            <v>515.51505</v>
          </cell>
          <cell r="F4738">
            <v>25827.865399999999</v>
          </cell>
          <cell r="G4738">
            <v>0</v>
          </cell>
          <cell r="H4738">
            <v>0</v>
          </cell>
          <cell r="I4738">
            <v>0</v>
          </cell>
          <cell r="J4738">
            <v>0</v>
          </cell>
          <cell r="K4738">
            <v>0</v>
          </cell>
          <cell r="L4738">
            <v>2</v>
          </cell>
        </row>
        <row r="4739">
          <cell r="A4739" t="str">
            <v>20497.11743</v>
          </cell>
          <cell r="B4739" t="str">
            <v>CORPS DE PALIER</v>
          </cell>
          <cell r="C4739" t="str">
            <v>SULZER REP 330.31 P/POMPE A22-65</v>
          </cell>
          <cell r="D4739" t="str">
            <v>PE</v>
          </cell>
          <cell r="E4739" t="str">
            <v>515.51505</v>
          </cell>
          <cell r="F4739">
            <v>9075.0957999999991</v>
          </cell>
          <cell r="G4739">
            <v>0</v>
          </cell>
          <cell r="H4739">
            <v>0</v>
          </cell>
          <cell r="I4739">
            <v>0</v>
          </cell>
          <cell r="J4739">
            <v>0</v>
          </cell>
          <cell r="K4739">
            <v>1</v>
          </cell>
          <cell r="L4739">
            <v>2</v>
          </cell>
        </row>
        <row r="4740">
          <cell r="A4740" t="str">
            <v>20497.11744</v>
          </cell>
          <cell r="B4740" t="str">
            <v>CORPS DE PALIER</v>
          </cell>
          <cell r="C4740" t="str">
            <v>SULZER REP 330.31 P/POMPE A31-125</v>
          </cell>
          <cell r="D4740" t="str">
            <v>PE</v>
          </cell>
          <cell r="E4740" t="str">
            <v>515.51505</v>
          </cell>
          <cell r="F4740">
            <v>20037.227599999998</v>
          </cell>
          <cell r="G4740">
            <v>0</v>
          </cell>
          <cell r="H4740">
            <v>0</v>
          </cell>
          <cell r="I4740">
            <v>0</v>
          </cell>
          <cell r="J4740">
            <v>0</v>
          </cell>
          <cell r="K4740">
            <v>1</v>
          </cell>
          <cell r="L4740">
            <v>2</v>
          </cell>
        </row>
        <row r="4741">
          <cell r="A4741" t="str">
            <v>20492.13234</v>
          </cell>
          <cell r="B4741" t="str">
            <v>DEPART DIJ 15 KW</v>
          </cell>
          <cell r="C4741" t="str">
            <v>EATON DXDC16EDZ3H-MSAFCSSER0SS POUR TABLEAU MCC</v>
          </cell>
          <cell r="D4741" t="str">
            <v>PE</v>
          </cell>
          <cell r="E4741" t="str">
            <v>522.52206</v>
          </cell>
          <cell r="F4741">
            <v>36000</v>
          </cell>
          <cell r="G4741">
            <v>0</v>
          </cell>
          <cell r="H4741">
            <v>0</v>
          </cell>
          <cell r="I4741">
            <v>0</v>
          </cell>
          <cell r="J4741">
            <v>0</v>
          </cell>
          <cell r="K4741">
            <v>0</v>
          </cell>
          <cell r="L4741">
            <v>1</v>
          </cell>
        </row>
        <row r="4742">
          <cell r="A4742" t="str">
            <v>20492.13240</v>
          </cell>
          <cell r="B4742" t="str">
            <v>DEPART DISJ 18,5 KW 21A</v>
          </cell>
          <cell r="C4742" t="str">
            <v>EATON DXDC25EDZ3H-MSAFCSSER0SS POUR TABLEAU MCC REP GEOGRAPHIQUE 303-EB-40</v>
          </cell>
          <cell r="D4742" t="str">
            <v>PE</v>
          </cell>
          <cell r="E4742" t="str">
            <v>522.52206</v>
          </cell>
          <cell r="F4742">
            <v>23000</v>
          </cell>
          <cell r="G4742">
            <v>0</v>
          </cell>
          <cell r="H4742">
            <v>0</v>
          </cell>
          <cell r="I4742">
            <v>0</v>
          </cell>
          <cell r="J4742">
            <v>0</v>
          </cell>
          <cell r="K4742">
            <v>0</v>
          </cell>
          <cell r="L4742">
            <v>1</v>
          </cell>
        </row>
        <row r="4743">
          <cell r="A4743" t="str">
            <v>20492.13242</v>
          </cell>
          <cell r="B4743" t="str">
            <v>DEPART DISJ 30KW 34A</v>
          </cell>
          <cell r="C4743" t="str">
            <v>EATON DXDC40EDZ3H-MSAFCSSER0SS POUR TABLEAU MCC</v>
          </cell>
          <cell r="D4743" t="str">
            <v>PE</v>
          </cell>
          <cell r="E4743" t="str">
            <v>522.52206</v>
          </cell>
          <cell r="F4743">
            <v>23000</v>
          </cell>
          <cell r="G4743">
            <v>0</v>
          </cell>
          <cell r="H4743">
            <v>0</v>
          </cell>
          <cell r="I4743">
            <v>0</v>
          </cell>
          <cell r="J4743">
            <v>0</v>
          </cell>
          <cell r="K4743">
            <v>1</v>
          </cell>
          <cell r="L4743">
            <v>0</v>
          </cell>
        </row>
        <row r="4744">
          <cell r="A4744" t="str">
            <v>20497.01285</v>
          </cell>
          <cell r="B4744" t="str">
            <v>COUPELLE A GRAISSE</v>
          </cell>
          <cell r="C4744" t="str">
            <v>WARMAN WP4L84-L TYPE 8/6 E-AH</v>
          </cell>
          <cell r="D4744" t="str">
            <v>PE</v>
          </cell>
          <cell r="E4744" t="str">
            <v>515.51517</v>
          </cell>
          <cell r="F4744">
            <v>211.5181</v>
          </cell>
          <cell r="G4744">
            <v>0</v>
          </cell>
          <cell r="H4744">
            <v>0</v>
          </cell>
          <cell r="I4744">
            <v>0</v>
          </cell>
          <cell r="J4744">
            <v>0</v>
          </cell>
          <cell r="K4744">
            <v>0</v>
          </cell>
          <cell r="L4744">
            <v>1</v>
          </cell>
        </row>
        <row r="4745">
          <cell r="A4745" t="str">
            <v>20497.01286</v>
          </cell>
          <cell r="B4745" t="str">
            <v>ADAPTEUR DE COUPELLE A GRAISSE</v>
          </cell>
          <cell r="C4745" t="str">
            <v>WARMAN D138-E62 TYPE 8/6 E-AH</v>
          </cell>
          <cell r="D4745" t="str">
            <v>PE</v>
          </cell>
          <cell r="E4745" t="str">
            <v>515.51517</v>
          </cell>
          <cell r="F4745">
            <v>141.0121</v>
          </cell>
          <cell r="G4745">
            <v>0</v>
          </cell>
          <cell r="H4745">
            <v>0</v>
          </cell>
          <cell r="I4745">
            <v>0</v>
          </cell>
          <cell r="J4745">
            <v>0</v>
          </cell>
          <cell r="K4745">
            <v>0</v>
          </cell>
          <cell r="L4745">
            <v>1</v>
          </cell>
        </row>
        <row r="4746">
          <cell r="A4746" t="str">
            <v>20497.01287</v>
          </cell>
          <cell r="B4746" t="str">
            <v>LANTERNE</v>
          </cell>
          <cell r="C4746" t="str">
            <v>WARMAN E063-P50 TYPE 8/6 E-AH</v>
          </cell>
          <cell r="D4746" t="str">
            <v>PE</v>
          </cell>
          <cell r="E4746" t="str">
            <v>515.51517</v>
          </cell>
          <cell r="F4746">
            <v>810.81939999999997</v>
          </cell>
          <cell r="G4746">
            <v>0</v>
          </cell>
          <cell r="H4746">
            <v>0</v>
          </cell>
          <cell r="I4746">
            <v>0</v>
          </cell>
          <cell r="J4746">
            <v>0</v>
          </cell>
          <cell r="K4746">
            <v>0</v>
          </cell>
          <cell r="L4746">
            <v>1</v>
          </cell>
        </row>
        <row r="4747">
          <cell r="A4747" t="str">
            <v>20497.00489</v>
          </cell>
          <cell r="B4747" t="str">
            <v>CORPS DE POMPE</v>
          </cell>
          <cell r="C4747" t="str">
            <v>SULZER A 22-65 N°100034921 REP 102.11 REF.142141014L-C</v>
          </cell>
          <cell r="D4747" t="str">
            <v>PE</v>
          </cell>
          <cell r="E4747" t="str">
            <v>515.51505</v>
          </cell>
          <cell r="F4747">
            <v>86762.657999999996</v>
          </cell>
          <cell r="G4747">
            <v>0</v>
          </cell>
          <cell r="H4747">
            <v>0</v>
          </cell>
          <cell r="I4747">
            <v>0</v>
          </cell>
          <cell r="J4747">
            <v>0</v>
          </cell>
          <cell r="K4747">
            <v>0</v>
          </cell>
          <cell r="L4747">
            <v>1</v>
          </cell>
        </row>
        <row r="4748">
          <cell r="A4748" t="str">
            <v>20492.02658</v>
          </cell>
          <cell r="B4748" t="str">
            <v>REGULATEUR DE TENSION</v>
          </cell>
          <cell r="C4748" t="str">
            <v>MEAN WELL MODEL DRP-240-24  24V  0 A 10A</v>
          </cell>
          <cell r="D4748" t="str">
            <v>PE</v>
          </cell>
          <cell r="E4748" t="str">
            <v>512.51201</v>
          </cell>
          <cell r="F4748">
            <v>2423.2800000000002</v>
          </cell>
          <cell r="G4748">
            <v>0</v>
          </cell>
          <cell r="H4748">
            <v>0</v>
          </cell>
          <cell r="I4748">
            <v>0</v>
          </cell>
          <cell r="J4748">
            <v>0</v>
          </cell>
          <cell r="K4748">
            <v>0</v>
          </cell>
          <cell r="L4748">
            <v>0</v>
          </cell>
        </row>
        <row r="4749">
          <cell r="A4749" t="str">
            <v>20497.01288</v>
          </cell>
          <cell r="B4749" t="str">
            <v>BAGUE DE FOND</v>
          </cell>
          <cell r="C4749" t="str">
            <v>WARMAN E067-C02 TYPE 8/6 E-AH</v>
          </cell>
          <cell r="D4749" t="str">
            <v>PE</v>
          </cell>
          <cell r="E4749" t="str">
            <v>515.51517</v>
          </cell>
          <cell r="F4749">
            <v>1292.6107</v>
          </cell>
          <cell r="G4749">
            <v>0</v>
          </cell>
          <cell r="H4749">
            <v>0</v>
          </cell>
          <cell r="I4749">
            <v>0</v>
          </cell>
          <cell r="J4749">
            <v>0</v>
          </cell>
          <cell r="K4749">
            <v>0</v>
          </cell>
          <cell r="L4749">
            <v>1</v>
          </cell>
        </row>
        <row r="4750">
          <cell r="A4750" t="str">
            <v>20497.01289</v>
          </cell>
          <cell r="B4750" t="str">
            <v>BOITIER DE TURBINE</v>
          </cell>
          <cell r="C4750" t="str">
            <v>WARMAN EAM029-A05 TYPE 8/6 E-AH</v>
          </cell>
          <cell r="D4750" t="str">
            <v>PE</v>
          </cell>
          <cell r="E4750" t="str">
            <v>515.51517</v>
          </cell>
          <cell r="F4750">
            <v>11057.696900000001</v>
          </cell>
          <cell r="G4750">
            <v>0</v>
          </cell>
          <cell r="H4750">
            <v>0</v>
          </cell>
          <cell r="I4750">
            <v>0</v>
          </cell>
          <cell r="J4750">
            <v>0</v>
          </cell>
          <cell r="K4750">
            <v>0</v>
          </cell>
          <cell r="L4750">
            <v>1</v>
          </cell>
        </row>
        <row r="4751">
          <cell r="A4751" t="str">
            <v>20497.01290</v>
          </cell>
          <cell r="B4751" t="str">
            <v>PLAQUE ARRIERE</v>
          </cell>
          <cell r="C4751" t="str">
            <v>WARMAN F6041-AC5 TYPE 8/6 E-AH</v>
          </cell>
          <cell r="D4751" t="str">
            <v>PE</v>
          </cell>
          <cell r="E4751" t="str">
            <v>515.51517</v>
          </cell>
          <cell r="F4751">
            <v>16615.922900000001</v>
          </cell>
          <cell r="G4751">
            <v>0</v>
          </cell>
          <cell r="H4751">
            <v>0</v>
          </cell>
          <cell r="I4751">
            <v>0</v>
          </cell>
          <cell r="J4751">
            <v>0</v>
          </cell>
          <cell r="K4751">
            <v>0</v>
          </cell>
          <cell r="L4751">
            <v>1</v>
          </cell>
        </row>
        <row r="4752">
          <cell r="A4752" t="str">
            <v>20497.01291</v>
          </cell>
          <cell r="B4752" t="str">
            <v>JOINT DE REFOULEMENT</v>
          </cell>
          <cell r="C4752" t="str">
            <v>WARMAN F6132L-R08 TYPE 8/6 E-AH</v>
          </cell>
          <cell r="D4752" t="str">
            <v>PE</v>
          </cell>
          <cell r="E4752" t="str">
            <v>515.51517</v>
          </cell>
          <cell r="F4752">
            <v>105.23</v>
          </cell>
          <cell r="G4752">
            <v>0</v>
          </cell>
          <cell r="H4752">
            <v>0</v>
          </cell>
          <cell r="I4752">
            <v>0</v>
          </cell>
          <cell r="J4752">
            <v>0</v>
          </cell>
          <cell r="K4752">
            <v>1</v>
          </cell>
          <cell r="L4752">
            <v>2</v>
          </cell>
        </row>
        <row r="4753">
          <cell r="A4753" t="str">
            <v>20497.01292</v>
          </cell>
          <cell r="B4753" t="str">
            <v>VOLUTE</v>
          </cell>
          <cell r="C4753" t="str">
            <v>WARMAN F6110-A05 TYPE 8/6 E-AH</v>
          </cell>
          <cell r="D4753" t="str">
            <v>PE</v>
          </cell>
          <cell r="E4753" t="str">
            <v>515.51517</v>
          </cell>
          <cell r="F4753">
            <v>25556.67</v>
          </cell>
          <cell r="G4753">
            <v>0</v>
          </cell>
          <cell r="H4753">
            <v>0</v>
          </cell>
          <cell r="I4753">
            <v>0</v>
          </cell>
          <cell r="J4753">
            <v>0</v>
          </cell>
          <cell r="K4753">
            <v>1</v>
          </cell>
          <cell r="L4753">
            <v>1</v>
          </cell>
        </row>
        <row r="4754">
          <cell r="A4754" t="str">
            <v>20497.01293</v>
          </cell>
          <cell r="B4754" t="str">
            <v>CLAVETTE DE PIECE D'ASPIRATION</v>
          </cell>
          <cell r="C4754" t="str">
            <v>WARMAN F3085-E02 TYPE 8/6 E-AH</v>
          </cell>
          <cell r="D4754" t="str">
            <v>PE</v>
          </cell>
          <cell r="E4754" t="str">
            <v>515.51517</v>
          </cell>
          <cell r="F4754">
            <v>117.51009999999999</v>
          </cell>
          <cell r="G4754">
            <v>0</v>
          </cell>
          <cell r="H4754">
            <v>0</v>
          </cell>
          <cell r="I4754">
            <v>0</v>
          </cell>
          <cell r="J4754">
            <v>0</v>
          </cell>
          <cell r="K4754">
            <v>1</v>
          </cell>
          <cell r="L4754">
            <v>0</v>
          </cell>
        </row>
        <row r="4755">
          <cell r="A4755" t="str">
            <v>20497.01294</v>
          </cell>
          <cell r="B4755" t="str">
            <v>JOINT D'ASPIRATION</v>
          </cell>
          <cell r="C4755" t="str">
            <v>WARMAN F6060-R08 TYPE 8/6 E-AH</v>
          </cell>
          <cell r="D4755" t="str">
            <v>PE</v>
          </cell>
          <cell r="E4755" t="str">
            <v>515.51517</v>
          </cell>
          <cell r="F4755">
            <v>376.03219999999999</v>
          </cell>
          <cell r="G4755">
            <v>0</v>
          </cell>
          <cell r="H4755">
            <v>0</v>
          </cell>
          <cell r="I4755">
            <v>0</v>
          </cell>
          <cell r="J4755">
            <v>0</v>
          </cell>
          <cell r="K4755">
            <v>0</v>
          </cell>
          <cell r="L4755">
            <v>2</v>
          </cell>
        </row>
        <row r="4756">
          <cell r="A4756" t="str">
            <v>20497.01295</v>
          </cell>
          <cell r="B4756" t="str">
            <v>PIECE D'ASPIRATION</v>
          </cell>
          <cell r="C4756" t="str">
            <v>WARMAN F6083-A05 TYPE 8/6 E-AH</v>
          </cell>
          <cell r="D4756" t="str">
            <v>PE</v>
          </cell>
          <cell r="E4756" t="str">
            <v>515.51517</v>
          </cell>
          <cell r="F4756">
            <v>21821.618699999999</v>
          </cell>
          <cell r="G4756">
            <v>0</v>
          </cell>
          <cell r="H4756">
            <v>0</v>
          </cell>
          <cell r="I4756">
            <v>0</v>
          </cell>
          <cell r="J4756">
            <v>0</v>
          </cell>
          <cell r="K4756">
            <v>0</v>
          </cell>
          <cell r="L4756">
            <v>1</v>
          </cell>
        </row>
        <row r="4757">
          <cell r="A4757" t="str">
            <v>20497.01296</v>
          </cell>
          <cell r="B4757" t="str">
            <v>IMPULSEUR</v>
          </cell>
          <cell r="C4757" t="str">
            <v>WARMAN F6058-A05 TYPE 8/6 E-AH</v>
          </cell>
          <cell r="D4757" t="str">
            <v>PE</v>
          </cell>
          <cell r="E4757" t="str">
            <v>515.51517</v>
          </cell>
          <cell r="F4757">
            <v>33819.396099999998</v>
          </cell>
          <cell r="G4757">
            <v>0</v>
          </cell>
          <cell r="H4757">
            <v>0</v>
          </cell>
          <cell r="I4757">
            <v>0</v>
          </cell>
          <cell r="J4757">
            <v>0</v>
          </cell>
          <cell r="K4757">
            <v>0</v>
          </cell>
          <cell r="L4757">
            <v>1</v>
          </cell>
        </row>
        <row r="4758">
          <cell r="A4758" t="str">
            <v>20497.01297</v>
          </cell>
          <cell r="B4758" t="str">
            <v>BOULON FIXATION COQUILLES</v>
          </cell>
          <cell r="C4758" t="str">
            <v>WARMAN F6015M-E65 TYPE 8/6 E-AH</v>
          </cell>
          <cell r="D4758" t="str">
            <v>PE</v>
          </cell>
          <cell r="E4758" t="str">
            <v>515.51517</v>
          </cell>
          <cell r="F4758">
            <v>728.56240000000003</v>
          </cell>
          <cell r="G4758">
            <v>0</v>
          </cell>
          <cell r="H4758">
            <v>0</v>
          </cell>
          <cell r="I4758">
            <v>0</v>
          </cell>
          <cell r="J4758">
            <v>0</v>
          </cell>
          <cell r="K4758">
            <v>0</v>
          </cell>
          <cell r="L4758">
            <v>2</v>
          </cell>
        </row>
        <row r="4759">
          <cell r="A4759" t="str">
            <v>20497.01299</v>
          </cell>
          <cell r="B4759" t="str">
            <v>JOINT DE VOLUTE</v>
          </cell>
          <cell r="C4759" t="str">
            <v>WARMAN F8124-R09 TYPE 8/6 E-AH</v>
          </cell>
          <cell r="D4759" t="str">
            <v>PE</v>
          </cell>
          <cell r="E4759" t="str">
            <v>515.51517</v>
          </cell>
          <cell r="F4759">
            <v>1128.0966000000001</v>
          </cell>
          <cell r="G4759">
            <v>0</v>
          </cell>
          <cell r="H4759">
            <v>0</v>
          </cell>
          <cell r="I4759">
            <v>0</v>
          </cell>
          <cell r="J4759">
            <v>0</v>
          </cell>
          <cell r="K4759">
            <v>0</v>
          </cell>
          <cell r="L4759">
            <v>3</v>
          </cell>
        </row>
        <row r="4760">
          <cell r="A4760" t="str">
            <v>20497.01300</v>
          </cell>
          <cell r="B4760" t="str">
            <v>TURBINE DE DECHARGE</v>
          </cell>
          <cell r="C4760" t="str">
            <v>WARMAN EAH028-A05 TYPE 8/6 E-AH</v>
          </cell>
          <cell r="D4760" t="str">
            <v>PE</v>
          </cell>
          <cell r="E4760" t="str">
            <v>515.51517</v>
          </cell>
          <cell r="F4760">
            <v>6874.3387000000002</v>
          </cell>
          <cell r="G4760">
            <v>0</v>
          </cell>
          <cell r="H4760">
            <v>0</v>
          </cell>
          <cell r="I4760">
            <v>0</v>
          </cell>
          <cell r="J4760">
            <v>0</v>
          </cell>
          <cell r="K4760">
            <v>0</v>
          </cell>
          <cell r="L4760">
            <v>1</v>
          </cell>
        </row>
        <row r="4761">
          <cell r="A4761" t="str">
            <v>20497.01301</v>
          </cell>
          <cell r="B4761" t="str">
            <v>FOULOIR</v>
          </cell>
          <cell r="C4761" t="str">
            <v>WARMAN E044-E02 TYPE 8/6 E-AH</v>
          </cell>
          <cell r="D4761" t="str">
            <v>PE</v>
          </cell>
          <cell r="E4761" t="str">
            <v>515.51517</v>
          </cell>
          <cell r="F4761">
            <v>3302.0328</v>
          </cell>
          <cell r="G4761">
            <v>0</v>
          </cell>
          <cell r="H4761">
            <v>0</v>
          </cell>
          <cell r="I4761">
            <v>0</v>
          </cell>
          <cell r="J4761">
            <v>0</v>
          </cell>
          <cell r="K4761">
            <v>0</v>
          </cell>
          <cell r="L4761">
            <v>1</v>
          </cell>
        </row>
        <row r="4762">
          <cell r="A4762" t="str">
            <v>20492.13263</v>
          </cell>
          <cell r="B4762" t="str">
            <v>KIT COMPLET DE JEU DE BARRES DE LIAISON AVEC LES DETECTEURS CAPACITIFS</v>
          </cell>
          <cell r="C4762" t="str">
            <v>EATON KLDC03-CCB-UUT POUR TABLEAU MT-10KV</v>
          </cell>
          <cell r="D4762" t="str">
            <v>PE</v>
          </cell>
          <cell r="E4762" t="str">
            <v>522.52206</v>
          </cell>
          <cell r="F4762">
            <v>8190</v>
          </cell>
          <cell r="G4762">
            <v>0</v>
          </cell>
          <cell r="H4762">
            <v>0</v>
          </cell>
          <cell r="I4762">
            <v>0</v>
          </cell>
          <cell r="J4762">
            <v>0</v>
          </cell>
          <cell r="K4762">
            <v>0</v>
          </cell>
          <cell r="L4762">
            <v>1</v>
          </cell>
        </row>
        <row r="4763">
          <cell r="A4763" t="str">
            <v>20492.13264</v>
          </cell>
          <cell r="B4763" t="str">
            <v>KIT COMPLET DE JEU DE BARRES DE LIAISON TC/DISJONCTEUR</v>
          </cell>
          <cell r="C4763" t="str">
            <v>EATON KLTD03-CCB-UUT POUR TABLEAU MT-10KV</v>
          </cell>
          <cell r="D4763" t="str">
            <v>PE</v>
          </cell>
          <cell r="E4763" t="str">
            <v>522.52206</v>
          </cell>
          <cell r="F4763">
            <v>10555</v>
          </cell>
          <cell r="G4763">
            <v>0</v>
          </cell>
          <cell r="H4763">
            <v>0</v>
          </cell>
          <cell r="I4763">
            <v>0</v>
          </cell>
          <cell r="J4763">
            <v>0</v>
          </cell>
          <cell r="K4763">
            <v>0</v>
          </cell>
          <cell r="L4763">
            <v>1</v>
          </cell>
        </row>
        <row r="4764">
          <cell r="A4764" t="str">
            <v>20492.12447</v>
          </cell>
          <cell r="B4764" t="str">
            <v>BUSE COMPLETE</v>
          </cell>
          <cell r="C4764" t="str">
            <v>SPRAYING SYSTEMS REF. ORIFICE : FSUN-S-100-303/4-1.4539 EN 904LREF. RACCORD : BU-3/4-1.4539 EN 904L , EN 3/4" BSP.BUSE COMPLETE COMPRENANT : ORIFICE ET RACCORD</v>
          </cell>
          <cell r="D4764" t="str">
            <v>PE</v>
          </cell>
          <cell r="E4764" t="str">
            <v>515.51502</v>
          </cell>
          <cell r="F4764">
            <v>501.02370000000002</v>
          </cell>
          <cell r="G4764">
            <v>0</v>
          </cell>
          <cell r="H4764">
            <v>0</v>
          </cell>
          <cell r="I4764">
            <v>0</v>
          </cell>
          <cell r="J4764">
            <v>100</v>
          </cell>
          <cell r="K4764">
            <v>30</v>
          </cell>
          <cell r="L4764">
            <v>82</v>
          </cell>
        </row>
        <row r="4765">
          <cell r="A4765" t="str">
            <v>20492.12448</v>
          </cell>
          <cell r="B4765" t="str">
            <v>BUSE COMPLETE</v>
          </cell>
          <cell r="C4765" t="str">
            <v>SPRAYING SYSTEMS REF. BUSE : FS1-10-30-R1/4/2999-1.4539 EN 904L, EN 3/4" BSP.BUSE COMPLETE COMPRENANT : ORIFICE ET RACCORD</v>
          </cell>
          <cell r="D4765" t="str">
            <v>PE</v>
          </cell>
          <cell r="E4765" t="str">
            <v>515.51502</v>
          </cell>
          <cell r="F4765">
            <v>989.4</v>
          </cell>
          <cell r="G4765">
            <v>0</v>
          </cell>
          <cell r="H4765">
            <v>0</v>
          </cell>
          <cell r="I4765">
            <v>0</v>
          </cell>
          <cell r="J4765">
            <v>0</v>
          </cell>
          <cell r="K4765">
            <v>0</v>
          </cell>
          <cell r="L4765">
            <v>0</v>
          </cell>
        </row>
        <row r="4766">
          <cell r="A4766" t="str">
            <v>20492.13303</v>
          </cell>
          <cell r="B4766" t="str">
            <v>DEPART MOTEUR 45KW</v>
          </cell>
          <cell r="C4766" t="str">
            <v>EATON T3C45EDZG-AMMSBCSS010SEMR-1SS POUR TABLEAU MCC REP GEOGRAPHIQUE 303-EB-43</v>
          </cell>
          <cell r="D4766" t="str">
            <v>PE</v>
          </cell>
          <cell r="E4766" t="str">
            <v>522.52206</v>
          </cell>
          <cell r="F4766">
            <v>32900</v>
          </cell>
          <cell r="G4766">
            <v>0</v>
          </cell>
          <cell r="H4766">
            <v>0</v>
          </cell>
          <cell r="I4766">
            <v>0</v>
          </cell>
          <cell r="J4766">
            <v>0</v>
          </cell>
          <cell r="K4766">
            <v>0</v>
          </cell>
          <cell r="L4766">
            <v>0</v>
          </cell>
        </row>
        <row r="4767">
          <cell r="A4767" t="str">
            <v>20497.11467</v>
          </cell>
          <cell r="B4767" t="str">
            <v>VIS D'ARRET</v>
          </cell>
          <cell r="C4767" t="str">
            <v>GOULDS PUMPS IC-125-80-200 S1 VV 1A SERIE I 601E34/35 REP 904.31</v>
          </cell>
          <cell r="D4767" t="str">
            <v>PE</v>
          </cell>
          <cell r="E4767" t="str">
            <v>515.51517</v>
          </cell>
          <cell r="F4767">
            <v>36.840000000000003</v>
          </cell>
          <cell r="G4767">
            <v>0</v>
          </cell>
          <cell r="H4767">
            <v>0</v>
          </cell>
          <cell r="I4767">
            <v>0</v>
          </cell>
          <cell r="J4767">
            <v>0</v>
          </cell>
          <cell r="K4767">
            <v>0</v>
          </cell>
          <cell r="L4767">
            <v>2</v>
          </cell>
        </row>
        <row r="4768">
          <cell r="A4768" t="str">
            <v>20492.13304</v>
          </cell>
          <cell r="B4768" t="str">
            <v>DEPART MOTEUR 55KW</v>
          </cell>
          <cell r="C4768" t="str">
            <v>EATON T3C55EDZG-AMMSBDSS010SEMR-1SS POUR TABLEAU MCC REP GEOGRAPHIQUE 303-EB-43</v>
          </cell>
          <cell r="D4768" t="str">
            <v>PE</v>
          </cell>
          <cell r="E4768" t="str">
            <v>522.52206</v>
          </cell>
          <cell r="F4768">
            <v>87500</v>
          </cell>
          <cell r="G4768">
            <v>1</v>
          </cell>
          <cell r="H4768">
            <v>0</v>
          </cell>
          <cell r="I4768">
            <v>0</v>
          </cell>
          <cell r="J4768">
            <v>0</v>
          </cell>
          <cell r="K4768">
            <v>0</v>
          </cell>
          <cell r="L4768">
            <v>0</v>
          </cell>
        </row>
        <row r="4769">
          <cell r="A4769" t="str">
            <v>20497.11468</v>
          </cell>
          <cell r="B4769" t="str">
            <v>JOINT</v>
          </cell>
          <cell r="C4769" t="str">
            <v>GOULDS PUMPS IC-125-100-200 S1 VV 1A SERIE I 601E36/37 REP 412.41</v>
          </cell>
          <cell r="D4769" t="str">
            <v>PE</v>
          </cell>
          <cell r="E4769" t="str">
            <v>515.51517</v>
          </cell>
          <cell r="F4769">
            <v>110.35</v>
          </cell>
          <cell r="G4769">
            <v>0</v>
          </cell>
          <cell r="H4769">
            <v>0</v>
          </cell>
          <cell r="I4769">
            <v>0</v>
          </cell>
          <cell r="J4769">
            <v>0</v>
          </cell>
          <cell r="K4769">
            <v>0</v>
          </cell>
          <cell r="L4769">
            <v>2</v>
          </cell>
        </row>
        <row r="4770">
          <cell r="A4770" t="str">
            <v>20492.13312</v>
          </cell>
          <cell r="B4770" t="str">
            <v>DEPART MOTEUR 160KW</v>
          </cell>
          <cell r="C4770" t="str">
            <v>EATON T3D16EDZG-AMVSBDSS010SHMR-1SS POUR TABLEAU MCC REP GEOGRAPHIQUE 303-EB-40</v>
          </cell>
          <cell r="D4770" t="str">
            <v>PE</v>
          </cell>
          <cell r="E4770" t="str">
            <v>522.52206</v>
          </cell>
          <cell r="F4770">
            <v>70000</v>
          </cell>
          <cell r="G4770">
            <v>0</v>
          </cell>
          <cell r="H4770">
            <v>0</v>
          </cell>
          <cell r="I4770">
            <v>0</v>
          </cell>
          <cell r="J4770">
            <v>0</v>
          </cell>
          <cell r="K4770">
            <v>0</v>
          </cell>
          <cell r="L4770">
            <v>0</v>
          </cell>
        </row>
        <row r="4771">
          <cell r="A4771" t="str">
            <v>20492.07019</v>
          </cell>
          <cell r="B4771" t="str">
            <v>RELAIS DE PROTECTION MOTEUR TRIPHASE</v>
          </cell>
          <cell r="C4771" t="str">
            <v>MICROENER MM30-W</v>
          </cell>
          <cell r="D4771" t="str">
            <v>PE</v>
          </cell>
          <cell r="E4771" t="str">
            <v>512.51201</v>
          </cell>
          <cell r="F4771">
            <v>22461.599999999999</v>
          </cell>
          <cell r="G4771">
            <v>0</v>
          </cell>
          <cell r="H4771">
            <v>0</v>
          </cell>
          <cell r="I4771">
            <v>0</v>
          </cell>
          <cell r="J4771">
            <v>0</v>
          </cell>
          <cell r="K4771">
            <v>0</v>
          </cell>
          <cell r="L4771">
            <v>1</v>
          </cell>
        </row>
        <row r="4772">
          <cell r="A4772" t="str">
            <v>20497.11493</v>
          </cell>
          <cell r="B4772" t="str">
            <v>PALIER DE CORPS</v>
          </cell>
          <cell r="C4772" t="str">
            <v>GOULDS PUMPS VIT-CATM TS10X14RHMC (4ETAGES) SERIE 513368.1/2 REP 672</v>
          </cell>
          <cell r="D4772" t="str">
            <v>PE</v>
          </cell>
          <cell r="E4772" t="str">
            <v>515.51517</v>
          </cell>
          <cell r="F4772">
            <v>5277</v>
          </cell>
          <cell r="G4772">
            <v>0</v>
          </cell>
          <cell r="H4772">
            <v>0</v>
          </cell>
          <cell r="I4772">
            <v>4</v>
          </cell>
          <cell r="J4772">
            <v>0</v>
          </cell>
          <cell r="K4772">
            <v>0</v>
          </cell>
          <cell r="L4772">
            <v>0</v>
          </cell>
        </row>
        <row r="4773">
          <cell r="A4773" t="str">
            <v>20497.11494</v>
          </cell>
          <cell r="B4773" t="str">
            <v>PALIER A L'ASPIRATION</v>
          </cell>
          <cell r="C4773" t="str">
            <v>GOULDS PUMPS VIT-CATM TS10X14RHMC (4ETAGES) SERIE 513368.1/2 REP 690</v>
          </cell>
          <cell r="D4773" t="str">
            <v>PE</v>
          </cell>
          <cell r="E4773" t="str">
            <v>515.51517</v>
          </cell>
          <cell r="F4773">
            <v>8149</v>
          </cell>
          <cell r="G4773">
            <v>0</v>
          </cell>
          <cell r="H4773">
            <v>0</v>
          </cell>
          <cell r="I4773">
            <v>1</v>
          </cell>
          <cell r="J4773">
            <v>0</v>
          </cell>
          <cell r="K4773">
            <v>0</v>
          </cell>
          <cell r="L4773">
            <v>0</v>
          </cell>
        </row>
        <row r="4774">
          <cell r="A4774" t="str">
            <v>20497.11495</v>
          </cell>
          <cell r="B4774" t="str">
            <v>BAGUE D'ARRET</v>
          </cell>
          <cell r="C4774" t="str">
            <v>GOULDS PUMPS VIT-CATM TS10X14RHMC (4ETAGES) SERIE 513368.1/2 REP 692</v>
          </cell>
          <cell r="D4774" t="str">
            <v>PE</v>
          </cell>
          <cell r="E4774" t="str">
            <v>515.51517</v>
          </cell>
          <cell r="F4774">
            <v>5511</v>
          </cell>
          <cell r="G4774">
            <v>0</v>
          </cell>
          <cell r="H4774">
            <v>0</v>
          </cell>
          <cell r="I4774">
            <v>0</v>
          </cell>
          <cell r="J4774">
            <v>0</v>
          </cell>
          <cell r="K4774">
            <v>0</v>
          </cell>
          <cell r="L4774">
            <v>2</v>
          </cell>
        </row>
        <row r="4775">
          <cell r="A4775" t="str">
            <v>20497.11496</v>
          </cell>
          <cell r="B4775" t="str">
            <v>CONNECTION</v>
          </cell>
          <cell r="C4775" t="str">
            <v>GOULDS PUMPS VIT-CATM TS10X14RHMC (4ETAGES) SERIE 513368.1/2 REP 747</v>
          </cell>
          <cell r="D4775" t="str">
            <v>PE</v>
          </cell>
          <cell r="E4775" t="str">
            <v>515.51517</v>
          </cell>
          <cell r="F4775">
            <v>1803</v>
          </cell>
          <cell r="G4775">
            <v>0</v>
          </cell>
          <cell r="H4775">
            <v>0</v>
          </cell>
          <cell r="I4775">
            <v>0</v>
          </cell>
          <cell r="J4775">
            <v>0</v>
          </cell>
          <cell r="K4775">
            <v>0</v>
          </cell>
          <cell r="L4775">
            <v>1</v>
          </cell>
        </row>
        <row r="4776">
          <cell r="A4776" t="str">
            <v>20497.11469</v>
          </cell>
          <cell r="B4776" t="str">
            <v>BAGUE DE FIXATION</v>
          </cell>
          <cell r="C4776" t="str">
            <v>GOULDS PUMPS IC-125-100-200 S1 VV 1A SERIE I 601E36/37 REP 527</v>
          </cell>
          <cell r="D4776" t="str">
            <v>PE</v>
          </cell>
          <cell r="E4776" t="str">
            <v>515.51517</v>
          </cell>
          <cell r="F4776">
            <v>2574.7800000000002</v>
          </cell>
          <cell r="G4776">
            <v>0</v>
          </cell>
          <cell r="H4776">
            <v>0</v>
          </cell>
          <cell r="I4776">
            <v>0</v>
          </cell>
          <cell r="J4776">
            <v>0</v>
          </cell>
          <cell r="K4776">
            <v>0</v>
          </cell>
          <cell r="L4776">
            <v>1</v>
          </cell>
        </row>
        <row r="4777">
          <cell r="A4777" t="str">
            <v>20497.11490</v>
          </cell>
          <cell r="B4777" t="str">
            <v>TRESSE</v>
          </cell>
          <cell r="C4777" t="str">
            <v>GOULDS PUMPS VIT-CATM TS10X14RHMC (4ETAGES) SERIE 513368.1/2 REP 620</v>
          </cell>
          <cell r="D4777" t="str">
            <v>PE</v>
          </cell>
          <cell r="E4777" t="str">
            <v>515.51517</v>
          </cell>
          <cell r="F4777">
            <v>2806</v>
          </cell>
          <cell r="G4777">
            <v>0</v>
          </cell>
          <cell r="H4777">
            <v>0</v>
          </cell>
          <cell r="I4777">
            <v>0</v>
          </cell>
          <cell r="J4777">
            <v>0</v>
          </cell>
          <cell r="K4777">
            <v>0</v>
          </cell>
          <cell r="L4777">
            <v>2</v>
          </cell>
        </row>
        <row r="4778">
          <cell r="A4778" t="str">
            <v>20497.11491</v>
          </cell>
          <cell r="B4778" t="str">
            <v>JOINT DE CORPS</v>
          </cell>
          <cell r="C4778" t="str">
            <v>GOULDS PUMPS VIT-CATM TS10X14RHMC (4ETAGES) SERIE 513368.1/2 REP 779</v>
          </cell>
          <cell r="D4778" t="str">
            <v>PE</v>
          </cell>
          <cell r="E4778" t="str">
            <v>515.51517</v>
          </cell>
          <cell r="F4778">
            <v>634</v>
          </cell>
          <cell r="G4778">
            <v>0</v>
          </cell>
          <cell r="H4778">
            <v>0</v>
          </cell>
          <cell r="I4778">
            <v>0</v>
          </cell>
          <cell r="J4778">
            <v>0</v>
          </cell>
          <cell r="K4778">
            <v>0</v>
          </cell>
          <cell r="L4778">
            <v>2</v>
          </cell>
        </row>
        <row r="4779">
          <cell r="A4779" t="str">
            <v>20497.11492</v>
          </cell>
          <cell r="B4779" t="str">
            <v>PALIER DE RETENUE</v>
          </cell>
          <cell r="C4779" t="str">
            <v>GOULDS PUMPS VIT-CATM TS10X14RHMC (4ETAGES) SERIE 513368.1/2 REP 652</v>
          </cell>
          <cell r="D4779" t="str">
            <v>PE</v>
          </cell>
          <cell r="E4779" t="str">
            <v>515.51517</v>
          </cell>
          <cell r="F4779">
            <v>1235</v>
          </cell>
          <cell r="G4779">
            <v>0</v>
          </cell>
          <cell r="H4779">
            <v>0</v>
          </cell>
          <cell r="I4779">
            <v>0</v>
          </cell>
          <cell r="J4779">
            <v>0</v>
          </cell>
          <cell r="K4779">
            <v>0</v>
          </cell>
          <cell r="L4779">
            <v>1</v>
          </cell>
        </row>
        <row r="4780">
          <cell r="A4780" t="str">
            <v>20497.11498</v>
          </cell>
          <cell r="B4780" t="str">
            <v>JOINT</v>
          </cell>
          <cell r="C4780" t="str">
            <v xml:space="preserve">GOULDS PUMPS IC-100-65-200 S1 VV 1A SERIE I 601E25/26/27 REP 412.41 </v>
          </cell>
          <cell r="D4780" t="str">
            <v>PE</v>
          </cell>
          <cell r="E4780" t="str">
            <v>515.51517</v>
          </cell>
          <cell r="F4780">
            <v>1324.22</v>
          </cell>
          <cell r="G4780">
            <v>0</v>
          </cell>
          <cell r="H4780">
            <v>0</v>
          </cell>
          <cell r="I4780">
            <v>0</v>
          </cell>
          <cell r="J4780">
            <v>0</v>
          </cell>
          <cell r="K4780">
            <v>0</v>
          </cell>
          <cell r="L4780">
            <v>0</v>
          </cell>
        </row>
        <row r="4781">
          <cell r="A4781" t="str">
            <v>20497.12300</v>
          </cell>
          <cell r="B4781" t="str">
            <v xml:space="preserve">ANNEAU DE GUIDAGE+PIECE DE MONTAGE  </v>
          </cell>
          <cell r="C4781" t="str">
            <v>FLUOROSEAL POUR REVISION VANNE DN200 REF 152F-904L/904L-3-P-FS REP 1 ET 2</v>
          </cell>
          <cell r="D4781" t="str">
            <v>PE</v>
          </cell>
          <cell r="E4781" t="str">
            <v>515.51511</v>
          </cell>
          <cell r="F4781">
            <v>19900.669099999999</v>
          </cell>
          <cell r="G4781">
            <v>0</v>
          </cell>
          <cell r="H4781">
            <v>0</v>
          </cell>
          <cell r="I4781">
            <v>0</v>
          </cell>
          <cell r="J4781">
            <v>0</v>
          </cell>
          <cell r="K4781">
            <v>1</v>
          </cell>
          <cell r="L4781">
            <v>0</v>
          </cell>
        </row>
        <row r="4782">
          <cell r="A4782" t="str">
            <v>20497.12301</v>
          </cell>
          <cell r="B4782" t="str">
            <v xml:space="preserve">ANNEAU DE GUIDAGE+PIECE DE MONTAGE  </v>
          </cell>
          <cell r="C4782" t="str">
            <v>FLUOROSEAL POUR REVISION VANNE DN250 REF 152F-904L/904L-3-P-FS REP 1 ET 2</v>
          </cell>
          <cell r="D4782" t="str">
            <v>PE</v>
          </cell>
          <cell r="E4782" t="str">
            <v>515.51511</v>
          </cell>
          <cell r="F4782">
            <v>19900.669099999999</v>
          </cell>
          <cell r="G4782">
            <v>0</v>
          </cell>
          <cell r="H4782">
            <v>0</v>
          </cell>
          <cell r="I4782">
            <v>0</v>
          </cell>
          <cell r="J4782">
            <v>0</v>
          </cell>
          <cell r="K4782">
            <v>1</v>
          </cell>
          <cell r="L4782">
            <v>0</v>
          </cell>
        </row>
        <row r="4783">
          <cell r="A4783" t="str">
            <v>20497.12297</v>
          </cell>
          <cell r="B4783" t="str">
            <v xml:space="preserve">ANNEAU DE GUIDAGE+PIECE DE MONTAGE  </v>
          </cell>
          <cell r="C4783" t="str">
            <v>FLUOROSEAL POUR REVISION  VANNE DN80 REF 152F-904L/904L-3-P-FS REP 1 ET 2</v>
          </cell>
          <cell r="D4783" t="str">
            <v>PE</v>
          </cell>
          <cell r="E4783" t="str">
            <v>515.51511</v>
          </cell>
          <cell r="F4783">
            <v>8528.8582000000006</v>
          </cell>
          <cell r="G4783">
            <v>0</v>
          </cell>
          <cell r="H4783">
            <v>0</v>
          </cell>
          <cell r="I4783">
            <v>0</v>
          </cell>
          <cell r="J4783">
            <v>0</v>
          </cell>
          <cell r="K4783">
            <v>1</v>
          </cell>
          <cell r="L4783">
            <v>0</v>
          </cell>
        </row>
        <row r="4784">
          <cell r="A4784" t="str">
            <v>20497.12298</v>
          </cell>
          <cell r="B4784" t="str">
            <v xml:space="preserve">ANNEAU DE GUIDAGE+PIECE DE MONTAGE  </v>
          </cell>
          <cell r="C4784" t="str">
            <v xml:space="preserve">FLUOROSEAL POUR REVISION VANNE DN100 REF 152F-904L/904L-3-P-FS REP 1 ET 2 </v>
          </cell>
          <cell r="D4784" t="str">
            <v>PE</v>
          </cell>
          <cell r="E4784" t="str">
            <v>515.51511</v>
          </cell>
          <cell r="F4784">
            <v>10234.629800000001</v>
          </cell>
          <cell r="G4784">
            <v>0</v>
          </cell>
          <cell r="H4784">
            <v>0</v>
          </cell>
          <cell r="I4784">
            <v>0</v>
          </cell>
          <cell r="J4784">
            <v>0</v>
          </cell>
          <cell r="K4784">
            <v>1</v>
          </cell>
          <cell r="L4784">
            <v>0</v>
          </cell>
        </row>
        <row r="4785">
          <cell r="A4785" t="str">
            <v>20497.12299</v>
          </cell>
          <cell r="B4785" t="str">
            <v xml:space="preserve">ANNEAU DE GUIDAGE+PIECE DE MONTAGE  </v>
          </cell>
          <cell r="C4785" t="str">
            <v>FLUOROSEAL POUR REVISION VANNE  DN150 REF 152F-904L/904L-3-P-FS REP 1 ET 2</v>
          </cell>
          <cell r="D4785" t="str">
            <v>PE</v>
          </cell>
          <cell r="E4785" t="str">
            <v>515.51511</v>
          </cell>
          <cell r="F4785">
            <v>17057.716400000001</v>
          </cell>
          <cell r="G4785">
            <v>0</v>
          </cell>
          <cell r="H4785">
            <v>0</v>
          </cell>
          <cell r="I4785">
            <v>0</v>
          </cell>
          <cell r="J4785">
            <v>0</v>
          </cell>
          <cell r="K4785">
            <v>1</v>
          </cell>
          <cell r="L4785">
            <v>0</v>
          </cell>
        </row>
        <row r="4786">
          <cell r="A4786" t="str">
            <v>20492.15804</v>
          </cell>
          <cell r="B4786" t="str">
            <v>ANNEAU CENTRAL  720/1230 T80</v>
          </cell>
          <cell r="C4786" t="str">
            <v>METSO  REF :31-394616197    PLAN:94567500   REP : 77  P/BROYEUR MINERALS 9'X14</v>
          </cell>
          <cell r="D4786" t="str">
            <v>PE</v>
          </cell>
          <cell r="E4786" t="str">
            <v>522.52207</v>
          </cell>
          <cell r="F4786">
            <v>30724.663499999999</v>
          </cell>
          <cell r="G4786">
            <v>0</v>
          </cell>
          <cell r="H4786">
            <v>0</v>
          </cell>
          <cell r="I4786">
            <v>0</v>
          </cell>
          <cell r="J4786">
            <v>0</v>
          </cell>
          <cell r="K4786">
            <v>0</v>
          </cell>
          <cell r="L4786">
            <v>1</v>
          </cell>
        </row>
        <row r="4787">
          <cell r="A4787" t="str">
            <v>20492.15912</v>
          </cell>
          <cell r="B4787" t="str">
            <v>BAGUE D'ARRET</v>
          </cell>
          <cell r="C4787" t="str">
            <v>DRESSER RAND 1A5601-12 NOMENCLATURE OR27502 REP29</v>
          </cell>
          <cell r="D4787" t="str">
            <v>PE</v>
          </cell>
          <cell r="E4787" t="str">
            <v>515.51517</v>
          </cell>
          <cell r="F4787">
            <v>546.5462</v>
          </cell>
          <cell r="G4787">
            <v>0</v>
          </cell>
          <cell r="H4787">
            <v>0</v>
          </cell>
          <cell r="I4787">
            <v>0</v>
          </cell>
          <cell r="J4787">
            <v>0</v>
          </cell>
          <cell r="K4787">
            <v>0</v>
          </cell>
          <cell r="L4787">
            <v>2</v>
          </cell>
        </row>
        <row r="4788">
          <cell r="A4788" t="str">
            <v>20492.15913</v>
          </cell>
          <cell r="B4788" t="str">
            <v>JOINT</v>
          </cell>
          <cell r="C4788" t="str">
            <v>DRESSER RAND 1A5613-2 NOMENCLATURE OR27502 REP30</v>
          </cell>
          <cell r="D4788" t="str">
            <v>PE</v>
          </cell>
          <cell r="E4788" t="str">
            <v>515.51517</v>
          </cell>
          <cell r="F4788">
            <v>1138.1533999999999</v>
          </cell>
          <cell r="G4788">
            <v>0</v>
          </cell>
          <cell r="H4788">
            <v>0</v>
          </cell>
          <cell r="I4788">
            <v>0</v>
          </cell>
          <cell r="J4788">
            <v>0</v>
          </cell>
          <cell r="K4788">
            <v>0</v>
          </cell>
          <cell r="L4788">
            <v>2</v>
          </cell>
        </row>
        <row r="4789">
          <cell r="A4789" t="str">
            <v>20492.15914</v>
          </cell>
          <cell r="B4789" t="str">
            <v>JOINT RACLEUR</v>
          </cell>
          <cell r="C4789" t="str">
            <v>DRESSER RAND 1A5614-1 NOMENCLATURE OR27502 REP31</v>
          </cell>
          <cell r="D4789" t="str">
            <v>PE</v>
          </cell>
          <cell r="E4789" t="str">
            <v>515.51517</v>
          </cell>
          <cell r="F4789">
            <v>797.25080000000003</v>
          </cell>
          <cell r="G4789">
            <v>0</v>
          </cell>
          <cell r="H4789">
            <v>0</v>
          </cell>
          <cell r="I4789">
            <v>0</v>
          </cell>
          <cell r="J4789">
            <v>0</v>
          </cell>
          <cell r="K4789">
            <v>0</v>
          </cell>
          <cell r="L4789">
            <v>2</v>
          </cell>
        </row>
        <row r="4790">
          <cell r="A4790" t="str">
            <v>20492.13325</v>
          </cell>
          <cell r="B4790" t="str">
            <v>TRANSFORMATEURS DE TENSION 10000/?3</v>
          </cell>
          <cell r="C4790" t="str">
            <v>EATON TTPT121A1A ¿ B3P030 POUR TABLEAU MT-10KV</v>
          </cell>
          <cell r="D4790" t="str">
            <v>PE</v>
          </cell>
          <cell r="E4790" t="str">
            <v>522.52206</v>
          </cell>
          <cell r="F4790">
            <v>30383.1</v>
          </cell>
          <cell r="G4790">
            <v>0</v>
          </cell>
          <cell r="H4790">
            <v>0</v>
          </cell>
          <cell r="I4790">
            <v>0</v>
          </cell>
          <cell r="J4790">
            <v>0</v>
          </cell>
          <cell r="K4790">
            <v>0</v>
          </cell>
          <cell r="L4790">
            <v>2</v>
          </cell>
        </row>
        <row r="4791">
          <cell r="A4791" t="str">
            <v>20492.13327</v>
          </cell>
          <cell r="B4791" t="str">
            <v>DEPART MOTEUR 0,75KW</v>
          </cell>
          <cell r="C4791" t="str">
            <v>EATON TXA75EDZL-AMMSBCSS010SAMR-1SS POUR TABLEAU MCC REP GEOGRAPHIQUE 303-EB-40</v>
          </cell>
          <cell r="D4791" t="str">
            <v>PE</v>
          </cell>
          <cell r="E4791" t="str">
            <v>522.52206</v>
          </cell>
          <cell r="F4791">
            <v>21576</v>
          </cell>
          <cell r="G4791">
            <v>0</v>
          </cell>
          <cell r="H4791">
            <v>0</v>
          </cell>
          <cell r="I4791">
            <v>0</v>
          </cell>
          <cell r="J4791">
            <v>0</v>
          </cell>
          <cell r="K4791">
            <v>0</v>
          </cell>
          <cell r="L4791">
            <v>0</v>
          </cell>
        </row>
        <row r="4792">
          <cell r="A4792" t="str">
            <v>20492.13321</v>
          </cell>
          <cell r="B4792" t="str">
            <v>TRANSFORMATEURS DE COURANT 75/5/5 A</v>
          </cell>
          <cell r="C4792" t="str">
            <v>EATON TCD172530-5P20 POUR TABLEAU MT-10KV</v>
          </cell>
          <cell r="D4792" t="str">
            <v>PE</v>
          </cell>
          <cell r="E4792" t="str">
            <v>522.52206</v>
          </cell>
          <cell r="F4792">
            <v>16740</v>
          </cell>
          <cell r="G4792">
            <v>0</v>
          </cell>
          <cell r="H4792">
            <v>0</v>
          </cell>
          <cell r="I4792">
            <v>0</v>
          </cell>
          <cell r="J4792">
            <v>0</v>
          </cell>
          <cell r="K4792">
            <v>0</v>
          </cell>
          <cell r="L4792">
            <v>4</v>
          </cell>
        </row>
        <row r="4793">
          <cell r="A4793" t="str">
            <v>20492.13347</v>
          </cell>
          <cell r="B4793" t="str">
            <v>DEPART 7,5 KW</v>
          </cell>
          <cell r="C4793" t="str">
            <v>EATON TXB75EDZL-AMMSBCSS010SEMR-1SS POUR TABLEAU MCC</v>
          </cell>
          <cell r="D4793" t="str">
            <v>PE</v>
          </cell>
          <cell r="E4793" t="str">
            <v>522.52206</v>
          </cell>
          <cell r="F4793">
            <v>35000</v>
          </cell>
          <cell r="G4793">
            <v>0</v>
          </cell>
          <cell r="H4793">
            <v>1</v>
          </cell>
          <cell r="I4793">
            <v>0</v>
          </cell>
          <cell r="J4793">
            <v>0</v>
          </cell>
          <cell r="K4793">
            <v>0</v>
          </cell>
          <cell r="L4793">
            <v>0</v>
          </cell>
        </row>
        <row r="4794">
          <cell r="A4794" t="str">
            <v>20492.13348</v>
          </cell>
          <cell r="B4794" t="str">
            <v>DEPART 11 KW</v>
          </cell>
          <cell r="C4794" t="str">
            <v>EATON TXC11EDZJ-AMMSBCSS010SEMR-1SS POUR TABLEAU MCC</v>
          </cell>
          <cell r="D4794" t="str">
            <v>PE</v>
          </cell>
          <cell r="E4794" t="str">
            <v>522.52206</v>
          </cell>
          <cell r="F4794">
            <v>68750</v>
          </cell>
          <cell r="G4794">
            <v>0</v>
          </cell>
          <cell r="H4794">
            <v>0</v>
          </cell>
          <cell r="I4794">
            <v>0</v>
          </cell>
          <cell r="J4794">
            <v>0</v>
          </cell>
          <cell r="K4794">
            <v>0</v>
          </cell>
          <cell r="L4794">
            <v>1</v>
          </cell>
        </row>
        <row r="4795">
          <cell r="A4795" t="str">
            <v>20492.13349</v>
          </cell>
          <cell r="B4795" t="str">
            <v>DEPART MOTEUR 11KW</v>
          </cell>
          <cell r="C4795" t="str">
            <v>EATON TXC11EDZJ-AMMSBCSS010SEMR-1SS POUR TABLEAU MCC REP GEOGRAPHIQUE 303-EB-40</v>
          </cell>
          <cell r="D4795" t="str">
            <v>PE</v>
          </cell>
          <cell r="E4795" t="str">
            <v>522.52206</v>
          </cell>
          <cell r="F4795">
            <v>29140</v>
          </cell>
          <cell r="G4795">
            <v>0</v>
          </cell>
          <cell r="H4795">
            <v>0</v>
          </cell>
          <cell r="I4795">
            <v>0</v>
          </cell>
          <cell r="J4795">
            <v>0</v>
          </cell>
          <cell r="K4795">
            <v>0</v>
          </cell>
          <cell r="L4795">
            <v>3</v>
          </cell>
        </row>
        <row r="4796">
          <cell r="A4796" t="str">
            <v>20492.13356</v>
          </cell>
          <cell r="B4796" t="str">
            <v>DEPART MOTEUR 18,5KW</v>
          </cell>
          <cell r="C4796" t="str">
            <v>EATON TXC18EDZJ-AMMSBCSS010SEMR-1SS POUR TABLEAU MCC REP GEOGRAPHIQUE 303-EB-41</v>
          </cell>
          <cell r="D4796" t="str">
            <v>PE</v>
          </cell>
          <cell r="E4796" t="str">
            <v>522.52206</v>
          </cell>
          <cell r="F4796">
            <v>32336</v>
          </cell>
          <cell r="G4796">
            <v>0</v>
          </cell>
          <cell r="H4796">
            <v>0</v>
          </cell>
          <cell r="I4796">
            <v>0</v>
          </cell>
          <cell r="J4796">
            <v>0</v>
          </cell>
          <cell r="K4796">
            <v>0</v>
          </cell>
          <cell r="L4796">
            <v>0</v>
          </cell>
        </row>
        <row r="4797">
          <cell r="A4797" t="str">
            <v>20492.13331</v>
          </cell>
          <cell r="B4797" t="str">
            <v>DEPART 1,5 KW</v>
          </cell>
          <cell r="C4797" t="str">
            <v>EATON TXB15EDZL-AMMSBCSS010SAMR-1SS POUR TABLEAU MCC</v>
          </cell>
          <cell r="D4797" t="str">
            <v>PE</v>
          </cell>
          <cell r="E4797" t="str">
            <v>522.52206</v>
          </cell>
          <cell r="F4797">
            <v>23876</v>
          </cell>
          <cell r="G4797">
            <v>0</v>
          </cell>
          <cell r="H4797">
            <v>0</v>
          </cell>
          <cell r="I4797">
            <v>0</v>
          </cell>
          <cell r="J4797">
            <v>0</v>
          </cell>
          <cell r="K4797">
            <v>0</v>
          </cell>
          <cell r="L4797">
            <v>0</v>
          </cell>
        </row>
        <row r="4798">
          <cell r="A4798" t="str">
            <v>20492.13358</v>
          </cell>
          <cell r="B4798" t="str">
            <v>DEPART MOTEUR 22KW</v>
          </cell>
          <cell r="C4798" t="str">
            <v>EATON TXC22EDZJ-AMMSBCSS010SEMR-1SS POUR TABLEAU MCC REP GEOGRAPHIQUE 303-EB-41</v>
          </cell>
          <cell r="D4798" t="str">
            <v>PE</v>
          </cell>
          <cell r="E4798" t="str">
            <v>522.52206</v>
          </cell>
          <cell r="F4798">
            <v>72500</v>
          </cell>
          <cell r="G4798">
            <v>1</v>
          </cell>
          <cell r="H4798">
            <v>0</v>
          </cell>
          <cell r="I4798">
            <v>0</v>
          </cell>
          <cell r="J4798">
            <v>0</v>
          </cell>
          <cell r="K4798">
            <v>0</v>
          </cell>
          <cell r="L4798">
            <v>0</v>
          </cell>
        </row>
        <row r="4799">
          <cell r="A4799" t="str">
            <v>20492.16500</v>
          </cell>
          <cell r="B4799" t="str">
            <v>BLOC DE REGULATION 60A/48V</v>
          </cell>
          <cell r="C4799" t="str">
            <v>AEES REF: HPT833-60A/48V</v>
          </cell>
          <cell r="D4799" t="str">
            <v>PE</v>
          </cell>
          <cell r="E4799" t="str">
            <v>512.51201</v>
          </cell>
          <cell r="F4799">
            <v>22458</v>
          </cell>
          <cell r="G4799">
            <v>0</v>
          </cell>
          <cell r="H4799">
            <v>0</v>
          </cell>
          <cell r="I4799">
            <v>0</v>
          </cell>
          <cell r="J4799">
            <v>0</v>
          </cell>
          <cell r="K4799">
            <v>0</v>
          </cell>
          <cell r="L4799">
            <v>0</v>
          </cell>
        </row>
        <row r="4800">
          <cell r="A4800" t="str">
            <v>20492.16501</v>
          </cell>
          <cell r="B4800" t="str">
            <v xml:space="preserve">POND REDRESSEUR TRIPHASE  </v>
          </cell>
          <cell r="C4800" t="str">
            <v>AEES REF: TN100-N</v>
          </cell>
          <cell r="D4800" t="str">
            <v>PE</v>
          </cell>
          <cell r="E4800" t="str">
            <v>512.51201</v>
          </cell>
          <cell r="F4800">
            <v>19621.2</v>
          </cell>
          <cell r="G4800">
            <v>0</v>
          </cell>
          <cell r="H4800">
            <v>0</v>
          </cell>
          <cell r="I4800">
            <v>0</v>
          </cell>
          <cell r="J4800">
            <v>0</v>
          </cell>
          <cell r="K4800">
            <v>1</v>
          </cell>
          <cell r="L4800">
            <v>0</v>
          </cell>
        </row>
        <row r="4801">
          <cell r="A4801" t="str">
            <v>20492.16502</v>
          </cell>
          <cell r="B4801" t="str">
            <v>MONTAGE DIODE DE COUPLAGE 100A</v>
          </cell>
          <cell r="C4801" t="str">
            <v>AEES REF: DC100</v>
          </cell>
          <cell r="D4801" t="str">
            <v>PE</v>
          </cell>
          <cell r="E4801" t="str">
            <v>512.51201</v>
          </cell>
          <cell r="F4801">
            <v>4858.0200000000004</v>
          </cell>
          <cell r="G4801">
            <v>0</v>
          </cell>
          <cell r="H4801">
            <v>0</v>
          </cell>
          <cell r="I4801">
            <v>0</v>
          </cell>
          <cell r="J4801">
            <v>0</v>
          </cell>
          <cell r="K4801">
            <v>1</v>
          </cell>
          <cell r="L4801">
            <v>0</v>
          </cell>
        </row>
        <row r="4802">
          <cell r="A4802" t="str">
            <v>20492.16503</v>
          </cell>
          <cell r="B4802" t="str">
            <v xml:space="preserve">TRANSFORMATEUR TRIPHASE </v>
          </cell>
          <cell r="C4802" t="str">
            <v>AEES REF: HPT8055A380P24T</v>
          </cell>
          <cell r="D4802" t="str">
            <v>PE</v>
          </cell>
          <cell r="E4802" t="str">
            <v>512.51201</v>
          </cell>
          <cell r="F4802">
            <v>28084.32</v>
          </cell>
          <cell r="G4802">
            <v>0</v>
          </cell>
          <cell r="H4802">
            <v>0</v>
          </cell>
          <cell r="I4802">
            <v>0</v>
          </cell>
          <cell r="J4802">
            <v>0</v>
          </cell>
          <cell r="K4802">
            <v>1</v>
          </cell>
          <cell r="L4802">
            <v>0</v>
          </cell>
        </row>
        <row r="4803">
          <cell r="A4803" t="str">
            <v>20492.16504</v>
          </cell>
          <cell r="B4803" t="str">
            <v xml:space="preserve">SELF DE LISSAGE </v>
          </cell>
          <cell r="C4803" t="str">
            <v>AEES REF: 90084T</v>
          </cell>
          <cell r="D4803" t="str">
            <v>PE</v>
          </cell>
          <cell r="E4803" t="str">
            <v>512.51201</v>
          </cell>
          <cell r="F4803">
            <v>6973.8</v>
          </cell>
          <cell r="G4803">
            <v>0</v>
          </cell>
          <cell r="H4803">
            <v>0</v>
          </cell>
          <cell r="I4803">
            <v>0</v>
          </cell>
          <cell r="J4803">
            <v>0</v>
          </cell>
          <cell r="K4803">
            <v>1</v>
          </cell>
          <cell r="L4803">
            <v>0</v>
          </cell>
        </row>
        <row r="4804">
          <cell r="A4804" t="str">
            <v>20492.16505</v>
          </cell>
          <cell r="B4804" t="str">
            <v xml:space="preserve">SELF DE FILTRAGE </v>
          </cell>
          <cell r="C4804" t="str">
            <v>AEES REF: 90201AT</v>
          </cell>
          <cell r="D4804" t="str">
            <v>PE</v>
          </cell>
          <cell r="E4804" t="str">
            <v>512.51201</v>
          </cell>
          <cell r="F4804">
            <v>7966.68</v>
          </cell>
          <cell r="G4804">
            <v>0</v>
          </cell>
          <cell r="H4804">
            <v>0</v>
          </cell>
          <cell r="I4804">
            <v>0</v>
          </cell>
          <cell r="J4804">
            <v>0</v>
          </cell>
          <cell r="K4804">
            <v>1</v>
          </cell>
          <cell r="L4804">
            <v>0</v>
          </cell>
        </row>
        <row r="4805">
          <cell r="A4805" t="str">
            <v>20492.16506</v>
          </cell>
          <cell r="B4805" t="str">
            <v>TRANSFORMATEUR AUXILIAIRE</v>
          </cell>
          <cell r="C4805" t="str">
            <v>AEES REF: 40997ND400T</v>
          </cell>
          <cell r="D4805" t="str">
            <v>PE</v>
          </cell>
          <cell r="E4805" t="str">
            <v>512.51201</v>
          </cell>
          <cell r="F4805">
            <v>3486.9</v>
          </cell>
          <cell r="G4805">
            <v>0</v>
          </cell>
          <cell r="H4805">
            <v>0</v>
          </cell>
          <cell r="I4805">
            <v>0</v>
          </cell>
          <cell r="J4805">
            <v>0</v>
          </cell>
          <cell r="K4805">
            <v>1</v>
          </cell>
          <cell r="L4805">
            <v>0</v>
          </cell>
        </row>
        <row r="4806">
          <cell r="A4806" t="str">
            <v>20492.13245</v>
          </cell>
          <cell r="B4806" t="str">
            <v>DEPART DISJ 55 KW 60A</v>
          </cell>
          <cell r="C4806" t="str">
            <v>EATON DXDC63EDZ3H-MSAFCSSER0SS POUR TABLEAU MCC REP GEOGRAPHIQUE 303-EB-40</v>
          </cell>
          <cell r="D4806" t="str">
            <v>PE</v>
          </cell>
          <cell r="E4806" t="str">
            <v>522.52206</v>
          </cell>
          <cell r="F4806">
            <v>26000</v>
          </cell>
          <cell r="G4806">
            <v>0</v>
          </cell>
          <cell r="H4806">
            <v>0</v>
          </cell>
          <cell r="I4806">
            <v>0</v>
          </cell>
          <cell r="J4806">
            <v>0</v>
          </cell>
          <cell r="K4806">
            <v>0</v>
          </cell>
          <cell r="L4806">
            <v>1</v>
          </cell>
        </row>
        <row r="4807">
          <cell r="A4807" t="str">
            <v>20492.13246</v>
          </cell>
          <cell r="B4807" t="str">
            <v>DEPART DISJ 40 KW 45A</v>
          </cell>
          <cell r="C4807" t="str">
            <v>EATON DXDC63EDZ3H-MSAFCSSER0SS POUR TABLEAU MCC REP GEOGRAPHIQUE 303-EB-40</v>
          </cell>
          <cell r="D4807" t="str">
            <v>PE</v>
          </cell>
          <cell r="E4807" t="str">
            <v>522.52206</v>
          </cell>
          <cell r="F4807">
            <v>47000</v>
          </cell>
          <cell r="G4807">
            <v>0</v>
          </cell>
          <cell r="H4807">
            <v>1</v>
          </cell>
          <cell r="I4807">
            <v>0</v>
          </cell>
          <cell r="J4807">
            <v>0</v>
          </cell>
          <cell r="K4807">
            <v>0</v>
          </cell>
          <cell r="L4807">
            <v>0</v>
          </cell>
        </row>
        <row r="4808">
          <cell r="A4808" t="str">
            <v>20492.13247</v>
          </cell>
          <cell r="B4808" t="str">
            <v>DEPART DISJ 37KW 42A</v>
          </cell>
          <cell r="C4808" t="str">
            <v>EATON DXDC63EDZ3H-MSAFCSSER0SS POUR TABLEAU MCC REP GEOGRAPHIQUE 303-EB-40</v>
          </cell>
          <cell r="D4808" t="str">
            <v>PE</v>
          </cell>
          <cell r="E4808" t="str">
            <v>522.52206</v>
          </cell>
          <cell r="F4808">
            <v>23000</v>
          </cell>
          <cell r="G4808">
            <v>0</v>
          </cell>
          <cell r="H4808">
            <v>0</v>
          </cell>
          <cell r="I4808">
            <v>0</v>
          </cell>
          <cell r="J4808">
            <v>0</v>
          </cell>
          <cell r="K4808">
            <v>0</v>
          </cell>
          <cell r="L4808">
            <v>1</v>
          </cell>
        </row>
        <row r="4809">
          <cell r="A4809" t="str">
            <v>20492.13248</v>
          </cell>
          <cell r="B4809" t="str">
            <v>DEPART DISJ 55KW 60A</v>
          </cell>
          <cell r="C4809" t="str">
            <v>EATON DXDC63EDZ3H-MSAFCSSER0SS POUR TABLEAU MCC REP GEOGRAPHIQUE 303-EB-43</v>
          </cell>
          <cell r="D4809" t="str">
            <v>PE</v>
          </cell>
          <cell r="E4809" t="str">
            <v>522.52206</v>
          </cell>
          <cell r="F4809">
            <v>23000</v>
          </cell>
          <cell r="G4809">
            <v>0</v>
          </cell>
          <cell r="H4809">
            <v>0</v>
          </cell>
          <cell r="I4809">
            <v>0</v>
          </cell>
          <cell r="J4809">
            <v>0</v>
          </cell>
          <cell r="K4809">
            <v>0</v>
          </cell>
          <cell r="L4809">
            <v>1</v>
          </cell>
        </row>
        <row r="4810">
          <cell r="A4810" t="str">
            <v>20492.16507</v>
          </cell>
          <cell r="B4810" t="str">
            <v>CONVERTISSEUR  DC/DC</v>
          </cell>
          <cell r="C4810" t="str">
            <v>AEES REF: 898-BT</v>
          </cell>
          <cell r="D4810" t="str">
            <v>PE</v>
          </cell>
          <cell r="E4810" t="str">
            <v>512.51201</v>
          </cell>
          <cell r="F4810">
            <v>9091.9439999999995</v>
          </cell>
          <cell r="G4810">
            <v>0</v>
          </cell>
          <cell r="H4810">
            <v>0</v>
          </cell>
          <cell r="I4810">
            <v>0</v>
          </cell>
          <cell r="J4810">
            <v>0</v>
          </cell>
          <cell r="K4810">
            <v>1</v>
          </cell>
          <cell r="L4810">
            <v>0</v>
          </cell>
        </row>
        <row r="4811">
          <cell r="A4811" t="str">
            <v>20492.16508</v>
          </cell>
          <cell r="B4811" t="str">
            <v xml:space="preserve">TRANSFORMATEUR TRIPHASE </v>
          </cell>
          <cell r="C4811" t="str">
            <v>AEES REF: HPT40130A380P24T</v>
          </cell>
          <cell r="D4811" t="str">
            <v>PE</v>
          </cell>
          <cell r="E4811" t="str">
            <v>512.51201</v>
          </cell>
          <cell r="F4811">
            <v>28084.32</v>
          </cell>
          <cell r="G4811">
            <v>0</v>
          </cell>
          <cell r="H4811">
            <v>0</v>
          </cell>
          <cell r="I4811">
            <v>0</v>
          </cell>
          <cell r="J4811">
            <v>0</v>
          </cell>
          <cell r="K4811">
            <v>1</v>
          </cell>
          <cell r="L4811">
            <v>0</v>
          </cell>
        </row>
        <row r="4812">
          <cell r="A4812" t="str">
            <v>20492.16509</v>
          </cell>
          <cell r="B4812" t="str">
            <v>SELF DE LISSAGE</v>
          </cell>
          <cell r="C4812" t="str">
            <v>AEES REF: 21246BXT</v>
          </cell>
          <cell r="D4812" t="str">
            <v>PE</v>
          </cell>
          <cell r="E4812" t="str">
            <v>512.51201</v>
          </cell>
          <cell r="F4812">
            <v>5791.8</v>
          </cell>
          <cell r="G4812">
            <v>0</v>
          </cell>
          <cell r="H4812">
            <v>0</v>
          </cell>
          <cell r="I4812">
            <v>0</v>
          </cell>
          <cell r="J4812">
            <v>0</v>
          </cell>
          <cell r="K4812">
            <v>1</v>
          </cell>
          <cell r="L4812">
            <v>0</v>
          </cell>
        </row>
        <row r="4813">
          <cell r="A4813" t="str">
            <v>20492.16510</v>
          </cell>
          <cell r="B4813" t="str">
            <v xml:space="preserve">BLOC DE REGULATION </v>
          </cell>
          <cell r="C4813" t="str">
            <v>AEES REF: HPT833-50A/110V</v>
          </cell>
          <cell r="D4813" t="str">
            <v>PE</v>
          </cell>
          <cell r="E4813" t="str">
            <v>512.51201</v>
          </cell>
          <cell r="F4813">
            <v>30531.06</v>
          </cell>
          <cell r="G4813">
            <v>0</v>
          </cell>
          <cell r="H4813">
            <v>0</v>
          </cell>
          <cell r="I4813">
            <v>0</v>
          </cell>
          <cell r="J4813">
            <v>0</v>
          </cell>
          <cell r="K4813">
            <v>1</v>
          </cell>
          <cell r="L4813">
            <v>0</v>
          </cell>
        </row>
        <row r="4814">
          <cell r="A4814" t="str">
            <v>20492.16511</v>
          </cell>
          <cell r="B4814" t="str">
            <v xml:space="preserve">MONTAGE DIODE DE COUPLAGE 40A  </v>
          </cell>
          <cell r="C4814" t="str">
            <v>AEES REF: DC40</v>
          </cell>
          <cell r="D4814" t="str">
            <v>PE</v>
          </cell>
          <cell r="E4814" t="str">
            <v>512.51201</v>
          </cell>
          <cell r="F4814">
            <v>2600.4</v>
          </cell>
          <cell r="G4814">
            <v>0</v>
          </cell>
          <cell r="H4814">
            <v>0</v>
          </cell>
          <cell r="I4814">
            <v>0</v>
          </cell>
          <cell r="J4814">
            <v>0</v>
          </cell>
          <cell r="K4814">
            <v>1</v>
          </cell>
          <cell r="L4814">
            <v>0</v>
          </cell>
        </row>
        <row r="4815">
          <cell r="A4815" t="str">
            <v>20492.16512</v>
          </cell>
          <cell r="B4815" t="str">
            <v xml:space="preserve">BLOC DE REGULATION </v>
          </cell>
          <cell r="C4815" t="str">
            <v>AEES REF: HPT833-60A/220V</v>
          </cell>
          <cell r="D4815" t="str">
            <v>PE</v>
          </cell>
          <cell r="E4815" t="str">
            <v>512.51201</v>
          </cell>
          <cell r="F4815">
            <v>22458</v>
          </cell>
          <cell r="G4815">
            <v>0</v>
          </cell>
          <cell r="H4815">
            <v>0</v>
          </cell>
          <cell r="I4815">
            <v>0</v>
          </cell>
          <cell r="J4815">
            <v>0</v>
          </cell>
          <cell r="K4815">
            <v>0</v>
          </cell>
          <cell r="L4815">
            <v>0</v>
          </cell>
        </row>
        <row r="4816">
          <cell r="A4816" t="str">
            <v>20492.16513</v>
          </cell>
          <cell r="B4816" t="str">
            <v xml:space="preserve">PONT REDRESSEUR TRIPHASE  </v>
          </cell>
          <cell r="C4816" t="str">
            <v>AEES REF: TN250-N</v>
          </cell>
          <cell r="D4816" t="str">
            <v>PE</v>
          </cell>
          <cell r="E4816" t="str">
            <v>512.51201</v>
          </cell>
          <cell r="F4816">
            <v>41606.400000000001</v>
          </cell>
          <cell r="G4816">
            <v>0</v>
          </cell>
          <cell r="H4816">
            <v>0</v>
          </cell>
          <cell r="I4816">
            <v>0</v>
          </cell>
          <cell r="J4816">
            <v>0</v>
          </cell>
          <cell r="K4816">
            <v>1</v>
          </cell>
          <cell r="L4816">
            <v>0</v>
          </cell>
        </row>
        <row r="4817">
          <cell r="A4817" t="str">
            <v>20492.16514</v>
          </cell>
          <cell r="B4817" t="str">
            <v xml:space="preserve">MONTAGE DIODE ANTI INVERSION </v>
          </cell>
          <cell r="C4817" t="str">
            <v>AEES REF: DA210</v>
          </cell>
          <cell r="D4817" t="str">
            <v>PE</v>
          </cell>
          <cell r="E4817" t="str">
            <v>512.51201</v>
          </cell>
          <cell r="F4817">
            <v>4728</v>
          </cell>
          <cell r="G4817">
            <v>0</v>
          </cell>
          <cell r="H4817">
            <v>0</v>
          </cell>
          <cell r="I4817">
            <v>0</v>
          </cell>
          <cell r="J4817">
            <v>0</v>
          </cell>
          <cell r="K4817">
            <v>1</v>
          </cell>
          <cell r="L4817">
            <v>0</v>
          </cell>
        </row>
        <row r="4818">
          <cell r="A4818" t="str">
            <v>20492.16515</v>
          </cell>
          <cell r="B4818" t="str">
            <v xml:space="preserve">CIRCUIT D'ECRETAGE ET DE FILTRAGE CEM </v>
          </cell>
          <cell r="C4818" t="str">
            <v>AEES REF: 145/A</v>
          </cell>
          <cell r="D4818" t="str">
            <v>PE</v>
          </cell>
          <cell r="E4818" t="str">
            <v>512.51201</v>
          </cell>
          <cell r="F4818">
            <v>3415.98</v>
          </cell>
          <cell r="G4818">
            <v>0</v>
          </cell>
          <cell r="H4818">
            <v>0</v>
          </cell>
          <cell r="I4818">
            <v>0</v>
          </cell>
          <cell r="J4818">
            <v>0</v>
          </cell>
          <cell r="K4818">
            <v>1</v>
          </cell>
          <cell r="L4818">
            <v>0</v>
          </cell>
        </row>
        <row r="4819">
          <cell r="A4819" t="str">
            <v>20492.16516</v>
          </cell>
          <cell r="B4819" t="str">
            <v xml:space="preserve">TRANSFORMATEUR TRIPHASE 75KVA </v>
          </cell>
          <cell r="C4819" t="str">
            <v>AEES REF: Y380Y240 71K 240V200T24</v>
          </cell>
          <cell r="D4819" t="str">
            <v>PE</v>
          </cell>
          <cell r="E4819" t="str">
            <v>512.51201</v>
          </cell>
          <cell r="F4819">
            <v>79016.7</v>
          </cell>
          <cell r="G4819">
            <v>0</v>
          </cell>
          <cell r="H4819">
            <v>0</v>
          </cell>
          <cell r="I4819">
            <v>0</v>
          </cell>
          <cell r="J4819">
            <v>0</v>
          </cell>
          <cell r="K4819">
            <v>1</v>
          </cell>
          <cell r="L4819">
            <v>0</v>
          </cell>
        </row>
        <row r="4820">
          <cell r="A4820" t="str">
            <v>20492.16517</v>
          </cell>
          <cell r="B4820" t="str">
            <v xml:space="preserve">SELF DE LISSAGE </v>
          </cell>
          <cell r="C4820" t="str">
            <v>AEES REF: 90156AT</v>
          </cell>
          <cell r="D4820" t="str">
            <v>PE</v>
          </cell>
          <cell r="E4820" t="str">
            <v>512.51201</v>
          </cell>
          <cell r="F4820">
            <v>20472.240000000002</v>
          </cell>
          <cell r="G4820">
            <v>0</v>
          </cell>
          <cell r="H4820">
            <v>0</v>
          </cell>
          <cell r="I4820">
            <v>0</v>
          </cell>
          <cell r="J4820">
            <v>0</v>
          </cell>
          <cell r="K4820">
            <v>1</v>
          </cell>
          <cell r="L4820">
            <v>0</v>
          </cell>
        </row>
        <row r="4821">
          <cell r="A4821" t="str">
            <v>20492.16518</v>
          </cell>
          <cell r="B4821" t="str">
            <v xml:space="preserve">TRANSFORMATEUR AUXILIAIRE </v>
          </cell>
          <cell r="C4821" t="str">
            <v>AEES REF: 41001ND400T</v>
          </cell>
          <cell r="D4821" t="str">
            <v>PE</v>
          </cell>
          <cell r="E4821" t="str">
            <v>512.51201</v>
          </cell>
          <cell r="F4821">
            <v>4137</v>
          </cell>
          <cell r="G4821">
            <v>0</v>
          </cell>
          <cell r="H4821">
            <v>0</v>
          </cell>
          <cell r="I4821">
            <v>0</v>
          </cell>
          <cell r="J4821">
            <v>0</v>
          </cell>
          <cell r="K4821">
            <v>1</v>
          </cell>
          <cell r="L4821">
            <v>0</v>
          </cell>
        </row>
        <row r="4822">
          <cell r="A4822" t="str">
            <v>20492.16519</v>
          </cell>
          <cell r="B4822" t="str">
            <v xml:space="preserve">INTERFACE MICROCONTROLEUR EPROM </v>
          </cell>
          <cell r="C4822" t="str">
            <v>AEES REF: 900EPROM</v>
          </cell>
          <cell r="D4822" t="str">
            <v>PE</v>
          </cell>
          <cell r="E4822" t="str">
            <v>512.51201</v>
          </cell>
          <cell r="F4822">
            <v>23947.32</v>
          </cell>
          <cell r="G4822">
            <v>0</v>
          </cell>
          <cell r="H4822">
            <v>0</v>
          </cell>
          <cell r="I4822">
            <v>0</v>
          </cell>
          <cell r="J4822">
            <v>0</v>
          </cell>
          <cell r="K4822">
            <v>3</v>
          </cell>
          <cell r="L4822">
            <v>0</v>
          </cell>
        </row>
        <row r="4823">
          <cell r="A4823" t="str">
            <v>20492.16520</v>
          </cell>
          <cell r="B4823" t="str">
            <v xml:space="preserve">VOLTMETRE ANALOGIQUE DIN 96*96 100Vdc RACCORDEMENT DIRECT </v>
          </cell>
          <cell r="C4823" t="str">
            <v>SOCOMEC REF: 192G5215</v>
          </cell>
          <cell r="D4823" t="str">
            <v>PE</v>
          </cell>
          <cell r="E4823" t="str">
            <v>512.51201</v>
          </cell>
          <cell r="F4823">
            <v>467.4</v>
          </cell>
          <cell r="G4823">
            <v>0</v>
          </cell>
          <cell r="H4823">
            <v>0</v>
          </cell>
          <cell r="I4823">
            <v>0</v>
          </cell>
          <cell r="J4823">
            <v>0</v>
          </cell>
          <cell r="K4823">
            <v>0</v>
          </cell>
          <cell r="L4823">
            <v>0</v>
          </cell>
        </row>
        <row r="4824">
          <cell r="A4824" t="str">
            <v>20492.16521</v>
          </cell>
          <cell r="B4824" t="str">
            <v xml:space="preserve">SHUNT DE MESURE 100A-100mV </v>
          </cell>
          <cell r="C4824" t="str">
            <v>SOCOMEC REF: 192S2120</v>
          </cell>
          <cell r="D4824" t="str">
            <v>PE</v>
          </cell>
          <cell r="E4824" t="str">
            <v>512.51201</v>
          </cell>
          <cell r="F4824">
            <v>253.08</v>
          </cell>
          <cell r="G4824">
            <v>0</v>
          </cell>
          <cell r="H4824">
            <v>0</v>
          </cell>
          <cell r="I4824">
            <v>0</v>
          </cell>
          <cell r="J4824">
            <v>0</v>
          </cell>
          <cell r="K4824">
            <v>0</v>
          </cell>
          <cell r="L4824">
            <v>0</v>
          </cell>
        </row>
        <row r="4825">
          <cell r="A4825" t="str">
            <v>20492.16522</v>
          </cell>
          <cell r="B4825" t="str">
            <v xml:space="preserve">SHUNT DE MESURE 25A-100mV </v>
          </cell>
          <cell r="C4825" t="str">
            <v>SOCOMEC REF: 192S2114</v>
          </cell>
          <cell r="D4825" t="str">
            <v>PE</v>
          </cell>
          <cell r="E4825" t="str">
            <v>512.51201</v>
          </cell>
          <cell r="F4825">
            <v>302.67</v>
          </cell>
          <cell r="G4825">
            <v>0</v>
          </cell>
          <cell r="H4825">
            <v>0</v>
          </cell>
          <cell r="I4825">
            <v>0</v>
          </cell>
          <cell r="J4825">
            <v>0</v>
          </cell>
          <cell r="K4825">
            <v>0</v>
          </cell>
          <cell r="L4825">
            <v>0</v>
          </cell>
        </row>
        <row r="4826">
          <cell r="A4826" t="str">
            <v>20492.16523</v>
          </cell>
          <cell r="B4826" t="str">
            <v>TRANSFORMATEUR</v>
          </cell>
          <cell r="C4826" t="str">
            <v>SOCOMEC 192 T 0522</v>
          </cell>
          <cell r="D4826" t="str">
            <v>PE</v>
          </cell>
          <cell r="E4826" t="str">
            <v>522.52206</v>
          </cell>
          <cell r="F4826">
            <v>248.52</v>
          </cell>
          <cell r="G4826">
            <v>0</v>
          </cell>
          <cell r="H4826">
            <v>0</v>
          </cell>
          <cell r="I4826">
            <v>0</v>
          </cell>
          <cell r="J4826">
            <v>0</v>
          </cell>
          <cell r="K4826">
            <v>0</v>
          </cell>
          <cell r="L4826">
            <v>0</v>
          </cell>
        </row>
        <row r="4827">
          <cell r="A4827" t="str">
            <v>20492.13251</v>
          </cell>
          <cell r="B4827" t="str">
            <v>DEPART DEM 3 KW</v>
          </cell>
          <cell r="C4827" t="str">
            <v>EATON DXDD10EDZ3H-MSAFCSSER0SS POUR TABLEAU MCC</v>
          </cell>
          <cell r="D4827" t="str">
            <v>PE</v>
          </cell>
          <cell r="E4827" t="str">
            <v>522.52206</v>
          </cell>
          <cell r="F4827">
            <v>28830</v>
          </cell>
          <cell r="G4827">
            <v>0</v>
          </cell>
          <cell r="H4827">
            <v>0</v>
          </cell>
          <cell r="I4827">
            <v>0</v>
          </cell>
          <cell r="J4827">
            <v>0</v>
          </cell>
          <cell r="K4827">
            <v>0</v>
          </cell>
          <cell r="L4827">
            <v>1</v>
          </cell>
        </row>
        <row r="4828">
          <cell r="A4828" t="str">
            <v>20492.13252</v>
          </cell>
          <cell r="B4828" t="str">
            <v>DEPART DISJ 111 KW</v>
          </cell>
          <cell r="C4828" t="str">
            <v>EATON DXDD12EDZ3H-MSAFCSSER0SS POUR TABLEAU MCC</v>
          </cell>
          <cell r="D4828" t="str">
            <v>PE</v>
          </cell>
          <cell r="E4828" t="str">
            <v>522.52206</v>
          </cell>
          <cell r="F4828">
            <v>48316</v>
          </cell>
          <cell r="G4828">
            <v>0</v>
          </cell>
          <cell r="H4828">
            <v>0</v>
          </cell>
          <cell r="I4828">
            <v>0</v>
          </cell>
          <cell r="J4828">
            <v>0</v>
          </cell>
          <cell r="K4828">
            <v>0</v>
          </cell>
          <cell r="L4828">
            <v>1</v>
          </cell>
        </row>
        <row r="4829">
          <cell r="A4829" t="str">
            <v>20492.13253</v>
          </cell>
          <cell r="B4829" t="str">
            <v>DEPART DISJ 110 KW 120A</v>
          </cell>
          <cell r="C4829" t="str">
            <v>EATON DXDD12EDZ3H-MSAFCSSER0SS POUR TABLEAU MCC REP GEOGRAPHIQUE 303-EB-40</v>
          </cell>
          <cell r="D4829" t="str">
            <v>PE</v>
          </cell>
          <cell r="E4829" t="str">
            <v>522.52206</v>
          </cell>
          <cell r="F4829">
            <v>48316</v>
          </cell>
          <cell r="G4829">
            <v>0</v>
          </cell>
          <cell r="H4829">
            <v>0</v>
          </cell>
          <cell r="I4829">
            <v>0</v>
          </cell>
          <cell r="J4829">
            <v>0</v>
          </cell>
          <cell r="K4829">
            <v>0</v>
          </cell>
          <cell r="L4829">
            <v>3</v>
          </cell>
        </row>
        <row r="4830">
          <cell r="A4830" t="str">
            <v>20492.13254</v>
          </cell>
          <cell r="B4830" t="str">
            <v>DEPART DISJ 132 KW</v>
          </cell>
          <cell r="C4830" t="str">
            <v>EATON DXDD16EDZ3H-MSAFCSSER0SS POUR TABLEAU MCC</v>
          </cell>
          <cell r="D4830" t="str">
            <v>PE</v>
          </cell>
          <cell r="E4830" t="str">
            <v>522.52206</v>
          </cell>
          <cell r="F4830">
            <v>47713.716</v>
          </cell>
          <cell r="G4830">
            <v>0</v>
          </cell>
          <cell r="H4830">
            <v>0</v>
          </cell>
          <cell r="I4830">
            <v>0</v>
          </cell>
          <cell r="J4830">
            <v>0</v>
          </cell>
          <cell r="K4830">
            <v>0</v>
          </cell>
          <cell r="L4830">
            <v>2</v>
          </cell>
        </row>
        <row r="4831">
          <cell r="A4831" t="str">
            <v>20492.13256</v>
          </cell>
          <cell r="B4831" t="str">
            <v>INDICATEUR DE POSITION DISJONCTEUR/SECTIONNEUR</v>
          </cell>
          <cell r="C4831" t="str">
            <v>EATON INPD01-CBT-UUT POUR TABLEAU MT-10KV</v>
          </cell>
          <cell r="D4831" t="str">
            <v>PE</v>
          </cell>
          <cell r="E4831" t="str">
            <v>522.52206</v>
          </cell>
          <cell r="F4831">
            <v>9876.6</v>
          </cell>
          <cell r="G4831">
            <v>0</v>
          </cell>
          <cell r="H4831">
            <v>0</v>
          </cell>
          <cell r="I4831">
            <v>0</v>
          </cell>
          <cell r="J4831">
            <v>0</v>
          </cell>
          <cell r="K4831">
            <v>0</v>
          </cell>
          <cell r="L4831">
            <v>1</v>
          </cell>
        </row>
        <row r="4832">
          <cell r="A4832" t="str">
            <v>20492.13258</v>
          </cell>
          <cell r="B4832" t="str">
            <v>KIT COMPLET DE JEU DE BARRES POUR RACCORDEMENT DES CABLES PAR LE BAS</v>
          </cell>
          <cell r="C4832" t="str">
            <v>EATON KBRC03-CCB-UUT POUR TABLEAU MT-10KV</v>
          </cell>
          <cell r="D4832" t="str">
            <v>PE</v>
          </cell>
          <cell r="E4832" t="str">
            <v>522.52206</v>
          </cell>
          <cell r="F4832">
            <v>16615</v>
          </cell>
          <cell r="G4832">
            <v>0</v>
          </cell>
          <cell r="H4832">
            <v>0</v>
          </cell>
          <cell r="I4832">
            <v>0</v>
          </cell>
          <cell r="J4832">
            <v>0</v>
          </cell>
          <cell r="K4832">
            <v>0</v>
          </cell>
          <cell r="L4832">
            <v>1</v>
          </cell>
        </row>
        <row r="4833">
          <cell r="A4833" t="str">
            <v>20492.13359</v>
          </cell>
          <cell r="B4833" t="str">
            <v>RELAIS DE PROT. ARRIVEE DEPART</v>
          </cell>
          <cell r="C4833" t="str">
            <v>EATON UFM POUR TABLEAU MT-10KV</v>
          </cell>
          <cell r="D4833" t="str">
            <v>PE</v>
          </cell>
          <cell r="E4833" t="str">
            <v>522.52206</v>
          </cell>
          <cell r="F4833">
            <v>37100</v>
          </cell>
          <cell r="G4833">
            <v>0</v>
          </cell>
          <cell r="H4833">
            <v>0</v>
          </cell>
          <cell r="I4833">
            <v>0</v>
          </cell>
          <cell r="J4833">
            <v>0</v>
          </cell>
          <cell r="K4833">
            <v>0</v>
          </cell>
          <cell r="L4833">
            <v>1</v>
          </cell>
        </row>
        <row r="4834">
          <cell r="A4834" t="str">
            <v>20492.13108</v>
          </cell>
          <cell r="B4834" t="str">
            <v>DISJONCTEUR BIPOLAIRE 20 A</v>
          </cell>
          <cell r="C4834" t="str">
            <v>ABB S202</v>
          </cell>
          <cell r="D4834" t="str">
            <v>PE</v>
          </cell>
          <cell r="E4834" t="str">
            <v>512.51201</v>
          </cell>
          <cell r="F4834">
            <v>178.8</v>
          </cell>
          <cell r="G4834">
            <v>0</v>
          </cell>
          <cell r="H4834">
            <v>0</v>
          </cell>
          <cell r="I4834">
            <v>0</v>
          </cell>
          <cell r="J4834">
            <v>0</v>
          </cell>
          <cell r="K4834">
            <v>0</v>
          </cell>
          <cell r="L4834">
            <v>0</v>
          </cell>
        </row>
        <row r="4835">
          <cell r="A4835" t="str">
            <v>20375.00581</v>
          </cell>
          <cell r="B4835" t="str">
            <v>ARBRE</v>
          </cell>
          <cell r="C4835" t="str">
            <v>3 VSH-1883-N° SERIE 60926 REP 12</v>
          </cell>
          <cell r="D4835" t="str">
            <v>PE</v>
          </cell>
          <cell r="E4835" t="str">
            <v>515.51503</v>
          </cell>
          <cell r="F4835">
            <v>28231.271700000001</v>
          </cell>
          <cell r="G4835">
            <v>0</v>
          </cell>
          <cell r="H4835">
            <v>1</v>
          </cell>
          <cell r="I4835">
            <v>0</v>
          </cell>
          <cell r="J4835">
            <v>0</v>
          </cell>
          <cell r="K4835">
            <v>0</v>
          </cell>
          <cell r="L4835">
            <v>1</v>
          </cell>
        </row>
        <row r="4836">
          <cell r="A4836" t="str">
            <v>20375.00587</v>
          </cell>
          <cell r="B4836" t="str">
            <v>BAGUE DE CORPS</v>
          </cell>
          <cell r="C4836" t="str">
            <v>3 VSH-1883-N° SERIE 60926 REP 18</v>
          </cell>
          <cell r="D4836" t="str">
            <v>PE</v>
          </cell>
          <cell r="E4836" t="str">
            <v>515.51503</v>
          </cell>
          <cell r="F4836">
            <v>1878.6104</v>
          </cell>
          <cell r="G4836">
            <v>0</v>
          </cell>
          <cell r="H4836">
            <v>0</v>
          </cell>
          <cell r="I4836">
            <v>0</v>
          </cell>
          <cell r="J4836">
            <v>0</v>
          </cell>
          <cell r="K4836">
            <v>0</v>
          </cell>
          <cell r="L4836">
            <v>5</v>
          </cell>
        </row>
        <row r="4837">
          <cell r="A4837" t="str">
            <v>20375.00588</v>
          </cell>
          <cell r="B4837" t="str">
            <v>ECROU D'IMPULSEUR</v>
          </cell>
          <cell r="C4837" t="str">
            <v>3 VSH-1883-N° SERIE 60926 REP 19</v>
          </cell>
          <cell r="D4837" t="str">
            <v>PE</v>
          </cell>
          <cell r="E4837" t="str">
            <v>515.51503</v>
          </cell>
          <cell r="F4837">
            <v>1484.3734999999999</v>
          </cell>
          <cell r="G4837">
            <v>0</v>
          </cell>
          <cell r="H4837">
            <v>0</v>
          </cell>
          <cell r="I4837">
            <v>0</v>
          </cell>
          <cell r="J4837">
            <v>0</v>
          </cell>
          <cell r="K4837">
            <v>0</v>
          </cell>
          <cell r="L4837">
            <v>4</v>
          </cell>
        </row>
        <row r="4838">
          <cell r="A4838" t="str">
            <v>20375.00589</v>
          </cell>
          <cell r="B4838" t="str">
            <v>VOLUTE</v>
          </cell>
          <cell r="C4838" t="str">
            <v>3 VSH-1883-N° SERIE 60926 REP 20</v>
          </cell>
          <cell r="D4838" t="str">
            <v>PE</v>
          </cell>
          <cell r="E4838" t="str">
            <v>515.51503</v>
          </cell>
          <cell r="F4838">
            <v>29608.3174</v>
          </cell>
          <cell r="G4838">
            <v>0</v>
          </cell>
          <cell r="H4838">
            <v>0</v>
          </cell>
          <cell r="I4838">
            <v>0</v>
          </cell>
          <cell r="J4838">
            <v>0</v>
          </cell>
          <cell r="K4838">
            <v>0</v>
          </cell>
          <cell r="L4838">
            <v>2</v>
          </cell>
        </row>
        <row r="4839">
          <cell r="A4839" t="str">
            <v>20375.00579</v>
          </cell>
          <cell r="B4839" t="str">
            <v>PALIER DE ROULEMENT</v>
          </cell>
          <cell r="C4839" t="str">
            <v>3 VSH-1883-N° SERIE 60926 REP 7</v>
          </cell>
          <cell r="D4839" t="str">
            <v>PE</v>
          </cell>
          <cell r="E4839" t="str">
            <v>515.51503</v>
          </cell>
          <cell r="F4839">
            <v>9637.4352999999992</v>
          </cell>
          <cell r="G4839">
            <v>0</v>
          </cell>
          <cell r="H4839">
            <v>0</v>
          </cell>
          <cell r="I4839">
            <v>0</v>
          </cell>
          <cell r="J4839">
            <v>0</v>
          </cell>
          <cell r="K4839">
            <v>0</v>
          </cell>
          <cell r="L4839">
            <v>2</v>
          </cell>
        </row>
        <row r="4840">
          <cell r="A4840" t="str">
            <v>20375.00580</v>
          </cell>
          <cell r="B4840" t="str">
            <v>ENVELOPPE SUPERIEUR</v>
          </cell>
          <cell r="C4840" t="str">
            <v>3 VSH-1883-N° SERIE 60926 REP 11</v>
          </cell>
          <cell r="D4840" t="str">
            <v>PE</v>
          </cell>
          <cell r="E4840" t="str">
            <v>515.51503</v>
          </cell>
          <cell r="F4840">
            <v>25309.879799999999</v>
          </cell>
          <cell r="G4840">
            <v>0</v>
          </cell>
          <cell r="H4840">
            <v>1</v>
          </cell>
          <cell r="I4840">
            <v>0</v>
          </cell>
          <cell r="J4840">
            <v>0</v>
          </cell>
          <cell r="K4840">
            <v>0</v>
          </cell>
          <cell r="L4840">
            <v>1</v>
          </cell>
        </row>
        <row r="4841">
          <cell r="A4841" t="str">
            <v>20375.00596</v>
          </cell>
          <cell r="B4841" t="str">
            <v>TETE D'ASPIRATION</v>
          </cell>
          <cell r="C4841" t="str">
            <v>3 VSH-1883-N° SERIE 60926 REP 45</v>
          </cell>
          <cell r="D4841" t="str">
            <v>PE</v>
          </cell>
          <cell r="E4841" t="str">
            <v>515.51503</v>
          </cell>
          <cell r="F4841">
            <v>6972.7565000000004</v>
          </cell>
          <cell r="G4841">
            <v>0</v>
          </cell>
          <cell r="H4841">
            <v>0</v>
          </cell>
          <cell r="I4841">
            <v>0</v>
          </cell>
          <cell r="J4841">
            <v>0</v>
          </cell>
          <cell r="K4841">
            <v>0</v>
          </cell>
          <cell r="L4841">
            <v>2</v>
          </cell>
        </row>
        <row r="4842">
          <cell r="A4842" t="str">
            <v>20375.00590</v>
          </cell>
          <cell r="B4842" t="str">
            <v>FOULOIRE PRESSE ETOUPE</v>
          </cell>
          <cell r="C4842" t="str">
            <v>3 VSH-1883-N° SERIE 60926 REP 24</v>
          </cell>
          <cell r="D4842" t="str">
            <v>PE</v>
          </cell>
          <cell r="E4842" t="str">
            <v>515.51503</v>
          </cell>
          <cell r="F4842">
            <v>1006.3772</v>
          </cell>
          <cell r="G4842">
            <v>2</v>
          </cell>
          <cell r="H4842">
            <v>0</v>
          </cell>
          <cell r="I4842">
            <v>0</v>
          </cell>
          <cell r="J4842">
            <v>0</v>
          </cell>
          <cell r="K4842">
            <v>0</v>
          </cell>
          <cell r="L4842">
            <v>0</v>
          </cell>
        </row>
        <row r="4843">
          <cell r="A4843" t="str">
            <v>20375.00591</v>
          </cell>
          <cell r="B4843" t="str">
            <v>ENVELOPPE INTERIEUR</v>
          </cell>
          <cell r="C4843" t="str">
            <v>3 VSH-1883-N° SERIE 60926 REP 25</v>
          </cell>
          <cell r="D4843" t="str">
            <v>PE</v>
          </cell>
          <cell r="E4843" t="str">
            <v>515.51503</v>
          </cell>
          <cell r="F4843">
            <v>24687.737499999999</v>
          </cell>
          <cell r="G4843">
            <v>0</v>
          </cell>
          <cell r="H4843">
            <v>1</v>
          </cell>
          <cell r="I4843">
            <v>0</v>
          </cell>
          <cell r="J4843">
            <v>0</v>
          </cell>
          <cell r="K4843">
            <v>0</v>
          </cell>
          <cell r="L4843">
            <v>1</v>
          </cell>
        </row>
        <row r="4844">
          <cell r="A4844" t="str">
            <v>20375.00592</v>
          </cell>
          <cell r="B4844" t="str">
            <v>CONDUITE DE REFOULEMENT</v>
          </cell>
          <cell r="C4844" t="str">
            <v>3 VSH-1883-N° SERIE 60926 REP 30</v>
          </cell>
          <cell r="D4844" t="str">
            <v>PE</v>
          </cell>
          <cell r="E4844" t="str">
            <v>515.51503</v>
          </cell>
          <cell r="F4844">
            <v>15713.385700000001</v>
          </cell>
          <cell r="G4844">
            <v>0</v>
          </cell>
          <cell r="H4844">
            <v>1</v>
          </cell>
          <cell r="I4844">
            <v>0</v>
          </cell>
          <cell r="J4844">
            <v>0</v>
          </cell>
          <cell r="K4844">
            <v>0</v>
          </cell>
          <cell r="L4844">
            <v>1</v>
          </cell>
        </row>
        <row r="4845">
          <cell r="A4845" t="str">
            <v>20375.00593</v>
          </cell>
          <cell r="B4845" t="str">
            <v>COUDE DE REFOULEMENT</v>
          </cell>
          <cell r="C4845" t="str">
            <v>3 VSH-1883-N° SERIE 60926 REP 32</v>
          </cell>
          <cell r="D4845" t="str">
            <v>PE</v>
          </cell>
          <cell r="E4845" t="str">
            <v>515.51503</v>
          </cell>
          <cell r="F4845">
            <v>5759.4934000000003</v>
          </cell>
          <cell r="G4845">
            <v>0</v>
          </cell>
          <cell r="H4845">
            <v>0</v>
          </cell>
          <cell r="I4845">
            <v>0</v>
          </cell>
          <cell r="J4845">
            <v>0</v>
          </cell>
          <cell r="K4845">
            <v>0</v>
          </cell>
          <cell r="L4845">
            <v>2</v>
          </cell>
        </row>
        <row r="4846">
          <cell r="A4846" t="str">
            <v>20375.00594</v>
          </cell>
          <cell r="B4846" t="str">
            <v>PORTEE DE VOLUTE</v>
          </cell>
          <cell r="C4846" t="str">
            <v>3 VSH-1883-N° SERIE 60926 REP 27</v>
          </cell>
          <cell r="D4846" t="str">
            <v>PE</v>
          </cell>
          <cell r="E4846" t="str">
            <v>515.51503</v>
          </cell>
          <cell r="F4846">
            <v>30661.2808</v>
          </cell>
          <cell r="G4846">
            <v>0</v>
          </cell>
          <cell r="H4846">
            <v>0</v>
          </cell>
          <cell r="I4846">
            <v>0</v>
          </cell>
          <cell r="J4846">
            <v>0</v>
          </cell>
          <cell r="K4846">
            <v>0</v>
          </cell>
          <cell r="L4846">
            <v>1</v>
          </cell>
        </row>
        <row r="4847">
          <cell r="A4847" t="str">
            <v>20375.00595</v>
          </cell>
          <cell r="B4847" t="str">
            <v>PALIER DE VOLUTE</v>
          </cell>
          <cell r="C4847" t="str">
            <v>3 VSH-1883-N° SERIE 60926 REP 28</v>
          </cell>
          <cell r="D4847" t="str">
            <v>PE</v>
          </cell>
          <cell r="E4847" t="str">
            <v>515.51503</v>
          </cell>
          <cell r="F4847">
            <v>12831.945400000001</v>
          </cell>
          <cell r="G4847">
            <v>0</v>
          </cell>
          <cell r="H4847">
            <v>1</v>
          </cell>
          <cell r="I4847">
            <v>0</v>
          </cell>
          <cell r="J4847">
            <v>0</v>
          </cell>
          <cell r="K4847">
            <v>0</v>
          </cell>
          <cell r="L4847">
            <v>1</v>
          </cell>
        </row>
        <row r="4848">
          <cell r="A4848" t="str">
            <v>20375.00772</v>
          </cell>
          <cell r="B4848" t="str">
            <v>GOUJONS ET ÉCROUS</v>
          </cell>
          <cell r="C4848" t="str">
            <v>MTH-40312  SERIE 60921/22/23 REP 901(2)</v>
          </cell>
          <cell r="D4848" t="str">
            <v>JE</v>
          </cell>
          <cell r="E4848" t="str">
            <v>515.51503</v>
          </cell>
          <cell r="F4848">
            <v>6551.1181999999999</v>
          </cell>
          <cell r="G4848">
            <v>0</v>
          </cell>
          <cell r="H4848">
            <v>0</v>
          </cell>
          <cell r="I4848">
            <v>0</v>
          </cell>
          <cell r="J4848">
            <v>2</v>
          </cell>
          <cell r="K4848">
            <v>0</v>
          </cell>
          <cell r="L4848">
            <v>0</v>
          </cell>
        </row>
        <row r="4849">
          <cell r="A4849" t="str">
            <v>20375.00767</v>
          </cell>
          <cell r="B4849" t="str">
            <v>BAGUE SUPÉRIEURE D'ÉTANCHÉITÉ DE CORPS</v>
          </cell>
          <cell r="C4849" t="str">
            <v>MSH-22610    SERIE 60924/25  REP 18 B</v>
          </cell>
          <cell r="D4849" t="str">
            <v>PE</v>
          </cell>
          <cell r="E4849" t="str">
            <v>515.51503</v>
          </cell>
          <cell r="F4849">
            <v>8979.6427999999996</v>
          </cell>
          <cell r="G4849">
            <v>0</v>
          </cell>
          <cell r="H4849">
            <v>1</v>
          </cell>
          <cell r="I4849">
            <v>0</v>
          </cell>
          <cell r="J4849">
            <v>0</v>
          </cell>
          <cell r="K4849">
            <v>0</v>
          </cell>
          <cell r="L4849">
            <v>1</v>
          </cell>
        </row>
        <row r="4850">
          <cell r="A4850" t="str">
            <v>20375.00768</v>
          </cell>
          <cell r="B4850" t="str">
            <v>FOULOIR DE PRESSE ETOUPE</v>
          </cell>
          <cell r="C4850" t="str">
            <v>MSH-22610    SERIE 60924/25  REP 24</v>
          </cell>
          <cell r="D4850" t="str">
            <v>PE</v>
          </cell>
          <cell r="E4850" t="str">
            <v>515.51503</v>
          </cell>
          <cell r="F4850">
            <v>1182.3439000000001</v>
          </cell>
          <cell r="G4850">
            <v>0</v>
          </cell>
          <cell r="H4850">
            <v>0</v>
          </cell>
          <cell r="I4850">
            <v>0</v>
          </cell>
          <cell r="J4850">
            <v>0</v>
          </cell>
          <cell r="K4850">
            <v>0</v>
          </cell>
          <cell r="L4850">
            <v>2</v>
          </cell>
        </row>
        <row r="4851">
          <cell r="A4851" t="str">
            <v>20375.00769</v>
          </cell>
          <cell r="B4851" t="str">
            <v>GOUJONS ET ÉCROUS</v>
          </cell>
          <cell r="C4851" t="str">
            <v>MSH-22610    SERIE 60924/25 REP 901(4)</v>
          </cell>
          <cell r="D4851" t="str">
            <v>PE</v>
          </cell>
          <cell r="E4851" t="str">
            <v>515.51503</v>
          </cell>
          <cell r="F4851">
            <v>5194.0141999999996</v>
          </cell>
          <cell r="G4851">
            <v>0</v>
          </cell>
          <cell r="H4851">
            <v>0</v>
          </cell>
          <cell r="I4851">
            <v>0</v>
          </cell>
          <cell r="J4851">
            <v>0</v>
          </cell>
          <cell r="K4851">
            <v>0</v>
          </cell>
          <cell r="L4851">
            <v>2</v>
          </cell>
        </row>
        <row r="4852">
          <cell r="A4852" t="str">
            <v>20492.13265</v>
          </cell>
          <cell r="B4852" t="str">
            <v>KIT COMPLET DE JEU DE BARRES DE LIAISON TC/SECTIONNEUR</v>
          </cell>
          <cell r="C4852" t="str">
            <v>EATON KLTS03-CCB-UUT POUR TABLEAU MT-10KV</v>
          </cell>
          <cell r="D4852" t="str">
            <v>PE</v>
          </cell>
          <cell r="E4852" t="str">
            <v>522.52206</v>
          </cell>
          <cell r="F4852">
            <v>10300</v>
          </cell>
          <cell r="G4852">
            <v>0</v>
          </cell>
          <cell r="H4852">
            <v>0</v>
          </cell>
          <cell r="I4852">
            <v>0</v>
          </cell>
          <cell r="J4852">
            <v>0</v>
          </cell>
          <cell r="K4852">
            <v>0</v>
          </cell>
          <cell r="L4852">
            <v>1</v>
          </cell>
        </row>
        <row r="4853">
          <cell r="A4853" t="str">
            <v>20492.13266</v>
          </cell>
          <cell r="B4853" t="str">
            <v>RELAIS DE PROT.  DEPART TRANSFO</v>
          </cell>
          <cell r="C4853" t="str">
            <v>EATON MC20 POUR TABLEAU MT-10KV</v>
          </cell>
          <cell r="D4853" t="str">
            <v>PE</v>
          </cell>
          <cell r="E4853" t="str">
            <v>522.52206</v>
          </cell>
          <cell r="F4853">
            <v>11000</v>
          </cell>
          <cell r="G4853">
            <v>0</v>
          </cell>
          <cell r="H4853">
            <v>0</v>
          </cell>
          <cell r="I4853">
            <v>0</v>
          </cell>
          <cell r="J4853">
            <v>0</v>
          </cell>
          <cell r="K4853">
            <v>0</v>
          </cell>
          <cell r="L4853">
            <v>2</v>
          </cell>
        </row>
        <row r="4854">
          <cell r="A4854" t="str">
            <v>20375.00676</v>
          </cell>
          <cell r="B4854" t="str">
            <v>KIT DE REPARATION ACCOUPLEMENT</v>
          </cell>
          <cell r="C4854" t="str">
            <v>3 VSH 1883 N° SERIE 60926 REP 113</v>
          </cell>
          <cell r="D4854" t="str">
            <v>PE</v>
          </cell>
          <cell r="E4854" t="str">
            <v>515.51503</v>
          </cell>
          <cell r="F4854">
            <v>1564.6573000000001</v>
          </cell>
          <cell r="G4854">
            <v>0</v>
          </cell>
          <cell r="H4854">
            <v>1</v>
          </cell>
          <cell r="I4854">
            <v>2</v>
          </cell>
          <cell r="J4854">
            <v>0</v>
          </cell>
          <cell r="K4854">
            <v>0</v>
          </cell>
          <cell r="L4854">
            <v>0</v>
          </cell>
        </row>
        <row r="4855">
          <cell r="A4855" t="str">
            <v>20375.00677</v>
          </cell>
          <cell r="B4855" t="str">
            <v>ACCOUPLEMENT</v>
          </cell>
          <cell r="C4855" t="str">
            <v>3 VSH 1883 N° SERIE 60926 REP 129</v>
          </cell>
          <cell r="D4855" t="str">
            <v>PE</v>
          </cell>
          <cell r="E4855" t="str">
            <v>515.51503</v>
          </cell>
          <cell r="F4855">
            <v>6829.0774000000001</v>
          </cell>
          <cell r="G4855">
            <v>0</v>
          </cell>
          <cell r="H4855">
            <v>1</v>
          </cell>
          <cell r="I4855">
            <v>1</v>
          </cell>
          <cell r="J4855">
            <v>0</v>
          </cell>
          <cell r="K4855">
            <v>0</v>
          </cell>
          <cell r="L4855">
            <v>0</v>
          </cell>
        </row>
        <row r="4856">
          <cell r="A4856" t="str">
            <v>20375.00678</v>
          </cell>
          <cell r="B4856" t="str">
            <v>PALIER DE ROULEMENT</v>
          </cell>
          <cell r="C4856" t="str">
            <v>MTH 40312 N° SERIE 60921 REP 7</v>
          </cell>
          <cell r="D4856" t="str">
            <v>PE</v>
          </cell>
          <cell r="E4856" t="str">
            <v>515.51503</v>
          </cell>
          <cell r="F4856">
            <v>13733.6595</v>
          </cell>
          <cell r="G4856">
            <v>0</v>
          </cell>
          <cell r="H4856">
            <v>0</v>
          </cell>
          <cell r="I4856">
            <v>1</v>
          </cell>
          <cell r="J4856">
            <v>0</v>
          </cell>
          <cell r="K4856">
            <v>0</v>
          </cell>
          <cell r="L4856">
            <v>0</v>
          </cell>
        </row>
        <row r="4857">
          <cell r="A4857" t="str">
            <v>20375.00599</v>
          </cell>
          <cell r="B4857" t="str">
            <v>RONDELLE FREIN IMPULSEUR</v>
          </cell>
          <cell r="C4857" t="str">
            <v>3 VSH-1883-N° SERIE 60926 REP 66</v>
          </cell>
          <cell r="D4857" t="str">
            <v>PE</v>
          </cell>
          <cell r="E4857" t="str">
            <v>515.51503</v>
          </cell>
          <cell r="F4857">
            <v>50.657400000000003</v>
          </cell>
          <cell r="G4857">
            <v>0</v>
          </cell>
          <cell r="H4857">
            <v>10</v>
          </cell>
          <cell r="I4857">
            <v>0</v>
          </cell>
          <cell r="J4857">
            <v>0</v>
          </cell>
          <cell r="K4857">
            <v>0</v>
          </cell>
          <cell r="L4857">
            <v>1</v>
          </cell>
        </row>
        <row r="4858">
          <cell r="A4858" t="str">
            <v>20375.00671</v>
          </cell>
          <cell r="B4858" t="str">
            <v>JEU DE GARNITURE</v>
          </cell>
          <cell r="C4858" t="str">
            <v>3 VSH 1883 N° SERIE 60926 REP 131</v>
          </cell>
          <cell r="D4858" t="str">
            <v>PE</v>
          </cell>
          <cell r="E4858" t="str">
            <v>515.51503</v>
          </cell>
          <cell r="F4858">
            <v>1041.0181</v>
          </cell>
          <cell r="G4858">
            <v>0</v>
          </cell>
          <cell r="H4858">
            <v>5</v>
          </cell>
          <cell r="I4858">
            <v>0</v>
          </cell>
          <cell r="J4858">
            <v>0</v>
          </cell>
          <cell r="K4858">
            <v>0</v>
          </cell>
          <cell r="L4858">
            <v>0</v>
          </cell>
        </row>
        <row r="4859">
          <cell r="A4859" t="str">
            <v>20375.00672</v>
          </cell>
          <cell r="B4859" t="str">
            <v>ROULEMENT A BILLES</v>
          </cell>
          <cell r="C4859" t="str">
            <v>3 VSH 1883 N° SERIE 60926 REP 6</v>
          </cell>
          <cell r="D4859" t="str">
            <v>PE</v>
          </cell>
          <cell r="E4859" t="str">
            <v>515.51503</v>
          </cell>
          <cell r="F4859">
            <v>2982.6280999999999</v>
          </cell>
          <cell r="G4859">
            <v>0</v>
          </cell>
          <cell r="H4859">
            <v>1</v>
          </cell>
          <cell r="I4859">
            <v>2</v>
          </cell>
          <cell r="J4859">
            <v>3</v>
          </cell>
          <cell r="K4859">
            <v>0</v>
          </cell>
          <cell r="L4859">
            <v>0</v>
          </cell>
        </row>
        <row r="4860">
          <cell r="A4860" t="str">
            <v>20375.00673</v>
          </cell>
          <cell r="B4860" t="str">
            <v>ECROU DE BLOCAGE ET RONDELLE FREIN</v>
          </cell>
          <cell r="C4860" t="str">
            <v>3 VSH 1883 N° SERIE 60926 REP 44</v>
          </cell>
          <cell r="D4860" t="str">
            <v>PE</v>
          </cell>
          <cell r="E4860" t="str">
            <v>515.51503</v>
          </cell>
          <cell r="F4860">
            <v>276.20060000000001</v>
          </cell>
          <cell r="G4860">
            <v>0</v>
          </cell>
          <cell r="H4860">
            <v>1</v>
          </cell>
          <cell r="I4860">
            <v>1</v>
          </cell>
          <cell r="J4860">
            <v>2</v>
          </cell>
          <cell r="K4860">
            <v>0</v>
          </cell>
          <cell r="L4860">
            <v>0</v>
          </cell>
        </row>
        <row r="4861">
          <cell r="A4861" t="str">
            <v>20375.00674</v>
          </cell>
          <cell r="B4861" t="str">
            <v>LANTERNE</v>
          </cell>
          <cell r="C4861" t="str">
            <v>3 VSH 1883 N° SERIE 60926 REP 63</v>
          </cell>
          <cell r="D4861" t="str">
            <v>PE</v>
          </cell>
          <cell r="E4861" t="str">
            <v>515.51503</v>
          </cell>
          <cell r="F4861">
            <v>1044.0404000000001</v>
          </cell>
          <cell r="G4861">
            <v>0</v>
          </cell>
          <cell r="H4861">
            <v>0</v>
          </cell>
          <cell r="I4861">
            <v>0</v>
          </cell>
          <cell r="J4861">
            <v>0</v>
          </cell>
          <cell r="K4861">
            <v>0</v>
          </cell>
          <cell r="L4861">
            <v>2</v>
          </cell>
        </row>
        <row r="4862">
          <cell r="A4862" t="str">
            <v>20375.00675</v>
          </cell>
          <cell r="B4862" t="str">
            <v>CREPINE</v>
          </cell>
          <cell r="C4862" t="str">
            <v>3 VSH 1883 N° SERIE 60926 REP 134</v>
          </cell>
          <cell r="D4862" t="str">
            <v>PE</v>
          </cell>
          <cell r="E4862" t="str">
            <v>515.51503</v>
          </cell>
          <cell r="F4862">
            <v>6895.0977000000003</v>
          </cell>
          <cell r="G4862">
            <v>0</v>
          </cell>
          <cell r="H4862">
            <v>4</v>
          </cell>
          <cell r="I4862">
            <v>0</v>
          </cell>
          <cell r="J4862">
            <v>0</v>
          </cell>
          <cell r="K4862">
            <v>0</v>
          </cell>
          <cell r="L4862">
            <v>3</v>
          </cell>
        </row>
        <row r="4863">
          <cell r="A4863" t="str">
            <v>20375.00685</v>
          </cell>
          <cell r="B4863" t="str">
            <v>VOLUTE</v>
          </cell>
          <cell r="C4863" t="str">
            <v>MTH 40312 N° SERIE 60921 REP 20</v>
          </cell>
          <cell r="D4863" t="str">
            <v>PE</v>
          </cell>
          <cell r="E4863" t="str">
            <v>515.51503</v>
          </cell>
          <cell r="F4863">
            <v>163777.95600000001</v>
          </cell>
          <cell r="G4863">
            <v>0</v>
          </cell>
          <cell r="H4863">
            <v>0</v>
          </cell>
          <cell r="I4863">
            <v>0</v>
          </cell>
          <cell r="J4863">
            <v>1</v>
          </cell>
          <cell r="K4863">
            <v>0</v>
          </cell>
          <cell r="L4863">
            <v>0</v>
          </cell>
        </row>
        <row r="4864">
          <cell r="A4864" t="str">
            <v>20375.00686</v>
          </cell>
          <cell r="B4864" t="str">
            <v>ENVELOPPE INFERIEURE</v>
          </cell>
          <cell r="C4864" t="str">
            <v>MTH 40312 N° SERIE 60921 REP 25</v>
          </cell>
          <cell r="D4864" t="str">
            <v>PE</v>
          </cell>
          <cell r="E4864" t="str">
            <v>515.51503</v>
          </cell>
          <cell r="F4864">
            <v>36085.811900000001</v>
          </cell>
          <cell r="G4864">
            <v>0</v>
          </cell>
          <cell r="H4864">
            <v>1</v>
          </cell>
          <cell r="I4864">
            <v>0</v>
          </cell>
          <cell r="J4864">
            <v>0</v>
          </cell>
          <cell r="K4864">
            <v>0</v>
          </cell>
          <cell r="L4864">
            <v>0</v>
          </cell>
        </row>
        <row r="4865">
          <cell r="A4865" t="str">
            <v>20375.00687</v>
          </cell>
          <cell r="B4865" t="str">
            <v>PALIER INFERIEUR</v>
          </cell>
          <cell r="C4865" t="str">
            <v>MTH 40312 N° SERIE 60921 REP 28</v>
          </cell>
          <cell r="D4865" t="str">
            <v>PE</v>
          </cell>
          <cell r="E4865" t="str">
            <v>515.51503</v>
          </cell>
          <cell r="F4865">
            <v>24550.006700000002</v>
          </cell>
          <cell r="G4865">
            <v>0</v>
          </cell>
          <cell r="H4865">
            <v>0</v>
          </cell>
          <cell r="I4865">
            <v>1</v>
          </cell>
          <cell r="J4865">
            <v>1</v>
          </cell>
          <cell r="K4865">
            <v>0</v>
          </cell>
          <cell r="L4865">
            <v>1</v>
          </cell>
        </row>
        <row r="4866">
          <cell r="A4866" t="str">
            <v>20375.00679</v>
          </cell>
          <cell r="B4866" t="str">
            <v>ENVELOPPE SUPERIEURE</v>
          </cell>
          <cell r="C4866" t="str">
            <v>MTH 40312 N° SERIE 60921 REP 11</v>
          </cell>
          <cell r="D4866" t="str">
            <v>PE</v>
          </cell>
          <cell r="E4866" t="str">
            <v>515.51503</v>
          </cell>
          <cell r="F4866">
            <v>56376.5599</v>
          </cell>
          <cell r="G4866">
            <v>0</v>
          </cell>
          <cell r="H4866">
            <v>0</v>
          </cell>
          <cell r="I4866">
            <v>0</v>
          </cell>
          <cell r="J4866">
            <v>1</v>
          </cell>
          <cell r="K4866">
            <v>0</v>
          </cell>
          <cell r="L4866">
            <v>1</v>
          </cell>
        </row>
        <row r="4867">
          <cell r="A4867" t="str">
            <v>20375.00680</v>
          </cell>
          <cell r="B4867" t="str">
            <v>ARBRE</v>
          </cell>
          <cell r="C4867" t="str">
            <v>MTH 40312 N° SERIE 60921 REP 12</v>
          </cell>
          <cell r="D4867" t="str">
            <v>PE</v>
          </cell>
          <cell r="E4867" t="str">
            <v>515.51503</v>
          </cell>
          <cell r="F4867">
            <v>170411.8</v>
          </cell>
          <cell r="G4867">
            <v>0</v>
          </cell>
          <cell r="H4867">
            <v>1</v>
          </cell>
          <cell r="I4867">
            <v>0</v>
          </cell>
          <cell r="J4867">
            <v>0</v>
          </cell>
          <cell r="K4867">
            <v>0</v>
          </cell>
          <cell r="L4867">
            <v>0</v>
          </cell>
        </row>
        <row r="4868">
          <cell r="A4868" t="str">
            <v>20375.00681</v>
          </cell>
          <cell r="B4868" t="str">
            <v>IMPULSEUR</v>
          </cell>
          <cell r="C4868" t="str">
            <v>MTH 40312 N° SERIE 60921 REP 16</v>
          </cell>
          <cell r="D4868" t="str">
            <v>PE</v>
          </cell>
          <cell r="E4868" t="str">
            <v>515.51503</v>
          </cell>
          <cell r="F4868">
            <v>170107.5906</v>
          </cell>
          <cell r="G4868">
            <v>1</v>
          </cell>
          <cell r="H4868">
            <v>0</v>
          </cell>
          <cell r="I4868">
            <v>1</v>
          </cell>
          <cell r="J4868">
            <v>0</v>
          </cell>
          <cell r="K4868">
            <v>0</v>
          </cell>
          <cell r="L4868">
            <v>1</v>
          </cell>
        </row>
        <row r="4869">
          <cell r="A4869" t="str">
            <v>20375.00682</v>
          </cell>
          <cell r="B4869" t="str">
            <v>BAGUE INFERIEUR IMPULSEUR</v>
          </cell>
          <cell r="C4869" t="str">
            <v>MTH 40312 N° SERIE 60921 REP 17</v>
          </cell>
          <cell r="D4869" t="str">
            <v>PE</v>
          </cell>
          <cell r="E4869" t="str">
            <v>515.51503</v>
          </cell>
          <cell r="F4869">
            <v>12321.676600000001</v>
          </cell>
          <cell r="G4869">
            <v>1</v>
          </cell>
          <cell r="H4869">
            <v>1</v>
          </cell>
          <cell r="I4869">
            <v>0</v>
          </cell>
          <cell r="J4869">
            <v>1</v>
          </cell>
          <cell r="K4869">
            <v>0</v>
          </cell>
          <cell r="L4869">
            <v>0</v>
          </cell>
        </row>
        <row r="4870">
          <cell r="A4870" t="str">
            <v>20375.00683</v>
          </cell>
          <cell r="B4870" t="str">
            <v>BAGUE DE LA JUPE</v>
          </cell>
          <cell r="C4870" t="str">
            <v>MTH 40312 N° SERIE 60921 REP 18</v>
          </cell>
          <cell r="D4870" t="str">
            <v>PE</v>
          </cell>
          <cell r="E4870" t="str">
            <v>515.51503</v>
          </cell>
          <cell r="F4870">
            <v>19254.2196</v>
          </cell>
          <cell r="G4870">
            <v>0</v>
          </cell>
          <cell r="H4870">
            <v>0</v>
          </cell>
          <cell r="I4870">
            <v>2</v>
          </cell>
          <cell r="J4870">
            <v>0</v>
          </cell>
          <cell r="K4870">
            <v>0</v>
          </cell>
          <cell r="L4870">
            <v>0</v>
          </cell>
        </row>
        <row r="4871">
          <cell r="A4871" t="str">
            <v>20375.00684</v>
          </cell>
          <cell r="B4871" t="str">
            <v>ECROU IMPULSEUR</v>
          </cell>
          <cell r="C4871" t="str">
            <v>MTH 40312 N° SERIE 60921 REP 19</v>
          </cell>
          <cell r="D4871" t="str">
            <v>PE</v>
          </cell>
          <cell r="E4871" t="str">
            <v>515.51503</v>
          </cell>
          <cell r="F4871">
            <v>8361.1376999999993</v>
          </cell>
          <cell r="G4871">
            <v>0</v>
          </cell>
          <cell r="H4871">
            <v>0</v>
          </cell>
          <cell r="I4871">
            <v>1</v>
          </cell>
          <cell r="J4871">
            <v>0</v>
          </cell>
          <cell r="K4871">
            <v>0</v>
          </cell>
          <cell r="L4871">
            <v>3</v>
          </cell>
        </row>
        <row r="4872">
          <cell r="A4872" t="str">
            <v>20375.00785</v>
          </cell>
          <cell r="B4872" t="str">
            <v>RONDELLE DE BLOCAGE D'IMPULSEUR</v>
          </cell>
          <cell r="C4872" t="str">
            <v>VSH-1883    SERIE 60926/7    REP 66</v>
          </cell>
          <cell r="D4872" t="str">
            <v>PE</v>
          </cell>
          <cell r="E4872" t="str">
            <v>515.51503</v>
          </cell>
          <cell r="F4872">
            <v>45.245199999999997</v>
          </cell>
          <cell r="G4872">
            <v>0</v>
          </cell>
          <cell r="H4872">
            <v>0</v>
          </cell>
          <cell r="I4872">
            <v>0</v>
          </cell>
          <cell r="J4872">
            <v>0</v>
          </cell>
          <cell r="K4872">
            <v>0</v>
          </cell>
          <cell r="L4872">
            <v>4</v>
          </cell>
        </row>
        <row r="4873">
          <cell r="A4873" t="str">
            <v>20375.00786</v>
          </cell>
          <cell r="B4873" t="str">
            <v>GOUJONS ET ÉCROUS</v>
          </cell>
          <cell r="C4873" t="str">
            <v>VSH-1883   SERIE 60926/7      REP 901</v>
          </cell>
          <cell r="D4873" t="str">
            <v>JE</v>
          </cell>
          <cell r="E4873" t="str">
            <v>515.51503</v>
          </cell>
          <cell r="F4873">
            <v>2761.4625999999998</v>
          </cell>
          <cell r="G4873">
            <v>0</v>
          </cell>
          <cell r="H4873">
            <v>1</v>
          </cell>
          <cell r="I4873">
            <v>0</v>
          </cell>
          <cell r="J4873">
            <v>0</v>
          </cell>
          <cell r="K4873">
            <v>0</v>
          </cell>
          <cell r="L4873">
            <v>1</v>
          </cell>
        </row>
        <row r="4874">
          <cell r="A4874" t="str">
            <v>20375.00694</v>
          </cell>
          <cell r="B4874" t="str">
            <v>RONDELLE FREIN IMPULSEUR</v>
          </cell>
          <cell r="C4874" t="str">
            <v>MTH 40312 N° SERIE 60921 REP 66</v>
          </cell>
          <cell r="D4874" t="str">
            <v>PE</v>
          </cell>
          <cell r="E4874" t="str">
            <v>515.51503</v>
          </cell>
          <cell r="F4874">
            <v>46.195099999999996</v>
          </cell>
          <cell r="G4874">
            <v>0</v>
          </cell>
          <cell r="H4874">
            <v>1</v>
          </cell>
          <cell r="I4874">
            <v>2</v>
          </cell>
          <cell r="J4874">
            <v>0</v>
          </cell>
          <cell r="K4874">
            <v>0</v>
          </cell>
          <cell r="L4874">
            <v>9</v>
          </cell>
        </row>
        <row r="4875">
          <cell r="A4875" t="str">
            <v>20375.00695</v>
          </cell>
          <cell r="B4875" t="str">
            <v>JEU D'ECROU BORGNES</v>
          </cell>
          <cell r="C4875" t="str">
            <v>MTH 40312 N° SERIE 60921 REP 91</v>
          </cell>
          <cell r="D4875" t="str">
            <v>JE</v>
          </cell>
          <cell r="E4875" t="str">
            <v>515.51503</v>
          </cell>
          <cell r="F4875">
            <v>40102.271999999997</v>
          </cell>
          <cell r="G4875">
            <v>0</v>
          </cell>
          <cell r="H4875">
            <v>0</v>
          </cell>
          <cell r="I4875">
            <v>1</v>
          </cell>
          <cell r="J4875">
            <v>0</v>
          </cell>
          <cell r="K4875">
            <v>0</v>
          </cell>
          <cell r="L4875">
            <v>1</v>
          </cell>
        </row>
        <row r="4876">
          <cell r="A4876" t="str">
            <v>20375.00696</v>
          </cell>
          <cell r="B4876" t="str">
            <v>JEU DE JOINTS TORIQUE</v>
          </cell>
          <cell r="C4876" t="str">
            <v>MTH 40312 N° SERIE 60921 REP 92</v>
          </cell>
          <cell r="D4876" t="str">
            <v>JE</v>
          </cell>
          <cell r="E4876" t="str">
            <v>515.51503</v>
          </cell>
          <cell r="F4876">
            <v>20163.0576</v>
          </cell>
          <cell r="G4876">
            <v>0</v>
          </cell>
          <cell r="H4876">
            <v>0</v>
          </cell>
          <cell r="I4876">
            <v>2</v>
          </cell>
          <cell r="J4876">
            <v>0</v>
          </cell>
          <cell r="K4876">
            <v>0</v>
          </cell>
          <cell r="L4876">
            <v>1</v>
          </cell>
        </row>
        <row r="4877">
          <cell r="A4877" t="str">
            <v>20375.00688</v>
          </cell>
          <cell r="B4877" t="str">
            <v>PORTEE PALIER INFERIEUR</v>
          </cell>
          <cell r="C4877" t="str">
            <v>MTH 40312 N° SERIE 60921 REP 27</v>
          </cell>
          <cell r="D4877" t="str">
            <v>PE</v>
          </cell>
          <cell r="E4877" t="str">
            <v>515.51503</v>
          </cell>
          <cell r="F4877">
            <v>40064.312700000002</v>
          </cell>
          <cell r="G4877">
            <v>0</v>
          </cell>
          <cell r="H4877">
            <v>0</v>
          </cell>
          <cell r="I4877">
            <v>0</v>
          </cell>
          <cell r="J4877">
            <v>1</v>
          </cell>
          <cell r="K4877">
            <v>0</v>
          </cell>
          <cell r="L4877">
            <v>0</v>
          </cell>
        </row>
        <row r="4878">
          <cell r="A4878" t="str">
            <v>20375.00689</v>
          </cell>
          <cell r="B4878" t="str">
            <v>CONDUITE REFOULEMENT</v>
          </cell>
          <cell r="C4878" t="str">
            <v>MTH 40312 N° SERIE 60921 REP 30</v>
          </cell>
          <cell r="D4878" t="str">
            <v>PE</v>
          </cell>
          <cell r="E4878" t="str">
            <v>515.51503</v>
          </cell>
          <cell r="F4878">
            <v>110389.83530000001</v>
          </cell>
          <cell r="G4878">
            <v>0</v>
          </cell>
          <cell r="H4878">
            <v>0</v>
          </cell>
          <cell r="I4878">
            <v>1</v>
          </cell>
          <cell r="J4878">
            <v>0</v>
          </cell>
          <cell r="K4878">
            <v>0</v>
          </cell>
          <cell r="L4878">
            <v>1</v>
          </cell>
        </row>
        <row r="4879">
          <cell r="A4879" t="str">
            <v>20375.00690</v>
          </cell>
          <cell r="B4879" t="str">
            <v>COUDE DE REFOULEMENT</v>
          </cell>
          <cell r="C4879" t="str">
            <v>MTH 40312 N° SERIE 60921 REP 32</v>
          </cell>
          <cell r="D4879" t="str">
            <v>PE</v>
          </cell>
          <cell r="E4879" t="str">
            <v>515.51503</v>
          </cell>
          <cell r="F4879">
            <v>37714.761400000003</v>
          </cell>
          <cell r="G4879">
            <v>0</v>
          </cell>
          <cell r="H4879">
            <v>1</v>
          </cell>
          <cell r="I4879">
            <v>0</v>
          </cell>
          <cell r="J4879">
            <v>0</v>
          </cell>
          <cell r="K4879">
            <v>0</v>
          </cell>
          <cell r="L4879">
            <v>1</v>
          </cell>
        </row>
        <row r="4880">
          <cell r="A4880" t="str">
            <v>20375.00691</v>
          </cell>
          <cell r="B4880" t="str">
            <v>JEU DE GOUJONS</v>
          </cell>
          <cell r="C4880" t="str">
            <v>MTH 43112 N° SERIE 60921 REP 37</v>
          </cell>
          <cell r="D4880" t="str">
            <v>PE</v>
          </cell>
          <cell r="E4880" t="str">
            <v>515.51503</v>
          </cell>
          <cell r="F4880">
            <v>18466.216400000001</v>
          </cell>
          <cell r="G4880">
            <v>0</v>
          </cell>
          <cell r="H4880">
            <v>1</v>
          </cell>
          <cell r="I4880">
            <v>1</v>
          </cell>
          <cell r="J4880">
            <v>0</v>
          </cell>
          <cell r="K4880">
            <v>0</v>
          </cell>
          <cell r="L4880">
            <v>0</v>
          </cell>
        </row>
        <row r="4881">
          <cell r="A4881" t="str">
            <v>20375.00692</v>
          </cell>
          <cell r="B4881" t="str">
            <v>ECROU ET RONDELLE FREIN</v>
          </cell>
          <cell r="C4881" t="str">
            <v>MTH 40312 N° SERIE 60921 REP 44</v>
          </cell>
          <cell r="D4881" t="str">
            <v>PE</v>
          </cell>
          <cell r="E4881" t="str">
            <v>515.51503</v>
          </cell>
          <cell r="F4881">
            <v>6111.9427999999998</v>
          </cell>
          <cell r="G4881">
            <v>0</v>
          </cell>
          <cell r="H4881">
            <v>1</v>
          </cell>
          <cell r="I4881">
            <v>0</v>
          </cell>
          <cell r="J4881">
            <v>0</v>
          </cell>
          <cell r="K4881">
            <v>0</v>
          </cell>
          <cell r="L4881">
            <v>2</v>
          </cell>
        </row>
        <row r="4882">
          <cell r="A4882" t="str">
            <v>20375.00693</v>
          </cell>
          <cell r="B4882" t="str">
            <v>TETE D'ASPIRATION</v>
          </cell>
          <cell r="C4882" t="str">
            <v>MTH 40312 N° SERIE 60921 REP 45</v>
          </cell>
          <cell r="D4882" t="str">
            <v>PE</v>
          </cell>
          <cell r="E4882" t="str">
            <v>515.51503</v>
          </cell>
          <cell r="F4882">
            <v>43312.6607</v>
          </cell>
          <cell r="G4882">
            <v>1</v>
          </cell>
          <cell r="H4882">
            <v>1</v>
          </cell>
          <cell r="I4882">
            <v>1</v>
          </cell>
          <cell r="J4882">
            <v>0</v>
          </cell>
          <cell r="K4882">
            <v>0</v>
          </cell>
          <cell r="L4882">
            <v>1</v>
          </cell>
        </row>
        <row r="4883">
          <cell r="A4883" t="str">
            <v>20371.00318</v>
          </cell>
          <cell r="B4883" t="str">
            <v>ACTIONNEUR PNEUMATIQUE</v>
          </cell>
          <cell r="C4883" t="str">
            <v>AMRI SANS REF REP:1121 ACTIONNEUR DOUBLE EFFET ACTAIR6</v>
          </cell>
          <cell r="D4883" t="str">
            <v>PE</v>
          </cell>
          <cell r="E4883" t="str">
            <v>515.51511</v>
          </cell>
          <cell r="F4883">
            <v>1760.55</v>
          </cell>
          <cell r="G4883">
            <v>0</v>
          </cell>
          <cell r="H4883">
            <v>0</v>
          </cell>
          <cell r="I4883">
            <v>0</v>
          </cell>
          <cell r="J4883">
            <v>0</v>
          </cell>
          <cell r="K4883">
            <v>0</v>
          </cell>
          <cell r="L4883">
            <v>1</v>
          </cell>
        </row>
        <row r="4884">
          <cell r="A4884" t="str">
            <v>20371.00301</v>
          </cell>
          <cell r="B4884" t="str">
            <v>ROBINET</v>
          </cell>
          <cell r="C4884" t="str">
            <v>AQUISORIA 10 DN 200 PN 20 3T 6K 6 XV EPDM HOMOLOGUE WRC</v>
          </cell>
          <cell r="D4884" t="str">
            <v>PE</v>
          </cell>
          <cell r="E4884" t="str">
            <v>515.51511</v>
          </cell>
          <cell r="F4884">
            <v>2601.1</v>
          </cell>
          <cell r="G4884">
            <v>0</v>
          </cell>
          <cell r="H4884">
            <v>0</v>
          </cell>
          <cell r="I4884">
            <v>0</v>
          </cell>
          <cell r="J4884">
            <v>0</v>
          </cell>
          <cell r="K4884">
            <v>0</v>
          </cell>
          <cell r="L4884">
            <v>2</v>
          </cell>
        </row>
        <row r="4885">
          <cell r="A4885" t="str">
            <v>20371.00302</v>
          </cell>
          <cell r="B4885" t="str">
            <v>ROBINET</v>
          </cell>
          <cell r="C4885" t="str">
            <v>AQUISORIA 10 DN 150 PN 10 3T 6K 6 XC EPDM HOMOLOGUE WRC</v>
          </cell>
          <cell r="D4885" t="str">
            <v>PE</v>
          </cell>
          <cell r="E4885" t="str">
            <v>515.51511</v>
          </cell>
          <cell r="F4885">
            <v>931</v>
          </cell>
          <cell r="G4885">
            <v>0</v>
          </cell>
          <cell r="H4885">
            <v>1</v>
          </cell>
          <cell r="I4885">
            <v>1</v>
          </cell>
          <cell r="J4885">
            <v>0</v>
          </cell>
          <cell r="K4885">
            <v>0</v>
          </cell>
          <cell r="L4885">
            <v>0</v>
          </cell>
        </row>
        <row r="4886">
          <cell r="A4886" t="str">
            <v>20375.00641</v>
          </cell>
          <cell r="B4886" t="str">
            <v>PORTEE INTERMIDIAIRE</v>
          </cell>
          <cell r="C4886" t="str">
            <v>MSH 22610 N° SERIE 60924 REP 13</v>
          </cell>
          <cell r="D4886" t="str">
            <v>PE</v>
          </cell>
          <cell r="E4886" t="str">
            <v>515.51503</v>
          </cell>
          <cell r="F4886">
            <v>17299.6911</v>
          </cell>
          <cell r="G4886">
            <v>0</v>
          </cell>
          <cell r="H4886">
            <v>1</v>
          </cell>
          <cell r="I4886">
            <v>0</v>
          </cell>
          <cell r="J4886">
            <v>0</v>
          </cell>
          <cell r="K4886">
            <v>0</v>
          </cell>
          <cell r="L4886">
            <v>1</v>
          </cell>
        </row>
        <row r="4887">
          <cell r="A4887" t="str">
            <v>20375.00697</v>
          </cell>
          <cell r="B4887" t="str">
            <v>BAGUE SUPERIEURE IMPULSEUR</v>
          </cell>
          <cell r="C4887" t="str">
            <v>MTH 40312 N° SERIE 60921 REP 97</v>
          </cell>
          <cell r="D4887" t="str">
            <v>PE</v>
          </cell>
          <cell r="E4887" t="str">
            <v>515.51503</v>
          </cell>
          <cell r="F4887">
            <v>13266.990400000001</v>
          </cell>
          <cell r="G4887">
            <v>0</v>
          </cell>
          <cell r="H4887">
            <v>1</v>
          </cell>
          <cell r="I4887">
            <v>0</v>
          </cell>
          <cell r="J4887">
            <v>1</v>
          </cell>
          <cell r="K4887">
            <v>0</v>
          </cell>
          <cell r="L4887">
            <v>0</v>
          </cell>
        </row>
        <row r="4888">
          <cell r="A4888" t="str">
            <v>20375.00698</v>
          </cell>
          <cell r="B4888" t="str">
            <v>BAGUE DE LA VOLUTE</v>
          </cell>
          <cell r="C4888" t="str">
            <v>MTH 40312 N° SERIE 60921 REP 98</v>
          </cell>
          <cell r="D4888" t="str">
            <v>PE</v>
          </cell>
          <cell r="E4888" t="str">
            <v>515.51503</v>
          </cell>
          <cell r="F4888">
            <v>20236.665099999998</v>
          </cell>
          <cell r="G4888">
            <v>0</v>
          </cell>
          <cell r="H4888">
            <v>0</v>
          </cell>
          <cell r="I4888">
            <v>1</v>
          </cell>
          <cell r="J4888">
            <v>1</v>
          </cell>
          <cell r="K4888">
            <v>0</v>
          </cell>
          <cell r="L4888">
            <v>0</v>
          </cell>
        </row>
        <row r="4889">
          <cell r="A4889" t="str">
            <v>20375.00699</v>
          </cell>
          <cell r="B4889" t="str">
            <v>JEU DE JOINTS</v>
          </cell>
          <cell r="C4889" t="str">
            <v>MTH 40312 N° SERIE 60921 REP 64</v>
          </cell>
          <cell r="D4889" t="str">
            <v>JE</v>
          </cell>
          <cell r="E4889" t="str">
            <v>515.51503</v>
          </cell>
          <cell r="F4889">
            <v>8557.4308999999994</v>
          </cell>
          <cell r="G4889">
            <v>0</v>
          </cell>
          <cell r="H4889">
            <v>0</v>
          </cell>
          <cell r="I4889">
            <v>3</v>
          </cell>
          <cell r="J4889">
            <v>0</v>
          </cell>
          <cell r="K4889">
            <v>0</v>
          </cell>
          <cell r="L4889">
            <v>0</v>
          </cell>
        </row>
        <row r="4890">
          <cell r="A4890" t="str">
            <v>20375.00700</v>
          </cell>
          <cell r="B4890" t="str">
            <v>KIT REPARATION ACCOUPLEMENT</v>
          </cell>
          <cell r="C4890" t="str">
            <v>MTH 40312 N° SERIE 60921 REP 113</v>
          </cell>
          <cell r="D4890" t="str">
            <v>JE</v>
          </cell>
          <cell r="E4890" t="str">
            <v>515.51503</v>
          </cell>
          <cell r="F4890">
            <v>3407.538</v>
          </cell>
          <cell r="G4890">
            <v>0</v>
          </cell>
          <cell r="H4890">
            <v>0</v>
          </cell>
          <cell r="I4890">
            <v>4</v>
          </cell>
          <cell r="J4890">
            <v>0</v>
          </cell>
          <cell r="K4890">
            <v>0</v>
          </cell>
          <cell r="L4890">
            <v>0</v>
          </cell>
        </row>
        <row r="4891">
          <cell r="A4891" t="str">
            <v>20375.00701</v>
          </cell>
          <cell r="B4891" t="str">
            <v>JEU DE GARNITURE</v>
          </cell>
          <cell r="C4891" t="str">
            <v>MTH 40312 N° SERIE 60921 REP 131</v>
          </cell>
          <cell r="D4891" t="str">
            <v>JE</v>
          </cell>
          <cell r="E4891" t="str">
            <v>515.51503</v>
          </cell>
          <cell r="F4891">
            <v>2185.8334</v>
          </cell>
          <cell r="G4891">
            <v>0</v>
          </cell>
          <cell r="H4891">
            <v>0</v>
          </cell>
          <cell r="I4891">
            <v>2</v>
          </cell>
          <cell r="J4891">
            <v>4</v>
          </cell>
          <cell r="K4891">
            <v>1</v>
          </cell>
          <cell r="L4891">
            <v>0</v>
          </cell>
        </row>
        <row r="4892">
          <cell r="A4892" t="str">
            <v>20375.00702</v>
          </cell>
          <cell r="B4892" t="str">
            <v>JEU DE COLLIERS COMPLET</v>
          </cell>
          <cell r="C4892" t="str">
            <v>MTH 40312 N° SERIE 60921 REP 144</v>
          </cell>
          <cell r="D4892" t="str">
            <v>JE</v>
          </cell>
          <cell r="E4892" t="str">
            <v>515.51503</v>
          </cell>
          <cell r="F4892">
            <v>4810.7653</v>
          </cell>
          <cell r="G4892">
            <v>0</v>
          </cell>
          <cell r="H4892">
            <v>0</v>
          </cell>
          <cell r="I4892">
            <v>1</v>
          </cell>
          <cell r="J4892">
            <v>0</v>
          </cell>
          <cell r="K4892">
            <v>0</v>
          </cell>
          <cell r="L4892">
            <v>1</v>
          </cell>
        </row>
        <row r="4893">
          <cell r="A4893" t="str">
            <v>20371.00328</v>
          </cell>
          <cell r="B4893" t="str">
            <v>VANNE A PAPILLON</v>
          </cell>
          <cell r="C4893" t="str">
            <v>AQUISORIA 10 DN200 PN10 CORPS ANNULAIRE TYPE 1 GABARIT RACCORDEMENT ANSI B16.5 CL 150 POIGNE TYPE SM LONG 530MM</v>
          </cell>
          <cell r="D4893" t="str">
            <v>PE</v>
          </cell>
          <cell r="E4893" t="str">
            <v>515.51511</v>
          </cell>
          <cell r="F4893">
            <v>2663.5</v>
          </cell>
          <cell r="G4893">
            <v>0</v>
          </cell>
          <cell r="H4893">
            <v>0</v>
          </cell>
          <cell r="I4893">
            <v>1</v>
          </cell>
          <cell r="J4893">
            <v>0</v>
          </cell>
          <cell r="K4893">
            <v>0</v>
          </cell>
          <cell r="L4893">
            <v>0</v>
          </cell>
        </row>
        <row r="4894">
          <cell r="A4894" t="str">
            <v>20375.00726</v>
          </cell>
          <cell r="B4894" t="str">
            <v>JEU DE JOINTS</v>
          </cell>
          <cell r="C4894" t="str">
            <v>TYPE LH-60530 N°DE SERIE: 60981/60982/60983/60984/60985 REP 92</v>
          </cell>
          <cell r="D4894" t="str">
            <v>JE</v>
          </cell>
          <cell r="E4894" t="str">
            <v>515.51503</v>
          </cell>
          <cell r="F4894">
            <v>1216.9576</v>
          </cell>
          <cell r="G4894">
            <v>4</v>
          </cell>
          <cell r="H4894">
            <v>1</v>
          </cell>
          <cell r="I4894">
            <v>0</v>
          </cell>
          <cell r="J4894">
            <v>1</v>
          </cell>
          <cell r="K4894">
            <v>1</v>
          </cell>
          <cell r="L4894">
            <v>5</v>
          </cell>
        </row>
        <row r="4895">
          <cell r="A4895" t="str">
            <v>20375.00727</v>
          </cell>
          <cell r="B4895" t="str">
            <v>COUVERCLE DE ROULEMENT</v>
          </cell>
          <cell r="C4895" t="str">
            <v>TYPE LH-60530 N°DE SERIE: 60981/60982/60983/60984/60985 REP 8</v>
          </cell>
          <cell r="D4895" t="str">
            <v>PE</v>
          </cell>
          <cell r="E4895" t="str">
            <v>515.51503</v>
          </cell>
          <cell r="F4895">
            <v>3742.3299000000002</v>
          </cell>
          <cell r="G4895">
            <v>0</v>
          </cell>
          <cell r="H4895">
            <v>0</v>
          </cell>
          <cell r="I4895">
            <v>0</v>
          </cell>
          <cell r="J4895">
            <v>1</v>
          </cell>
          <cell r="K4895">
            <v>0</v>
          </cell>
          <cell r="L4895">
            <v>3</v>
          </cell>
        </row>
        <row r="4896">
          <cell r="A4896" t="str">
            <v>20375.00729</v>
          </cell>
          <cell r="B4896" t="str">
            <v>CORPS DE PALIER</v>
          </cell>
          <cell r="C4896" t="str">
            <v>TYPE LH-60530 N°DE SERIE: 60981/60982/60983/60984/60985 REP 25</v>
          </cell>
          <cell r="D4896" t="str">
            <v>PE</v>
          </cell>
          <cell r="E4896" t="str">
            <v>515.51503</v>
          </cell>
          <cell r="F4896">
            <v>76452.846300000005</v>
          </cell>
          <cell r="G4896">
            <v>0</v>
          </cell>
          <cell r="H4896">
            <v>0</v>
          </cell>
          <cell r="I4896">
            <v>0</v>
          </cell>
          <cell r="J4896">
            <v>2</v>
          </cell>
          <cell r="K4896">
            <v>0</v>
          </cell>
          <cell r="L4896">
            <v>0</v>
          </cell>
        </row>
        <row r="4897">
          <cell r="A4897" t="str">
            <v>20371.00329</v>
          </cell>
          <cell r="B4897" t="str">
            <v>VANNE A PAPILLON</v>
          </cell>
          <cell r="C4897" t="str">
            <v>AQUISORIA 10 DN250 PN10 CORPS ANNULAIRE TYPE 1 GABARIT RACCORDEMENT ANSI B16.5 CL 150 DEMULTIPLICATEUR MANUEL TYPE MN25  COMMANDE PAR VOLANT</v>
          </cell>
          <cell r="D4897" t="str">
            <v>PE</v>
          </cell>
          <cell r="E4897" t="str">
            <v>515.51511</v>
          </cell>
          <cell r="F4897">
            <v>4419.2</v>
          </cell>
          <cell r="G4897">
            <v>0</v>
          </cell>
          <cell r="H4897">
            <v>0</v>
          </cell>
          <cell r="I4897">
            <v>1</v>
          </cell>
          <cell r="J4897">
            <v>1</v>
          </cell>
          <cell r="K4897">
            <v>1</v>
          </cell>
          <cell r="L4897">
            <v>1</v>
          </cell>
        </row>
        <row r="4898">
          <cell r="A4898" t="str">
            <v>20371.00330</v>
          </cell>
          <cell r="B4898" t="str">
            <v>VANNE A PAPILLON</v>
          </cell>
          <cell r="C4898" t="str">
            <v>AQUISORIA 16 DN40 PN16 CORPS ANNULAIRE TYPE 1 GABARIT RACCORDEMENT ANSI B16.5 CL 150 POIGNE TYPE SR LONG 180MM</v>
          </cell>
          <cell r="D4898" t="str">
            <v>PE</v>
          </cell>
          <cell r="E4898" t="str">
            <v>515.51511</v>
          </cell>
          <cell r="F4898">
            <v>605.5</v>
          </cell>
          <cell r="G4898">
            <v>0</v>
          </cell>
          <cell r="H4898">
            <v>0</v>
          </cell>
          <cell r="I4898">
            <v>1</v>
          </cell>
          <cell r="J4898">
            <v>0</v>
          </cell>
          <cell r="K4898">
            <v>0</v>
          </cell>
          <cell r="L4898">
            <v>0</v>
          </cell>
        </row>
        <row r="4899">
          <cell r="A4899" t="str">
            <v>20492.06635</v>
          </cell>
          <cell r="B4899" t="str">
            <v>JEU DE LAMELLES POUR ACCOUPLEMENT</v>
          </cell>
          <cell r="C4899" t="str">
            <v xml:space="preserve">REXNORD TYPE THOMAS SR 52 TAILLE 450 </v>
          </cell>
          <cell r="D4899" t="str">
            <v>PE</v>
          </cell>
          <cell r="E4899" t="str">
            <v>515.51515</v>
          </cell>
          <cell r="F4899">
            <v>44758.720000000001</v>
          </cell>
          <cell r="G4899">
            <v>0</v>
          </cell>
          <cell r="H4899">
            <v>0</v>
          </cell>
          <cell r="I4899">
            <v>0</v>
          </cell>
          <cell r="J4899">
            <v>0</v>
          </cell>
          <cell r="K4899">
            <v>0</v>
          </cell>
          <cell r="L4899">
            <v>2</v>
          </cell>
        </row>
        <row r="4900">
          <cell r="A4900" t="str">
            <v>20375.00737</v>
          </cell>
          <cell r="B4900" t="str">
            <v>GARNITURE MECANIQUE</v>
          </cell>
          <cell r="C4900" t="str">
            <v>TYPE LH-60530 N°DE SERIE: 60981/60982/60983/60984/60985 SANS REPERE 1/4" TYPE 8 IT DOUBLE</v>
          </cell>
          <cell r="D4900" t="str">
            <v>PE</v>
          </cell>
          <cell r="E4900" t="str">
            <v>515.51503</v>
          </cell>
          <cell r="F4900">
            <v>123554.2945</v>
          </cell>
          <cell r="G4900">
            <v>0</v>
          </cell>
          <cell r="H4900">
            <v>0</v>
          </cell>
          <cell r="I4900">
            <v>0</v>
          </cell>
          <cell r="J4900">
            <v>0</v>
          </cell>
          <cell r="K4900">
            <v>0</v>
          </cell>
          <cell r="L4900">
            <v>0</v>
          </cell>
        </row>
        <row r="4901">
          <cell r="A4901" t="str">
            <v>20375.00732</v>
          </cell>
          <cell r="B4901" t="str">
            <v>ARBRE</v>
          </cell>
          <cell r="C4901" t="str">
            <v>TYPE LH-60530 N°DE SERIE: 60981/60982/60983/60984/60985 REP 48</v>
          </cell>
          <cell r="D4901" t="str">
            <v>PE</v>
          </cell>
          <cell r="E4901" t="str">
            <v>515.51503</v>
          </cell>
          <cell r="F4901">
            <v>357361.21799999999</v>
          </cell>
          <cell r="G4901">
            <v>0</v>
          </cell>
          <cell r="H4901">
            <v>0</v>
          </cell>
          <cell r="I4901">
            <v>1</v>
          </cell>
          <cell r="J4901">
            <v>0</v>
          </cell>
          <cell r="K4901">
            <v>0</v>
          </cell>
          <cell r="L4901">
            <v>0</v>
          </cell>
        </row>
        <row r="4902">
          <cell r="A4902" t="str">
            <v>20375.00733</v>
          </cell>
          <cell r="B4902" t="str">
            <v>DEFLECTEUR INTERIEUR</v>
          </cell>
          <cell r="C4902" t="str">
            <v>TYPE LH-60530 N°DE SERIE: 60981/60982/60983/60984/60985 REP 51</v>
          </cell>
          <cell r="D4902" t="str">
            <v>PE</v>
          </cell>
          <cell r="E4902" t="str">
            <v>515.51503</v>
          </cell>
          <cell r="F4902">
            <v>16604.8233</v>
          </cell>
          <cell r="G4902">
            <v>0</v>
          </cell>
          <cell r="H4902">
            <v>1</v>
          </cell>
          <cell r="I4902">
            <v>0</v>
          </cell>
          <cell r="J4902">
            <v>0</v>
          </cell>
          <cell r="K4902">
            <v>0</v>
          </cell>
          <cell r="L4902">
            <v>3</v>
          </cell>
        </row>
        <row r="4903">
          <cell r="A4903" t="str">
            <v>20375.00734</v>
          </cell>
          <cell r="B4903" t="str">
            <v>CHEMISE D ARBRE</v>
          </cell>
          <cell r="C4903" t="str">
            <v>TYPE LH-60530 N°DE SERIE: 60981/60982/60983/60984/60985 REP 66</v>
          </cell>
          <cell r="D4903" t="str">
            <v>PE</v>
          </cell>
          <cell r="E4903" t="str">
            <v>515.51503</v>
          </cell>
          <cell r="F4903">
            <v>58421.693599999999</v>
          </cell>
          <cell r="G4903">
            <v>0</v>
          </cell>
          <cell r="H4903">
            <v>0</v>
          </cell>
          <cell r="I4903">
            <v>0</v>
          </cell>
          <cell r="J4903">
            <v>0</v>
          </cell>
          <cell r="K4903">
            <v>0</v>
          </cell>
          <cell r="L4903">
            <v>0</v>
          </cell>
        </row>
        <row r="4904">
          <cell r="A4904" t="str">
            <v>20375.00735</v>
          </cell>
          <cell r="B4904" t="str">
            <v>DEFLECTEUR EXTERIEUR</v>
          </cell>
          <cell r="C4904" t="str">
            <v>TYPE LH-60530 N°DE SERIE: 60981/60982/60983/60984/60985 REP 81</v>
          </cell>
          <cell r="D4904" t="str">
            <v>PE</v>
          </cell>
          <cell r="E4904" t="str">
            <v>515.51503</v>
          </cell>
          <cell r="F4904">
            <v>17732.783200000002</v>
          </cell>
          <cell r="G4904">
            <v>0</v>
          </cell>
          <cell r="H4904">
            <v>0</v>
          </cell>
          <cell r="I4904">
            <v>0</v>
          </cell>
          <cell r="J4904">
            <v>0</v>
          </cell>
          <cell r="K4904">
            <v>1</v>
          </cell>
          <cell r="L4904">
            <v>2</v>
          </cell>
        </row>
        <row r="4905">
          <cell r="A4905" t="str">
            <v>20375.00736</v>
          </cell>
          <cell r="B4905" t="str">
            <v>JEU DE POULIE (MENANTE+MENEE)</v>
          </cell>
          <cell r="C4905" t="str">
            <v>TYPE LH-60530 N°DE SERIE: 60981/60982/60983/60984/60985 SANS REPERE POULIES</v>
          </cell>
          <cell r="D4905" t="str">
            <v>JE</v>
          </cell>
          <cell r="E4905" t="str">
            <v>515.51503</v>
          </cell>
          <cell r="F4905">
            <v>8207.6818000000003</v>
          </cell>
          <cell r="G4905">
            <v>0</v>
          </cell>
          <cell r="H4905">
            <v>2</v>
          </cell>
          <cell r="I4905">
            <v>0</v>
          </cell>
          <cell r="J4905">
            <v>0</v>
          </cell>
          <cell r="K4905">
            <v>2</v>
          </cell>
          <cell r="L4905">
            <v>0</v>
          </cell>
        </row>
        <row r="4906">
          <cell r="A4906" t="str">
            <v>20492.06636</v>
          </cell>
          <cell r="B4906" t="str">
            <v>JEU DE LAMELLES POUR ACCOUPLEMENT</v>
          </cell>
          <cell r="C4906" t="str">
            <v xml:space="preserve">REXNORD TYPE THOMAS SR 52 TAILLE 600 </v>
          </cell>
          <cell r="D4906" t="str">
            <v>PE</v>
          </cell>
          <cell r="E4906" t="str">
            <v>515.51515</v>
          </cell>
          <cell r="F4906">
            <v>65863.27</v>
          </cell>
          <cell r="G4906">
            <v>0</v>
          </cell>
          <cell r="H4906">
            <v>0</v>
          </cell>
          <cell r="I4906">
            <v>0</v>
          </cell>
          <cell r="J4906">
            <v>0</v>
          </cell>
          <cell r="K4906">
            <v>0</v>
          </cell>
          <cell r="L4906">
            <v>2</v>
          </cell>
        </row>
        <row r="4907">
          <cell r="A4907" t="str">
            <v>20376.00511</v>
          </cell>
          <cell r="B4907" t="str">
            <v>CONNECTEUR FORME C</v>
          </cell>
          <cell r="C4907">
            <v>4402050330</v>
          </cell>
          <cell r="D4907" t="str">
            <v>PE</v>
          </cell>
          <cell r="E4907" t="str">
            <v>522.52209</v>
          </cell>
          <cell r="F4907">
            <v>108</v>
          </cell>
          <cell r="G4907">
            <v>0</v>
          </cell>
          <cell r="H4907">
            <v>1</v>
          </cell>
          <cell r="I4907">
            <v>0</v>
          </cell>
          <cell r="J4907">
            <v>0</v>
          </cell>
          <cell r="K4907">
            <v>0</v>
          </cell>
          <cell r="L4907">
            <v>2</v>
          </cell>
        </row>
        <row r="4908">
          <cell r="A4908" t="str">
            <v>20376.00512</v>
          </cell>
          <cell r="B4908" t="str">
            <v>CONNECTEUR FORME C</v>
          </cell>
          <cell r="C4908">
            <v>1834484205</v>
          </cell>
          <cell r="D4908" t="str">
            <v>PE</v>
          </cell>
          <cell r="E4908" t="str">
            <v>522.52209</v>
          </cell>
          <cell r="F4908">
            <v>194</v>
          </cell>
          <cell r="G4908">
            <v>0</v>
          </cell>
          <cell r="H4908">
            <v>0</v>
          </cell>
          <cell r="I4908">
            <v>2</v>
          </cell>
          <cell r="J4908">
            <v>0</v>
          </cell>
          <cell r="K4908">
            <v>3</v>
          </cell>
          <cell r="L4908">
            <v>0</v>
          </cell>
        </row>
        <row r="4909">
          <cell r="A4909" t="str">
            <v>20492.00046</v>
          </cell>
          <cell r="B4909" t="str">
            <v>FILTRE HV 2000 INOX/G2</v>
          </cell>
          <cell r="C4909" t="str">
            <v>AAF 7021000123</v>
          </cell>
          <cell r="D4909" t="str">
            <v>PE</v>
          </cell>
          <cell r="E4909" t="str">
            <v>515.51506</v>
          </cell>
          <cell r="F4909">
            <v>1366.4665</v>
          </cell>
          <cell r="G4909">
            <v>0</v>
          </cell>
          <cell r="H4909">
            <v>0</v>
          </cell>
          <cell r="I4909">
            <v>0</v>
          </cell>
          <cell r="J4909">
            <v>0</v>
          </cell>
          <cell r="K4909">
            <v>0</v>
          </cell>
          <cell r="L4909">
            <v>0</v>
          </cell>
        </row>
        <row r="4910">
          <cell r="A4910" t="str">
            <v>20492.13267</v>
          </cell>
          <cell r="B4910" t="str">
            <v>RELAIS NUM. P/MOTEUR</v>
          </cell>
          <cell r="C4910" t="str">
            <v>EATON MM30/W POUR TABLEAU MT-10KV</v>
          </cell>
          <cell r="D4910" t="str">
            <v>PE</v>
          </cell>
          <cell r="E4910" t="str">
            <v>522.52206</v>
          </cell>
          <cell r="F4910">
            <v>22000</v>
          </cell>
          <cell r="G4910">
            <v>0</v>
          </cell>
          <cell r="H4910">
            <v>0</v>
          </cell>
          <cell r="I4910">
            <v>0</v>
          </cell>
          <cell r="J4910">
            <v>0</v>
          </cell>
          <cell r="K4910">
            <v>0</v>
          </cell>
          <cell r="L4910">
            <v>2</v>
          </cell>
        </row>
        <row r="4911">
          <cell r="A4911" t="str">
            <v>20492.05790</v>
          </cell>
          <cell r="B4911" t="str">
            <v>SIMPLE PLAQUE 0,5MM</v>
          </cell>
          <cell r="C4911" t="str">
            <v>ACM  TYPE S21-IG10-29-TK PLAN 85-06 REP4</v>
          </cell>
          <cell r="D4911" t="str">
            <v>PE</v>
          </cell>
          <cell r="E4911" t="str">
            <v>515.51509</v>
          </cell>
          <cell r="F4911">
            <v>1489.5296000000001</v>
          </cell>
          <cell r="G4911">
            <v>0</v>
          </cell>
          <cell r="H4911">
            <v>0</v>
          </cell>
          <cell r="I4911">
            <v>0</v>
          </cell>
          <cell r="J4911">
            <v>0</v>
          </cell>
          <cell r="K4911">
            <v>0</v>
          </cell>
          <cell r="L4911">
            <v>0</v>
          </cell>
        </row>
        <row r="4912">
          <cell r="A4912" t="str">
            <v>20492.05791</v>
          </cell>
          <cell r="B4912" t="str">
            <v>DERNIERE PLAQUE 0,5MM</v>
          </cell>
          <cell r="C4912" t="str">
            <v>ACM  TYPE S21-IG10-29-TK PLAN 85-06 REP5</v>
          </cell>
          <cell r="D4912" t="str">
            <v>PE</v>
          </cell>
          <cell r="E4912" t="str">
            <v>515.51509</v>
          </cell>
          <cell r="F4912">
            <v>1489.5296000000001</v>
          </cell>
          <cell r="G4912">
            <v>0</v>
          </cell>
          <cell r="H4912">
            <v>0</v>
          </cell>
          <cell r="I4912">
            <v>0</v>
          </cell>
          <cell r="J4912">
            <v>0</v>
          </cell>
          <cell r="K4912">
            <v>0</v>
          </cell>
          <cell r="L4912">
            <v>0</v>
          </cell>
        </row>
        <row r="4913">
          <cell r="A4913" t="str">
            <v>20492.05792</v>
          </cell>
          <cell r="B4913" t="str">
            <v>TIRANT</v>
          </cell>
          <cell r="C4913" t="str">
            <v>ACM  TYPE S21-IG10-29-TK PLAN 85-06 REP6</v>
          </cell>
          <cell r="D4913" t="str">
            <v>PE</v>
          </cell>
          <cell r="E4913" t="str">
            <v>515.51509</v>
          </cell>
          <cell r="F4913">
            <v>122.5</v>
          </cell>
          <cell r="G4913">
            <v>0</v>
          </cell>
          <cell r="H4913">
            <v>0</v>
          </cell>
          <cell r="I4913">
            <v>0</v>
          </cell>
          <cell r="J4913">
            <v>0</v>
          </cell>
          <cell r="K4913">
            <v>0</v>
          </cell>
          <cell r="L4913">
            <v>0</v>
          </cell>
        </row>
        <row r="4914">
          <cell r="A4914" t="str">
            <v>20492.05793</v>
          </cell>
          <cell r="B4914" t="str">
            <v>GUIDE PLAQUE</v>
          </cell>
          <cell r="C4914" t="str">
            <v>ACM  TYPE S21-IG10-29-TK PLAN 85-06 REP8</v>
          </cell>
          <cell r="D4914" t="str">
            <v>PE</v>
          </cell>
          <cell r="E4914" t="str">
            <v>515.51509</v>
          </cell>
          <cell r="F4914">
            <v>555.83000000000004</v>
          </cell>
          <cell r="G4914">
            <v>0</v>
          </cell>
          <cell r="H4914">
            <v>0</v>
          </cell>
          <cell r="I4914">
            <v>0</v>
          </cell>
          <cell r="J4914">
            <v>0</v>
          </cell>
          <cell r="K4914">
            <v>0</v>
          </cell>
          <cell r="L4914">
            <v>6</v>
          </cell>
        </row>
        <row r="4915">
          <cell r="A4915" t="str">
            <v>20492.05794</v>
          </cell>
          <cell r="B4915" t="str">
            <v>PIED SUPPORT</v>
          </cell>
          <cell r="C4915" t="str">
            <v>ACM  TYPE S21-IG10-29-TK PLAN 85-06 REP11</v>
          </cell>
          <cell r="D4915" t="str">
            <v>PE</v>
          </cell>
          <cell r="E4915" t="str">
            <v>515.51509</v>
          </cell>
          <cell r="F4915">
            <v>555.83000000000004</v>
          </cell>
          <cell r="G4915">
            <v>0</v>
          </cell>
          <cell r="H4915">
            <v>0</v>
          </cell>
          <cell r="I4915">
            <v>0</v>
          </cell>
          <cell r="J4915">
            <v>0</v>
          </cell>
          <cell r="K4915">
            <v>0</v>
          </cell>
          <cell r="L4915">
            <v>0</v>
          </cell>
        </row>
        <row r="4916">
          <cell r="A4916" t="str">
            <v>20492.05796</v>
          </cell>
          <cell r="B4916" t="str">
            <v>GOUJONS 5/8" UNC</v>
          </cell>
          <cell r="C4916" t="str">
            <v>ACM  TYPE S21-IG10-29-TK PLAN 85-06 REP13</v>
          </cell>
          <cell r="D4916" t="str">
            <v>PE</v>
          </cell>
          <cell r="E4916" t="str">
            <v>515.51509</v>
          </cell>
          <cell r="F4916">
            <v>175</v>
          </cell>
          <cell r="G4916">
            <v>0</v>
          </cell>
          <cell r="H4916">
            <v>0</v>
          </cell>
          <cell r="I4916">
            <v>0</v>
          </cell>
          <cell r="J4916">
            <v>0</v>
          </cell>
          <cell r="K4916">
            <v>0</v>
          </cell>
          <cell r="L4916">
            <v>160</v>
          </cell>
        </row>
        <row r="4917">
          <cell r="A4917" t="str">
            <v>20492.05797</v>
          </cell>
          <cell r="B4917" t="str">
            <v>JOINT RUBBERLINER SUR BRIDE DN100</v>
          </cell>
          <cell r="C4917" t="str">
            <v>ACM  TYPE S21-IG10-29-TK PLAN 85-06 REP14</v>
          </cell>
          <cell r="D4917" t="str">
            <v>PE</v>
          </cell>
          <cell r="E4917" t="str">
            <v>515.51509</v>
          </cell>
          <cell r="F4917">
            <v>772.34870000000001</v>
          </cell>
          <cell r="G4917">
            <v>0</v>
          </cell>
          <cell r="H4917">
            <v>0</v>
          </cell>
          <cell r="I4917">
            <v>0</v>
          </cell>
          <cell r="J4917">
            <v>0</v>
          </cell>
          <cell r="K4917">
            <v>0</v>
          </cell>
          <cell r="L4917">
            <v>0</v>
          </cell>
        </row>
        <row r="4918">
          <cell r="A4918" t="str">
            <v>20492.13275</v>
          </cell>
          <cell r="B4918" t="str">
            <v>KIT TP</v>
          </cell>
          <cell r="C4918" t="str">
            <v>EATON PACB-3TVVDG690G100  ACCESSOIRES POUR TABLEAU MCC</v>
          </cell>
          <cell r="D4918" t="str">
            <v>PE</v>
          </cell>
          <cell r="E4918" t="str">
            <v>522.52206</v>
          </cell>
          <cell r="F4918">
            <v>3838.3332999999998</v>
          </cell>
          <cell r="G4918">
            <v>0</v>
          </cell>
          <cell r="H4918">
            <v>0</v>
          </cell>
          <cell r="I4918">
            <v>0</v>
          </cell>
          <cell r="J4918">
            <v>0</v>
          </cell>
          <cell r="K4918">
            <v>0</v>
          </cell>
          <cell r="L4918">
            <v>3</v>
          </cell>
        </row>
        <row r="4919">
          <cell r="A4919" t="str">
            <v>20492.13277</v>
          </cell>
          <cell r="B4919" t="str">
            <v>POLE COMPLET POUR DISJONCTEUR UT 1250</v>
          </cell>
          <cell r="C4919" t="str">
            <v>EATON PDC1231-DUT POUR TABLEAU MT-10KV</v>
          </cell>
          <cell r="D4919" t="str">
            <v>PE</v>
          </cell>
          <cell r="E4919" t="str">
            <v>522.52206</v>
          </cell>
          <cell r="F4919">
            <v>28200</v>
          </cell>
          <cell r="G4919">
            <v>0</v>
          </cell>
          <cell r="H4919">
            <v>0</v>
          </cell>
          <cell r="I4919">
            <v>0</v>
          </cell>
          <cell r="J4919">
            <v>0</v>
          </cell>
          <cell r="K4919">
            <v>0</v>
          </cell>
          <cell r="L4919">
            <v>1</v>
          </cell>
        </row>
        <row r="4920">
          <cell r="A4920" t="str">
            <v>20492.13278</v>
          </cell>
          <cell r="B4920" t="str">
            <v>POLE COMPLET POUR DISJONCTEUR UT 2500</v>
          </cell>
          <cell r="C4920" t="str">
            <v>EATON PDC2531-DUT POUR TABLEAU MT-10KV</v>
          </cell>
          <cell r="D4920" t="str">
            <v>PE</v>
          </cell>
          <cell r="E4920" t="str">
            <v>522.52206</v>
          </cell>
          <cell r="F4920">
            <v>37318</v>
          </cell>
          <cell r="G4920">
            <v>0</v>
          </cell>
          <cell r="H4920">
            <v>0</v>
          </cell>
          <cell r="I4920">
            <v>0</v>
          </cell>
          <cell r="J4920">
            <v>0</v>
          </cell>
          <cell r="K4920">
            <v>0</v>
          </cell>
          <cell r="L4920">
            <v>1</v>
          </cell>
        </row>
        <row r="4921">
          <cell r="A4921" t="str">
            <v>20492.13279</v>
          </cell>
          <cell r="B4921" t="str">
            <v>RELAIS NUMERIQUES</v>
          </cell>
          <cell r="C4921" t="str">
            <v>EATON RNI020A-180A  ACCESSOIRES POUR TABLEAU MCC</v>
          </cell>
          <cell r="D4921" t="str">
            <v>PE</v>
          </cell>
          <cell r="E4921" t="str">
            <v>522.52206</v>
          </cell>
          <cell r="F4921">
            <v>10881</v>
          </cell>
          <cell r="G4921">
            <v>0</v>
          </cell>
          <cell r="H4921">
            <v>0</v>
          </cell>
          <cell r="I4921">
            <v>0</v>
          </cell>
          <cell r="J4921">
            <v>0</v>
          </cell>
          <cell r="K4921">
            <v>0</v>
          </cell>
          <cell r="L4921">
            <v>0</v>
          </cell>
        </row>
        <row r="4922">
          <cell r="A4922" t="str">
            <v>20492.12609</v>
          </cell>
          <cell r="B4922" t="str">
            <v>COUSSINET</v>
          </cell>
          <cell r="C4922" t="str">
            <v>DRESSER ROOTS  REF 13336001 REP207</v>
          </cell>
          <cell r="D4922" t="str">
            <v>PE</v>
          </cell>
          <cell r="E4922" t="str">
            <v>515.51517</v>
          </cell>
          <cell r="F4922">
            <v>580883.8652</v>
          </cell>
          <cell r="G4922">
            <v>0</v>
          </cell>
          <cell r="H4922">
            <v>0</v>
          </cell>
          <cell r="I4922">
            <v>0</v>
          </cell>
          <cell r="J4922">
            <v>0</v>
          </cell>
          <cell r="K4922">
            <v>0</v>
          </cell>
          <cell r="L4922">
            <v>0</v>
          </cell>
        </row>
        <row r="4923">
          <cell r="A4923" t="str">
            <v>20329.01196</v>
          </cell>
          <cell r="B4923" t="str">
            <v>ROULEMENT A UNE RANGEE DE ROULEAUX CONIQUE  Ø180</v>
          </cell>
          <cell r="C4923" t="str">
            <v>32936A</v>
          </cell>
          <cell r="D4923" t="str">
            <v>PE</v>
          </cell>
          <cell r="E4923" t="str">
            <v>515.51515</v>
          </cell>
          <cell r="F4923">
            <v>2196.08</v>
          </cell>
          <cell r="G4923">
            <v>0</v>
          </cell>
          <cell r="H4923">
            <v>0</v>
          </cell>
          <cell r="I4923">
            <v>0</v>
          </cell>
          <cell r="J4923">
            <v>0</v>
          </cell>
          <cell r="K4923">
            <v>0</v>
          </cell>
          <cell r="L4923">
            <v>1</v>
          </cell>
        </row>
        <row r="4924">
          <cell r="A4924" t="str">
            <v>20340.00910</v>
          </cell>
          <cell r="B4924" t="str">
            <v>RELAIS AUXILIAIRE 220 50H</v>
          </cell>
          <cell r="C4924" t="str">
            <v>700-HA33A03-3-4</v>
          </cell>
          <cell r="D4924" t="str">
            <v>PE</v>
          </cell>
          <cell r="E4924" t="str">
            <v>522.52206</v>
          </cell>
          <cell r="F4924">
            <v>123</v>
          </cell>
          <cell r="G4924">
            <v>0</v>
          </cell>
          <cell r="H4924">
            <v>0</v>
          </cell>
          <cell r="I4924">
            <v>0</v>
          </cell>
          <cell r="J4924">
            <v>0</v>
          </cell>
          <cell r="K4924">
            <v>0</v>
          </cell>
          <cell r="L4924">
            <v>13</v>
          </cell>
        </row>
        <row r="4925">
          <cell r="A4925" t="str">
            <v>20492.05408</v>
          </cell>
          <cell r="B4925" t="str">
            <v>RELEVEUR</v>
          </cell>
          <cell r="C4925" t="str">
            <v>METSO  31-415769102</v>
          </cell>
          <cell r="D4925" t="str">
            <v>PE</v>
          </cell>
          <cell r="E4925" t="str">
            <v>522.52207</v>
          </cell>
          <cell r="F4925">
            <v>3657.4276</v>
          </cell>
          <cell r="G4925">
            <v>0</v>
          </cell>
          <cell r="H4925">
            <v>0</v>
          </cell>
          <cell r="I4925">
            <v>0</v>
          </cell>
          <cell r="J4925">
            <v>0</v>
          </cell>
          <cell r="K4925">
            <v>0</v>
          </cell>
          <cell r="L4925">
            <v>2</v>
          </cell>
        </row>
        <row r="4926">
          <cell r="A4926" t="str">
            <v>20492.05409</v>
          </cell>
          <cell r="B4926" t="str">
            <v>JOINT PORTE DE VISITE</v>
          </cell>
          <cell r="C4926" t="str">
            <v>METSO  31-406749192</v>
          </cell>
          <cell r="D4926" t="str">
            <v>PE</v>
          </cell>
          <cell r="E4926" t="str">
            <v>522.52207</v>
          </cell>
          <cell r="F4926">
            <v>1223.0543</v>
          </cell>
          <cell r="G4926">
            <v>0</v>
          </cell>
          <cell r="H4926">
            <v>0</v>
          </cell>
          <cell r="I4926">
            <v>0</v>
          </cell>
          <cell r="J4926">
            <v>0</v>
          </cell>
          <cell r="K4926">
            <v>0</v>
          </cell>
          <cell r="L4926">
            <v>0</v>
          </cell>
        </row>
        <row r="4927">
          <cell r="A4927" t="str">
            <v>20492.05414</v>
          </cell>
          <cell r="B4927" t="str">
            <v>RONDELLE FREIN</v>
          </cell>
          <cell r="C4927" t="str">
            <v>METSO  31-216740</v>
          </cell>
          <cell r="D4927" t="str">
            <v>PE</v>
          </cell>
          <cell r="E4927" t="str">
            <v>522.52207</v>
          </cell>
          <cell r="F4927">
            <v>45.433900000000001</v>
          </cell>
          <cell r="G4927">
            <v>0</v>
          </cell>
          <cell r="H4927">
            <v>0</v>
          </cell>
          <cell r="I4927">
            <v>0</v>
          </cell>
          <cell r="J4927">
            <v>0</v>
          </cell>
          <cell r="K4927">
            <v>0</v>
          </cell>
          <cell r="L4927">
            <v>286</v>
          </cell>
        </row>
        <row r="4928">
          <cell r="A4928" t="str">
            <v>20492.05415</v>
          </cell>
          <cell r="B4928" t="str">
            <v>ATTACHE DE PROTECTION</v>
          </cell>
          <cell r="C4928" t="str">
            <v>METSO  31-406871</v>
          </cell>
          <cell r="D4928" t="str">
            <v>PE</v>
          </cell>
          <cell r="E4928" t="str">
            <v>522.52207</v>
          </cell>
          <cell r="F4928">
            <v>22.716899999999999</v>
          </cell>
          <cell r="G4928">
            <v>0</v>
          </cell>
          <cell r="H4928">
            <v>0</v>
          </cell>
          <cell r="I4928">
            <v>0</v>
          </cell>
          <cell r="J4928">
            <v>0</v>
          </cell>
          <cell r="K4928">
            <v>0</v>
          </cell>
          <cell r="L4928">
            <v>120</v>
          </cell>
        </row>
        <row r="4929">
          <cell r="A4929" t="str">
            <v>20329.01509</v>
          </cell>
          <cell r="B4929" t="str">
            <v>ROULEMENT A ROULEAUX CONIQUE</v>
          </cell>
          <cell r="C4929" t="str">
            <v>T4EE 160</v>
          </cell>
          <cell r="D4929" t="str">
            <v>PE</v>
          </cell>
          <cell r="E4929" t="str">
            <v>515.51515</v>
          </cell>
          <cell r="F4929">
            <v>3914.4335000000001</v>
          </cell>
          <cell r="G4929">
            <v>0</v>
          </cell>
          <cell r="H4929">
            <v>0</v>
          </cell>
          <cell r="I4929">
            <v>0</v>
          </cell>
          <cell r="J4929">
            <v>0</v>
          </cell>
          <cell r="K4929">
            <v>0</v>
          </cell>
          <cell r="L4929">
            <v>1</v>
          </cell>
        </row>
        <row r="4930">
          <cell r="A4930" t="str">
            <v>20329.04414</v>
          </cell>
          <cell r="B4930" t="str">
            <v>ROULEMENT</v>
          </cell>
          <cell r="C4930" t="str">
            <v>645/632</v>
          </cell>
          <cell r="D4930" t="str">
            <v>PE</v>
          </cell>
          <cell r="E4930" t="str">
            <v>515.51515</v>
          </cell>
          <cell r="F4930">
            <v>837</v>
          </cell>
          <cell r="G4930">
            <v>0</v>
          </cell>
          <cell r="H4930">
            <v>2</v>
          </cell>
          <cell r="I4930">
            <v>0</v>
          </cell>
          <cell r="J4930">
            <v>0</v>
          </cell>
          <cell r="K4930">
            <v>0</v>
          </cell>
          <cell r="L4930">
            <v>0</v>
          </cell>
        </row>
        <row r="4931">
          <cell r="A4931" t="str">
            <v>20329.04416</v>
          </cell>
          <cell r="B4931" t="str">
            <v>ROULEMENT</v>
          </cell>
          <cell r="C4931" t="str">
            <v>67787/67720CD/X1S-67787</v>
          </cell>
          <cell r="D4931" t="str">
            <v>PE</v>
          </cell>
          <cell r="E4931" t="str">
            <v>515.51515</v>
          </cell>
          <cell r="F4931">
            <v>13495</v>
          </cell>
          <cell r="G4931">
            <v>0</v>
          </cell>
          <cell r="H4931">
            <v>0</v>
          </cell>
          <cell r="I4931">
            <v>0</v>
          </cell>
          <cell r="J4931">
            <v>0</v>
          </cell>
          <cell r="K4931">
            <v>2</v>
          </cell>
          <cell r="L4931">
            <v>0</v>
          </cell>
        </row>
        <row r="4932">
          <cell r="A4932" t="str">
            <v>20329.04413</v>
          </cell>
          <cell r="B4932" t="str">
            <v>ROULEMENT</v>
          </cell>
          <cell r="C4932" t="str">
            <v>6580/6535</v>
          </cell>
          <cell r="D4932" t="str">
            <v>PE</v>
          </cell>
          <cell r="E4932" t="str">
            <v>515.51515</v>
          </cell>
          <cell r="F4932">
            <v>218.57990000000001</v>
          </cell>
          <cell r="G4932">
            <v>0</v>
          </cell>
          <cell r="H4932">
            <v>0</v>
          </cell>
          <cell r="I4932">
            <v>0</v>
          </cell>
          <cell r="J4932">
            <v>0</v>
          </cell>
          <cell r="K4932">
            <v>0</v>
          </cell>
          <cell r="L4932">
            <v>2</v>
          </cell>
        </row>
        <row r="4933">
          <cell r="A4933" t="str">
            <v>20492.11017</v>
          </cell>
          <cell r="B4933" t="str">
            <v>RELAIS DE TEMPERATURE</v>
          </cell>
          <cell r="C4933" t="str">
            <v>MICROENER TEMON 4</v>
          </cell>
          <cell r="D4933" t="str">
            <v>PE</v>
          </cell>
          <cell r="E4933" t="str">
            <v>512.51201</v>
          </cell>
          <cell r="F4933">
            <v>7996.8</v>
          </cell>
          <cell r="G4933">
            <v>0</v>
          </cell>
          <cell r="H4933">
            <v>0</v>
          </cell>
          <cell r="I4933">
            <v>0</v>
          </cell>
          <cell r="J4933">
            <v>0</v>
          </cell>
          <cell r="K4933">
            <v>0</v>
          </cell>
          <cell r="L4933">
            <v>0</v>
          </cell>
        </row>
        <row r="4934">
          <cell r="A4934" t="str">
            <v>20492.11018</v>
          </cell>
          <cell r="B4934" t="str">
            <v>RELAIS</v>
          </cell>
          <cell r="C4934" t="str">
            <v>MICROENER UFM /1S10</v>
          </cell>
          <cell r="D4934" t="str">
            <v>PE</v>
          </cell>
          <cell r="E4934" t="str">
            <v>512.51201</v>
          </cell>
          <cell r="F4934">
            <v>41983.199999999997</v>
          </cell>
          <cell r="G4934">
            <v>0</v>
          </cell>
          <cell r="H4934">
            <v>0</v>
          </cell>
          <cell r="I4934">
            <v>0</v>
          </cell>
          <cell r="J4934">
            <v>0</v>
          </cell>
          <cell r="K4934">
            <v>0</v>
          </cell>
          <cell r="L4934">
            <v>0</v>
          </cell>
        </row>
        <row r="4935">
          <cell r="A4935" t="str">
            <v>20492.11019</v>
          </cell>
          <cell r="B4935" t="str">
            <v>RELAIS</v>
          </cell>
          <cell r="C4935" t="str">
            <v>MICROENER MC20</v>
          </cell>
          <cell r="D4935" t="str">
            <v>PE</v>
          </cell>
          <cell r="E4935" t="str">
            <v>512.51201</v>
          </cell>
          <cell r="F4935">
            <v>12936</v>
          </cell>
          <cell r="G4935">
            <v>0</v>
          </cell>
          <cell r="H4935">
            <v>0</v>
          </cell>
          <cell r="I4935">
            <v>0</v>
          </cell>
          <cell r="J4935">
            <v>0</v>
          </cell>
          <cell r="K4935">
            <v>0</v>
          </cell>
          <cell r="L4935">
            <v>2</v>
          </cell>
        </row>
        <row r="4936">
          <cell r="A4936" t="str">
            <v>20492.05852</v>
          </cell>
          <cell r="B4936" t="str">
            <v>JOINT D'ETANCHEITE</v>
          </cell>
          <cell r="C4936" t="str">
            <v>DRESSER ROOTS PLAN NP2151/C REP4</v>
          </cell>
          <cell r="D4936" t="str">
            <v>PE</v>
          </cell>
          <cell r="E4936" t="str">
            <v>515.51517</v>
          </cell>
          <cell r="F4936">
            <v>2992.4865</v>
          </cell>
          <cell r="G4936">
            <v>0</v>
          </cell>
          <cell r="H4936">
            <v>0</v>
          </cell>
          <cell r="I4936">
            <v>0</v>
          </cell>
          <cell r="J4936">
            <v>0</v>
          </cell>
          <cell r="K4936">
            <v>0</v>
          </cell>
          <cell r="L4936">
            <v>1</v>
          </cell>
        </row>
        <row r="4937">
          <cell r="A4937" t="str">
            <v>20329.00576</v>
          </cell>
          <cell r="B4937" t="str">
            <v>ROULEMENT A ROULEAUX CONI</v>
          </cell>
          <cell r="C4937">
            <v>32217</v>
          </cell>
          <cell r="D4937" t="str">
            <v>PE</v>
          </cell>
          <cell r="E4937" t="str">
            <v>515.51515</v>
          </cell>
          <cell r="F4937">
            <v>288.86</v>
          </cell>
          <cell r="G4937">
            <v>0</v>
          </cell>
          <cell r="H4937">
            <v>0</v>
          </cell>
          <cell r="I4937">
            <v>0</v>
          </cell>
          <cell r="J4937">
            <v>0</v>
          </cell>
          <cell r="K4937">
            <v>0</v>
          </cell>
          <cell r="L4937">
            <v>2</v>
          </cell>
        </row>
        <row r="4938">
          <cell r="A4938" t="str">
            <v>20492.13726</v>
          </cell>
          <cell r="B4938" t="str">
            <v>ACCOUPLEMENT DE L'ARBRE DE LA POMPE D'HUILE HAUTE PRESSION</v>
          </cell>
          <cell r="C4938" t="str">
            <v>METSO REF 04-136356 POUR SYSTÉME DE LUBRIFICATION DES PALIERS DE TOURILLON PLAN05-057596 DU BROYEUR MINERALS  9'X14'</v>
          </cell>
          <cell r="D4938" t="str">
            <v>PE</v>
          </cell>
          <cell r="E4938" t="str">
            <v>522.52207</v>
          </cell>
          <cell r="F4938">
            <v>2183.5572999999999</v>
          </cell>
          <cell r="G4938">
            <v>0</v>
          </cell>
          <cell r="H4938">
            <v>0</v>
          </cell>
          <cell r="I4938">
            <v>0</v>
          </cell>
          <cell r="J4938">
            <v>0</v>
          </cell>
          <cell r="K4938">
            <v>0</v>
          </cell>
          <cell r="L4938">
            <v>0</v>
          </cell>
        </row>
        <row r="4939">
          <cell r="A4939" t="str">
            <v>20329.00319</v>
          </cell>
          <cell r="B4939" t="str">
            <v>CUVETTE</v>
          </cell>
          <cell r="C4939" t="str">
            <v>394A</v>
          </cell>
          <cell r="D4939" t="str">
            <v>PE</v>
          </cell>
          <cell r="E4939" t="str">
            <v>515.51515</v>
          </cell>
          <cell r="F4939">
            <v>115</v>
          </cell>
          <cell r="G4939">
            <v>0</v>
          </cell>
          <cell r="H4939">
            <v>0</v>
          </cell>
          <cell r="I4939">
            <v>0</v>
          </cell>
          <cell r="J4939">
            <v>0</v>
          </cell>
          <cell r="K4939">
            <v>2</v>
          </cell>
          <cell r="L4939">
            <v>2</v>
          </cell>
        </row>
        <row r="4940">
          <cell r="A4940" t="str">
            <v>20323.07486</v>
          </cell>
          <cell r="B4940" t="str">
            <v>CONTACTEUR TRIPOLAIRE</v>
          </cell>
          <cell r="C4940" t="str">
            <v>LC1-D18P7</v>
          </cell>
          <cell r="D4940" t="str">
            <v>PE</v>
          </cell>
          <cell r="E4940" t="str">
            <v>522.52206</v>
          </cell>
          <cell r="F4940">
            <v>287.49599999999998</v>
          </cell>
          <cell r="G4940">
            <v>0</v>
          </cell>
          <cell r="H4940">
            <v>0</v>
          </cell>
          <cell r="I4940">
            <v>0</v>
          </cell>
          <cell r="J4940">
            <v>0</v>
          </cell>
          <cell r="K4940">
            <v>0</v>
          </cell>
          <cell r="L4940">
            <v>1</v>
          </cell>
        </row>
        <row r="4941">
          <cell r="A4941" t="str">
            <v>20323.07487</v>
          </cell>
          <cell r="B4941" t="str">
            <v>VERROUILLAGE MECANIQUE</v>
          </cell>
          <cell r="C4941" t="str">
            <v>LAD-9R1V</v>
          </cell>
          <cell r="D4941" t="str">
            <v>PE</v>
          </cell>
          <cell r="E4941" t="str">
            <v>522.52206</v>
          </cell>
          <cell r="F4941">
            <v>112.392</v>
          </cell>
          <cell r="G4941">
            <v>0</v>
          </cell>
          <cell r="H4941">
            <v>0</v>
          </cell>
          <cell r="I4941">
            <v>0</v>
          </cell>
          <cell r="J4941">
            <v>0</v>
          </cell>
          <cell r="K4941">
            <v>1</v>
          </cell>
          <cell r="L4941">
            <v>0</v>
          </cell>
        </row>
        <row r="4942">
          <cell r="A4942" t="str">
            <v>20323.07488</v>
          </cell>
          <cell r="B4942" t="str">
            <v>ARRET D'URGENCE</v>
          </cell>
          <cell r="C4942" t="str">
            <v>XAL-K178G</v>
          </cell>
          <cell r="D4942" t="str">
            <v>PE</v>
          </cell>
          <cell r="E4942" t="str">
            <v>522.52206</v>
          </cell>
          <cell r="F4942">
            <v>150.876</v>
          </cell>
          <cell r="G4942">
            <v>0</v>
          </cell>
          <cell r="H4942">
            <v>0</v>
          </cell>
          <cell r="I4942">
            <v>0</v>
          </cell>
          <cell r="J4942">
            <v>0</v>
          </cell>
          <cell r="K4942">
            <v>0</v>
          </cell>
          <cell r="L4942">
            <v>7</v>
          </cell>
        </row>
        <row r="4943">
          <cell r="A4943" t="str">
            <v>20323.07489</v>
          </cell>
          <cell r="B4943" t="str">
            <v>DISJONCTEUR</v>
          </cell>
          <cell r="C4943" t="str">
            <v>GV2-ME14</v>
          </cell>
          <cell r="D4943" t="str">
            <v>PE</v>
          </cell>
          <cell r="E4943" t="str">
            <v>522.52206</v>
          </cell>
          <cell r="F4943">
            <v>463.32</v>
          </cell>
          <cell r="G4943">
            <v>0</v>
          </cell>
          <cell r="H4943">
            <v>0</v>
          </cell>
          <cell r="I4943">
            <v>0</v>
          </cell>
          <cell r="J4943">
            <v>0</v>
          </cell>
          <cell r="K4943">
            <v>0</v>
          </cell>
          <cell r="L4943">
            <v>1</v>
          </cell>
        </row>
        <row r="4944">
          <cell r="A4944" t="str">
            <v>20323.07490</v>
          </cell>
          <cell r="B4944" t="str">
            <v>DISJONCTEUR</v>
          </cell>
          <cell r="C4944" t="str">
            <v>GB2-DB07</v>
          </cell>
          <cell r="D4944" t="str">
            <v>PE</v>
          </cell>
          <cell r="E4944" t="str">
            <v>522.52206</v>
          </cell>
          <cell r="F4944">
            <v>261.36</v>
          </cell>
          <cell r="G4944">
            <v>0</v>
          </cell>
          <cell r="H4944">
            <v>0</v>
          </cell>
          <cell r="I4944">
            <v>0</v>
          </cell>
          <cell r="J4944">
            <v>0</v>
          </cell>
          <cell r="K4944">
            <v>0</v>
          </cell>
          <cell r="L4944">
            <v>3</v>
          </cell>
        </row>
        <row r="4945">
          <cell r="A4945" t="str">
            <v>20323.07491</v>
          </cell>
          <cell r="B4945" t="str">
            <v>DISJONCTEUR</v>
          </cell>
          <cell r="C4945" t="str">
            <v>GB2-CD07</v>
          </cell>
          <cell r="D4945" t="str">
            <v>PE</v>
          </cell>
          <cell r="E4945" t="str">
            <v>522.52206</v>
          </cell>
          <cell r="F4945">
            <v>235.22399999999999</v>
          </cell>
          <cell r="G4945">
            <v>0</v>
          </cell>
          <cell r="H4945">
            <v>0</v>
          </cell>
          <cell r="I4945">
            <v>0</v>
          </cell>
          <cell r="J4945">
            <v>0</v>
          </cell>
          <cell r="K4945">
            <v>0</v>
          </cell>
          <cell r="L4945">
            <v>3</v>
          </cell>
        </row>
        <row r="4946">
          <cell r="A4946" t="str">
            <v>20323.07492</v>
          </cell>
          <cell r="B4946" t="str">
            <v>DISJONCTEUR</v>
          </cell>
          <cell r="C4946" t="str">
            <v>GB2-DB06</v>
          </cell>
          <cell r="D4946" t="str">
            <v>PE</v>
          </cell>
          <cell r="E4946" t="str">
            <v>522.52206</v>
          </cell>
          <cell r="F4946">
            <v>269.67599999999999</v>
          </cell>
          <cell r="G4946">
            <v>0</v>
          </cell>
          <cell r="H4946">
            <v>0</v>
          </cell>
          <cell r="I4946">
            <v>0</v>
          </cell>
          <cell r="J4946">
            <v>0</v>
          </cell>
          <cell r="K4946">
            <v>0</v>
          </cell>
          <cell r="L4946">
            <v>3</v>
          </cell>
        </row>
        <row r="4947">
          <cell r="A4947" t="str">
            <v>20323.07493</v>
          </cell>
          <cell r="B4947" t="str">
            <v>RELAIS A DEUX BOBINES</v>
          </cell>
          <cell r="C4947" t="str">
            <v>XPS-AC3721</v>
          </cell>
          <cell r="D4947" t="str">
            <v>PE</v>
          </cell>
          <cell r="E4947" t="str">
            <v>522.52206</v>
          </cell>
          <cell r="F4947">
            <v>1009.8</v>
          </cell>
          <cell r="G4947">
            <v>0</v>
          </cell>
          <cell r="H4947">
            <v>0</v>
          </cell>
          <cell r="I4947">
            <v>0</v>
          </cell>
          <cell r="J4947">
            <v>0</v>
          </cell>
          <cell r="K4947">
            <v>0</v>
          </cell>
          <cell r="L4947">
            <v>2</v>
          </cell>
        </row>
        <row r="4948">
          <cell r="A4948" t="str">
            <v>20323.07614</v>
          </cell>
          <cell r="B4948" t="str">
            <v>UNITE DE CONTRÔLE 24 VDC</v>
          </cell>
          <cell r="C4948" t="str">
            <v>LTMCU</v>
          </cell>
          <cell r="D4948" t="str">
            <v>PE</v>
          </cell>
          <cell r="E4948" t="str">
            <v>522.52206</v>
          </cell>
          <cell r="F4948">
            <v>820</v>
          </cell>
          <cell r="G4948">
            <v>0</v>
          </cell>
          <cell r="H4948">
            <v>1</v>
          </cell>
          <cell r="I4948">
            <v>0</v>
          </cell>
          <cell r="J4948">
            <v>0</v>
          </cell>
          <cell r="K4948">
            <v>0</v>
          </cell>
          <cell r="L4948">
            <v>2</v>
          </cell>
        </row>
        <row r="4949">
          <cell r="A4949" t="str">
            <v>20492.08537</v>
          </cell>
          <cell r="B4949" t="str">
            <v>BLOC D'ALIMENTATION</v>
          </cell>
          <cell r="C4949" t="str">
            <v>CROUZET 88  950 301</v>
          </cell>
          <cell r="D4949" t="str">
            <v>PE</v>
          </cell>
          <cell r="E4949" t="str">
            <v>522.52206</v>
          </cell>
          <cell r="F4949">
            <v>1548</v>
          </cell>
          <cell r="G4949">
            <v>0</v>
          </cell>
          <cell r="H4949">
            <v>0</v>
          </cell>
          <cell r="I4949">
            <v>0</v>
          </cell>
          <cell r="J4949">
            <v>0</v>
          </cell>
          <cell r="K4949">
            <v>0</v>
          </cell>
          <cell r="L4949">
            <v>0</v>
          </cell>
        </row>
        <row r="4950">
          <cell r="A4950" t="str">
            <v>20325.00508</v>
          </cell>
          <cell r="B4950" t="str">
            <v>ROULEMENT A ROTULE/RLX</v>
          </cell>
          <cell r="C4950" t="str">
            <v>22226 E CC/W33</v>
          </cell>
          <cell r="D4950" t="str">
            <v>PE</v>
          </cell>
          <cell r="E4950" t="str">
            <v>515.51515</v>
          </cell>
          <cell r="F4950">
            <v>1614.84</v>
          </cell>
          <cell r="G4950">
            <v>0</v>
          </cell>
          <cell r="H4950">
            <v>0</v>
          </cell>
          <cell r="I4950">
            <v>0</v>
          </cell>
          <cell r="J4950">
            <v>0</v>
          </cell>
          <cell r="K4950">
            <v>0</v>
          </cell>
          <cell r="L4950">
            <v>1</v>
          </cell>
        </row>
        <row r="4951">
          <cell r="A4951" t="str">
            <v>20325.01600</v>
          </cell>
          <cell r="B4951" t="str">
            <v>ROULEMENT A ROTULE/RLX</v>
          </cell>
          <cell r="C4951" t="str">
            <v>23226 CJ</v>
          </cell>
          <cell r="D4951" t="str">
            <v>PE</v>
          </cell>
          <cell r="E4951" t="str">
            <v>515.51515</v>
          </cell>
          <cell r="F4951">
            <v>1820.925</v>
          </cell>
          <cell r="G4951">
            <v>0</v>
          </cell>
          <cell r="H4951">
            <v>0</v>
          </cell>
          <cell r="I4951">
            <v>0</v>
          </cell>
          <cell r="J4951">
            <v>0</v>
          </cell>
          <cell r="K4951">
            <v>0</v>
          </cell>
          <cell r="L4951">
            <v>2</v>
          </cell>
        </row>
        <row r="4952">
          <cell r="A4952" t="str">
            <v>20325.01155</v>
          </cell>
          <cell r="B4952" t="str">
            <v>ROULEMENT A BILLES</v>
          </cell>
          <cell r="C4952" t="str">
            <v>6309/C3</v>
          </cell>
          <cell r="D4952" t="str">
            <v>PE</v>
          </cell>
          <cell r="E4952" t="str">
            <v>515.51515</v>
          </cell>
          <cell r="F4952">
            <v>104.9774</v>
          </cell>
          <cell r="G4952">
            <v>0</v>
          </cell>
          <cell r="H4952">
            <v>0</v>
          </cell>
          <cell r="I4952">
            <v>0</v>
          </cell>
          <cell r="J4952">
            <v>0</v>
          </cell>
          <cell r="K4952">
            <v>0</v>
          </cell>
          <cell r="L4952">
            <v>16</v>
          </cell>
        </row>
        <row r="4953">
          <cell r="A4953" t="str">
            <v>20325.01156</v>
          </cell>
          <cell r="B4953" t="str">
            <v>ROULEMENT A BILLES</v>
          </cell>
          <cell r="C4953" t="str">
            <v>6310/C3</v>
          </cell>
          <cell r="D4953" t="str">
            <v>PE</v>
          </cell>
          <cell r="E4953" t="str">
            <v>515.51515</v>
          </cell>
          <cell r="F4953">
            <v>156.82830000000001</v>
          </cell>
          <cell r="G4953">
            <v>0</v>
          </cell>
          <cell r="H4953">
            <v>0</v>
          </cell>
          <cell r="I4953">
            <v>0</v>
          </cell>
          <cell r="J4953">
            <v>0</v>
          </cell>
          <cell r="K4953">
            <v>0</v>
          </cell>
          <cell r="L4953">
            <v>4</v>
          </cell>
        </row>
        <row r="4954">
          <cell r="A4954" t="str">
            <v>20325.01157</v>
          </cell>
          <cell r="B4954" t="str">
            <v>ROULEMENT A BILLES</v>
          </cell>
          <cell r="C4954" t="str">
            <v>6313/C3</v>
          </cell>
          <cell r="D4954" t="str">
            <v>PE</v>
          </cell>
          <cell r="E4954" t="str">
            <v>515.51515</v>
          </cell>
          <cell r="F4954">
            <v>294.8603</v>
          </cell>
          <cell r="G4954">
            <v>0</v>
          </cell>
          <cell r="H4954">
            <v>0</v>
          </cell>
          <cell r="I4954">
            <v>0</v>
          </cell>
          <cell r="J4954">
            <v>0</v>
          </cell>
          <cell r="K4954">
            <v>6</v>
          </cell>
          <cell r="L4954">
            <v>0</v>
          </cell>
        </row>
        <row r="4955">
          <cell r="A4955" t="str">
            <v>20492.05449</v>
          </cell>
          <cell r="B4955" t="str">
            <v>ANNEAU DU SUPPORT INFERIEUR EN ACIER</v>
          </cell>
          <cell r="C4955" t="str">
            <v>HAYWARD PLAN:SD2596-36 REP16 P/FILTRE TYPE 2596/36" SERIE N°2596.36.02200P</v>
          </cell>
          <cell r="D4955" t="str">
            <v>PE</v>
          </cell>
          <cell r="E4955" t="str">
            <v>515.51506</v>
          </cell>
          <cell r="F4955">
            <v>1300</v>
          </cell>
          <cell r="G4955">
            <v>0</v>
          </cell>
          <cell r="H4955">
            <v>0</v>
          </cell>
          <cell r="I4955">
            <v>0</v>
          </cell>
          <cell r="J4955">
            <v>1</v>
          </cell>
          <cell r="K4955">
            <v>0</v>
          </cell>
          <cell r="L4955">
            <v>1</v>
          </cell>
        </row>
        <row r="4956">
          <cell r="A4956" t="str">
            <v>20492.05450</v>
          </cell>
          <cell r="B4956" t="str">
            <v>COUSSINET INFERIEUR EN COMPOSITE</v>
          </cell>
          <cell r="C4956" t="str">
            <v>HAYWARD PLAN:SD2596-36 REP17 P/FILTRE TYPE 2596/36" SERIE N°2596.36.02200P</v>
          </cell>
          <cell r="D4956" t="str">
            <v>PE</v>
          </cell>
          <cell r="E4956" t="str">
            <v>515.51506</v>
          </cell>
          <cell r="F4956">
            <v>9800</v>
          </cell>
          <cell r="G4956">
            <v>0</v>
          </cell>
          <cell r="H4956">
            <v>0</v>
          </cell>
          <cell r="I4956">
            <v>0</v>
          </cell>
          <cell r="J4956">
            <v>1</v>
          </cell>
          <cell r="K4956">
            <v>0</v>
          </cell>
          <cell r="L4956">
            <v>2</v>
          </cell>
        </row>
        <row r="4957">
          <cell r="A4957" t="str">
            <v>20492.05453</v>
          </cell>
          <cell r="B4957" t="str">
            <v>GOUPILLE FENDUE EN INOX</v>
          </cell>
          <cell r="C4957" t="str">
            <v>HAYWARD PLAN:SD2596-36 REP20 P/FILTRE TYPE 2596/36" SERIE N°2596.36.02200P</v>
          </cell>
          <cell r="D4957" t="str">
            <v>PE</v>
          </cell>
          <cell r="E4957" t="str">
            <v>515.51506</v>
          </cell>
          <cell r="F4957">
            <v>500</v>
          </cell>
          <cell r="G4957">
            <v>0</v>
          </cell>
          <cell r="H4957">
            <v>0</v>
          </cell>
          <cell r="I4957">
            <v>0</v>
          </cell>
          <cell r="J4957">
            <v>0</v>
          </cell>
          <cell r="K4957">
            <v>0</v>
          </cell>
          <cell r="L4957">
            <v>3</v>
          </cell>
        </row>
        <row r="4958">
          <cell r="A4958" t="str">
            <v>20492.05436</v>
          </cell>
          <cell r="B4958" t="str">
            <v>ECROU DU BRAS B/W EN INOX</v>
          </cell>
          <cell r="C4958" t="str">
            <v>HAYWARD PLAN:SD2596-36 REP8 P/FILTRE TYPE 2596/36" SERIE N°2596.36.02200P</v>
          </cell>
          <cell r="D4958" t="str">
            <v>PE</v>
          </cell>
          <cell r="E4958" t="str">
            <v>515.51506</v>
          </cell>
          <cell r="F4958">
            <v>25</v>
          </cell>
          <cell r="G4958">
            <v>0</v>
          </cell>
          <cell r="H4958">
            <v>0</v>
          </cell>
          <cell r="I4958">
            <v>0</v>
          </cell>
          <cell r="J4958">
            <v>0</v>
          </cell>
          <cell r="K4958">
            <v>1</v>
          </cell>
          <cell r="L4958">
            <v>0</v>
          </cell>
        </row>
        <row r="4959">
          <cell r="A4959" t="str">
            <v>20492.05437</v>
          </cell>
          <cell r="B4959" t="str">
            <v>JEU DE GARNITURES EN GRAPHITE</v>
          </cell>
          <cell r="C4959" t="str">
            <v>HAYWARD PLAN:SD2596-36 REP9 P/FILTRE TYPE 2596/ 36" SERIE N°2596.36.02200P</v>
          </cell>
          <cell r="D4959" t="str">
            <v>PE</v>
          </cell>
          <cell r="E4959" t="str">
            <v>515.51506</v>
          </cell>
          <cell r="F4959">
            <v>1331.32</v>
          </cell>
          <cell r="G4959">
            <v>0</v>
          </cell>
          <cell r="H4959">
            <v>0</v>
          </cell>
          <cell r="I4959">
            <v>1</v>
          </cell>
          <cell r="J4959">
            <v>1</v>
          </cell>
          <cell r="K4959">
            <v>0</v>
          </cell>
          <cell r="L4959">
            <v>2</v>
          </cell>
        </row>
        <row r="4960">
          <cell r="A4960" t="str">
            <v>20325.00614</v>
          </cell>
          <cell r="B4960" t="str">
            <v>ROULEMENT A ROULEAUX CYLI</v>
          </cell>
          <cell r="C4960" t="str">
            <v>NU 309/C3</v>
          </cell>
          <cell r="D4960" t="str">
            <v>PE</v>
          </cell>
          <cell r="E4960" t="str">
            <v>515.51515</v>
          </cell>
          <cell r="F4960">
            <v>358.0514</v>
          </cell>
          <cell r="G4960">
            <v>0</v>
          </cell>
          <cell r="H4960">
            <v>0</v>
          </cell>
          <cell r="I4960">
            <v>0</v>
          </cell>
          <cell r="J4960">
            <v>0</v>
          </cell>
          <cell r="K4960">
            <v>8</v>
          </cell>
          <cell r="L4960">
            <v>0</v>
          </cell>
        </row>
        <row r="4961">
          <cell r="A4961" t="str">
            <v>20325.00173</v>
          </cell>
          <cell r="B4961" t="str">
            <v>ROULEMENT A BILLES</v>
          </cell>
          <cell r="C4961">
            <v>6313</v>
          </cell>
          <cell r="D4961" t="str">
            <v>PE</v>
          </cell>
          <cell r="E4961" t="str">
            <v>515.51515</v>
          </cell>
          <cell r="F4961">
            <v>268.95999999999998</v>
          </cell>
          <cell r="G4961">
            <v>0</v>
          </cell>
          <cell r="H4961">
            <v>0</v>
          </cell>
          <cell r="I4961">
            <v>0</v>
          </cell>
          <cell r="J4961">
            <v>0</v>
          </cell>
          <cell r="K4961">
            <v>0</v>
          </cell>
          <cell r="L4961">
            <v>2</v>
          </cell>
        </row>
        <row r="4962">
          <cell r="A4962" t="str">
            <v>20492.05430</v>
          </cell>
          <cell r="B4962" t="str">
            <v>BRAS PILOTE B/W EN INOX</v>
          </cell>
          <cell r="C4962" t="str">
            <v>HAYWARD PLAN:SD2596-36 REP7 P/FILTRE TYPE 2596/36" SERIE N°2596.36.02200P</v>
          </cell>
          <cell r="D4962" t="str">
            <v>PE</v>
          </cell>
          <cell r="E4962" t="str">
            <v>515.51506</v>
          </cell>
          <cell r="F4962">
            <v>870</v>
          </cell>
          <cell r="G4962">
            <v>0</v>
          </cell>
          <cell r="H4962">
            <v>0</v>
          </cell>
          <cell r="I4962">
            <v>0</v>
          </cell>
          <cell r="J4962">
            <v>0</v>
          </cell>
          <cell r="K4962">
            <v>0</v>
          </cell>
          <cell r="L4962">
            <v>0</v>
          </cell>
        </row>
        <row r="4963">
          <cell r="A4963" t="str">
            <v>20492.15146</v>
          </cell>
          <cell r="B4963" t="str">
            <v>ORIFICE DE REMPLISSAGE</v>
          </cell>
          <cell r="C4963" t="str">
            <v>DRESSER RAND 3J2032-1 NOMENCLATURE OA29681 REP 6</v>
          </cell>
          <cell r="D4963" t="str">
            <v>PE</v>
          </cell>
          <cell r="E4963" t="str">
            <v>515.51517</v>
          </cell>
          <cell r="F4963">
            <v>5390.0940000000001</v>
          </cell>
          <cell r="G4963">
            <v>2</v>
          </cell>
          <cell r="H4963">
            <v>0</v>
          </cell>
          <cell r="I4963">
            <v>0</v>
          </cell>
          <cell r="J4963">
            <v>0</v>
          </cell>
          <cell r="K4963">
            <v>0</v>
          </cell>
          <cell r="L4963">
            <v>0</v>
          </cell>
        </row>
        <row r="4964">
          <cell r="A4964" t="str">
            <v>20492.15147</v>
          </cell>
          <cell r="B4964" t="str">
            <v>PIECE DE REMPLICAGE</v>
          </cell>
          <cell r="C4964" t="str">
            <v>DRESSER RAND 3A2134-1 NOMENCLATURE OA29681 REP 7</v>
          </cell>
          <cell r="D4964" t="str">
            <v>PE</v>
          </cell>
          <cell r="E4964" t="str">
            <v>515.51517</v>
          </cell>
          <cell r="F4964">
            <v>8885.9174999999996</v>
          </cell>
          <cell r="G4964">
            <v>0</v>
          </cell>
          <cell r="H4964">
            <v>0</v>
          </cell>
          <cell r="I4964">
            <v>0</v>
          </cell>
          <cell r="J4964">
            <v>0</v>
          </cell>
          <cell r="K4964">
            <v>0</v>
          </cell>
          <cell r="L4964">
            <v>2</v>
          </cell>
        </row>
        <row r="4965">
          <cell r="A4965" t="str">
            <v>20492.15149</v>
          </cell>
          <cell r="B4965" t="str">
            <v>PIED</v>
          </cell>
          <cell r="C4965" t="str">
            <v>DRESSER RAND 1A15063-1 NOMENCLATURE OA29681 REP 9</v>
          </cell>
          <cell r="D4965" t="str">
            <v>PE</v>
          </cell>
          <cell r="E4965" t="str">
            <v>515.51517</v>
          </cell>
          <cell r="F4965">
            <v>469769.86</v>
          </cell>
          <cell r="G4965">
            <v>0</v>
          </cell>
          <cell r="H4965">
            <v>0</v>
          </cell>
          <cell r="I4965">
            <v>0</v>
          </cell>
          <cell r="J4965">
            <v>0</v>
          </cell>
          <cell r="K4965">
            <v>0</v>
          </cell>
          <cell r="L4965">
            <v>1</v>
          </cell>
        </row>
        <row r="4966">
          <cell r="A4966" t="str">
            <v>20325.00615</v>
          </cell>
          <cell r="B4966" t="str">
            <v>ROULEMENT A BILLES</v>
          </cell>
          <cell r="C4966" t="str">
            <v>QJ 315 N2MA</v>
          </cell>
          <cell r="D4966" t="str">
            <v>PE</v>
          </cell>
          <cell r="E4966" t="str">
            <v>515.51515</v>
          </cell>
          <cell r="F4966">
            <v>1441.7249999999999</v>
          </cell>
          <cell r="G4966">
            <v>0</v>
          </cell>
          <cell r="H4966">
            <v>0</v>
          </cell>
          <cell r="I4966">
            <v>0</v>
          </cell>
          <cell r="J4966">
            <v>0</v>
          </cell>
          <cell r="K4966">
            <v>0</v>
          </cell>
          <cell r="L4966">
            <v>3</v>
          </cell>
        </row>
        <row r="4967">
          <cell r="A4967" t="str">
            <v>20325.00439</v>
          </cell>
          <cell r="B4967" t="str">
            <v>ROULEMENT A BILLES</v>
          </cell>
          <cell r="C4967" t="str">
            <v>7206 B</v>
          </cell>
          <cell r="D4967" t="str">
            <v>PE</v>
          </cell>
          <cell r="E4967" t="str">
            <v>515.51515</v>
          </cell>
          <cell r="F4967">
            <v>49.91</v>
          </cell>
          <cell r="G4967">
            <v>0</v>
          </cell>
          <cell r="H4967">
            <v>0</v>
          </cell>
          <cell r="I4967">
            <v>0</v>
          </cell>
          <cell r="J4967">
            <v>0</v>
          </cell>
          <cell r="K4967">
            <v>0</v>
          </cell>
          <cell r="L4967">
            <v>2</v>
          </cell>
        </row>
        <row r="4968">
          <cell r="A4968" t="str">
            <v>20325.00627</v>
          </cell>
          <cell r="B4968" t="str">
            <v>ROULEMENT A BILLES</v>
          </cell>
          <cell r="C4968" t="str">
            <v>6005-2RS1</v>
          </cell>
          <cell r="D4968" t="str">
            <v>PE</v>
          </cell>
          <cell r="E4968" t="str">
            <v>515.51515</v>
          </cell>
          <cell r="F4968">
            <v>26.337599999999998</v>
          </cell>
          <cell r="G4968">
            <v>0</v>
          </cell>
          <cell r="H4968">
            <v>0</v>
          </cell>
          <cell r="I4968">
            <v>0</v>
          </cell>
          <cell r="J4968">
            <v>0</v>
          </cell>
          <cell r="K4968">
            <v>2</v>
          </cell>
          <cell r="L4968">
            <v>0</v>
          </cell>
        </row>
        <row r="4969">
          <cell r="A4969" t="str">
            <v>20325.00451</v>
          </cell>
          <cell r="B4969" t="str">
            <v>ROULEMENT A ROULEAUX CYLI</v>
          </cell>
          <cell r="C4969" t="str">
            <v>21304 CC</v>
          </cell>
          <cell r="D4969" t="str">
            <v>PE</v>
          </cell>
          <cell r="E4969" t="str">
            <v>515.51515</v>
          </cell>
          <cell r="F4969">
            <v>211</v>
          </cell>
          <cell r="G4969">
            <v>0</v>
          </cell>
          <cell r="H4969">
            <v>0</v>
          </cell>
          <cell r="I4969">
            <v>0</v>
          </cell>
          <cell r="J4969">
            <v>0</v>
          </cell>
          <cell r="K4969">
            <v>0</v>
          </cell>
          <cell r="L4969">
            <v>6</v>
          </cell>
        </row>
        <row r="4970">
          <cell r="A4970" t="str">
            <v>20325.00633</v>
          </cell>
          <cell r="B4970" t="str">
            <v>RONDELLE FREIN POUR ECROU</v>
          </cell>
          <cell r="C4970" t="str">
            <v>MB 18</v>
          </cell>
          <cell r="D4970" t="str">
            <v>PE</v>
          </cell>
          <cell r="E4970" t="str">
            <v>515.51515</v>
          </cell>
          <cell r="F4970">
            <v>21.390999999999998</v>
          </cell>
          <cell r="G4970">
            <v>0</v>
          </cell>
          <cell r="H4970">
            <v>0</v>
          </cell>
          <cell r="I4970">
            <v>0</v>
          </cell>
          <cell r="J4970">
            <v>0</v>
          </cell>
          <cell r="K4970">
            <v>5</v>
          </cell>
          <cell r="L4970">
            <v>0</v>
          </cell>
        </row>
        <row r="4971">
          <cell r="A4971" t="str">
            <v>20325.00460</v>
          </cell>
          <cell r="B4971" t="str">
            <v>ROULEMENT A BILLES</v>
          </cell>
          <cell r="C4971" t="str">
            <v>6311-2Z</v>
          </cell>
          <cell r="D4971" t="str">
            <v>PE</v>
          </cell>
          <cell r="E4971" t="str">
            <v>515.51515</v>
          </cell>
          <cell r="F4971">
            <v>153.11000000000001</v>
          </cell>
          <cell r="G4971">
            <v>0</v>
          </cell>
          <cell r="H4971">
            <v>0</v>
          </cell>
          <cell r="I4971">
            <v>0</v>
          </cell>
          <cell r="J4971">
            <v>0</v>
          </cell>
          <cell r="K4971">
            <v>1</v>
          </cell>
          <cell r="L4971">
            <v>0</v>
          </cell>
        </row>
        <row r="4972">
          <cell r="A4972" t="str">
            <v>20325.00196</v>
          </cell>
          <cell r="B4972" t="str">
            <v>ROULEMENT A ROTULE/RLX</v>
          </cell>
          <cell r="C4972" t="str">
            <v>22228 CCK/W33</v>
          </cell>
          <cell r="D4972" t="str">
            <v>PE</v>
          </cell>
          <cell r="E4972" t="str">
            <v>515.51515</v>
          </cell>
          <cell r="F4972">
            <v>1789.89</v>
          </cell>
          <cell r="G4972">
            <v>0</v>
          </cell>
          <cell r="H4972">
            <v>0</v>
          </cell>
          <cell r="I4972">
            <v>0</v>
          </cell>
          <cell r="J4972">
            <v>0</v>
          </cell>
          <cell r="K4972">
            <v>2</v>
          </cell>
          <cell r="L4972">
            <v>2</v>
          </cell>
        </row>
        <row r="4973">
          <cell r="A4973" t="str">
            <v>20325.00886</v>
          </cell>
          <cell r="B4973" t="str">
            <v>ROULEMENT A ROTULE/RLX</v>
          </cell>
          <cell r="C4973" t="str">
            <v>22313 CC</v>
          </cell>
          <cell r="D4973" t="str">
            <v>PE</v>
          </cell>
          <cell r="E4973" t="str">
            <v>515.51515</v>
          </cell>
          <cell r="F4973">
            <v>572.17999999999995</v>
          </cell>
          <cell r="G4973">
            <v>0</v>
          </cell>
          <cell r="H4973">
            <v>0</v>
          </cell>
          <cell r="I4973">
            <v>0</v>
          </cell>
          <cell r="J4973">
            <v>0</v>
          </cell>
          <cell r="K4973">
            <v>2</v>
          </cell>
          <cell r="L4973">
            <v>1</v>
          </cell>
        </row>
        <row r="4974">
          <cell r="A4974" t="str">
            <v>20325.00464</v>
          </cell>
          <cell r="B4974" t="str">
            <v>ROULEMENT A ROTULE/RLX</v>
          </cell>
          <cell r="C4974" t="str">
            <v>23056 CC/W33</v>
          </cell>
          <cell r="D4974" t="str">
            <v>PE</v>
          </cell>
          <cell r="E4974" t="str">
            <v>515.51515</v>
          </cell>
          <cell r="F4974">
            <v>21158</v>
          </cell>
          <cell r="G4974">
            <v>0</v>
          </cell>
          <cell r="H4974">
            <v>1</v>
          </cell>
          <cell r="I4974">
            <v>2</v>
          </cell>
          <cell r="J4974">
            <v>0</v>
          </cell>
          <cell r="K4974">
            <v>0</v>
          </cell>
          <cell r="L4974">
            <v>0</v>
          </cell>
        </row>
        <row r="4975">
          <cell r="A4975" t="str">
            <v>20325.00466</v>
          </cell>
          <cell r="B4975" t="str">
            <v>ROULEMENT A ROTULE/RLX</v>
          </cell>
          <cell r="C4975" t="str">
            <v>23034 CC/W33</v>
          </cell>
          <cell r="D4975" t="str">
            <v>PE</v>
          </cell>
          <cell r="E4975" t="str">
            <v>515.51515</v>
          </cell>
          <cell r="F4975">
            <v>2325.7424999999998</v>
          </cell>
          <cell r="G4975">
            <v>0</v>
          </cell>
          <cell r="H4975">
            <v>0</v>
          </cell>
          <cell r="I4975">
            <v>0</v>
          </cell>
          <cell r="J4975">
            <v>0</v>
          </cell>
          <cell r="K4975">
            <v>0</v>
          </cell>
          <cell r="L4975">
            <v>4</v>
          </cell>
        </row>
        <row r="4976">
          <cell r="A4976" t="str">
            <v>20323.05692</v>
          </cell>
          <cell r="B4976" t="str">
            <v>PORTE FUSIBLE MODUL 14X51</v>
          </cell>
          <cell r="C4976" t="str">
            <v>GK1-EB</v>
          </cell>
          <cell r="D4976" t="str">
            <v>PE</v>
          </cell>
          <cell r="E4976" t="str">
            <v>522.52206</v>
          </cell>
          <cell r="F4976">
            <v>83.495999999999995</v>
          </cell>
          <cell r="G4976">
            <v>0</v>
          </cell>
          <cell r="H4976">
            <v>0</v>
          </cell>
          <cell r="I4976">
            <v>0</v>
          </cell>
          <cell r="J4976">
            <v>0</v>
          </cell>
          <cell r="K4976">
            <v>0</v>
          </cell>
          <cell r="L4976">
            <v>12</v>
          </cell>
        </row>
        <row r="4977">
          <cell r="A4977" t="str">
            <v>20325.00234</v>
          </cell>
          <cell r="B4977" t="str">
            <v>ROULEMENT A BILLES</v>
          </cell>
          <cell r="C4977" t="str">
            <v>6207/C3</v>
          </cell>
          <cell r="D4977" t="str">
            <v>PE</v>
          </cell>
          <cell r="E4977" t="str">
            <v>515.51515</v>
          </cell>
          <cell r="F4977">
            <v>50.537100000000002</v>
          </cell>
          <cell r="G4977">
            <v>0</v>
          </cell>
          <cell r="H4977">
            <v>0</v>
          </cell>
          <cell r="I4977">
            <v>0</v>
          </cell>
          <cell r="J4977">
            <v>0</v>
          </cell>
          <cell r="K4977">
            <v>0</v>
          </cell>
          <cell r="L4977">
            <v>10</v>
          </cell>
        </row>
        <row r="4978">
          <cell r="A4978" t="str">
            <v>20492.03231</v>
          </cell>
          <cell r="B4978" t="str">
            <v>JOINT D'ETANCHEITE LABYRINTHE EN INOX 904L</v>
          </cell>
          <cell r="C4978" t="str">
            <v>COVENT  REF 4496-100-8-904 MODELE:E40S-6650 SWSI CW TAU ARRG'T 8</v>
          </cell>
          <cell r="D4978" t="str">
            <v>PE</v>
          </cell>
          <cell r="E4978" t="str">
            <v>314.31401</v>
          </cell>
          <cell r="F4978">
            <v>13691.666499999999</v>
          </cell>
          <cell r="G4978">
            <v>0</v>
          </cell>
          <cell r="H4978">
            <v>0</v>
          </cell>
          <cell r="I4978">
            <v>0</v>
          </cell>
          <cell r="J4978">
            <v>0</v>
          </cell>
          <cell r="K4978">
            <v>1</v>
          </cell>
          <cell r="L4978">
            <v>0</v>
          </cell>
        </row>
        <row r="4979">
          <cell r="A4979" t="str">
            <v>20325.01107</v>
          </cell>
          <cell r="B4979" t="str">
            <v>ROULEMENT A BILLES</v>
          </cell>
          <cell r="C4979" t="str">
            <v>6300-2Z</v>
          </cell>
          <cell r="D4979" t="str">
            <v>PE</v>
          </cell>
          <cell r="E4979" t="str">
            <v>515.51515</v>
          </cell>
          <cell r="F4979">
            <v>27.5062</v>
          </cell>
          <cell r="G4979">
            <v>0</v>
          </cell>
          <cell r="H4979">
            <v>0</v>
          </cell>
          <cell r="I4979">
            <v>0</v>
          </cell>
          <cell r="J4979">
            <v>0</v>
          </cell>
          <cell r="K4979">
            <v>2</v>
          </cell>
          <cell r="L4979">
            <v>0</v>
          </cell>
        </row>
        <row r="4980">
          <cell r="A4980" t="str">
            <v>20325.01108</v>
          </cell>
          <cell r="B4980" t="str">
            <v>ROULEMENT A BILLES</v>
          </cell>
          <cell r="C4980" t="str">
            <v>6315-2RS1</v>
          </cell>
          <cell r="D4980" t="str">
            <v>PE</v>
          </cell>
          <cell r="E4980" t="str">
            <v>515.51515</v>
          </cell>
          <cell r="F4980">
            <v>686.55340000000001</v>
          </cell>
          <cell r="G4980">
            <v>0</v>
          </cell>
          <cell r="H4980">
            <v>0</v>
          </cell>
          <cell r="I4980">
            <v>0</v>
          </cell>
          <cell r="J4980">
            <v>0</v>
          </cell>
          <cell r="K4980">
            <v>0</v>
          </cell>
          <cell r="L4980">
            <v>3</v>
          </cell>
        </row>
        <row r="4981">
          <cell r="A4981" t="str">
            <v>20323.05789</v>
          </cell>
          <cell r="B4981" t="str">
            <v>CONTAC AUXI ADDITIF 2F+20</v>
          </cell>
          <cell r="C4981" t="str">
            <v>LA1-DN22</v>
          </cell>
          <cell r="D4981" t="str">
            <v>PE</v>
          </cell>
          <cell r="E4981" t="str">
            <v>522.52206</v>
          </cell>
          <cell r="F4981">
            <v>68.903999999999996</v>
          </cell>
          <cell r="G4981">
            <v>0</v>
          </cell>
          <cell r="H4981">
            <v>0</v>
          </cell>
          <cell r="I4981">
            <v>0</v>
          </cell>
          <cell r="J4981">
            <v>0</v>
          </cell>
          <cell r="K4981">
            <v>0</v>
          </cell>
          <cell r="L4981">
            <v>0</v>
          </cell>
        </row>
        <row r="4982">
          <cell r="A4982" t="str">
            <v>20323.07343</v>
          </cell>
          <cell r="B4982" t="str">
            <v>CONTROLEUR MODBUS 0.4 8A 115 230 VAC</v>
          </cell>
          <cell r="C4982" t="str">
            <v>LTM R08MFM</v>
          </cell>
          <cell r="D4982" t="str">
            <v>PE</v>
          </cell>
          <cell r="E4982" t="str">
            <v>522.52206</v>
          </cell>
          <cell r="F4982">
            <v>1645</v>
          </cell>
          <cell r="G4982">
            <v>0</v>
          </cell>
          <cell r="H4982">
            <v>0</v>
          </cell>
          <cell r="I4982">
            <v>0</v>
          </cell>
          <cell r="J4982">
            <v>0</v>
          </cell>
          <cell r="K4982">
            <v>0</v>
          </cell>
          <cell r="L4982">
            <v>3</v>
          </cell>
        </row>
        <row r="4983">
          <cell r="A4983" t="str">
            <v>20323.07344</v>
          </cell>
          <cell r="B4983" t="str">
            <v>CONTROLEUR MODBUS 1.35 27A 115 230 VAC</v>
          </cell>
          <cell r="C4983" t="str">
            <v>LTM R27MFM</v>
          </cell>
          <cell r="D4983" t="str">
            <v>PE</v>
          </cell>
          <cell r="E4983" t="str">
            <v>522.52206</v>
          </cell>
          <cell r="F4983">
            <v>1544</v>
          </cell>
          <cell r="G4983">
            <v>0</v>
          </cell>
          <cell r="H4983">
            <v>0</v>
          </cell>
          <cell r="I4983">
            <v>0</v>
          </cell>
          <cell r="J4983">
            <v>0</v>
          </cell>
          <cell r="K4983">
            <v>0</v>
          </cell>
          <cell r="L4983">
            <v>3</v>
          </cell>
        </row>
        <row r="4984">
          <cell r="A4984" t="str">
            <v>20492.14831</v>
          </cell>
          <cell r="B4984" t="str">
            <v>GOUJON</v>
          </cell>
          <cell r="C4984" t="str">
            <v>DRESSER RAND 1S187-46 PLAN 6R9394 REP7</v>
          </cell>
          <cell r="D4984" t="str">
            <v>PE</v>
          </cell>
          <cell r="E4984" t="str">
            <v>515.51517</v>
          </cell>
          <cell r="F4984">
            <v>2466.1005</v>
          </cell>
          <cell r="G4984">
            <v>0</v>
          </cell>
          <cell r="H4984">
            <v>0</v>
          </cell>
          <cell r="I4984">
            <v>0</v>
          </cell>
          <cell r="J4984">
            <v>0</v>
          </cell>
          <cell r="K4984">
            <v>0</v>
          </cell>
          <cell r="L4984">
            <v>1</v>
          </cell>
        </row>
        <row r="4985">
          <cell r="A4985" t="str">
            <v>20492.14832</v>
          </cell>
          <cell r="B4985" t="str">
            <v>GOUJON</v>
          </cell>
          <cell r="C4985" t="str">
            <v>DRESSER RAND 1S187-100 PLAN 6R9394 REP8</v>
          </cell>
          <cell r="D4985" t="str">
            <v>PE</v>
          </cell>
          <cell r="E4985" t="str">
            <v>515.51517</v>
          </cell>
          <cell r="F4985">
            <v>584.79870000000005</v>
          </cell>
          <cell r="G4985">
            <v>0</v>
          </cell>
          <cell r="H4985">
            <v>0</v>
          </cell>
          <cell r="I4985">
            <v>0</v>
          </cell>
          <cell r="J4985">
            <v>0</v>
          </cell>
          <cell r="K4985">
            <v>0</v>
          </cell>
          <cell r="L4985">
            <v>4</v>
          </cell>
        </row>
        <row r="4986">
          <cell r="A4986" t="str">
            <v>20492.14830</v>
          </cell>
          <cell r="B4986" t="str">
            <v>JOINT</v>
          </cell>
          <cell r="C4986" t="str">
            <v>DRESSER RAND 1A14102-4 PLAN 6R9394 REP39</v>
          </cell>
          <cell r="D4986" t="str">
            <v>PE</v>
          </cell>
          <cell r="E4986" t="str">
            <v>515.51517</v>
          </cell>
          <cell r="F4986">
            <v>4613.5187999999998</v>
          </cell>
          <cell r="G4986">
            <v>0</v>
          </cell>
          <cell r="H4986">
            <v>0</v>
          </cell>
          <cell r="I4986">
            <v>0</v>
          </cell>
          <cell r="J4986">
            <v>0</v>
          </cell>
          <cell r="K4986">
            <v>0</v>
          </cell>
          <cell r="L4986">
            <v>1</v>
          </cell>
        </row>
        <row r="4987">
          <cell r="A4987" t="str">
            <v>20492.14833</v>
          </cell>
          <cell r="B4987" t="str">
            <v>GOUJON</v>
          </cell>
          <cell r="C4987" t="str">
            <v>DRESSER RAND 1S187-112 PLAN 6R9394 REP9</v>
          </cell>
          <cell r="D4987" t="str">
            <v>PE</v>
          </cell>
          <cell r="E4987" t="str">
            <v>515.51517</v>
          </cell>
          <cell r="F4987">
            <v>704.61630000000002</v>
          </cell>
          <cell r="G4987">
            <v>0</v>
          </cell>
          <cell r="H4987">
            <v>0</v>
          </cell>
          <cell r="I4987">
            <v>0</v>
          </cell>
          <cell r="J4987">
            <v>0</v>
          </cell>
          <cell r="K4987">
            <v>0</v>
          </cell>
          <cell r="L4987">
            <v>3</v>
          </cell>
        </row>
        <row r="4988">
          <cell r="A4988" t="str">
            <v>20492.14834</v>
          </cell>
          <cell r="B4988" t="str">
            <v>GOUJON</v>
          </cell>
          <cell r="C4988" t="str">
            <v>DRESSER RAND 1S187-127 PLAN 6R9394 REP10</v>
          </cell>
          <cell r="D4988" t="str">
            <v>PE</v>
          </cell>
          <cell r="E4988" t="str">
            <v>515.51517</v>
          </cell>
          <cell r="F4988">
            <v>760.86770000000001</v>
          </cell>
          <cell r="G4988">
            <v>0</v>
          </cell>
          <cell r="H4988">
            <v>0</v>
          </cell>
          <cell r="I4988">
            <v>0</v>
          </cell>
          <cell r="J4988">
            <v>0</v>
          </cell>
          <cell r="K4988">
            <v>0</v>
          </cell>
          <cell r="L4988">
            <v>1</v>
          </cell>
        </row>
        <row r="4989">
          <cell r="A4989" t="str">
            <v>20492.14835</v>
          </cell>
          <cell r="B4989" t="str">
            <v>GOUJON</v>
          </cell>
          <cell r="C4989" t="str">
            <v>DRESSER RAND 1S187-128 PLAN 6R9394 REP11</v>
          </cell>
          <cell r="D4989" t="str">
            <v>PE</v>
          </cell>
          <cell r="E4989" t="str">
            <v>515.51517</v>
          </cell>
          <cell r="F4989">
            <v>760.86770000000001</v>
          </cell>
          <cell r="G4989">
            <v>0</v>
          </cell>
          <cell r="H4989">
            <v>0</v>
          </cell>
          <cell r="I4989">
            <v>0</v>
          </cell>
          <cell r="J4989">
            <v>0</v>
          </cell>
          <cell r="K4989">
            <v>0</v>
          </cell>
          <cell r="L4989">
            <v>1</v>
          </cell>
        </row>
        <row r="4990">
          <cell r="A4990" t="str">
            <v>20492.14836</v>
          </cell>
          <cell r="B4990" t="str">
            <v>GOUJON</v>
          </cell>
          <cell r="C4990" t="str">
            <v>DRESSER RAND 1S187-140 PLAN 6R9394 REP12</v>
          </cell>
          <cell r="D4990" t="str">
            <v>PE</v>
          </cell>
          <cell r="E4990" t="str">
            <v>515.51517</v>
          </cell>
          <cell r="F4990">
            <v>704.61630000000002</v>
          </cell>
          <cell r="G4990">
            <v>0</v>
          </cell>
          <cell r="H4990">
            <v>0</v>
          </cell>
          <cell r="I4990">
            <v>0</v>
          </cell>
          <cell r="J4990">
            <v>0</v>
          </cell>
          <cell r="K4990">
            <v>0</v>
          </cell>
          <cell r="L4990">
            <v>2</v>
          </cell>
        </row>
        <row r="4991">
          <cell r="A4991" t="str">
            <v>20492.14837</v>
          </cell>
          <cell r="B4991" t="str">
            <v>GOUJON</v>
          </cell>
          <cell r="C4991" t="str">
            <v>DRESSER RAND 1S681-4 PLAN 6R9394 REP13</v>
          </cell>
          <cell r="D4991" t="str">
            <v>PE</v>
          </cell>
          <cell r="E4991" t="str">
            <v>515.51517</v>
          </cell>
          <cell r="F4991">
            <v>1028.7420999999999</v>
          </cell>
          <cell r="G4991">
            <v>0</v>
          </cell>
          <cell r="H4991">
            <v>0</v>
          </cell>
          <cell r="I4991">
            <v>0</v>
          </cell>
          <cell r="J4991">
            <v>0</v>
          </cell>
          <cell r="K4991">
            <v>0</v>
          </cell>
          <cell r="L4991">
            <v>1</v>
          </cell>
        </row>
        <row r="4992">
          <cell r="A4992" t="str">
            <v>20492.14838</v>
          </cell>
          <cell r="B4992" t="str">
            <v>PIED DE CENTRAGE</v>
          </cell>
          <cell r="C4992" t="str">
            <v>DRESSER RAND 1S238-53 PLAN 6R9394 REP27</v>
          </cell>
          <cell r="D4992" t="str">
            <v>PE</v>
          </cell>
          <cell r="E4992" t="str">
            <v>515.51517</v>
          </cell>
          <cell r="F4992">
            <v>2630</v>
          </cell>
          <cell r="G4992">
            <v>0</v>
          </cell>
          <cell r="H4992">
            <v>0</v>
          </cell>
          <cell r="I4992">
            <v>0</v>
          </cell>
          <cell r="J4992">
            <v>0</v>
          </cell>
          <cell r="K4992">
            <v>0</v>
          </cell>
          <cell r="L4992">
            <v>2</v>
          </cell>
        </row>
        <row r="4993">
          <cell r="A4993" t="str">
            <v>20492.14839</v>
          </cell>
          <cell r="B4993" t="str">
            <v>PIED DE CENTRAGE</v>
          </cell>
          <cell r="C4993" t="str">
            <v>DRESSER RAND 1S599-169 PLAN 6R9394 REP28</v>
          </cell>
          <cell r="D4993" t="str">
            <v>PE</v>
          </cell>
          <cell r="E4993" t="str">
            <v>515.51517</v>
          </cell>
          <cell r="F4993">
            <v>84.603899999999996</v>
          </cell>
          <cell r="G4993">
            <v>0</v>
          </cell>
          <cell r="H4993">
            <v>0</v>
          </cell>
          <cell r="I4993">
            <v>0</v>
          </cell>
          <cell r="J4993">
            <v>0</v>
          </cell>
          <cell r="K4993">
            <v>1</v>
          </cell>
          <cell r="L4993">
            <v>0</v>
          </cell>
        </row>
        <row r="4994">
          <cell r="A4994" t="str">
            <v>20492.14840</v>
          </cell>
          <cell r="B4994" t="str">
            <v>VIS</v>
          </cell>
          <cell r="C4994" t="str">
            <v>DRESSER RAND 1S595-11 PLAN 6R9394 REP29</v>
          </cell>
          <cell r="D4994" t="str">
            <v>PE</v>
          </cell>
          <cell r="E4994" t="str">
            <v>515.51517</v>
          </cell>
          <cell r="F4994">
            <v>335</v>
          </cell>
          <cell r="G4994">
            <v>0</v>
          </cell>
          <cell r="H4994">
            <v>0</v>
          </cell>
          <cell r="I4994">
            <v>0</v>
          </cell>
          <cell r="J4994">
            <v>0</v>
          </cell>
          <cell r="K4994">
            <v>0</v>
          </cell>
          <cell r="L4994">
            <v>2</v>
          </cell>
        </row>
        <row r="4995">
          <cell r="A4995" t="str">
            <v>20492.14841</v>
          </cell>
          <cell r="B4995" t="str">
            <v>VIS GUIDE</v>
          </cell>
          <cell r="C4995" t="str">
            <v>DRESSER RAND 1A13972-2 PLAN 6R9394 REP30</v>
          </cell>
          <cell r="D4995" t="str">
            <v>PE</v>
          </cell>
          <cell r="E4995" t="str">
            <v>515.51517</v>
          </cell>
          <cell r="F4995">
            <v>4650.3770999999997</v>
          </cell>
          <cell r="G4995">
            <v>0</v>
          </cell>
          <cell r="H4995">
            <v>0</v>
          </cell>
          <cell r="I4995">
            <v>0</v>
          </cell>
          <cell r="J4995">
            <v>0</v>
          </cell>
          <cell r="K4995">
            <v>0</v>
          </cell>
          <cell r="L4995">
            <v>1</v>
          </cell>
        </row>
        <row r="4996">
          <cell r="A4996" t="str">
            <v>20492.14842</v>
          </cell>
          <cell r="B4996" t="str">
            <v>BOUCHON</v>
          </cell>
          <cell r="C4996" t="str">
            <v>DRESSER RAND 1A2653-4 PLAN 6R9394 REP31</v>
          </cell>
          <cell r="D4996" t="str">
            <v>PE</v>
          </cell>
          <cell r="E4996" t="str">
            <v>515.51517</v>
          </cell>
          <cell r="F4996">
            <v>300.53649999999999</v>
          </cell>
          <cell r="G4996">
            <v>0</v>
          </cell>
          <cell r="H4996">
            <v>0</v>
          </cell>
          <cell r="I4996">
            <v>0</v>
          </cell>
          <cell r="J4996">
            <v>0</v>
          </cell>
          <cell r="K4996">
            <v>0</v>
          </cell>
          <cell r="L4996">
            <v>2</v>
          </cell>
        </row>
        <row r="4997">
          <cell r="A4997" t="str">
            <v>20492.14843</v>
          </cell>
          <cell r="B4997" t="str">
            <v>PIED DE CENTRAGE</v>
          </cell>
          <cell r="C4997" t="str">
            <v>DRESSER RAND 1A9419-2 PLAN 6R9394 REP32</v>
          </cell>
          <cell r="D4997" t="str">
            <v>PE</v>
          </cell>
          <cell r="E4997" t="str">
            <v>515.51517</v>
          </cell>
          <cell r="F4997">
            <v>415.7611</v>
          </cell>
          <cell r="G4997">
            <v>0</v>
          </cell>
          <cell r="H4997">
            <v>0</v>
          </cell>
          <cell r="I4997">
            <v>0</v>
          </cell>
          <cell r="J4997">
            <v>0</v>
          </cell>
          <cell r="K4997">
            <v>0</v>
          </cell>
          <cell r="L4997">
            <v>1</v>
          </cell>
        </row>
        <row r="4998">
          <cell r="A4998" t="str">
            <v>20492.14844</v>
          </cell>
          <cell r="B4998" t="str">
            <v>VIS</v>
          </cell>
          <cell r="C4998" t="str">
            <v>DRESSER RAND 1S595-4 PLAN 6R9394 REP33</v>
          </cell>
          <cell r="D4998" t="str">
            <v>PE</v>
          </cell>
          <cell r="E4998" t="str">
            <v>515.51517</v>
          </cell>
          <cell r="F4998">
            <v>143</v>
          </cell>
          <cell r="G4998">
            <v>0</v>
          </cell>
          <cell r="H4998">
            <v>0</v>
          </cell>
          <cell r="I4998">
            <v>0</v>
          </cell>
          <cell r="J4998">
            <v>0</v>
          </cell>
          <cell r="K4998">
            <v>0</v>
          </cell>
          <cell r="L4998">
            <v>2</v>
          </cell>
        </row>
        <row r="4999">
          <cell r="A4999" t="str">
            <v>20492.14845</v>
          </cell>
          <cell r="B4999" t="str">
            <v>VIS</v>
          </cell>
          <cell r="C4999" t="str">
            <v>DRESSER RAND 1S681-3 PLAN 6R9394 REP41</v>
          </cell>
          <cell r="D4999" t="str">
            <v>PE</v>
          </cell>
          <cell r="E4999" t="str">
            <v>515.51517</v>
          </cell>
          <cell r="F4999">
            <v>1028.7988</v>
          </cell>
          <cell r="G4999">
            <v>0</v>
          </cell>
          <cell r="H4999">
            <v>0</v>
          </cell>
          <cell r="I4999">
            <v>0</v>
          </cell>
          <cell r="J4999">
            <v>0</v>
          </cell>
          <cell r="K4999">
            <v>0</v>
          </cell>
          <cell r="L4999">
            <v>4</v>
          </cell>
        </row>
        <row r="5000">
          <cell r="A5000" t="str">
            <v>20492.14846</v>
          </cell>
          <cell r="B5000" t="str">
            <v>RONDELLE</v>
          </cell>
          <cell r="C5000" t="str">
            <v>DRESSER RAND 1S641-2 PLAN 6R9394 REP14</v>
          </cell>
          <cell r="D5000" t="str">
            <v>PE</v>
          </cell>
          <cell r="E5000" t="str">
            <v>515.51517</v>
          </cell>
          <cell r="F5000">
            <v>349.06380000000001</v>
          </cell>
          <cell r="G5000">
            <v>0</v>
          </cell>
          <cell r="H5000">
            <v>0</v>
          </cell>
          <cell r="I5000">
            <v>0</v>
          </cell>
          <cell r="J5000">
            <v>0</v>
          </cell>
          <cell r="K5000">
            <v>0</v>
          </cell>
          <cell r="L5000">
            <v>4</v>
          </cell>
        </row>
        <row r="5001">
          <cell r="A5001" t="str">
            <v>20492.14847</v>
          </cell>
          <cell r="B5001" t="str">
            <v>RONDELLE</v>
          </cell>
          <cell r="C5001" t="str">
            <v>DRESSER RAND 1S641-3 PLAN 6R9394 REP15</v>
          </cell>
          <cell r="D5001" t="str">
            <v>PE</v>
          </cell>
          <cell r="E5001" t="str">
            <v>515.51517</v>
          </cell>
          <cell r="F5001">
            <v>514.39940000000001</v>
          </cell>
          <cell r="G5001">
            <v>0</v>
          </cell>
          <cell r="H5001">
            <v>0</v>
          </cell>
          <cell r="I5001">
            <v>0</v>
          </cell>
          <cell r="J5001">
            <v>0</v>
          </cell>
          <cell r="K5001">
            <v>0</v>
          </cell>
          <cell r="L5001">
            <v>4</v>
          </cell>
        </row>
        <row r="5002">
          <cell r="A5002" t="str">
            <v>20492.14848</v>
          </cell>
          <cell r="B5002" t="str">
            <v>RONDELLE</v>
          </cell>
          <cell r="C5002" t="str">
            <v>DRESSER RAND 1S643-5 PLAN 6R9394 REP16</v>
          </cell>
          <cell r="D5002" t="str">
            <v>PE</v>
          </cell>
          <cell r="E5002" t="str">
            <v>515.51517</v>
          </cell>
          <cell r="F5002">
            <v>84.592500000000001</v>
          </cell>
          <cell r="G5002">
            <v>0</v>
          </cell>
          <cell r="H5002">
            <v>0</v>
          </cell>
          <cell r="I5002">
            <v>0</v>
          </cell>
          <cell r="J5002">
            <v>0</v>
          </cell>
          <cell r="K5002">
            <v>0</v>
          </cell>
          <cell r="L5002">
            <v>10</v>
          </cell>
        </row>
        <row r="5003">
          <cell r="A5003" t="str">
            <v>20492.14849</v>
          </cell>
          <cell r="B5003" t="str">
            <v>ECROU</v>
          </cell>
          <cell r="C5003" t="str">
            <v>DRESSER RAND 1S614-2 PLAN 6R9394 REP17</v>
          </cell>
          <cell r="D5003" t="str">
            <v>PE</v>
          </cell>
          <cell r="E5003" t="str">
            <v>515.51517</v>
          </cell>
          <cell r="F5003">
            <v>901.83630000000005</v>
          </cell>
          <cell r="G5003">
            <v>0</v>
          </cell>
          <cell r="H5003">
            <v>0</v>
          </cell>
          <cell r="I5003">
            <v>0</v>
          </cell>
          <cell r="J5003">
            <v>0</v>
          </cell>
          <cell r="K5003">
            <v>0</v>
          </cell>
          <cell r="L5003">
            <v>1</v>
          </cell>
        </row>
        <row r="5004">
          <cell r="A5004" t="str">
            <v>20492.14850</v>
          </cell>
          <cell r="B5004" t="str">
            <v>ECROU</v>
          </cell>
          <cell r="C5004" t="str">
            <v>DRESSER RAND 1S614-2 PLAN 6R9394 REP18</v>
          </cell>
          <cell r="D5004" t="str">
            <v>PE</v>
          </cell>
          <cell r="E5004" t="str">
            <v>515.51517</v>
          </cell>
          <cell r="F5004">
            <v>901.83630000000005</v>
          </cell>
          <cell r="G5004">
            <v>0</v>
          </cell>
          <cell r="H5004">
            <v>0</v>
          </cell>
          <cell r="I5004">
            <v>0</v>
          </cell>
          <cell r="J5004">
            <v>0</v>
          </cell>
          <cell r="K5004">
            <v>0</v>
          </cell>
          <cell r="L5004">
            <v>4</v>
          </cell>
        </row>
        <row r="5005">
          <cell r="A5005" t="str">
            <v>20492.14851</v>
          </cell>
          <cell r="B5005" t="str">
            <v>ECROU</v>
          </cell>
          <cell r="C5005" t="str">
            <v>DRESSER RAND 1S631-10 PLAN 6R9394 REP19</v>
          </cell>
          <cell r="D5005" t="str">
            <v>PE</v>
          </cell>
          <cell r="E5005" t="str">
            <v>515.51517</v>
          </cell>
          <cell r="F5005">
            <v>86.636899999999997</v>
          </cell>
          <cell r="G5005">
            <v>0</v>
          </cell>
          <cell r="H5005">
            <v>0</v>
          </cell>
          <cell r="I5005">
            <v>0</v>
          </cell>
          <cell r="J5005">
            <v>0</v>
          </cell>
          <cell r="K5005">
            <v>2</v>
          </cell>
          <cell r="L5005">
            <v>8</v>
          </cell>
        </row>
        <row r="5006">
          <cell r="A5006" t="str">
            <v>20492.14790</v>
          </cell>
          <cell r="B5006" t="str">
            <v>LABYRINTHE</v>
          </cell>
          <cell r="C5006" t="str">
            <v>DRESSER RAND 125305-008 PLAN 6R9423 REP4</v>
          </cell>
          <cell r="D5006" t="str">
            <v>PE</v>
          </cell>
          <cell r="E5006" t="str">
            <v>515.51517</v>
          </cell>
          <cell r="F5006">
            <v>44288.218200000003</v>
          </cell>
          <cell r="G5006">
            <v>0</v>
          </cell>
          <cell r="H5006">
            <v>0</v>
          </cell>
          <cell r="I5006">
            <v>0</v>
          </cell>
          <cell r="J5006">
            <v>0</v>
          </cell>
          <cell r="K5006">
            <v>0</v>
          </cell>
          <cell r="L5006">
            <v>2</v>
          </cell>
        </row>
        <row r="5007">
          <cell r="A5007" t="str">
            <v>20492.14791</v>
          </cell>
          <cell r="B5007" t="str">
            <v>RESSORT</v>
          </cell>
          <cell r="C5007" t="str">
            <v>DRESSER RAND 96673-001 PLAN 6R9423 REP5</v>
          </cell>
          <cell r="D5007" t="str">
            <v>PE</v>
          </cell>
          <cell r="E5007" t="str">
            <v>515.51517</v>
          </cell>
          <cell r="F5007">
            <v>79.654499999999999</v>
          </cell>
          <cell r="G5007">
            <v>0</v>
          </cell>
          <cell r="H5007">
            <v>0</v>
          </cell>
          <cell r="I5007">
            <v>0</v>
          </cell>
          <cell r="J5007">
            <v>0</v>
          </cell>
          <cell r="K5007">
            <v>0</v>
          </cell>
          <cell r="L5007">
            <v>16</v>
          </cell>
        </row>
        <row r="5008">
          <cell r="A5008" t="str">
            <v>20492.14792</v>
          </cell>
          <cell r="B5008" t="str">
            <v>GOUPILLE D'ARRET</v>
          </cell>
          <cell r="C5008" t="str">
            <v>DRESSER RAND 1S338-90 PLAN 6R9423 REP6</v>
          </cell>
          <cell r="D5008" t="str">
            <v>PE</v>
          </cell>
          <cell r="E5008" t="str">
            <v>515.51517</v>
          </cell>
          <cell r="F5008">
            <v>102.64409999999999</v>
          </cell>
          <cell r="G5008">
            <v>0</v>
          </cell>
          <cell r="H5008">
            <v>0</v>
          </cell>
          <cell r="I5008">
            <v>0</v>
          </cell>
          <cell r="J5008">
            <v>0</v>
          </cell>
          <cell r="K5008">
            <v>0</v>
          </cell>
          <cell r="L5008">
            <v>3</v>
          </cell>
        </row>
        <row r="5009">
          <cell r="A5009" t="str">
            <v>20492.14793</v>
          </cell>
          <cell r="B5009" t="str">
            <v>LABYRINTHE</v>
          </cell>
          <cell r="C5009" t="str">
            <v>DRESSER RAND 5R4224-2 PLAN 6R9423 REP7</v>
          </cell>
          <cell r="D5009" t="str">
            <v>PE</v>
          </cell>
          <cell r="E5009" t="str">
            <v>515.51517</v>
          </cell>
          <cell r="F5009">
            <v>25888.773099999999</v>
          </cell>
          <cell r="G5009">
            <v>0</v>
          </cell>
          <cell r="H5009">
            <v>0</v>
          </cell>
          <cell r="I5009">
            <v>0</v>
          </cell>
          <cell r="J5009">
            <v>0</v>
          </cell>
          <cell r="K5009">
            <v>0</v>
          </cell>
          <cell r="L5009">
            <v>0</v>
          </cell>
        </row>
        <row r="5010">
          <cell r="A5010" t="str">
            <v>20492.14794</v>
          </cell>
          <cell r="B5010" t="str">
            <v>RESSORT</v>
          </cell>
          <cell r="C5010" t="str">
            <v>DRESSER RAND 1A14021-1 PLAN 6R9423 REP8</v>
          </cell>
          <cell r="D5010" t="str">
            <v>PE</v>
          </cell>
          <cell r="E5010" t="str">
            <v>515.51517</v>
          </cell>
          <cell r="F5010">
            <v>142</v>
          </cell>
          <cell r="G5010">
            <v>0</v>
          </cell>
          <cell r="H5010">
            <v>0</v>
          </cell>
          <cell r="I5010">
            <v>0</v>
          </cell>
          <cell r="J5010">
            <v>0</v>
          </cell>
          <cell r="K5010">
            <v>0</v>
          </cell>
          <cell r="L5010">
            <v>0</v>
          </cell>
        </row>
        <row r="5011">
          <cell r="A5011" t="str">
            <v>20492.14795</v>
          </cell>
          <cell r="B5011" t="str">
            <v>GOUPILLE D'ARRET</v>
          </cell>
          <cell r="C5011" t="str">
            <v>DRESSER RAND 1S338-61 PLAN 6R9423 REP9</v>
          </cell>
          <cell r="D5011" t="str">
            <v>PE</v>
          </cell>
          <cell r="E5011" t="str">
            <v>515.51517</v>
          </cell>
          <cell r="F5011">
            <v>77.776600000000002</v>
          </cell>
          <cell r="G5011">
            <v>0</v>
          </cell>
          <cell r="H5011">
            <v>0</v>
          </cell>
          <cell r="I5011">
            <v>0</v>
          </cell>
          <cell r="J5011">
            <v>0</v>
          </cell>
          <cell r="K5011">
            <v>0</v>
          </cell>
          <cell r="L5011">
            <v>0</v>
          </cell>
        </row>
        <row r="5012">
          <cell r="A5012" t="str">
            <v>20492.14796</v>
          </cell>
          <cell r="B5012" t="str">
            <v>LABYRINTHE</v>
          </cell>
          <cell r="C5012" t="str">
            <v>DRESSER RAND 7R10606-8 PLAN 6R9423 REP2</v>
          </cell>
          <cell r="D5012" t="str">
            <v>PE</v>
          </cell>
          <cell r="E5012" t="str">
            <v>515.51517</v>
          </cell>
          <cell r="F5012">
            <v>175445.27</v>
          </cell>
          <cell r="G5012">
            <v>0</v>
          </cell>
          <cell r="H5012">
            <v>0</v>
          </cell>
          <cell r="I5012">
            <v>0</v>
          </cell>
          <cell r="J5012">
            <v>0</v>
          </cell>
          <cell r="K5012">
            <v>0</v>
          </cell>
          <cell r="L5012">
            <v>1</v>
          </cell>
        </row>
        <row r="5013">
          <cell r="A5013" t="str">
            <v>20492.14797</v>
          </cell>
          <cell r="B5013" t="str">
            <v>LABYRINTHE</v>
          </cell>
          <cell r="C5013" t="str">
            <v>DRESSER RAND 7R10605-8 PLAN 6R9423 REP3</v>
          </cell>
          <cell r="D5013" t="str">
            <v>PE</v>
          </cell>
          <cell r="E5013" t="str">
            <v>515.51517</v>
          </cell>
          <cell r="F5013">
            <v>227092.41080000001</v>
          </cell>
          <cell r="G5013">
            <v>0</v>
          </cell>
          <cell r="H5013">
            <v>0</v>
          </cell>
          <cell r="I5013">
            <v>0</v>
          </cell>
          <cell r="J5013">
            <v>0</v>
          </cell>
          <cell r="K5013">
            <v>0</v>
          </cell>
          <cell r="L5013">
            <v>1</v>
          </cell>
        </row>
        <row r="5014">
          <cell r="A5014" t="str">
            <v>20492.14798</v>
          </cell>
          <cell r="B5014" t="str">
            <v>RESSORT</v>
          </cell>
          <cell r="C5014" t="str">
            <v>DRESSER RAND 1G5117-12  PLAN 4A1163 REP10</v>
          </cell>
          <cell r="D5014" t="str">
            <v>PE</v>
          </cell>
          <cell r="E5014" t="str">
            <v>515.51517</v>
          </cell>
          <cell r="F5014">
            <v>3170.7168000000001</v>
          </cell>
          <cell r="G5014">
            <v>0</v>
          </cell>
          <cell r="H5014">
            <v>0</v>
          </cell>
          <cell r="I5014">
            <v>0</v>
          </cell>
          <cell r="J5014">
            <v>0</v>
          </cell>
          <cell r="K5014">
            <v>0</v>
          </cell>
          <cell r="L5014">
            <v>1</v>
          </cell>
        </row>
        <row r="5015">
          <cell r="A5015" t="str">
            <v>20492.14799</v>
          </cell>
          <cell r="B5015" t="str">
            <v>GOUPILLE</v>
          </cell>
          <cell r="C5015" t="str">
            <v>DRESSER RAND 1S338-43 PLAN 4A1163 REP9</v>
          </cell>
          <cell r="D5015" t="str">
            <v>PE</v>
          </cell>
          <cell r="E5015" t="str">
            <v>515.51517</v>
          </cell>
          <cell r="F5015">
            <v>84.603899999999996</v>
          </cell>
          <cell r="G5015">
            <v>0</v>
          </cell>
          <cell r="H5015">
            <v>0</v>
          </cell>
          <cell r="I5015">
            <v>0</v>
          </cell>
          <cell r="J5015">
            <v>0</v>
          </cell>
          <cell r="K5015">
            <v>1</v>
          </cell>
          <cell r="L5015">
            <v>0</v>
          </cell>
        </row>
        <row r="5016">
          <cell r="A5016" t="str">
            <v>20492.14800</v>
          </cell>
          <cell r="B5016" t="str">
            <v>GOUPILLE</v>
          </cell>
          <cell r="C5016" t="str">
            <v>DRESSER RAND 1S338-38 PLAN 4A1163 REP15</v>
          </cell>
          <cell r="D5016" t="str">
            <v>PE</v>
          </cell>
          <cell r="E5016" t="str">
            <v>515.51517</v>
          </cell>
          <cell r="F5016">
            <v>84.603899999999996</v>
          </cell>
          <cell r="G5016">
            <v>0</v>
          </cell>
          <cell r="H5016">
            <v>0</v>
          </cell>
          <cell r="I5016">
            <v>0</v>
          </cell>
          <cell r="J5016">
            <v>0</v>
          </cell>
          <cell r="K5016">
            <v>1</v>
          </cell>
          <cell r="L5016">
            <v>0</v>
          </cell>
        </row>
        <row r="5017">
          <cell r="A5017" t="str">
            <v>20492.14801</v>
          </cell>
          <cell r="B5017" t="str">
            <v>TIGE</v>
          </cell>
          <cell r="C5017" t="str">
            <v>DRESSER RAND 1A5998-1 PLAN 4A1163 REP11</v>
          </cell>
          <cell r="D5017" t="str">
            <v>PE</v>
          </cell>
          <cell r="E5017" t="str">
            <v>515.51517</v>
          </cell>
          <cell r="F5017">
            <v>5354.9934000000003</v>
          </cell>
          <cell r="G5017">
            <v>0</v>
          </cell>
          <cell r="H5017">
            <v>0</v>
          </cell>
          <cell r="I5017">
            <v>0</v>
          </cell>
          <cell r="J5017">
            <v>0</v>
          </cell>
          <cell r="K5017">
            <v>0</v>
          </cell>
          <cell r="L5017">
            <v>1</v>
          </cell>
        </row>
        <row r="5018">
          <cell r="A5018" t="str">
            <v>20492.14802</v>
          </cell>
          <cell r="B5018" t="str">
            <v>CHEMISE</v>
          </cell>
          <cell r="C5018" t="str">
            <v>DRESSER RAND 1A6065-1 PLAN 4A1163 REP12</v>
          </cell>
          <cell r="D5018" t="str">
            <v>PE</v>
          </cell>
          <cell r="E5018" t="str">
            <v>515.51517</v>
          </cell>
          <cell r="F5018">
            <v>1282.4403</v>
          </cell>
          <cell r="G5018">
            <v>0</v>
          </cell>
          <cell r="H5018">
            <v>0</v>
          </cell>
          <cell r="I5018">
            <v>0</v>
          </cell>
          <cell r="J5018">
            <v>0</v>
          </cell>
          <cell r="K5018">
            <v>0</v>
          </cell>
          <cell r="L5018">
            <v>1</v>
          </cell>
        </row>
        <row r="5019">
          <cell r="A5019" t="str">
            <v>20492.14803</v>
          </cell>
          <cell r="B5019" t="str">
            <v>PISTON</v>
          </cell>
          <cell r="C5019" t="str">
            <v>DRESSER RAND 1A3892-1 PLAN 4A1163 REP8</v>
          </cell>
          <cell r="D5019" t="str">
            <v>PE</v>
          </cell>
          <cell r="E5019" t="str">
            <v>515.51517</v>
          </cell>
          <cell r="F5019">
            <v>2888.8928999999998</v>
          </cell>
          <cell r="G5019">
            <v>0</v>
          </cell>
          <cell r="H5019">
            <v>0</v>
          </cell>
          <cell r="I5019">
            <v>0</v>
          </cell>
          <cell r="J5019">
            <v>0</v>
          </cell>
          <cell r="K5019">
            <v>0</v>
          </cell>
          <cell r="L5019">
            <v>1</v>
          </cell>
        </row>
        <row r="5020">
          <cell r="A5020" t="str">
            <v>20492.14804</v>
          </cell>
          <cell r="B5020" t="str">
            <v>VIS</v>
          </cell>
          <cell r="C5020" t="str">
            <v>DRESSER RAND 1S596-74 PLAN 4A6085 REP5</v>
          </cell>
          <cell r="D5020" t="str">
            <v>PE</v>
          </cell>
          <cell r="E5020" t="str">
            <v>515.51517</v>
          </cell>
          <cell r="F5020">
            <v>443.88670000000002</v>
          </cell>
          <cell r="G5020">
            <v>0</v>
          </cell>
          <cell r="H5020">
            <v>0</v>
          </cell>
          <cell r="I5020">
            <v>0</v>
          </cell>
          <cell r="J5020">
            <v>0</v>
          </cell>
          <cell r="K5020">
            <v>0</v>
          </cell>
          <cell r="L5020">
            <v>6</v>
          </cell>
        </row>
        <row r="5021">
          <cell r="A5021" t="str">
            <v>20492.14805</v>
          </cell>
          <cell r="B5021" t="str">
            <v>VIS</v>
          </cell>
          <cell r="C5021" t="str">
            <v>DRESSER RAND 1S596-39 PLAN 4A6085 REP6</v>
          </cell>
          <cell r="D5021" t="str">
            <v>PE</v>
          </cell>
          <cell r="E5021" t="str">
            <v>515.51517</v>
          </cell>
          <cell r="F5021">
            <v>102.0879</v>
          </cell>
          <cell r="G5021">
            <v>0</v>
          </cell>
          <cell r="H5021">
            <v>0</v>
          </cell>
          <cell r="I5021">
            <v>0</v>
          </cell>
          <cell r="J5021">
            <v>0</v>
          </cell>
          <cell r="K5021">
            <v>0</v>
          </cell>
          <cell r="L5021">
            <v>6</v>
          </cell>
        </row>
        <row r="5022">
          <cell r="A5022" t="str">
            <v>20492.14806</v>
          </cell>
          <cell r="B5022" t="str">
            <v>PIED</v>
          </cell>
          <cell r="C5022" t="str">
            <v>DRESSER RAND 1A14119-1 PLAN 4A6085 REP7</v>
          </cell>
          <cell r="D5022" t="str">
            <v>PE</v>
          </cell>
          <cell r="E5022" t="str">
            <v>515.51517</v>
          </cell>
          <cell r="F5022">
            <v>10422.1522</v>
          </cell>
          <cell r="G5022">
            <v>0</v>
          </cell>
          <cell r="H5022">
            <v>0</v>
          </cell>
          <cell r="I5022">
            <v>0</v>
          </cell>
          <cell r="J5022">
            <v>0</v>
          </cell>
          <cell r="K5022">
            <v>0</v>
          </cell>
          <cell r="L5022">
            <v>1</v>
          </cell>
        </row>
        <row r="5023">
          <cell r="A5023" t="str">
            <v>20492.14807</v>
          </cell>
          <cell r="B5023" t="str">
            <v>PIED</v>
          </cell>
          <cell r="C5023" t="str">
            <v>DRESSER RAND 1A14120-1 PLAN 4A6085 REP8</v>
          </cell>
          <cell r="D5023" t="str">
            <v>PE</v>
          </cell>
          <cell r="E5023" t="str">
            <v>515.51517</v>
          </cell>
          <cell r="F5023">
            <v>26261.446400000001</v>
          </cell>
          <cell r="G5023">
            <v>0</v>
          </cell>
          <cell r="H5023">
            <v>0</v>
          </cell>
          <cell r="I5023">
            <v>0</v>
          </cell>
          <cell r="J5023">
            <v>0</v>
          </cell>
          <cell r="K5023">
            <v>0</v>
          </cell>
          <cell r="L5023">
            <v>1</v>
          </cell>
        </row>
        <row r="5024">
          <cell r="A5024" t="str">
            <v>20492.14808</v>
          </cell>
          <cell r="B5024" t="str">
            <v>CLAVETTE HORIZONTALE</v>
          </cell>
          <cell r="C5024" t="str">
            <v>DRESSER RAND 1A13408-1 PLAN 4A6085 REP1</v>
          </cell>
          <cell r="D5024" t="str">
            <v>PE</v>
          </cell>
          <cell r="E5024" t="str">
            <v>515.51517</v>
          </cell>
          <cell r="F5024">
            <v>17404.654699999999</v>
          </cell>
          <cell r="G5024">
            <v>0</v>
          </cell>
          <cell r="H5024">
            <v>0</v>
          </cell>
          <cell r="I5024">
            <v>0</v>
          </cell>
          <cell r="J5024">
            <v>0</v>
          </cell>
          <cell r="K5024">
            <v>0</v>
          </cell>
          <cell r="L5024">
            <v>3</v>
          </cell>
        </row>
        <row r="5025">
          <cell r="A5025" t="str">
            <v>20492.14809</v>
          </cell>
          <cell r="B5025" t="str">
            <v>PIED</v>
          </cell>
          <cell r="C5025" t="str">
            <v>DRESSER RAND 1A14114-1 PLAN 4A6085 REP2</v>
          </cell>
          <cell r="D5025" t="str">
            <v>PE</v>
          </cell>
          <cell r="E5025" t="str">
            <v>515.51517</v>
          </cell>
          <cell r="F5025">
            <v>10537.8493</v>
          </cell>
          <cell r="G5025">
            <v>0</v>
          </cell>
          <cell r="H5025">
            <v>0</v>
          </cell>
          <cell r="I5025">
            <v>0</v>
          </cell>
          <cell r="J5025">
            <v>0</v>
          </cell>
          <cell r="K5025">
            <v>0</v>
          </cell>
          <cell r="L5025">
            <v>6</v>
          </cell>
        </row>
        <row r="5026">
          <cell r="A5026" t="str">
            <v>20492.14810</v>
          </cell>
          <cell r="B5026" t="str">
            <v>CLAVETTE</v>
          </cell>
          <cell r="C5026" t="str">
            <v>DRESSER RAND 1A14115-1 PLAN 4A6085 REP3</v>
          </cell>
          <cell r="D5026" t="str">
            <v>PE</v>
          </cell>
          <cell r="E5026" t="str">
            <v>515.51517</v>
          </cell>
          <cell r="F5026">
            <v>18304.487400000002</v>
          </cell>
          <cell r="G5026">
            <v>0</v>
          </cell>
          <cell r="H5026">
            <v>0</v>
          </cell>
          <cell r="I5026">
            <v>0</v>
          </cell>
          <cell r="J5026">
            <v>0</v>
          </cell>
          <cell r="K5026">
            <v>0</v>
          </cell>
          <cell r="L5026">
            <v>1</v>
          </cell>
        </row>
        <row r="5027">
          <cell r="A5027" t="str">
            <v>20492.14811</v>
          </cell>
          <cell r="B5027" t="str">
            <v>PIED</v>
          </cell>
          <cell r="C5027" t="str">
            <v>DRESSER RAND 1A14116-1 PLAN 4A6085 REP4</v>
          </cell>
          <cell r="D5027" t="str">
            <v>PE</v>
          </cell>
          <cell r="E5027" t="str">
            <v>515.51517</v>
          </cell>
          <cell r="F5027">
            <v>9433.8973999999998</v>
          </cell>
          <cell r="G5027">
            <v>0</v>
          </cell>
          <cell r="H5027">
            <v>0</v>
          </cell>
          <cell r="I5027">
            <v>0</v>
          </cell>
          <cell r="J5027">
            <v>0</v>
          </cell>
          <cell r="K5027">
            <v>0</v>
          </cell>
          <cell r="L5027">
            <v>1</v>
          </cell>
        </row>
        <row r="5028">
          <cell r="A5028" t="str">
            <v>20492.03100</v>
          </cell>
          <cell r="B5028" t="str">
            <v>ROTOR COMPLET (ROUE,ARBRE ET MOYEU) EN INOX 904L</v>
          </cell>
          <cell r="C5028" t="str">
            <v>COVENT  REF 4496-100-4-5-904 MODELE:E40S-6650 SWSI CW TAU ARRG'T 8</v>
          </cell>
          <cell r="D5028" t="str">
            <v>PE</v>
          </cell>
          <cell r="E5028" t="str">
            <v>314.31401</v>
          </cell>
          <cell r="F5028">
            <v>930690.49560000002</v>
          </cell>
          <cell r="G5028">
            <v>0</v>
          </cell>
          <cell r="H5028">
            <v>0</v>
          </cell>
          <cell r="I5028">
            <v>1</v>
          </cell>
          <cell r="J5028">
            <v>0</v>
          </cell>
          <cell r="K5028">
            <v>0</v>
          </cell>
          <cell r="L5028">
            <v>0</v>
          </cell>
        </row>
        <row r="5029">
          <cell r="A5029" t="str">
            <v>20492.05853</v>
          </cell>
          <cell r="B5029" t="str">
            <v>PREFILTRE</v>
          </cell>
          <cell r="C5029" t="str">
            <v>DRESSER ROOTS PLAN NP2151/C REP13</v>
          </cell>
          <cell r="D5029" t="str">
            <v>PE</v>
          </cell>
          <cell r="E5029" t="str">
            <v>515.51517</v>
          </cell>
          <cell r="F5029">
            <v>231166.11809999999</v>
          </cell>
          <cell r="G5029">
            <v>0</v>
          </cell>
          <cell r="H5029">
            <v>0</v>
          </cell>
          <cell r="I5029">
            <v>0</v>
          </cell>
          <cell r="J5029">
            <v>0</v>
          </cell>
          <cell r="K5029">
            <v>0</v>
          </cell>
          <cell r="L5029">
            <v>1</v>
          </cell>
        </row>
        <row r="5030">
          <cell r="A5030" t="str">
            <v>20492.03230</v>
          </cell>
          <cell r="B5030" t="str">
            <v>PAVILLON D'ASPIRATION(CLOCHE) EN INOX 904L</v>
          </cell>
          <cell r="C5030" t="str">
            <v>COVENT  REF 4496-100-7-904  MODELE:E40S-6650 SWSI CW TAU ARRG'T 8</v>
          </cell>
          <cell r="D5030" t="str">
            <v>PE</v>
          </cell>
          <cell r="E5030" t="str">
            <v>314.31401</v>
          </cell>
          <cell r="F5030">
            <v>76231.883000000002</v>
          </cell>
          <cell r="G5030">
            <v>0</v>
          </cell>
          <cell r="H5030">
            <v>0</v>
          </cell>
          <cell r="I5030">
            <v>1</v>
          </cell>
          <cell r="J5030">
            <v>0</v>
          </cell>
          <cell r="K5030">
            <v>0</v>
          </cell>
          <cell r="L5030">
            <v>0</v>
          </cell>
        </row>
        <row r="5031">
          <cell r="A5031" t="str">
            <v>20492.05856</v>
          </cell>
          <cell r="B5031" t="str">
            <v>ACCOUPLEMENT</v>
          </cell>
          <cell r="C5031" t="str">
            <v>DRESSER ROOTS PLAN NP2151/C REP101</v>
          </cell>
          <cell r="D5031" t="str">
            <v>PE</v>
          </cell>
          <cell r="E5031" t="str">
            <v>515.51517</v>
          </cell>
          <cell r="F5031">
            <v>42020.516300000003</v>
          </cell>
          <cell r="G5031">
            <v>0</v>
          </cell>
          <cell r="H5031">
            <v>0</v>
          </cell>
          <cell r="I5031">
            <v>0</v>
          </cell>
          <cell r="J5031">
            <v>0</v>
          </cell>
          <cell r="K5031">
            <v>0</v>
          </cell>
          <cell r="L5031">
            <v>1</v>
          </cell>
        </row>
        <row r="5032">
          <cell r="A5032" t="str">
            <v>20492.14852</v>
          </cell>
          <cell r="B5032" t="str">
            <v>ECROU</v>
          </cell>
          <cell r="C5032" t="str">
            <v>DRESSER RAND 1S676-2 PLAN 6R9394 REP20</v>
          </cell>
          <cell r="D5032" t="str">
            <v>PE</v>
          </cell>
          <cell r="E5032" t="str">
            <v>515.51517</v>
          </cell>
          <cell r="F5032">
            <v>163.23480000000001</v>
          </cell>
          <cell r="G5032">
            <v>0</v>
          </cell>
          <cell r="H5032">
            <v>0</v>
          </cell>
          <cell r="I5032">
            <v>0</v>
          </cell>
          <cell r="J5032">
            <v>0</v>
          </cell>
          <cell r="K5032">
            <v>0</v>
          </cell>
          <cell r="L5032">
            <v>3</v>
          </cell>
        </row>
        <row r="5033">
          <cell r="A5033" t="str">
            <v>20492.14853</v>
          </cell>
          <cell r="B5033" t="str">
            <v>ECROU</v>
          </cell>
          <cell r="C5033" t="str">
            <v>DRESSER RAND 1S668-1 PLAN 6R9394 REP21</v>
          </cell>
          <cell r="D5033" t="str">
            <v>PE</v>
          </cell>
          <cell r="E5033" t="str">
            <v>515.51517</v>
          </cell>
          <cell r="F5033">
            <v>14211.123600000001</v>
          </cell>
          <cell r="G5033">
            <v>0</v>
          </cell>
          <cell r="H5033">
            <v>0</v>
          </cell>
          <cell r="I5033">
            <v>0</v>
          </cell>
          <cell r="J5033">
            <v>0</v>
          </cell>
          <cell r="K5033">
            <v>0</v>
          </cell>
          <cell r="L5033">
            <v>2</v>
          </cell>
        </row>
        <row r="5034">
          <cell r="A5034" t="str">
            <v>20492.14812</v>
          </cell>
          <cell r="B5034" t="str">
            <v>LABYRINTHE</v>
          </cell>
          <cell r="C5034" t="str">
            <v>DRESSER RAND 5A0921-14 PLAN OR29580.81.82 REP2</v>
          </cell>
          <cell r="D5034" t="str">
            <v>PE</v>
          </cell>
          <cell r="E5034" t="str">
            <v>515.51517</v>
          </cell>
          <cell r="F5034">
            <v>25956.865000000002</v>
          </cell>
          <cell r="G5034">
            <v>0</v>
          </cell>
          <cell r="H5034">
            <v>0</v>
          </cell>
          <cell r="I5034">
            <v>0</v>
          </cell>
          <cell r="J5034">
            <v>0</v>
          </cell>
          <cell r="K5034">
            <v>0</v>
          </cell>
          <cell r="L5034">
            <v>0</v>
          </cell>
        </row>
        <row r="5035">
          <cell r="A5035" t="str">
            <v>20492.14813</v>
          </cell>
          <cell r="B5035" t="str">
            <v>RESSORT</v>
          </cell>
          <cell r="C5035" t="str">
            <v>DRESSER RAND 1A4099-15 PLAN OR29580.81.82 REP3</v>
          </cell>
          <cell r="D5035" t="str">
            <v>PE</v>
          </cell>
          <cell r="E5035" t="str">
            <v>515.51517</v>
          </cell>
          <cell r="F5035">
            <v>989.11080000000004</v>
          </cell>
          <cell r="G5035">
            <v>0</v>
          </cell>
          <cell r="H5035">
            <v>0</v>
          </cell>
          <cell r="I5035">
            <v>0</v>
          </cell>
          <cell r="J5035">
            <v>0</v>
          </cell>
          <cell r="K5035">
            <v>0</v>
          </cell>
          <cell r="L5035">
            <v>6</v>
          </cell>
        </row>
        <row r="5036">
          <cell r="A5036" t="str">
            <v>20492.14814</v>
          </cell>
          <cell r="B5036" t="str">
            <v>GOUPILLE</v>
          </cell>
          <cell r="C5036" t="str">
            <v>DRESSER RAND 1S338-61 PLAN OR29580.81.82 REP4</v>
          </cell>
          <cell r="D5036" t="str">
            <v>PE</v>
          </cell>
          <cell r="E5036" t="str">
            <v>515.51517</v>
          </cell>
          <cell r="F5036">
            <v>77.774100000000004</v>
          </cell>
          <cell r="G5036">
            <v>0</v>
          </cell>
          <cell r="H5036">
            <v>0</v>
          </cell>
          <cell r="I5036">
            <v>0</v>
          </cell>
          <cell r="J5036">
            <v>0</v>
          </cell>
          <cell r="K5036">
            <v>0</v>
          </cell>
          <cell r="L5036">
            <v>0</v>
          </cell>
        </row>
        <row r="5037">
          <cell r="A5037" t="str">
            <v>20492.14815</v>
          </cell>
          <cell r="B5037" t="str">
            <v>RESSORT</v>
          </cell>
          <cell r="C5037" t="str">
            <v>DRESSER RAND 1-1940-1 PLAN 4A1867 REP8</v>
          </cell>
          <cell r="D5037" t="str">
            <v>PE</v>
          </cell>
          <cell r="E5037" t="str">
            <v>515.51517</v>
          </cell>
          <cell r="F5037">
            <v>6623.2574000000004</v>
          </cell>
          <cell r="G5037">
            <v>0</v>
          </cell>
          <cell r="H5037">
            <v>0</v>
          </cell>
          <cell r="I5037">
            <v>0</v>
          </cell>
          <cell r="J5037">
            <v>0</v>
          </cell>
          <cell r="K5037">
            <v>0</v>
          </cell>
          <cell r="L5037">
            <v>1</v>
          </cell>
        </row>
        <row r="5038">
          <cell r="A5038" t="str">
            <v>20492.14816</v>
          </cell>
          <cell r="B5038" t="str">
            <v>JOINT</v>
          </cell>
          <cell r="C5038" t="str">
            <v>DRESSER RAND 1-5932-1 PLAN 4A1867 REP6</v>
          </cell>
          <cell r="D5038" t="str">
            <v>PE</v>
          </cell>
          <cell r="E5038" t="str">
            <v>515.51517</v>
          </cell>
          <cell r="F5038">
            <v>1395.1697999999999</v>
          </cell>
          <cell r="G5038">
            <v>0</v>
          </cell>
          <cell r="H5038">
            <v>0</v>
          </cell>
          <cell r="I5038">
            <v>0</v>
          </cell>
          <cell r="J5038">
            <v>0</v>
          </cell>
          <cell r="K5038">
            <v>0</v>
          </cell>
          <cell r="L5038">
            <v>0</v>
          </cell>
        </row>
        <row r="5039">
          <cell r="A5039" t="str">
            <v>20492.14817</v>
          </cell>
          <cell r="B5039" t="str">
            <v>COUSSINET</v>
          </cell>
          <cell r="C5039" t="str">
            <v>DRESSER RAND 1A5604-1 PLAN 4A5359 REP2</v>
          </cell>
          <cell r="D5039" t="str">
            <v>PE</v>
          </cell>
          <cell r="E5039" t="str">
            <v>515.51517</v>
          </cell>
          <cell r="F5039">
            <v>545.72400000000005</v>
          </cell>
          <cell r="G5039">
            <v>0</v>
          </cell>
          <cell r="H5039">
            <v>0</v>
          </cell>
          <cell r="I5039">
            <v>0</v>
          </cell>
          <cell r="J5039">
            <v>0</v>
          </cell>
          <cell r="K5039">
            <v>0</v>
          </cell>
          <cell r="L5039">
            <v>2</v>
          </cell>
        </row>
        <row r="5040">
          <cell r="A5040" t="str">
            <v>20492.14818</v>
          </cell>
          <cell r="B5040" t="str">
            <v>GOUPILLE</v>
          </cell>
          <cell r="C5040" t="str">
            <v>DRESSER RAND 1S360-51 PLAN 4A5359 REP4</v>
          </cell>
          <cell r="D5040" t="str">
            <v>PE</v>
          </cell>
          <cell r="E5040" t="str">
            <v>515.51517</v>
          </cell>
          <cell r="F5040">
            <v>1003.9071</v>
          </cell>
          <cell r="G5040">
            <v>0</v>
          </cell>
          <cell r="H5040">
            <v>0</v>
          </cell>
          <cell r="I5040">
            <v>0</v>
          </cell>
          <cell r="J5040">
            <v>0</v>
          </cell>
          <cell r="K5040">
            <v>0</v>
          </cell>
          <cell r="L5040">
            <v>1</v>
          </cell>
        </row>
        <row r="5041">
          <cell r="A5041" t="str">
            <v>20492.14819</v>
          </cell>
          <cell r="B5041" t="str">
            <v>ROTULE UNIBAL</v>
          </cell>
          <cell r="C5041" t="str">
            <v>DRESSER RAND 1S313-9 PLAN 4A5359 REP5</v>
          </cell>
          <cell r="D5041" t="str">
            <v>PE</v>
          </cell>
          <cell r="E5041" t="str">
            <v>515.51517</v>
          </cell>
          <cell r="F5041">
            <v>627.57330000000002</v>
          </cell>
          <cell r="G5041">
            <v>0</v>
          </cell>
          <cell r="H5041">
            <v>0</v>
          </cell>
          <cell r="I5041">
            <v>0</v>
          </cell>
          <cell r="J5041">
            <v>0</v>
          </cell>
          <cell r="K5041">
            <v>0</v>
          </cell>
          <cell r="L5041">
            <v>1</v>
          </cell>
        </row>
        <row r="5042">
          <cell r="A5042" t="str">
            <v>20492.14820</v>
          </cell>
          <cell r="B5042" t="str">
            <v>GOUPILLE</v>
          </cell>
          <cell r="C5042" t="str">
            <v>DRESSER RAND 1S445-4 PLAN 4A5359 REP8</v>
          </cell>
          <cell r="D5042" t="str">
            <v>PE</v>
          </cell>
          <cell r="E5042" t="str">
            <v>515.51517</v>
          </cell>
          <cell r="F5042">
            <v>107.78700000000001</v>
          </cell>
          <cell r="G5042">
            <v>0</v>
          </cell>
          <cell r="H5042">
            <v>0</v>
          </cell>
          <cell r="I5042">
            <v>0</v>
          </cell>
          <cell r="J5042">
            <v>0</v>
          </cell>
          <cell r="K5042">
            <v>0</v>
          </cell>
          <cell r="L5042">
            <v>2</v>
          </cell>
        </row>
        <row r="5043">
          <cell r="A5043" t="str">
            <v>20492.14821</v>
          </cell>
          <cell r="B5043" t="str">
            <v>RESSORT</v>
          </cell>
          <cell r="C5043" t="str">
            <v>DRESSER RAND 1G5017-1 PLAN 4A5359 REP9</v>
          </cell>
          <cell r="D5043" t="str">
            <v>PE</v>
          </cell>
          <cell r="E5043" t="str">
            <v>515.51517</v>
          </cell>
          <cell r="F5043">
            <v>1268.2639999999999</v>
          </cell>
          <cell r="G5043">
            <v>0</v>
          </cell>
          <cell r="H5043">
            <v>0</v>
          </cell>
          <cell r="I5043">
            <v>0</v>
          </cell>
          <cell r="J5043">
            <v>0</v>
          </cell>
          <cell r="K5043">
            <v>0</v>
          </cell>
          <cell r="L5043">
            <v>1</v>
          </cell>
        </row>
        <row r="5044">
          <cell r="A5044" t="str">
            <v>20492.14822</v>
          </cell>
          <cell r="B5044" t="str">
            <v>JOINT</v>
          </cell>
          <cell r="C5044" t="str">
            <v>DRESSER RAND 1S414-2 PLAN 4A5359 REP10</v>
          </cell>
          <cell r="D5044" t="str">
            <v>PE</v>
          </cell>
          <cell r="E5044" t="str">
            <v>515.51517</v>
          </cell>
          <cell r="F5044">
            <v>211.39619999999999</v>
          </cell>
          <cell r="G5044">
            <v>0</v>
          </cell>
          <cell r="H5044">
            <v>0</v>
          </cell>
          <cell r="I5044">
            <v>0</v>
          </cell>
          <cell r="J5044">
            <v>0</v>
          </cell>
          <cell r="K5044">
            <v>0</v>
          </cell>
          <cell r="L5044">
            <v>1</v>
          </cell>
        </row>
        <row r="5045">
          <cell r="A5045" t="str">
            <v>20492.14823</v>
          </cell>
          <cell r="B5045" t="str">
            <v>RONDELLE</v>
          </cell>
          <cell r="C5045" t="str">
            <v>DRESSER RAND 3A1956-5 PLAN 4A5359 REP12</v>
          </cell>
          <cell r="D5045" t="str">
            <v>PE</v>
          </cell>
          <cell r="E5045" t="str">
            <v>515.51517</v>
          </cell>
          <cell r="F5045">
            <v>1479.6603</v>
          </cell>
          <cell r="G5045">
            <v>0</v>
          </cell>
          <cell r="H5045">
            <v>0</v>
          </cell>
          <cell r="I5045">
            <v>0</v>
          </cell>
          <cell r="J5045">
            <v>0</v>
          </cell>
          <cell r="K5045">
            <v>0</v>
          </cell>
          <cell r="L5045">
            <v>1</v>
          </cell>
        </row>
        <row r="5046">
          <cell r="A5046" t="str">
            <v>20492.14824</v>
          </cell>
          <cell r="B5046" t="str">
            <v>PEDALE DE DECLANCHEMENT</v>
          </cell>
          <cell r="C5046" t="str">
            <v>DRESSER RAND 1A1415-2 PLAN 4A5359 REP13</v>
          </cell>
          <cell r="D5046" t="str">
            <v>PE</v>
          </cell>
          <cell r="E5046" t="str">
            <v>515.51517</v>
          </cell>
          <cell r="F5046">
            <v>19657.177500000002</v>
          </cell>
          <cell r="G5046">
            <v>0</v>
          </cell>
          <cell r="H5046">
            <v>0</v>
          </cell>
          <cell r="I5046">
            <v>0</v>
          </cell>
          <cell r="J5046">
            <v>0</v>
          </cell>
          <cell r="K5046">
            <v>0</v>
          </cell>
          <cell r="L5046">
            <v>1</v>
          </cell>
        </row>
        <row r="5047">
          <cell r="A5047" t="str">
            <v>20492.14825</v>
          </cell>
          <cell r="B5047" t="str">
            <v>CONTROLEUR DE SURVITESSE</v>
          </cell>
          <cell r="C5047" t="str">
            <v>DRESSER RAND OA20802 PLAN 1A7161 REP SANS</v>
          </cell>
          <cell r="D5047" t="str">
            <v>PE</v>
          </cell>
          <cell r="E5047" t="str">
            <v>515.51517</v>
          </cell>
          <cell r="F5047">
            <v>11697.5028</v>
          </cell>
          <cell r="G5047">
            <v>0</v>
          </cell>
          <cell r="H5047">
            <v>0</v>
          </cell>
          <cell r="I5047">
            <v>0</v>
          </cell>
          <cell r="J5047">
            <v>0</v>
          </cell>
          <cell r="K5047">
            <v>0</v>
          </cell>
          <cell r="L5047">
            <v>1</v>
          </cell>
        </row>
        <row r="5048">
          <cell r="A5048" t="str">
            <v>20492.14826</v>
          </cell>
          <cell r="B5048" t="str">
            <v>ECROU</v>
          </cell>
          <cell r="C5048" t="str">
            <v>DRESSER RAND 1S669-1 PLAN 6R9394 REP22</v>
          </cell>
          <cell r="D5048" t="str">
            <v>PE</v>
          </cell>
          <cell r="E5048" t="str">
            <v>515.51517</v>
          </cell>
          <cell r="F5048">
            <v>22276.120500000001</v>
          </cell>
          <cell r="G5048">
            <v>0</v>
          </cell>
          <cell r="H5048">
            <v>0</v>
          </cell>
          <cell r="I5048">
            <v>0</v>
          </cell>
          <cell r="J5048">
            <v>0</v>
          </cell>
          <cell r="K5048">
            <v>0</v>
          </cell>
          <cell r="L5048">
            <v>14</v>
          </cell>
        </row>
        <row r="5049">
          <cell r="A5049" t="str">
            <v>20492.14827</v>
          </cell>
          <cell r="B5049" t="str">
            <v>ECROU</v>
          </cell>
          <cell r="C5049" t="str">
            <v>DRESSER RAND 1S668-2 PLAN 6R9394 REP23</v>
          </cell>
          <cell r="D5049" t="str">
            <v>PE</v>
          </cell>
          <cell r="E5049" t="str">
            <v>515.51517</v>
          </cell>
          <cell r="F5049">
            <v>10396.634899999999</v>
          </cell>
          <cell r="G5049">
            <v>0</v>
          </cell>
          <cell r="H5049">
            <v>0</v>
          </cell>
          <cell r="I5049">
            <v>0</v>
          </cell>
          <cell r="J5049">
            <v>0</v>
          </cell>
          <cell r="K5049">
            <v>0</v>
          </cell>
          <cell r="L5049">
            <v>1</v>
          </cell>
        </row>
        <row r="5050">
          <cell r="A5050" t="str">
            <v>20492.14828</v>
          </cell>
          <cell r="B5050" t="str">
            <v>ECROU</v>
          </cell>
          <cell r="C5050" t="str">
            <v>DRESSER RAND 1S674-1 PLAN 6R9394 REP24</v>
          </cell>
          <cell r="D5050" t="str">
            <v>PE</v>
          </cell>
          <cell r="E5050" t="str">
            <v>515.51517</v>
          </cell>
          <cell r="F5050">
            <v>9637.9786999999997</v>
          </cell>
          <cell r="G5050">
            <v>0</v>
          </cell>
          <cell r="H5050">
            <v>0</v>
          </cell>
          <cell r="I5050">
            <v>0</v>
          </cell>
          <cell r="J5050">
            <v>0</v>
          </cell>
          <cell r="K5050">
            <v>0</v>
          </cell>
          <cell r="L5050">
            <v>1</v>
          </cell>
        </row>
        <row r="5051">
          <cell r="A5051" t="str">
            <v>20492.14829</v>
          </cell>
          <cell r="B5051" t="str">
            <v>ECROU</v>
          </cell>
          <cell r="C5051" t="str">
            <v>DRESSER RAND 1S671-1 PLAN 6R9394 REP25</v>
          </cell>
          <cell r="D5051" t="str">
            <v>PE</v>
          </cell>
          <cell r="E5051" t="str">
            <v>515.51517</v>
          </cell>
          <cell r="F5051">
            <v>6085.2025999999996</v>
          </cell>
          <cell r="G5051">
            <v>0</v>
          </cell>
          <cell r="H5051">
            <v>0</v>
          </cell>
          <cell r="I5051">
            <v>0</v>
          </cell>
          <cell r="J5051">
            <v>0</v>
          </cell>
          <cell r="K5051">
            <v>0</v>
          </cell>
          <cell r="L5051">
            <v>2</v>
          </cell>
        </row>
        <row r="5052">
          <cell r="A5052" t="str">
            <v>20492.05786</v>
          </cell>
          <cell r="B5052" t="str">
            <v>PLATEAU FIXE EP:30MM</v>
          </cell>
          <cell r="C5052" t="str">
            <v>ACM  TYPE S21-IG10-29-TK PLAN 85-06 REP1</v>
          </cell>
          <cell r="D5052" t="str">
            <v>PE</v>
          </cell>
          <cell r="E5052" t="str">
            <v>515.51509</v>
          </cell>
          <cell r="F5052">
            <v>9275</v>
          </cell>
          <cell r="G5052">
            <v>0</v>
          </cell>
          <cell r="H5052">
            <v>0</v>
          </cell>
          <cell r="I5052">
            <v>0</v>
          </cell>
          <cell r="J5052">
            <v>0</v>
          </cell>
          <cell r="K5052">
            <v>0</v>
          </cell>
          <cell r="L5052">
            <v>0</v>
          </cell>
        </row>
        <row r="5053">
          <cell r="A5053" t="str">
            <v>20492.05787</v>
          </cell>
          <cell r="B5053" t="str">
            <v>PLATEAU MOBILE EP:25MM</v>
          </cell>
          <cell r="C5053" t="str">
            <v>ACM  TYPE S21-IG10-29-TK PLAN 85-06 REP2</v>
          </cell>
          <cell r="D5053" t="str">
            <v>PE</v>
          </cell>
          <cell r="E5053" t="str">
            <v>515.51509</v>
          </cell>
          <cell r="F5053">
            <v>9275</v>
          </cell>
          <cell r="G5053">
            <v>0</v>
          </cell>
          <cell r="H5053">
            <v>0</v>
          </cell>
          <cell r="I5053">
            <v>0</v>
          </cell>
          <cell r="J5053">
            <v>0</v>
          </cell>
          <cell r="K5053">
            <v>0</v>
          </cell>
          <cell r="L5053">
            <v>0</v>
          </cell>
        </row>
        <row r="5054">
          <cell r="A5054" t="str">
            <v>20492.05788</v>
          </cell>
          <cell r="B5054" t="str">
            <v>PREMIERE PLAQUE 0,5MM</v>
          </cell>
          <cell r="C5054" t="str">
            <v>ACM  TYPE S21-IG10-29-TK PLAN 85-06 REP3</v>
          </cell>
          <cell r="D5054" t="str">
            <v>PE</v>
          </cell>
          <cell r="E5054" t="str">
            <v>515.51509</v>
          </cell>
          <cell r="F5054">
            <v>1489.5296000000001</v>
          </cell>
          <cell r="G5054">
            <v>0</v>
          </cell>
          <cell r="H5054">
            <v>0</v>
          </cell>
          <cell r="I5054">
            <v>0</v>
          </cell>
          <cell r="J5054">
            <v>0</v>
          </cell>
          <cell r="K5054">
            <v>0</v>
          </cell>
          <cell r="L5054">
            <v>0</v>
          </cell>
        </row>
        <row r="5055">
          <cell r="A5055" t="str">
            <v>20492.05789</v>
          </cell>
          <cell r="B5055" t="str">
            <v>JEU DE JOINTS ENTRE PLAQUES</v>
          </cell>
          <cell r="C5055" t="str">
            <v>ACM  TYPE S21-IG10-29-TK PLAN 85-06 REP3'-4'-5'</v>
          </cell>
          <cell r="D5055" t="str">
            <v>PE</v>
          </cell>
          <cell r="E5055" t="str">
            <v>515.51509</v>
          </cell>
          <cell r="F5055">
            <v>4965.0987999999998</v>
          </cell>
          <cell r="G5055">
            <v>0</v>
          </cell>
          <cell r="H5055">
            <v>0</v>
          </cell>
          <cell r="I5055">
            <v>0</v>
          </cell>
          <cell r="J5055">
            <v>0</v>
          </cell>
          <cell r="K5055">
            <v>0</v>
          </cell>
          <cell r="L5055">
            <v>0</v>
          </cell>
        </row>
        <row r="5056">
          <cell r="A5056" t="str">
            <v>20492.15919</v>
          </cell>
          <cell r="B5056" t="str">
            <v>JOINT</v>
          </cell>
          <cell r="C5056" t="str">
            <v>DRESSER RAND 1A5601-7 NOMENCLATURE OR27502 REP25</v>
          </cell>
          <cell r="D5056" t="str">
            <v>PE</v>
          </cell>
          <cell r="E5056" t="str">
            <v>515.51517</v>
          </cell>
          <cell r="F5056">
            <v>570.05719999999997</v>
          </cell>
          <cell r="G5056">
            <v>0</v>
          </cell>
          <cell r="H5056">
            <v>0</v>
          </cell>
          <cell r="I5056">
            <v>0</v>
          </cell>
          <cell r="J5056">
            <v>0</v>
          </cell>
          <cell r="K5056">
            <v>0</v>
          </cell>
          <cell r="L5056">
            <v>2</v>
          </cell>
        </row>
        <row r="5057">
          <cell r="A5057" t="str">
            <v>20492.15915</v>
          </cell>
          <cell r="B5057" t="str">
            <v>BIELLE</v>
          </cell>
          <cell r="C5057" t="str">
            <v>DRESSER RAND 1A6901-2 NOMENCLATURE OR27502 REP3</v>
          </cell>
          <cell r="D5057" t="str">
            <v>PE</v>
          </cell>
          <cell r="E5057" t="str">
            <v>515.51517</v>
          </cell>
          <cell r="F5057">
            <v>13373.2055</v>
          </cell>
          <cell r="G5057">
            <v>0</v>
          </cell>
          <cell r="H5057">
            <v>0</v>
          </cell>
          <cell r="I5057">
            <v>0</v>
          </cell>
          <cell r="J5057">
            <v>0</v>
          </cell>
          <cell r="K5057">
            <v>0</v>
          </cell>
          <cell r="L5057">
            <v>4</v>
          </cell>
        </row>
        <row r="5058">
          <cell r="A5058" t="str">
            <v>20222.06983</v>
          </cell>
          <cell r="B5058" t="str">
            <v>DISJONCTEUR C32HDC 2P 10A</v>
          </cell>
          <cell r="C5058">
            <v>20545</v>
          </cell>
          <cell r="D5058" t="str">
            <v>PE</v>
          </cell>
          <cell r="E5058" t="str">
            <v>522.52206</v>
          </cell>
          <cell r="F5058">
            <v>216</v>
          </cell>
          <cell r="G5058">
            <v>0</v>
          </cell>
          <cell r="H5058">
            <v>0</v>
          </cell>
          <cell r="I5058">
            <v>0</v>
          </cell>
          <cell r="J5058">
            <v>0</v>
          </cell>
          <cell r="K5058">
            <v>1</v>
          </cell>
          <cell r="L5058">
            <v>0</v>
          </cell>
        </row>
        <row r="5059">
          <cell r="A5059" t="str">
            <v>20222.06028</v>
          </cell>
          <cell r="B5059" t="str">
            <v>DISJONCTEUR</v>
          </cell>
          <cell r="C5059" t="str">
            <v>21026  DT40 1P PLUS N 6KA 20A C</v>
          </cell>
          <cell r="D5059" t="str">
            <v>PE</v>
          </cell>
          <cell r="E5059" t="str">
            <v>522.52206</v>
          </cell>
          <cell r="F5059">
            <v>51.084000000000003</v>
          </cell>
          <cell r="G5059">
            <v>0</v>
          </cell>
          <cell r="H5059">
            <v>4</v>
          </cell>
          <cell r="I5059">
            <v>0</v>
          </cell>
          <cell r="J5059">
            <v>0</v>
          </cell>
          <cell r="K5059">
            <v>1</v>
          </cell>
          <cell r="L5059">
            <v>1</v>
          </cell>
        </row>
        <row r="5060">
          <cell r="A5060" t="str">
            <v>20222.07288</v>
          </cell>
          <cell r="B5060" t="str">
            <v>DISJONCTEUR</v>
          </cell>
          <cell r="C5060" t="str">
            <v>24176 MULTI 9 400VAC C60N/C16 1POLE</v>
          </cell>
          <cell r="D5060" t="str">
            <v>PE</v>
          </cell>
          <cell r="E5060" t="str">
            <v>522.52206</v>
          </cell>
          <cell r="F5060">
            <v>112.56</v>
          </cell>
          <cell r="G5060">
            <v>0</v>
          </cell>
          <cell r="H5060">
            <v>0</v>
          </cell>
          <cell r="I5060">
            <v>0</v>
          </cell>
          <cell r="J5060">
            <v>0</v>
          </cell>
          <cell r="K5060">
            <v>5</v>
          </cell>
          <cell r="L5060">
            <v>0</v>
          </cell>
        </row>
        <row r="5061">
          <cell r="A5061" t="str">
            <v>20222.07289</v>
          </cell>
          <cell r="B5061" t="str">
            <v>DISJONCTEUR</v>
          </cell>
          <cell r="C5061" t="str">
            <v>MULTI 9 400VAC C60N/C4 1POLE</v>
          </cell>
          <cell r="D5061" t="str">
            <v>PE</v>
          </cell>
          <cell r="E5061" t="str">
            <v>522.52206</v>
          </cell>
          <cell r="F5061">
            <v>250.56</v>
          </cell>
          <cell r="G5061">
            <v>0</v>
          </cell>
          <cell r="H5061">
            <v>0</v>
          </cell>
          <cell r="I5061">
            <v>0</v>
          </cell>
          <cell r="J5061">
            <v>0</v>
          </cell>
          <cell r="K5061">
            <v>4</v>
          </cell>
          <cell r="L5061">
            <v>0</v>
          </cell>
        </row>
        <row r="5062">
          <cell r="A5062" t="str">
            <v>20222.07290</v>
          </cell>
          <cell r="B5062" t="str">
            <v>DISJONCTEUR</v>
          </cell>
          <cell r="C5062" t="str">
            <v>MULTI 9 400VAC C60N/C2 1POLE</v>
          </cell>
          <cell r="D5062" t="str">
            <v>PE</v>
          </cell>
          <cell r="E5062" t="str">
            <v>522.52206</v>
          </cell>
          <cell r="F5062">
            <v>166.56</v>
          </cell>
          <cell r="G5062">
            <v>0</v>
          </cell>
          <cell r="H5062">
            <v>0</v>
          </cell>
          <cell r="I5062">
            <v>0</v>
          </cell>
          <cell r="J5062">
            <v>0</v>
          </cell>
          <cell r="K5062">
            <v>0</v>
          </cell>
          <cell r="L5062">
            <v>0</v>
          </cell>
        </row>
        <row r="5063">
          <cell r="A5063" t="str">
            <v>20222.07166</v>
          </cell>
          <cell r="B5063" t="str">
            <v>DISJONCTEUR 3P 250A</v>
          </cell>
          <cell r="C5063">
            <v>31670</v>
          </cell>
          <cell r="D5063" t="str">
            <v>PE</v>
          </cell>
          <cell r="E5063" t="str">
            <v>522.52206</v>
          </cell>
          <cell r="F5063">
            <v>3385.8</v>
          </cell>
          <cell r="G5063">
            <v>0</v>
          </cell>
          <cell r="H5063">
            <v>0</v>
          </cell>
          <cell r="I5063">
            <v>0</v>
          </cell>
          <cell r="J5063">
            <v>0</v>
          </cell>
          <cell r="K5063">
            <v>0</v>
          </cell>
          <cell r="L5063">
            <v>0</v>
          </cell>
        </row>
        <row r="5064">
          <cell r="A5064" t="str">
            <v>20222.07291</v>
          </cell>
          <cell r="B5064" t="str">
            <v>DISJONCTEUR</v>
          </cell>
          <cell r="C5064" t="str">
            <v>MULTI 9 400VAC C60/C10 1POLE</v>
          </cell>
          <cell r="D5064" t="str">
            <v>PE</v>
          </cell>
          <cell r="E5064" t="str">
            <v>522.52206</v>
          </cell>
          <cell r="F5064">
            <v>112.56</v>
          </cell>
          <cell r="G5064">
            <v>0</v>
          </cell>
          <cell r="H5064">
            <v>0</v>
          </cell>
          <cell r="I5064">
            <v>0</v>
          </cell>
          <cell r="J5064">
            <v>0</v>
          </cell>
          <cell r="K5064">
            <v>0</v>
          </cell>
          <cell r="L5064">
            <v>0</v>
          </cell>
        </row>
        <row r="5065">
          <cell r="A5065" t="str">
            <v>20222.07292</v>
          </cell>
          <cell r="B5065" t="str">
            <v>DISJONCTEUR</v>
          </cell>
          <cell r="C5065" t="str">
            <v>NS 100 MG29460 4POLES</v>
          </cell>
          <cell r="D5065" t="str">
            <v>PE</v>
          </cell>
          <cell r="E5065" t="str">
            <v>522.52206</v>
          </cell>
          <cell r="F5065">
            <v>1537.2</v>
          </cell>
          <cell r="G5065">
            <v>0</v>
          </cell>
          <cell r="H5065">
            <v>0</v>
          </cell>
          <cell r="I5065">
            <v>0</v>
          </cell>
          <cell r="J5065">
            <v>0</v>
          </cell>
          <cell r="K5065">
            <v>2</v>
          </cell>
          <cell r="L5065">
            <v>0</v>
          </cell>
        </row>
        <row r="5066">
          <cell r="A5066" t="str">
            <v>20222.07293</v>
          </cell>
          <cell r="B5066" t="str">
            <v>DISLONCTEUR</v>
          </cell>
          <cell r="C5066" t="str">
            <v>24234+26567 63A 4POLES+VIGI 300MA C60N</v>
          </cell>
          <cell r="D5066" t="str">
            <v>PE</v>
          </cell>
          <cell r="E5066" t="str">
            <v>522.52206</v>
          </cell>
          <cell r="F5066">
            <v>1557.48</v>
          </cell>
          <cell r="G5066">
            <v>0</v>
          </cell>
          <cell r="H5066">
            <v>0</v>
          </cell>
          <cell r="I5066">
            <v>0</v>
          </cell>
          <cell r="J5066">
            <v>0</v>
          </cell>
          <cell r="K5066">
            <v>1</v>
          </cell>
          <cell r="L5066">
            <v>0</v>
          </cell>
        </row>
        <row r="5067">
          <cell r="A5067" t="str">
            <v>20222.07294</v>
          </cell>
          <cell r="B5067" t="str">
            <v>DISJONCTEUR</v>
          </cell>
          <cell r="C5067" t="str">
            <v>21409 DT40 32A 3POLES</v>
          </cell>
          <cell r="D5067" t="str">
            <v>PE</v>
          </cell>
          <cell r="E5067" t="str">
            <v>522.52206</v>
          </cell>
          <cell r="F5067">
            <v>242.28</v>
          </cell>
          <cell r="G5067">
            <v>0</v>
          </cell>
          <cell r="H5067">
            <v>0</v>
          </cell>
          <cell r="I5067">
            <v>0</v>
          </cell>
          <cell r="J5067">
            <v>0</v>
          </cell>
          <cell r="K5067">
            <v>2</v>
          </cell>
          <cell r="L5067">
            <v>0</v>
          </cell>
        </row>
        <row r="5068">
          <cell r="A5068" t="str">
            <v>20222.07296</v>
          </cell>
          <cell r="B5068" t="str">
            <v>INTERRUPTEUR</v>
          </cell>
          <cell r="C5068" t="str">
            <v>NG 125 NA18656 4POLES 63A</v>
          </cell>
          <cell r="D5068" t="str">
            <v>PE</v>
          </cell>
          <cell r="E5068" t="str">
            <v>522.52206</v>
          </cell>
          <cell r="F5068">
            <v>2154</v>
          </cell>
          <cell r="G5068">
            <v>0</v>
          </cell>
          <cell r="H5068">
            <v>0</v>
          </cell>
          <cell r="I5068">
            <v>0</v>
          </cell>
          <cell r="J5068">
            <v>0</v>
          </cell>
          <cell r="K5068">
            <v>1</v>
          </cell>
          <cell r="L5068">
            <v>0</v>
          </cell>
        </row>
        <row r="5069">
          <cell r="A5069" t="str">
            <v>20222.07297</v>
          </cell>
          <cell r="B5069" t="str">
            <v>INTERRUPTEUR HORAIRE</v>
          </cell>
          <cell r="C5069" t="str">
            <v>15365 IH24 HARM26 10A</v>
          </cell>
          <cell r="D5069" t="str">
            <v>PE</v>
          </cell>
          <cell r="E5069" t="str">
            <v>522.52206</v>
          </cell>
          <cell r="F5069">
            <v>315.48</v>
          </cell>
          <cell r="G5069">
            <v>0</v>
          </cell>
          <cell r="H5069">
            <v>0</v>
          </cell>
          <cell r="I5069">
            <v>0</v>
          </cell>
          <cell r="J5069">
            <v>0</v>
          </cell>
          <cell r="K5069">
            <v>0</v>
          </cell>
          <cell r="L5069">
            <v>0</v>
          </cell>
        </row>
        <row r="5070">
          <cell r="A5070" t="str">
            <v>20222.07298</v>
          </cell>
          <cell r="B5070" t="str">
            <v>INTERRUPTEUR</v>
          </cell>
          <cell r="C5070" t="str">
            <v>NS 100N TM100D MG29640 4POLES 80-100A</v>
          </cell>
          <cell r="D5070" t="str">
            <v>PE</v>
          </cell>
          <cell r="E5070" t="str">
            <v>522.52206</v>
          </cell>
          <cell r="F5070">
            <v>1537.2</v>
          </cell>
          <cell r="G5070">
            <v>0</v>
          </cell>
          <cell r="H5070">
            <v>0</v>
          </cell>
          <cell r="I5070">
            <v>0</v>
          </cell>
          <cell r="J5070">
            <v>0</v>
          </cell>
          <cell r="K5070">
            <v>3</v>
          </cell>
          <cell r="L5070">
            <v>0</v>
          </cell>
        </row>
        <row r="5071">
          <cell r="A5071" t="str">
            <v>20222.07299</v>
          </cell>
          <cell r="B5071" t="str">
            <v>DISJONCTEUR</v>
          </cell>
          <cell r="C5071" t="str">
            <v>C60N 4POLES 63A</v>
          </cell>
          <cell r="D5071" t="str">
            <v>PE</v>
          </cell>
          <cell r="E5071" t="str">
            <v>522.52206</v>
          </cell>
          <cell r="F5071">
            <v>758.20360000000005</v>
          </cell>
          <cell r="G5071">
            <v>0</v>
          </cell>
          <cell r="H5071">
            <v>2</v>
          </cell>
          <cell r="I5071">
            <v>0</v>
          </cell>
          <cell r="J5071">
            <v>0</v>
          </cell>
          <cell r="K5071">
            <v>0</v>
          </cell>
          <cell r="L5071">
            <v>5</v>
          </cell>
        </row>
        <row r="5072">
          <cell r="A5072" t="str">
            <v>20492.12560</v>
          </cell>
          <cell r="B5072" t="str">
            <v>FILTRE</v>
          </cell>
          <cell r="C5072" t="str">
            <v>M&amp;C TYPE CLF-T</v>
          </cell>
          <cell r="D5072" t="str">
            <v>PE</v>
          </cell>
          <cell r="E5072" t="str">
            <v>512.51201</v>
          </cell>
          <cell r="F5072">
            <v>7000</v>
          </cell>
          <cell r="G5072">
            <v>0</v>
          </cell>
          <cell r="H5072">
            <v>1</v>
          </cell>
          <cell r="I5072">
            <v>0</v>
          </cell>
          <cell r="J5072">
            <v>0</v>
          </cell>
          <cell r="K5072">
            <v>3</v>
          </cell>
          <cell r="L5072">
            <v>0</v>
          </cell>
        </row>
        <row r="5073">
          <cell r="A5073" t="str">
            <v>20492.12561</v>
          </cell>
          <cell r="B5073" t="str">
            <v>FILTRE UNIVERSEL</v>
          </cell>
          <cell r="C5073" t="str">
            <v>M&amp;C TYPE FP-240-D/F</v>
          </cell>
          <cell r="D5073" t="str">
            <v>PE</v>
          </cell>
          <cell r="E5073" t="str">
            <v>512.51201</v>
          </cell>
          <cell r="F5073">
            <v>4040</v>
          </cell>
          <cell r="G5073">
            <v>0</v>
          </cell>
          <cell r="H5073">
            <v>0</v>
          </cell>
          <cell r="I5073">
            <v>0</v>
          </cell>
          <cell r="J5073">
            <v>0</v>
          </cell>
          <cell r="K5073">
            <v>3</v>
          </cell>
          <cell r="L5073">
            <v>2</v>
          </cell>
        </row>
        <row r="5074">
          <cell r="A5074" t="str">
            <v>20492.12564</v>
          </cell>
          <cell r="B5074" t="str">
            <v>ELEMENT FILTRANT CERAMIQUE</v>
          </cell>
          <cell r="C5074" t="str">
            <v>M&amp;C TYPE S-2K150</v>
          </cell>
          <cell r="D5074" t="str">
            <v>PE</v>
          </cell>
          <cell r="E5074" t="str">
            <v>512.51201</v>
          </cell>
          <cell r="F5074">
            <v>775</v>
          </cell>
          <cell r="G5074">
            <v>0</v>
          </cell>
          <cell r="H5074">
            <v>0</v>
          </cell>
          <cell r="I5074">
            <v>0</v>
          </cell>
          <cell r="J5074">
            <v>0</v>
          </cell>
          <cell r="K5074">
            <v>3</v>
          </cell>
          <cell r="L5074">
            <v>2</v>
          </cell>
        </row>
        <row r="5075">
          <cell r="A5075" t="str">
            <v>20492.12565</v>
          </cell>
          <cell r="B5075" t="str">
            <v>PIECE EN CROIX POUR SYSTEME DE DILUTION</v>
          </cell>
          <cell r="C5075" t="str">
            <v>M&amp;C SP2000-H/DIL</v>
          </cell>
          <cell r="D5075" t="str">
            <v>PE</v>
          </cell>
          <cell r="E5075" t="str">
            <v>512.51201</v>
          </cell>
          <cell r="F5075">
            <v>18918.396799999999</v>
          </cell>
          <cell r="G5075">
            <v>0</v>
          </cell>
          <cell r="H5075">
            <v>0</v>
          </cell>
          <cell r="I5075">
            <v>0</v>
          </cell>
          <cell r="J5075">
            <v>0</v>
          </cell>
          <cell r="K5075">
            <v>1</v>
          </cell>
          <cell r="L5075">
            <v>0</v>
          </cell>
        </row>
        <row r="5076">
          <cell r="A5076" t="str">
            <v>20492.12566</v>
          </cell>
          <cell r="B5076" t="str">
            <v>THERMOSTAT 0-180°C</v>
          </cell>
          <cell r="C5076" t="str">
            <v>M&amp;C SP2000-H</v>
          </cell>
          <cell r="D5076" t="str">
            <v>PE</v>
          </cell>
          <cell r="E5076" t="str">
            <v>512.51201</v>
          </cell>
          <cell r="F5076">
            <v>1759.0381</v>
          </cell>
          <cell r="G5076">
            <v>0</v>
          </cell>
          <cell r="H5076">
            <v>0</v>
          </cell>
          <cell r="I5076">
            <v>0</v>
          </cell>
          <cell r="J5076">
            <v>0</v>
          </cell>
          <cell r="K5076">
            <v>1</v>
          </cell>
          <cell r="L5076">
            <v>0</v>
          </cell>
        </row>
        <row r="5077">
          <cell r="A5077" t="str">
            <v>20492.12567</v>
          </cell>
          <cell r="B5077" t="str">
            <v>CARTOUCH ELEMENT CHAUFANT</v>
          </cell>
          <cell r="C5077" t="str">
            <v>M&amp;C SP2000-H 230VAC</v>
          </cell>
          <cell r="D5077" t="str">
            <v>PE</v>
          </cell>
          <cell r="E5077" t="str">
            <v>512.51201</v>
          </cell>
          <cell r="F5077">
            <v>1467</v>
          </cell>
          <cell r="G5077">
            <v>0</v>
          </cell>
          <cell r="H5077">
            <v>0</v>
          </cell>
          <cell r="I5077">
            <v>0</v>
          </cell>
          <cell r="J5077">
            <v>0</v>
          </cell>
          <cell r="K5077">
            <v>3</v>
          </cell>
          <cell r="L5077">
            <v>1</v>
          </cell>
        </row>
        <row r="5078">
          <cell r="A5078" t="str">
            <v>20492.12568</v>
          </cell>
          <cell r="B5078" t="str">
            <v>PATE DE CONDUCTION THERMIQUE</v>
          </cell>
          <cell r="C5078" t="str">
            <v>M&amp;C SP21-SP2000-H</v>
          </cell>
          <cell r="D5078" t="str">
            <v>PE</v>
          </cell>
          <cell r="E5078" t="str">
            <v>512.51201</v>
          </cell>
          <cell r="F5078">
            <v>442.67180000000002</v>
          </cell>
          <cell r="G5078">
            <v>0</v>
          </cell>
          <cell r="H5078">
            <v>0</v>
          </cell>
          <cell r="I5078">
            <v>0</v>
          </cell>
          <cell r="J5078">
            <v>0</v>
          </cell>
          <cell r="K5078">
            <v>1</v>
          </cell>
          <cell r="L5078">
            <v>0</v>
          </cell>
        </row>
        <row r="5079">
          <cell r="A5079" t="str">
            <v>20492.15891</v>
          </cell>
          <cell r="B5079" t="str">
            <v>SOUPAPE</v>
          </cell>
          <cell r="C5079" t="str">
            <v>DRESSER RAND 1R12458-1 NOMENCLATURE OR29666 REP29</v>
          </cell>
          <cell r="D5079" t="str">
            <v>PE</v>
          </cell>
          <cell r="E5079" t="str">
            <v>515.51517</v>
          </cell>
          <cell r="F5079">
            <v>14475.5733</v>
          </cell>
          <cell r="G5079">
            <v>0</v>
          </cell>
          <cell r="H5079">
            <v>0</v>
          </cell>
          <cell r="I5079">
            <v>0</v>
          </cell>
          <cell r="J5079">
            <v>0</v>
          </cell>
          <cell r="K5079">
            <v>0</v>
          </cell>
          <cell r="L5079">
            <v>5</v>
          </cell>
        </row>
        <row r="5080">
          <cell r="A5080" t="str">
            <v>20492.15892</v>
          </cell>
          <cell r="B5080" t="str">
            <v>VIS</v>
          </cell>
          <cell r="C5080" t="str">
            <v>DRESSER RAND 1S316-10 NOMENCLATURE OR29666  REP14</v>
          </cell>
          <cell r="D5080" t="str">
            <v>PE</v>
          </cell>
          <cell r="E5080" t="str">
            <v>515.51517</v>
          </cell>
          <cell r="F5080">
            <v>100.8993</v>
          </cell>
          <cell r="G5080">
            <v>0</v>
          </cell>
          <cell r="H5080">
            <v>0</v>
          </cell>
          <cell r="I5080">
            <v>0</v>
          </cell>
          <cell r="J5080">
            <v>0</v>
          </cell>
          <cell r="K5080">
            <v>0</v>
          </cell>
          <cell r="L5080">
            <v>6</v>
          </cell>
        </row>
        <row r="5081">
          <cell r="A5081" t="str">
            <v>20492.15893</v>
          </cell>
          <cell r="B5081" t="str">
            <v>FREIN D'ECROU</v>
          </cell>
          <cell r="C5081" t="str">
            <v>DRESSER RAND 1R8992-1 NOMENCLATURE OR29666 REP3</v>
          </cell>
          <cell r="D5081" t="str">
            <v>PE</v>
          </cell>
          <cell r="E5081" t="str">
            <v>515.51517</v>
          </cell>
          <cell r="F5081">
            <v>3983.6502</v>
          </cell>
          <cell r="G5081">
            <v>0</v>
          </cell>
          <cell r="H5081">
            <v>0</v>
          </cell>
          <cell r="I5081">
            <v>0</v>
          </cell>
          <cell r="J5081">
            <v>0</v>
          </cell>
          <cell r="K5081">
            <v>0</v>
          </cell>
          <cell r="L5081">
            <v>2</v>
          </cell>
        </row>
        <row r="5082">
          <cell r="A5082" t="str">
            <v>20492.15894</v>
          </cell>
          <cell r="B5082" t="str">
            <v>TIGE DE SOUPAPE</v>
          </cell>
          <cell r="C5082" t="str">
            <v>DRESSER RAND 3R3168-17 NOMENCLATURE OR29666 REP4</v>
          </cell>
          <cell r="D5082" t="str">
            <v>PE</v>
          </cell>
          <cell r="E5082" t="str">
            <v>515.51517</v>
          </cell>
          <cell r="F5082">
            <v>12150.546899999999</v>
          </cell>
          <cell r="G5082">
            <v>0</v>
          </cell>
          <cell r="H5082">
            <v>0</v>
          </cell>
          <cell r="I5082">
            <v>0</v>
          </cell>
          <cell r="J5082">
            <v>0</v>
          </cell>
          <cell r="K5082">
            <v>0</v>
          </cell>
          <cell r="L5082">
            <v>1</v>
          </cell>
        </row>
        <row r="5083">
          <cell r="A5083" t="str">
            <v>20492.15895</v>
          </cell>
          <cell r="B5083" t="str">
            <v>TIGE DE SOUPAPE</v>
          </cell>
          <cell r="C5083" t="str">
            <v>DRESSER RAND 3R3168-23 NOMENCLATURE OR29666 REP5</v>
          </cell>
          <cell r="D5083" t="str">
            <v>PE</v>
          </cell>
          <cell r="E5083" t="str">
            <v>515.51517</v>
          </cell>
          <cell r="F5083">
            <v>12150.546899999999</v>
          </cell>
          <cell r="G5083">
            <v>0</v>
          </cell>
          <cell r="H5083">
            <v>0</v>
          </cell>
          <cell r="I5083">
            <v>0</v>
          </cell>
          <cell r="J5083">
            <v>0</v>
          </cell>
          <cell r="K5083">
            <v>0</v>
          </cell>
          <cell r="L5083">
            <v>1</v>
          </cell>
        </row>
        <row r="5084">
          <cell r="A5084" t="str">
            <v>20492.15896</v>
          </cell>
          <cell r="B5084" t="str">
            <v>TIGE DE SOUPAPE</v>
          </cell>
          <cell r="C5084" t="str">
            <v>DRESSER RAND 3R3168-29 NOMENCLATURE OR29666 REP6</v>
          </cell>
          <cell r="D5084" t="str">
            <v>PE</v>
          </cell>
          <cell r="E5084" t="str">
            <v>515.51517</v>
          </cell>
          <cell r="F5084">
            <v>12150.546899999999</v>
          </cell>
          <cell r="G5084">
            <v>0</v>
          </cell>
          <cell r="H5084">
            <v>0</v>
          </cell>
          <cell r="I5084">
            <v>0</v>
          </cell>
          <cell r="J5084">
            <v>0</v>
          </cell>
          <cell r="K5084">
            <v>0</v>
          </cell>
          <cell r="L5084">
            <v>1</v>
          </cell>
        </row>
        <row r="5085">
          <cell r="A5085" t="str">
            <v>20492.15897</v>
          </cell>
          <cell r="B5085" t="str">
            <v>TIGE DE SOUPAPE</v>
          </cell>
          <cell r="C5085" t="str">
            <v>DRESSER RAND 3R3168-35 NOMENCLATURE OR29666 REP7</v>
          </cell>
          <cell r="D5085" t="str">
            <v>PE</v>
          </cell>
          <cell r="E5085" t="str">
            <v>515.51517</v>
          </cell>
          <cell r="F5085">
            <v>12150.546899999999</v>
          </cell>
          <cell r="G5085">
            <v>0</v>
          </cell>
          <cell r="H5085">
            <v>0</v>
          </cell>
          <cell r="I5085">
            <v>0</v>
          </cell>
          <cell r="J5085">
            <v>0</v>
          </cell>
          <cell r="K5085">
            <v>0</v>
          </cell>
          <cell r="L5085">
            <v>1</v>
          </cell>
        </row>
        <row r="5086">
          <cell r="A5086" t="str">
            <v>20492.15898</v>
          </cell>
          <cell r="B5086" t="str">
            <v>TIGE DE SOUPAPE</v>
          </cell>
          <cell r="C5086" t="str">
            <v>DRESSER RAND 3R3168-41 NOMENCLATURE OR29666 REP8</v>
          </cell>
          <cell r="D5086" t="str">
            <v>PE</v>
          </cell>
          <cell r="E5086" t="str">
            <v>515.51517</v>
          </cell>
          <cell r="F5086">
            <v>12150.546899999999</v>
          </cell>
          <cell r="G5086">
            <v>0</v>
          </cell>
          <cell r="H5086">
            <v>0</v>
          </cell>
          <cell r="I5086">
            <v>0</v>
          </cell>
          <cell r="J5086">
            <v>0</v>
          </cell>
          <cell r="K5086">
            <v>0</v>
          </cell>
          <cell r="L5086">
            <v>1</v>
          </cell>
        </row>
        <row r="5087">
          <cell r="A5087" t="str">
            <v>20222.06900</v>
          </cell>
          <cell r="B5087" t="str">
            <v>DISJONCTEUR C60 BIPOL.6A</v>
          </cell>
          <cell r="C5087">
            <v>24200</v>
          </cell>
          <cell r="D5087" t="str">
            <v>PE</v>
          </cell>
          <cell r="E5087" t="str">
            <v>522.52206</v>
          </cell>
          <cell r="F5087">
            <v>255.42</v>
          </cell>
          <cell r="G5087">
            <v>0</v>
          </cell>
          <cell r="H5087">
            <v>1</v>
          </cell>
          <cell r="I5087">
            <v>0</v>
          </cell>
          <cell r="J5087">
            <v>0</v>
          </cell>
          <cell r="K5087">
            <v>0</v>
          </cell>
          <cell r="L5087">
            <v>0</v>
          </cell>
        </row>
        <row r="5088">
          <cell r="A5088" t="str">
            <v>20222.04001</v>
          </cell>
          <cell r="B5088" t="str">
            <v>SECTIONNEUR 32 A, 400V</v>
          </cell>
          <cell r="C5088">
            <v>15624</v>
          </cell>
          <cell r="D5088" t="str">
            <v>PE</v>
          </cell>
          <cell r="E5088" t="str">
            <v>522.52206</v>
          </cell>
          <cell r="F5088">
            <v>47.52</v>
          </cell>
          <cell r="G5088">
            <v>0</v>
          </cell>
          <cell r="H5088">
            <v>0</v>
          </cell>
          <cell r="I5088">
            <v>0</v>
          </cell>
          <cell r="J5088">
            <v>0</v>
          </cell>
          <cell r="K5088">
            <v>0</v>
          </cell>
          <cell r="L5088">
            <v>6</v>
          </cell>
        </row>
        <row r="5089">
          <cell r="A5089" t="str">
            <v>20222.04002</v>
          </cell>
          <cell r="B5089" t="str">
            <v>DIJONCTEUR 3P 690V-2500A</v>
          </cell>
          <cell r="C5089" t="str">
            <v>NW25H2</v>
          </cell>
          <cell r="D5089" t="str">
            <v>PE</v>
          </cell>
          <cell r="E5089" t="str">
            <v>522.52206</v>
          </cell>
          <cell r="F5089">
            <v>91800</v>
          </cell>
          <cell r="G5089">
            <v>0</v>
          </cell>
          <cell r="H5089">
            <v>0</v>
          </cell>
          <cell r="I5089">
            <v>0</v>
          </cell>
          <cell r="J5089">
            <v>0</v>
          </cell>
          <cell r="K5089">
            <v>0</v>
          </cell>
          <cell r="L5089">
            <v>1</v>
          </cell>
        </row>
        <row r="5090">
          <cell r="A5090" t="str">
            <v>20347.09302</v>
          </cell>
          <cell r="B5090" t="str">
            <v>BOITIER DE SEGNALISATION</v>
          </cell>
          <cell r="C5090" t="str">
            <v>AMTROBOX R1149</v>
          </cell>
          <cell r="D5090" t="str">
            <v>PE</v>
          </cell>
          <cell r="E5090" t="str">
            <v>515.51517</v>
          </cell>
          <cell r="F5090">
            <v>1674</v>
          </cell>
          <cell r="G5090">
            <v>0</v>
          </cell>
          <cell r="H5090">
            <v>0</v>
          </cell>
          <cell r="I5090">
            <v>0</v>
          </cell>
          <cell r="J5090">
            <v>20</v>
          </cell>
          <cell r="K5090">
            <v>0</v>
          </cell>
          <cell r="L5090">
            <v>0</v>
          </cell>
        </row>
        <row r="5091">
          <cell r="A5091" t="str">
            <v>20222.04003</v>
          </cell>
          <cell r="B5091" t="str">
            <v>BLOC VIGI DT40 1P + N 30 MA</v>
          </cell>
          <cell r="C5091">
            <v>21452</v>
          </cell>
          <cell r="D5091" t="str">
            <v>PE</v>
          </cell>
          <cell r="E5091" t="str">
            <v>522.52206</v>
          </cell>
          <cell r="F5091">
            <v>621.32399999999996</v>
          </cell>
          <cell r="G5091">
            <v>0</v>
          </cell>
          <cell r="H5091">
            <v>0</v>
          </cell>
          <cell r="I5091">
            <v>0</v>
          </cell>
          <cell r="J5091">
            <v>0</v>
          </cell>
          <cell r="K5091">
            <v>0</v>
          </cell>
          <cell r="L5091">
            <v>4</v>
          </cell>
        </row>
        <row r="5092">
          <cell r="A5092" t="str">
            <v>20222.04007</v>
          </cell>
          <cell r="B5092" t="str">
            <v>CONTROLEUR PERMANANT D'ISOLEMENT TR5A</v>
          </cell>
          <cell r="C5092">
            <v>50343</v>
          </cell>
          <cell r="D5092" t="str">
            <v>PE</v>
          </cell>
          <cell r="E5092" t="str">
            <v>522.52206</v>
          </cell>
          <cell r="F5092">
            <v>3326.4</v>
          </cell>
          <cell r="G5092">
            <v>0</v>
          </cell>
          <cell r="H5092">
            <v>0</v>
          </cell>
          <cell r="I5092">
            <v>0</v>
          </cell>
          <cell r="J5092">
            <v>0</v>
          </cell>
          <cell r="K5092">
            <v>0</v>
          </cell>
          <cell r="L5092">
            <v>1</v>
          </cell>
        </row>
        <row r="5093">
          <cell r="A5093" t="str">
            <v>20222.04009</v>
          </cell>
          <cell r="B5093" t="str">
            <v>DISJONCTEUR 3P 690V-1250A</v>
          </cell>
          <cell r="C5093" t="str">
            <v>NW12H2</v>
          </cell>
          <cell r="D5093" t="str">
            <v>PE</v>
          </cell>
          <cell r="E5093" t="str">
            <v>522.52206</v>
          </cell>
          <cell r="F5093">
            <v>53580</v>
          </cell>
          <cell r="G5093">
            <v>0</v>
          </cell>
          <cell r="H5093">
            <v>0</v>
          </cell>
          <cell r="I5093">
            <v>0</v>
          </cell>
          <cell r="J5093">
            <v>0</v>
          </cell>
          <cell r="K5093">
            <v>0</v>
          </cell>
          <cell r="L5093">
            <v>1</v>
          </cell>
        </row>
        <row r="5094">
          <cell r="A5094" t="str">
            <v>20222.06281</v>
          </cell>
          <cell r="B5094" t="str">
            <v>SECTIONNEUR FUSIBLE</v>
          </cell>
          <cell r="C5094">
            <v>15651</v>
          </cell>
          <cell r="D5094" t="str">
            <v>PE</v>
          </cell>
          <cell r="E5094" t="str">
            <v>522.52206</v>
          </cell>
          <cell r="F5094">
            <v>67.715999999999994</v>
          </cell>
          <cell r="G5094">
            <v>0</v>
          </cell>
          <cell r="H5094">
            <v>0</v>
          </cell>
          <cell r="I5094">
            <v>0</v>
          </cell>
          <cell r="J5094">
            <v>0</v>
          </cell>
          <cell r="K5094">
            <v>0</v>
          </cell>
          <cell r="L5094">
            <v>6</v>
          </cell>
        </row>
        <row r="5095">
          <cell r="A5095" t="str">
            <v>20222.07021</v>
          </cell>
          <cell r="B5095" t="str">
            <v>BLOC VIGI C60 4P 30MA 400</v>
          </cell>
          <cell r="C5095">
            <v>26565</v>
          </cell>
          <cell r="D5095" t="str">
            <v>PE</v>
          </cell>
          <cell r="E5095" t="str">
            <v>522.52206</v>
          </cell>
          <cell r="F5095">
            <v>1054.944</v>
          </cell>
          <cell r="G5095">
            <v>0</v>
          </cell>
          <cell r="H5095">
            <v>0</v>
          </cell>
          <cell r="I5095">
            <v>0</v>
          </cell>
          <cell r="J5095">
            <v>0</v>
          </cell>
          <cell r="K5095">
            <v>0</v>
          </cell>
          <cell r="L5095">
            <v>4</v>
          </cell>
        </row>
        <row r="5096">
          <cell r="A5096" t="str">
            <v>20222.06923</v>
          </cell>
          <cell r="B5096" t="str">
            <v>DISJONCTEUR NS 100L TRIPO</v>
          </cell>
          <cell r="C5096">
            <v>29005</v>
          </cell>
          <cell r="D5096" t="str">
            <v>PE</v>
          </cell>
          <cell r="E5096" t="str">
            <v>522.52206</v>
          </cell>
          <cell r="F5096">
            <v>1020</v>
          </cell>
          <cell r="G5096">
            <v>0</v>
          </cell>
          <cell r="H5096">
            <v>0</v>
          </cell>
          <cell r="I5096">
            <v>0</v>
          </cell>
          <cell r="J5096">
            <v>0</v>
          </cell>
          <cell r="K5096">
            <v>0</v>
          </cell>
          <cell r="L5096">
            <v>15</v>
          </cell>
        </row>
        <row r="5097">
          <cell r="A5097" t="str">
            <v>20492.03630</v>
          </cell>
          <cell r="B5097" t="str">
            <v>PRESSOSTAT</v>
          </cell>
          <cell r="C5097" t="str">
            <v>BAUMER RP2NR644</v>
          </cell>
          <cell r="D5097" t="str">
            <v>PE</v>
          </cell>
          <cell r="E5097" t="str">
            <v>512.51201</v>
          </cell>
          <cell r="F5097">
            <v>4609.92</v>
          </cell>
          <cell r="G5097">
            <v>0</v>
          </cell>
          <cell r="H5097">
            <v>0</v>
          </cell>
          <cell r="I5097">
            <v>0</v>
          </cell>
          <cell r="J5097">
            <v>0</v>
          </cell>
          <cell r="K5097">
            <v>0</v>
          </cell>
          <cell r="L5097">
            <v>0</v>
          </cell>
        </row>
        <row r="5098">
          <cell r="A5098" t="str">
            <v>20492.13365</v>
          </cell>
          <cell r="B5098" t="str">
            <v>RACCORD 3/4"</v>
          </cell>
          <cell r="C5098" t="str">
            <v>EATON REF : 145487K P/SYSTEME DE LUBRIFICATION DU BROYEUR MARQUE METSO.</v>
          </cell>
          <cell r="D5098" t="str">
            <v>PE</v>
          </cell>
          <cell r="E5098" t="str">
            <v>522.52207</v>
          </cell>
          <cell r="F5098">
            <v>10364.557500000001</v>
          </cell>
          <cell r="G5098">
            <v>0</v>
          </cell>
          <cell r="H5098">
            <v>0</v>
          </cell>
          <cell r="I5098">
            <v>0</v>
          </cell>
          <cell r="J5098">
            <v>0</v>
          </cell>
          <cell r="K5098">
            <v>0</v>
          </cell>
          <cell r="L5098">
            <v>1</v>
          </cell>
        </row>
        <row r="5099">
          <cell r="A5099" t="str">
            <v>20492.13209</v>
          </cell>
          <cell r="B5099" t="str">
            <v>BOBINES  DE DECLENCHEMENT UT A MANQUE</v>
          </cell>
          <cell r="C5099" t="str">
            <v>EATON BDMT-220DC POUR TABLEAU MT-10KV</v>
          </cell>
          <cell r="D5099" t="str">
            <v>PE</v>
          </cell>
          <cell r="E5099" t="str">
            <v>522.52206</v>
          </cell>
          <cell r="F5099">
            <v>13950</v>
          </cell>
          <cell r="G5099">
            <v>0</v>
          </cell>
          <cell r="H5099">
            <v>0</v>
          </cell>
          <cell r="I5099">
            <v>0</v>
          </cell>
          <cell r="J5099">
            <v>0</v>
          </cell>
          <cell r="K5099">
            <v>0</v>
          </cell>
          <cell r="L5099">
            <v>1</v>
          </cell>
        </row>
        <row r="5100">
          <cell r="A5100" t="str">
            <v>20492.13210</v>
          </cell>
          <cell r="B5100" t="str">
            <v>BOBINES D'ENCLENCHEMENT UT</v>
          </cell>
          <cell r="C5100" t="str">
            <v>EATON BEET-220DC POUR TABLEAU MT-10KV</v>
          </cell>
          <cell r="D5100" t="str">
            <v>PE</v>
          </cell>
          <cell r="E5100" t="str">
            <v>522.52206</v>
          </cell>
          <cell r="F5100">
            <v>73200</v>
          </cell>
          <cell r="G5100">
            <v>0</v>
          </cell>
          <cell r="H5100">
            <v>0</v>
          </cell>
          <cell r="I5100">
            <v>1</v>
          </cell>
          <cell r="J5100">
            <v>0</v>
          </cell>
          <cell r="K5100">
            <v>0</v>
          </cell>
          <cell r="L5100">
            <v>0</v>
          </cell>
        </row>
        <row r="5101">
          <cell r="A5101" t="str">
            <v>20492.13208</v>
          </cell>
          <cell r="B5101" t="str">
            <v>BOBINES  DE DECLENCHEMENT UT A EMISSION</v>
          </cell>
          <cell r="C5101" t="str">
            <v>EATON BDET-220DC POUR TABLEAU MT-10KV</v>
          </cell>
          <cell r="D5101" t="str">
            <v>PE</v>
          </cell>
          <cell r="E5101" t="str">
            <v>522.52206</v>
          </cell>
          <cell r="F5101">
            <v>73200</v>
          </cell>
          <cell r="G5101">
            <v>0</v>
          </cell>
          <cell r="H5101">
            <v>0</v>
          </cell>
          <cell r="I5101">
            <v>0</v>
          </cell>
          <cell r="J5101">
            <v>0</v>
          </cell>
          <cell r="K5101">
            <v>0</v>
          </cell>
          <cell r="L5101">
            <v>1</v>
          </cell>
        </row>
        <row r="5102">
          <cell r="A5102" t="str">
            <v>20492.13216</v>
          </cell>
          <cell r="B5102" t="str">
            <v>COMPTEUR HORAIRE</v>
          </cell>
          <cell r="C5102" t="str">
            <v>EATON CHC-ANPAD  ACCESSOIRES POUR TABLEAU MCC</v>
          </cell>
          <cell r="D5102" t="str">
            <v>PE</v>
          </cell>
          <cell r="E5102" t="str">
            <v>522.52206</v>
          </cell>
          <cell r="F5102">
            <v>217.57239999999999</v>
          </cell>
          <cell r="G5102">
            <v>0</v>
          </cell>
          <cell r="H5102">
            <v>0</v>
          </cell>
          <cell r="I5102">
            <v>0</v>
          </cell>
          <cell r="J5102">
            <v>0</v>
          </cell>
          <cell r="K5102">
            <v>0</v>
          </cell>
          <cell r="L5102">
            <v>3</v>
          </cell>
        </row>
        <row r="5103">
          <cell r="A5103" t="str">
            <v>20492.13212</v>
          </cell>
          <cell r="B5103" t="str">
            <v>BOBINES DE VEROUILLAGE UT</v>
          </cell>
          <cell r="C5103" t="str">
            <v>EATON BVET-220DC POUR TABLEAU MT-10KV</v>
          </cell>
          <cell r="D5103" t="str">
            <v>PE</v>
          </cell>
          <cell r="E5103" t="str">
            <v>522.52206</v>
          </cell>
          <cell r="F5103">
            <v>73200</v>
          </cell>
          <cell r="G5103">
            <v>0</v>
          </cell>
          <cell r="H5103">
            <v>0</v>
          </cell>
          <cell r="I5103">
            <v>0</v>
          </cell>
          <cell r="J5103">
            <v>0</v>
          </cell>
          <cell r="K5103">
            <v>0</v>
          </cell>
          <cell r="L5103">
            <v>1</v>
          </cell>
        </row>
        <row r="5104">
          <cell r="A5104" t="str">
            <v>20492.13213</v>
          </cell>
          <cell r="B5104" t="str">
            <v>KIT CONNECTEURS ACB &amp; JDB HORIZONTAL 1800 A 3P</v>
          </cell>
          <cell r="C5104" t="str">
            <v>EATON CACB-E18A3P  ACCESSOIRES POUR TABLEAU MCC</v>
          </cell>
          <cell r="D5104" t="str">
            <v>PE</v>
          </cell>
          <cell r="E5104" t="str">
            <v>522.52206</v>
          </cell>
          <cell r="F5104">
            <v>16000</v>
          </cell>
          <cell r="G5104">
            <v>0</v>
          </cell>
          <cell r="H5104">
            <v>0</v>
          </cell>
          <cell r="I5104">
            <v>0</v>
          </cell>
          <cell r="J5104">
            <v>0</v>
          </cell>
          <cell r="K5104">
            <v>0</v>
          </cell>
          <cell r="L5104">
            <v>1</v>
          </cell>
        </row>
        <row r="5105">
          <cell r="A5105" t="str">
            <v>20492.13214</v>
          </cell>
          <cell r="B5105" t="str">
            <v>KIT CONNECTEURS ACB &amp; JDB HORIZONTAL 2500 A 3P</v>
          </cell>
          <cell r="C5105" t="str">
            <v>EATON CACB-E25A3P  ACCESSOIRES POUR TABLEAU MCC</v>
          </cell>
          <cell r="D5105" t="str">
            <v>PE</v>
          </cell>
          <cell r="E5105" t="str">
            <v>522.52206</v>
          </cell>
          <cell r="F5105">
            <v>16550</v>
          </cell>
          <cell r="G5105">
            <v>0</v>
          </cell>
          <cell r="H5105">
            <v>0</v>
          </cell>
          <cell r="I5105">
            <v>0</v>
          </cell>
          <cell r="J5105">
            <v>0</v>
          </cell>
          <cell r="K5105">
            <v>0</v>
          </cell>
          <cell r="L5105">
            <v>2</v>
          </cell>
        </row>
        <row r="5106">
          <cell r="A5106" t="str">
            <v>20492.13335</v>
          </cell>
          <cell r="B5106" t="str">
            <v>DEPART 2,7 KW</v>
          </cell>
          <cell r="C5106" t="str">
            <v>EATON TXB30EDZL-AMMSBCSS010SAMR-1SS POUR TABLEAU MCC</v>
          </cell>
          <cell r="D5106" t="str">
            <v>PE</v>
          </cell>
          <cell r="E5106" t="str">
            <v>522.52206</v>
          </cell>
          <cell r="F5106">
            <v>25296</v>
          </cell>
          <cell r="G5106">
            <v>0</v>
          </cell>
          <cell r="H5106">
            <v>0</v>
          </cell>
          <cell r="I5106">
            <v>0</v>
          </cell>
          <cell r="J5106">
            <v>0</v>
          </cell>
          <cell r="K5106">
            <v>0</v>
          </cell>
          <cell r="L5106">
            <v>0</v>
          </cell>
        </row>
        <row r="5107">
          <cell r="A5107" t="str">
            <v>20492.13334</v>
          </cell>
          <cell r="B5107" t="str">
            <v>DEPART MOTEUR 2,2KW</v>
          </cell>
          <cell r="C5107" t="str">
            <v>EATON TXB22EDZL-AMMSBCSS010SAMR-1SS POUR TABLEAU MCC REP GEOGRAPHIQUE 303-EB-41</v>
          </cell>
          <cell r="D5107" t="str">
            <v>PE</v>
          </cell>
          <cell r="E5107" t="str">
            <v>522.52206</v>
          </cell>
          <cell r="F5107">
            <v>24440</v>
          </cell>
          <cell r="G5107">
            <v>0</v>
          </cell>
          <cell r="H5107">
            <v>0</v>
          </cell>
          <cell r="I5107">
            <v>0</v>
          </cell>
          <cell r="J5107">
            <v>0</v>
          </cell>
          <cell r="K5107">
            <v>0</v>
          </cell>
          <cell r="L5107">
            <v>0</v>
          </cell>
        </row>
        <row r="5108">
          <cell r="A5108" t="str">
            <v>20492.15796</v>
          </cell>
          <cell r="B5108" t="str">
            <v>PLAQUE DE TETE</v>
          </cell>
          <cell r="C5108" t="str">
            <v>METSO  REF :31-337532102   PLAN:94567500   REP : 1-75  P/BROYEUR MINERALS 9'X14'</v>
          </cell>
          <cell r="D5108" t="str">
            <v>PE</v>
          </cell>
          <cell r="E5108" t="str">
            <v>522.52207</v>
          </cell>
          <cell r="F5108">
            <v>1794.6384</v>
          </cell>
          <cell r="G5108">
            <v>0</v>
          </cell>
          <cell r="H5108">
            <v>0</v>
          </cell>
          <cell r="I5108">
            <v>0</v>
          </cell>
          <cell r="J5108">
            <v>0</v>
          </cell>
          <cell r="K5108">
            <v>0</v>
          </cell>
          <cell r="L5108">
            <v>28</v>
          </cell>
        </row>
        <row r="5109">
          <cell r="A5109" t="str">
            <v>20492.15797</v>
          </cell>
          <cell r="B5109" t="str">
            <v>RELEVEUR  PROFILE</v>
          </cell>
          <cell r="C5109" t="str">
            <v>METSO  REF :31-410147102   PLAN:94567500   REP : 2  P/BROYEUR MINERALS 9'X14'</v>
          </cell>
          <cell r="D5109" t="str">
            <v>PE</v>
          </cell>
          <cell r="E5109" t="str">
            <v>522.52207</v>
          </cell>
          <cell r="F5109">
            <v>1930.94</v>
          </cell>
          <cell r="G5109">
            <v>0</v>
          </cell>
          <cell r="H5109">
            <v>0</v>
          </cell>
          <cell r="I5109">
            <v>0</v>
          </cell>
          <cell r="J5109">
            <v>0</v>
          </cell>
          <cell r="K5109">
            <v>0</v>
          </cell>
          <cell r="L5109">
            <v>42</v>
          </cell>
        </row>
        <row r="5110">
          <cell r="A5110" t="str">
            <v>20492.12892</v>
          </cell>
          <cell r="B5110" t="str">
            <v>CARTE DE COMMUNICATION MOD BUS</v>
          </cell>
          <cell r="C5110" t="str">
            <v>VACON NXOPTC2  P/VARIAT DE VITESSE</v>
          </cell>
          <cell r="D5110" t="str">
            <v>PE</v>
          </cell>
          <cell r="E5110" t="str">
            <v>522.52206</v>
          </cell>
          <cell r="F5110">
            <v>1338.6</v>
          </cell>
          <cell r="G5110">
            <v>0</v>
          </cell>
          <cell r="H5110">
            <v>0</v>
          </cell>
          <cell r="I5110">
            <v>0</v>
          </cell>
          <cell r="J5110">
            <v>0</v>
          </cell>
          <cell r="K5110">
            <v>0</v>
          </cell>
          <cell r="L5110">
            <v>4</v>
          </cell>
        </row>
        <row r="5111">
          <cell r="A5111" t="str">
            <v>20492.13345</v>
          </cell>
          <cell r="B5111" t="str">
            <v>DEPART 5,5 KW</v>
          </cell>
          <cell r="C5111" t="str">
            <v>EATON TXB55EDZL-AMMSBCSS010SEMR-1SS POUR TABLEAU MCC</v>
          </cell>
          <cell r="D5111" t="str">
            <v>PE</v>
          </cell>
          <cell r="E5111" t="str">
            <v>522.52206</v>
          </cell>
          <cell r="F5111">
            <v>26505</v>
          </cell>
          <cell r="G5111">
            <v>0</v>
          </cell>
          <cell r="H5111">
            <v>0</v>
          </cell>
          <cell r="I5111">
            <v>0</v>
          </cell>
          <cell r="J5111">
            <v>0</v>
          </cell>
          <cell r="K5111">
            <v>0</v>
          </cell>
          <cell r="L5111">
            <v>1</v>
          </cell>
        </row>
        <row r="5112">
          <cell r="A5112" t="str">
            <v>20492.13346</v>
          </cell>
          <cell r="B5112" t="str">
            <v>DEPART 5,8 KW</v>
          </cell>
          <cell r="C5112" t="str">
            <v>EATON TXB75EDZL-AMMSBCSS010SEMR-1SS POUR TABLEAU MCC</v>
          </cell>
          <cell r="D5112" t="str">
            <v>PE</v>
          </cell>
          <cell r="E5112" t="str">
            <v>522.52206</v>
          </cell>
          <cell r="F5112">
            <v>27260</v>
          </cell>
          <cell r="G5112">
            <v>0</v>
          </cell>
          <cell r="H5112">
            <v>0</v>
          </cell>
          <cell r="I5112">
            <v>0</v>
          </cell>
          <cell r="J5112">
            <v>0</v>
          </cell>
          <cell r="K5112">
            <v>0</v>
          </cell>
          <cell r="L5112">
            <v>0</v>
          </cell>
        </row>
        <row r="5113">
          <cell r="A5113" t="str">
            <v>20492.13341</v>
          </cell>
          <cell r="B5113" t="str">
            <v>DEPART 3,5 KW</v>
          </cell>
          <cell r="C5113" t="str">
            <v>EATON TXB40EDZL-AMMSBCSS010SAMR-1SS POUR TABLEAU MCC</v>
          </cell>
          <cell r="D5113" t="str">
            <v>PE</v>
          </cell>
          <cell r="E5113" t="str">
            <v>522.52206</v>
          </cell>
          <cell r="F5113">
            <v>26040</v>
          </cell>
          <cell r="G5113">
            <v>0</v>
          </cell>
          <cell r="H5113">
            <v>0</v>
          </cell>
          <cell r="I5113">
            <v>0</v>
          </cell>
          <cell r="J5113">
            <v>0</v>
          </cell>
          <cell r="K5113">
            <v>0</v>
          </cell>
          <cell r="L5113">
            <v>0</v>
          </cell>
        </row>
        <row r="5114">
          <cell r="A5114" t="str">
            <v>20492.03391</v>
          </cell>
          <cell r="B5114" t="str">
            <v>ELEMENT INTERNE POUR LAVEUR DES GAZ</v>
          </cell>
          <cell r="C5114" t="str">
            <v>KIMRE  B-GON  874MM Lx250MM Wx2923MM H</v>
          </cell>
          <cell r="D5114" t="str">
            <v>PE</v>
          </cell>
          <cell r="E5114" t="str">
            <v>515.51506</v>
          </cell>
          <cell r="F5114">
            <v>65000</v>
          </cell>
          <cell r="G5114">
            <v>0</v>
          </cell>
          <cell r="H5114">
            <v>0</v>
          </cell>
          <cell r="I5114">
            <v>0</v>
          </cell>
          <cell r="J5114">
            <v>0</v>
          </cell>
          <cell r="K5114">
            <v>0</v>
          </cell>
          <cell r="L5114">
            <v>0</v>
          </cell>
        </row>
        <row r="5115">
          <cell r="A5115" t="str">
            <v>20492.13352</v>
          </cell>
          <cell r="B5115" t="str">
            <v>DEPART 12,6 KW</v>
          </cell>
          <cell r="C5115" t="str">
            <v>EATON TXC15EDZJ-AMMSBSS010SAMR-1SS POUR TABLEAU MCC</v>
          </cell>
          <cell r="D5115" t="str">
            <v>PE</v>
          </cell>
          <cell r="E5115" t="str">
            <v>522.52206</v>
          </cell>
          <cell r="F5115">
            <v>29798</v>
          </cell>
          <cell r="G5115">
            <v>0</v>
          </cell>
          <cell r="H5115">
            <v>0</v>
          </cell>
          <cell r="I5115">
            <v>0</v>
          </cell>
          <cell r="J5115">
            <v>0</v>
          </cell>
          <cell r="K5115">
            <v>0</v>
          </cell>
          <cell r="L5115">
            <v>2</v>
          </cell>
        </row>
        <row r="5116">
          <cell r="A5116" t="str">
            <v>20492.13353</v>
          </cell>
          <cell r="B5116" t="str">
            <v>DEPART 18,2 KW</v>
          </cell>
          <cell r="C5116" t="str">
            <v>EATON TXC18EDZJ-AMMSBCSS010SEMR-1SS POUR TABLEAU MCC</v>
          </cell>
          <cell r="D5116" t="str">
            <v>PE</v>
          </cell>
          <cell r="E5116" t="str">
            <v>522.52206</v>
          </cell>
          <cell r="F5116">
            <v>34400</v>
          </cell>
          <cell r="G5116">
            <v>0</v>
          </cell>
          <cell r="H5116">
            <v>0</v>
          </cell>
          <cell r="I5116">
            <v>0</v>
          </cell>
          <cell r="J5116">
            <v>0</v>
          </cell>
          <cell r="K5116">
            <v>0</v>
          </cell>
          <cell r="L5116">
            <v>0</v>
          </cell>
        </row>
        <row r="5117">
          <cell r="A5117" t="str">
            <v>20492.13355</v>
          </cell>
          <cell r="B5117" t="str">
            <v>DEPART MOTEUR 18,5KW</v>
          </cell>
          <cell r="C5117" t="str">
            <v>EATON TXC18EDZJ-AMMSBCSS010SEMR-1SS POUR TABLEAU MCC REP GEOGRAPHIQUE 303-EB-40</v>
          </cell>
          <cell r="D5117" t="str">
            <v>PE</v>
          </cell>
          <cell r="E5117" t="str">
            <v>522.52206</v>
          </cell>
          <cell r="F5117">
            <v>73200</v>
          </cell>
          <cell r="G5117">
            <v>1</v>
          </cell>
          <cell r="H5117">
            <v>0</v>
          </cell>
          <cell r="I5117">
            <v>0</v>
          </cell>
          <cell r="J5117">
            <v>0</v>
          </cell>
          <cell r="K5117">
            <v>0</v>
          </cell>
          <cell r="L5117">
            <v>0</v>
          </cell>
        </row>
        <row r="5118">
          <cell r="A5118" t="str">
            <v>20492.13103</v>
          </cell>
          <cell r="B5118" t="str">
            <v>POSITIONNEUR ELECTROPNEUMATIQUE INTELLIGENT</v>
          </cell>
          <cell r="C5118" t="str">
            <v>ABB V18345-2020420001</v>
          </cell>
          <cell r="D5118" t="str">
            <v>PE</v>
          </cell>
          <cell r="E5118" t="str">
            <v>512.51201</v>
          </cell>
          <cell r="F5118">
            <v>9835</v>
          </cell>
          <cell r="G5118">
            <v>0</v>
          </cell>
          <cell r="H5118">
            <v>0</v>
          </cell>
          <cell r="I5118">
            <v>0</v>
          </cell>
          <cell r="J5118">
            <v>0</v>
          </cell>
          <cell r="K5118">
            <v>0</v>
          </cell>
          <cell r="L5118">
            <v>0</v>
          </cell>
        </row>
        <row r="5119">
          <cell r="A5119" t="str">
            <v>20492.13104</v>
          </cell>
          <cell r="B5119" t="str">
            <v>CONTACTEUR TRIPOLAIRE 160 KW,BOBINE 220V</v>
          </cell>
          <cell r="C5119" t="str">
            <v>ABB A210-30</v>
          </cell>
          <cell r="D5119" t="str">
            <v>PE</v>
          </cell>
          <cell r="E5119" t="str">
            <v>512.51201</v>
          </cell>
          <cell r="F5119">
            <v>4971.6000000000004</v>
          </cell>
          <cell r="G5119">
            <v>0</v>
          </cell>
          <cell r="H5119">
            <v>0</v>
          </cell>
          <cell r="I5119">
            <v>0</v>
          </cell>
          <cell r="J5119">
            <v>0</v>
          </cell>
          <cell r="K5119">
            <v>0</v>
          </cell>
          <cell r="L5119">
            <v>1</v>
          </cell>
        </row>
        <row r="5120">
          <cell r="A5120" t="str">
            <v>20492.13105</v>
          </cell>
          <cell r="B5120" t="str">
            <v>DISJONCTEUR TRIPOLAIRE 400 A TYPE:PR221DS</v>
          </cell>
          <cell r="C5120" t="str">
            <v>ABB 15N399</v>
          </cell>
          <cell r="D5120" t="str">
            <v>PE</v>
          </cell>
          <cell r="E5120" t="str">
            <v>512.51201</v>
          </cell>
          <cell r="F5120">
            <v>8268</v>
          </cell>
          <cell r="G5120">
            <v>0</v>
          </cell>
          <cell r="H5120">
            <v>0</v>
          </cell>
          <cell r="I5120">
            <v>0</v>
          </cell>
          <cell r="J5120">
            <v>0</v>
          </cell>
          <cell r="K5120">
            <v>0</v>
          </cell>
          <cell r="L5120">
            <v>1</v>
          </cell>
        </row>
        <row r="5121">
          <cell r="A5121" t="str">
            <v>20492.13106</v>
          </cell>
          <cell r="B5121" t="str">
            <v>DISJONCTEUR BIPOLAIRE 6 A</v>
          </cell>
          <cell r="C5121" t="str">
            <v>ABB S202S C6A</v>
          </cell>
          <cell r="D5121" t="str">
            <v>PE</v>
          </cell>
          <cell r="E5121" t="str">
            <v>512.51201</v>
          </cell>
          <cell r="F5121">
            <v>320.39999999999998</v>
          </cell>
          <cell r="G5121">
            <v>0</v>
          </cell>
          <cell r="H5121">
            <v>0</v>
          </cell>
          <cell r="I5121">
            <v>0</v>
          </cell>
          <cell r="J5121">
            <v>0</v>
          </cell>
          <cell r="K5121">
            <v>0</v>
          </cell>
          <cell r="L5121">
            <v>0</v>
          </cell>
        </row>
        <row r="5122">
          <cell r="A5122" t="str">
            <v>20492.13107</v>
          </cell>
          <cell r="B5122" t="str">
            <v>DISJONCTEUR BIPOLAIRE 40 A</v>
          </cell>
          <cell r="C5122" t="str">
            <v>ABB S252</v>
          </cell>
          <cell r="D5122" t="str">
            <v>PE</v>
          </cell>
          <cell r="E5122" t="str">
            <v>512.51201</v>
          </cell>
          <cell r="F5122">
            <v>178.8</v>
          </cell>
          <cell r="G5122">
            <v>0</v>
          </cell>
          <cell r="H5122">
            <v>0</v>
          </cell>
          <cell r="I5122">
            <v>0</v>
          </cell>
          <cell r="J5122">
            <v>0</v>
          </cell>
          <cell r="K5122">
            <v>0</v>
          </cell>
          <cell r="L5122">
            <v>0</v>
          </cell>
        </row>
        <row r="5123">
          <cell r="A5123" t="str">
            <v>20492.13109</v>
          </cell>
          <cell r="B5123" t="str">
            <v>INTERRUPTEUR RUPTO-FUSIBLE TRIPOLAIRE 400 A</v>
          </cell>
          <cell r="C5123" t="str">
            <v>ABB OETL400D1</v>
          </cell>
          <cell r="D5123" t="str">
            <v>PE</v>
          </cell>
          <cell r="E5123" t="str">
            <v>512.51201</v>
          </cell>
          <cell r="F5123">
            <v>3750</v>
          </cell>
          <cell r="G5123">
            <v>0</v>
          </cell>
          <cell r="H5123">
            <v>0</v>
          </cell>
          <cell r="I5123">
            <v>0</v>
          </cell>
          <cell r="J5123">
            <v>0</v>
          </cell>
          <cell r="K5123">
            <v>0</v>
          </cell>
          <cell r="L5123">
            <v>1</v>
          </cell>
        </row>
        <row r="5124">
          <cell r="A5124" t="str">
            <v>20492.13110</v>
          </cell>
          <cell r="B5124" t="str">
            <v>CONTACTEUR 4 POLES</v>
          </cell>
          <cell r="C5124" t="str">
            <v>ABB N22E</v>
          </cell>
          <cell r="D5124" t="str">
            <v>PE</v>
          </cell>
          <cell r="E5124" t="str">
            <v>512.51201</v>
          </cell>
          <cell r="F5124">
            <v>208.8</v>
          </cell>
          <cell r="G5124">
            <v>0</v>
          </cell>
          <cell r="H5124">
            <v>0</v>
          </cell>
          <cell r="I5124">
            <v>0</v>
          </cell>
          <cell r="J5124">
            <v>0</v>
          </cell>
          <cell r="K5124">
            <v>0</v>
          </cell>
          <cell r="L5124">
            <v>2</v>
          </cell>
        </row>
        <row r="5125">
          <cell r="A5125" t="str">
            <v>20492.13111</v>
          </cell>
          <cell r="B5125" t="str">
            <v>DISJONCTEUR BIPOLAIRE,I: 30 m A ,S202 C3, TYPE :DDA202 AC</v>
          </cell>
          <cell r="C5125" t="str">
            <v>ABB 2CSB202001R1250</v>
          </cell>
          <cell r="D5125" t="str">
            <v>PE</v>
          </cell>
          <cell r="E5125" t="str">
            <v>512.51201</v>
          </cell>
          <cell r="F5125">
            <v>486</v>
          </cell>
          <cell r="G5125">
            <v>0</v>
          </cell>
          <cell r="H5125">
            <v>0</v>
          </cell>
          <cell r="I5125">
            <v>0</v>
          </cell>
          <cell r="J5125">
            <v>0</v>
          </cell>
          <cell r="K5125">
            <v>0</v>
          </cell>
          <cell r="L5125">
            <v>3</v>
          </cell>
        </row>
        <row r="5126">
          <cell r="A5126" t="str">
            <v>20492.13112</v>
          </cell>
          <cell r="B5126" t="str">
            <v>DISJONCTEUR 2 POLES,</v>
          </cell>
          <cell r="C5126" t="str">
            <v>ABB S242 C40A</v>
          </cell>
          <cell r="D5126" t="str">
            <v>PE</v>
          </cell>
          <cell r="E5126" t="str">
            <v>512.51201</v>
          </cell>
          <cell r="F5126">
            <v>108</v>
          </cell>
          <cell r="G5126">
            <v>0</v>
          </cell>
          <cell r="H5126">
            <v>0</v>
          </cell>
          <cell r="I5126">
            <v>0</v>
          </cell>
          <cell r="J5126">
            <v>0</v>
          </cell>
          <cell r="K5126">
            <v>0</v>
          </cell>
          <cell r="L5126">
            <v>0</v>
          </cell>
        </row>
        <row r="5127">
          <cell r="A5127" t="str">
            <v>20492.15801</v>
          </cell>
          <cell r="B5127" t="str">
            <v>VIS M6S-  24-240 /150</v>
          </cell>
          <cell r="C5127" t="str">
            <v>METSO  REF :31-210311     PLAN:94567500   REP : 6  P/BROYEUR MINERALS 9'X14</v>
          </cell>
          <cell r="D5127" t="str">
            <v>PE</v>
          </cell>
          <cell r="E5127" t="str">
            <v>522.52207</v>
          </cell>
          <cell r="F5127">
            <v>102.22620000000001</v>
          </cell>
          <cell r="G5127">
            <v>0</v>
          </cell>
          <cell r="H5127">
            <v>0</v>
          </cell>
          <cell r="I5127">
            <v>0</v>
          </cell>
          <cell r="J5127">
            <v>0</v>
          </cell>
          <cell r="K5127">
            <v>0</v>
          </cell>
          <cell r="L5127">
            <v>30</v>
          </cell>
        </row>
        <row r="5128">
          <cell r="A5128" t="str">
            <v>20492.15802</v>
          </cell>
          <cell r="B5128" t="str">
            <v>TAMPON DE PLAQUE</v>
          </cell>
          <cell r="C5128" t="str">
            <v>METSO  REF :31-352594102    PLAN:94567101   REP : 52  P/BROYEUR MINERALS 9'X14</v>
          </cell>
          <cell r="D5128" t="str">
            <v>PE</v>
          </cell>
          <cell r="E5128" t="str">
            <v>522.52207</v>
          </cell>
          <cell r="F5128">
            <v>10676.9625</v>
          </cell>
          <cell r="G5128">
            <v>0</v>
          </cell>
          <cell r="H5128">
            <v>0</v>
          </cell>
          <cell r="I5128">
            <v>0</v>
          </cell>
          <cell r="J5128">
            <v>0</v>
          </cell>
          <cell r="K5128">
            <v>0</v>
          </cell>
          <cell r="L5128">
            <v>2</v>
          </cell>
        </row>
        <row r="5129">
          <cell r="A5129" t="str">
            <v>20492.15798</v>
          </cell>
          <cell r="B5129" t="str">
            <v>SEGMENT DE REMPLISSAGE</v>
          </cell>
          <cell r="C5129" t="str">
            <v>METSO  REF :31-380439190   PLAN:94567500   REP : 3  P/BROYEUR MINERALS 9'X14'</v>
          </cell>
          <cell r="D5129" t="str">
            <v>PE</v>
          </cell>
          <cell r="E5129" t="str">
            <v>522.52207</v>
          </cell>
          <cell r="F5129">
            <v>2203.5432999999998</v>
          </cell>
          <cell r="G5129">
            <v>0</v>
          </cell>
          <cell r="H5129">
            <v>0</v>
          </cell>
          <cell r="I5129">
            <v>0</v>
          </cell>
          <cell r="J5129">
            <v>0</v>
          </cell>
          <cell r="K5129">
            <v>0</v>
          </cell>
          <cell r="L5129">
            <v>12</v>
          </cell>
        </row>
        <row r="5130">
          <cell r="A5130" t="str">
            <v>20492.15799</v>
          </cell>
          <cell r="B5130" t="str">
            <v>ANNEAU CENTRAL</v>
          </cell>
          <cell r="C5130" t="str">
            <v>METSO  REF :31-394617197  PLAN:94567500   REP : 4  P/BROYEUR MINERALS 9'X14'</v>
          </cell>
          <cell r="D5130" t="str">
            <v>PE</v>
          </cell>
          <cell r="E5130" t="str">
            <v>522.52207</v>
          </cell>
          <cell r="F5130">
            <v>30054.5137</v>
          </cell>
          <cell r="G5130">
            <v>0</v>
          </cell>
          <cell r="H5130">
            <v>0</v>
          </cell>
          <cell r="I5130">
            <v>0</v>
          </cell>
          <cell r="J5130">
            <v>0</v>
          </cell>
          <cell r="K5130">
            <v>0</v>
          </cell>
          <cell r="L5130">
            <v>1</v>
          </cell>
        </row>
        <row r="5131">
          <cell r="A5131" t="str">
            <v>20492.15800</v>
          </cell>
          <cell r="B5131" t="str">
            <v>VIS M6S-H 24/200</v>
          </cell>
          <cell r="C5131" t="str">
            <v>METSO  REF :31-213069    PLAN:94567500   REP : 5  P/BROYEUR MINERALS 9'X14</v>
          </cell>
          <cell r="D5131" t="str">
            <v>PE</v>
          </cell>
          <cell r="E5131" t="str">
            <v>522.52207</v>
          </cell>
          <cell r="F5131">
            <v>79.509299999999996</v>
          </cell>
          <cell r="G5131">
            <v>0</v>
          </cell>
          <cell r="H5131">
            <v>0</v>
          </cell>
          <cell r="I5131">
            <v>0</v>
          </cell>
          <cell r="J5131">
            <v>0</v>
          </cell>
          <cell r="K5131">
            <v>0</v>
          </cell>
          <cell r="L5131">
            <v>28</v>
          </cell>
        </row>
        <row r="5132">
          <cell r="A5132" t="str">
            <v>20492.15905</v>
          </cell>
          <cell r="B5132" t="str">
            <v>TIGE</v>
          </cell>
          <cell r="C5132" t="str">
            <v>DRESSER RAND 1S672-1 NOMENCLATURE OR29666 REP21</v>
          </cell>
          <cell r="D5132" t="str">
            <v>PE</v>
          </cell>
          <cell r="E5132" t="str">
            <v>515.51517</v>
          </cell>
          <cell r="F5132">
            <v>7865.5178999999998</v>
          </cell>
          <cell r="G5132">
            <v>0</v>
          </cell>
          <cell r="H5132">
            <v>0</v>
          </cell>
          <cell r="I5132">
            <v>0</v>
          </cell>
          <cell r="J5132">
            <v>0</v>
          </cell>
          <cell r="K5132">
            <v>0</v>
          </cell>
          <cell r="L5132">
            <v>9</v>
          </cell>
        </row>
        <row r="5133">
          <cell r="A5133" t="str">
            <v>20492.15906</v>
          </cell>
          <cell r="B5133" t="str">
            <v>ROTULE</v>
          </cell>
          <cell r="C5133" t="str">
            <v>DRESSER RAND 1A6885-1 NOMENCLATURE OR27502 REP4</v>
          </cell>
          <cell r="D5133" t="str">
            <v>PE</v>
          </cell>
          <cell r="E5133" t="str">
            <v>515.51517</v>
          </cell>
          <cell r="F5133">
            <v>5678.5050000000001</v>
          </cell>
          <cell r="G5133">
            <v>0</v>
          </cell>
          <cell r="H5133">
            <v>0</v>
          </cell>
          <cell r="I5133">
            <v>0</v>
          </cell>
          <cell r="J5133">
            <v>8</v>
          </cell>
          <cell r="K5133">
            <v>0</v>
          </cell>
          <cell r="L5133">
            <v>0</v>
          </cell>
        </row>
        <row r="5134">
          <cell r="A5134" t="str">
            <v>20492.15907</v>
          </cell>
          <cell r="B5134" t="str">
            <v>VIS AJUSTEE</v>
          </cell>
          <cell r="C5134" t="str">
            <v>DRESSER RAND 1A6902-1 NOMENCLATURE OR27502 REP5</v>
          </cell>
          <cell r="D5134" t="str">
            <v>PE</v>
          </cell>
          <cell r="E5134" t="str">
            <v>515.51517</v>
          </cell>
          <cell r="F5134">
            <v>15721.057699999999</v>
          </cell>
          <cell r="G5134">
            <v>0</v>
          </cell>
          <cell r="H5134">
            <v>0</v>
          </cell>
          <cell r="I5134">
            <v>0</v>
          </cell>
          <cell r="J5134">
            <v>3</v>
          </cell>
          <cell r="K5134">
            <v>0</v>
          </cell>
          <cell r="L5134">
            <v>1</v>
          </cell>
        </row>
        <row r="5135">
          <cell r="A5135" t="str">
            <v>20492.15899</v>
          </cell>
          <cell r="B5135" t="str">
            <v>TIGE DE LEVAGE</v>
          </cell>
          <cell r="C5135" t="str">
            <v>DRESSER RAND 1R13552-4 NOMENCLATURE OR29666 REP9</v>
          </cell>
          <cell r="D5135" t="str">
            <v>PE</v>
          </cell>
          <cell r="E5135" t="str">
            <v>515.51517</v>
          </cell>
          <cell r="F5135">
            <v>81050.463699999993</v>
          </cell>
          <cell r="G5135">
            <v>0</v>
          </cell>
          <cell r="H5135">
            <v>0</v>
          </cell>
          <cell r="I5135">
            <v>0</v>
          </cell>
          <cell r="J5135">
            <v>2</v>
          </cell>
          <cell r="K5135">
            <v>0</v>
          </cell>
          <cell r="L5135">
            <v>0</v>
          </cell>
        </row>
        <row r="5136">
          <cell r="A5136" t="str">
            <v>20492.15900</v>
          </cell>
          <cell r="B5136" t="str">
            <v>BAGUE</v>
          </cell>
          <cell r="C5136" t="str">
            <v>DRESSER RAND 3A4450-1 NOMENCLATURE OR29666 REP11</v>
          </cell>
          <cell r="D5136" t="str">
            <v>PE</v>
          </cell>
          <cell r="E5136" t="str">
            <v>515.51517</v>
          </cell>
          <cell r="F5136">
            <v>90110.2598</v>
          </cell>
          <cell r="G5136">
            <v>0</v>
          </cell>
          <cell r="H5136">
            <v>0</v>
          </cell>
          <cell r="I5136">
            <v>0</v>
          </cell>
          <cell r="J5136">
            <v>3</v>
          </cell>
          <cell r="K5136">
            <v>0</v>
          </cell>
          <cell r="L5136">
            <v>0</v>
          </cell>
        </row>
        <row r="5137">
          <cell r="A5137" t="str">
            <v>20492.15901</v>
          </cell>
          <cell r="B5137" t="str">
            <v>ECROU</v>
          </cell>
          <cell r="C5137" t="str">
            <v>DRESSER RAND 1S304-10 NOMENCLATURE OR29666 REP10</v>
          </cell>
          <cell r="D5137" t="str">
            <v>PE</v>
          </cell>
          <cell r="E5137" t="str">
            <v>515.51517</v>
          </cell>
          <cell r="F5137">
            <v>278.21890000000002</v>
          </cell>
          <cell r="G5137">
            <v>0</v>
          </cell>
          <cell r="H5137">
            <v>0</v>
          </cell>
          <cell r="I5137">
            <v>0</v>
          </cell>
          <cell r="J5137">
            <v>0</v>
          </cell>
          <cell r="K5137">
            <v>0</v>
          </cell>
          <cell r="L5137">
            <v>4</v>
          </cell>
        </row>
        <row r="5138">
          <cell r="A5138" t="str">
            <v>20492.15903</v>
          </cell>
          <cell r="B5138" t="str">
            <v>TIGE</v>
          </cell>
          <cell r="C5138" t="str">
            <v>DRESSER RAND 1S673-1 NOMENCLATURE OR29666 REP20</v>
          </cell>
          <cell r="D5138" t="str">
            <v>PE</v>
          </cell>
          <cell r="E5138" t="str">
            <v>515.51517</v>
          </cell>
          <cell r="F5138">
            <v>4850.5020999999997</v>
          </cell>
          <cell r="G5138">
            <v>0</v>
          </cell>
          <cell r="H5138">
            <v>0</v>
          </cell>
          <cell r="I5138">
            <v>0</v>
          </cell>
          <cell r="J5138">
            <v>0</v>
          </cell>
          <cell r="K5138">
            <v>0</v>
          </cell>
          <cell r="L5138">
            <v>6</v>
          </cell>
        </row>
        <row r="5139">
          <cell r="A5139" t="str">
            <v>20492.15904</v>
          </cell>
          <cell r="B5139" t="str">
            <v>TIGE</v>
          </cell>
          <cell r="C5139" t="str">
            <v>DRESSER RAND 1S673-2 NOMENCLATURE OR29666 RE19</v>
          </cell>
          <cell r="D5139" t="str">
            <v>PE</v>
          </cell>
          <cell r="E5139" t="str">
            <v>515.51517</v>
          </cell>
          <cell r="F5139">
            <v>4268.1885000000002</v>
          </cell>
          <cell r="G5139">
            <v>0</v>
          </cell>
          <cell r="H5139">
            <v>0</v>
          </cell>
          <cell r="I5139">
            <v>0</v>
          </cell>
          <cell r="J5139">
            <v>0</v>
          </cell>
          <cell r="K5139">
            <v>0</v>
          </cell>
          <cell r="L5139">
            <v>1</v>
          </cell>
        </row>
        <row r="5140">
          <cell r="A5140" t="str">
            <v>20492.15910</v>
          </cell>
          <cell r="B5140" t="str">
            <v>AXE</v>
          </cell>
          <cell r="C5140" t="str">
            <v>DRESSER RAND 1A6938-1 NOMENCLATURE OR27502 REP20</v>
          </cell>
          <cell r="D5140" t="str">
            <v>PE</v>
          </cell>
          <cell r="E5140" t="str">
            <v>515.51517</v>
          </cell>
          <cell r="F5140">
            <v>23171.899700000002</v>
          </cell>
          <cell r="G5140">
            <v>0</v>
          </cell>
          <cell r="H5140">
            <v>0</v>
          </cell>
          <cell r="I5140">
            <v>0</v>
          </cell>
          <cell r="J5140">
            <v>0</v>
          </cell>
          <cell r="K5140">
            <v>0</v>
          </cell>
          <cell r="L5140">
            <v>1</v>
          </cell>
        </row>
        <row r="5141">
          <cell r="A5141" t="str">
            <v>20492.15911</v>
          </cell>
          <cell r="B5141" t="str">
            <v>VIS AJUSTEE</v>
          </cell>
          <cell r="C5141" t="str">
            <v>DRESSER RAND 1A6902-2 NOMENCLATURE OR27502 REP26</v>
          </cell>
          <cell r="D5141" t="str">
            <v>PE</v>
          </cell>
          <cell r="E5141" t="str">
            <v>515.51517</v>
          </cell>
          <cell r="F5141">
            <v>15721.057699999999</v>
          </cell>
          <cell r="G5141">
            <v>0</v>
          </cell>
          <cell r="H5141">
            <v>0</v>
          </cell>
          <cell r="I5141">
            <v>0</v>
          </cell>
          <cell r="J5141">
            <v>3</v>
          </cell>
          <cell r="K5141">
            <v>0</v>
          </cell>
          <cell r="L5141">
            <v>1</v>
          </cell>
        </row>
        <row r="5142">
          <cell r="A5142" t="str">
            <v>20492.15908</v>
          </cell>
          <cell r="B5142" t="str">
            <v>GRAISSEUR</v>
          </cell>
          <cell r="C5142" t="str">
            <v>DRESSER RAND 1A6533-1 NOMENCLATURE OR27502 REP17</v>
          </cell>
          <cell r="D5142" t="str">
            <v>PE</v>
          </cell>
          <cell r="E5142" t="str">
            <v>515.51517</v>
          </cell>
          <cell r="F5142">
            <v>102.6314</v>
          </cell>
          <cell r="G5142">
            <v>0</v>
          </cell>
          <cell r="H5142">
            <v>0</v>
          </cell>
          <cell r="I5142">
            <v>0</v>
          </cell>
          <cell r="J5142">
            <v>19</v>
          </cell>
          <cell r="K5142">
            <v>0</v>
          </cell>
          <cell r="L5142">
            <v>1</v>
          </cell>
        </row>
        <row r="5143">
          <cell r="A5143" t="str">
            <v>20492.15909</v>
          </cell>
          <cell r="B5143" t="str">
            <v>RESSORT DE RAPPEL</v>
          </cell>
          <cell r="C5143" t="str">
            <v>DRESSER RAND 1A6998-2 NOMENCLATURE OR27502 REP18</v>
          </cell>
          <cell r="D5143" t="str">
            <v>PE</v>
          </cell>
          <cell r="E5143" t="str">
            <v>515.51517</v>
          </cell>
          <cell r="F5143">
            <v>6197.1265000000003</v>
          </cell>
          <cell r="G5143">
            <v>0</v>
          </cell>
          <cell r="H5143">
            <v>0</v>
          </cell>
          <cell r="I5143">
            <v>0</v>
          </cell>
          <cell r="J5143">
            <v>3</v>
          </cell>
          <cell r="K5143">
            <v>0</v>
          </cell>
          <cell r="L5143">
            <v>3</v>
          </cell>
        </row>
        <row r="5144">
          <cell r="A5144" t="str">
            <v>20492.15887</v>
          </cell>
          <cell r="B5144" t="str">
            <v>BAGUE</v>
          </cell>
          <cell r="C5144" t="str">
            <v>DRESSER RAND 1A14024-1 NOMENCLATURE OR29666 REP23</v>
          </cell>
          <cell r="D5144" t="str">
            <v>PE</v>
          </cell>
          <cell r="E5144" t="str">
            <v>515.51517</v>
          </cell>
          <cell r="F5144">
            <v>9541.6694000000007</v>
          </cell>
          <cell r="G5144">
            <v>0</v>
          </cell>
          <cell r="H5144">
            <v>0</v>
          </cell>
          <cell r="I5144">
            <v>0</v>
          </cell>
          <cell r="J5144">
            <v>0</v>
          </cell>
          <cell r="K5144">
            <v>0</v>
          </cell>
          <cell r="L5144">
            <v>1</v>
          </cell>
        </row>
        <row r="5145">
          <cell r="A5145" t="str">
            <v>20492.15888</v>
          </cell>
          <cell r="B5145" t="str">
            <v>ECROU</v>
          </cell>
          <cell r="C5145" t="str">
            <v>DRESSER RAND 1A9143-1 NOMENCLATURE OR29666 REP27</v>
          </cell>
          <cell r="D5145" t="str">
            <v>PE</v>
          </cell>
          <cell r="E5145" t="str">
            <v>515.51517</v>
          </cell>
          <cell r="F5145">
            <v>2211.6713</v>
          </cell>
          <cell r="G5145">
            <v>0</v>
          </cell>
          <cell r="H5145">
            <v>0</v>
          </cell>
          <cell r="I5145">
            <v>0</v>
          </cell>
          <cell r="J5145">
            <v>0</v>
          </cell>
          <cell r="K5145">
            <v>0</v>
          </cell>
          <cell r="L5145">
            <v>5</v>
          </cell>
        </row>
        <row r="5146">
          <cell r="A5146" t="str">
            <v>20492.15889</v>
          </cell>
          <cell r="B5146" t="str">
            <v>GOUPILLE</v>
          </cell>
          <cell r="C5146" t="str">
            <v>DRESSER RAND 1A7796-1 NOMENCLATURE OR29666 REP24</v>
          </cell>
          <cell r="D5146" t="str">
            <v>PE</v>
          </cell>
          <cell r="E5146" t="str">
            <v>515.51517</v>
          </cell>
          <cell r="F5146">
            <v>278.10629999999998</v>
          </cell>
          <cell r="G5146">
            <v>0</v>
          </cell>
          <cell r="H5146">
            <v>0</v>
          </cell>
          <cell r="I5146">
            <v>0</v>
          </cell>
          <cell r="J5146">
            <v>0</v>
          </cell>
          <cell r="K5146">
            <v>0</v>
          </cell>
          <cell r="L5146">
            <v>1</v>
          </cell>
        </row>
        <row r="5147">
          <cell r="A5147" t="str">
            <v>20492.15890</v>
          </cell>
          <cell r="B5147" t="str">
            <v>SIEGE</v>
          </cell>
          <cell r="C5147" t="str">
            <v>DRESSER RAND 3R3801-51 NOMENCLATURE OR29666 REP28</v>
          </cell>
          <cell r="D5147" t="str">
            <v>PE</v>
          </cell>
          <cell r="E5147" t="str">
            <v>515.51517</v>
          </cell>
          <cell r="F5147">
            <v>17750.754099999998</v>
          </cell>
          <cell r="G5147">
            <v>0</v>
          </cell>
          <cell r="H5147">
            <v>0</v>
          </cell>
          <cell r="I5147">
            <v>0</v>
          </cell>
          <cell r="J5147">
            <v>0</v>
          </cell>
          <cell r="K5147">
            <v>0</v>
          </cell>
          <cell r="L5147">
            <v>5</v>
          </cell>
        </row>
        <row r="5148">
          <cell r="A5148" t="str">
            <v>20361.00362</v>
          </cell>
          <cell r="B5148" t="str">
            <v>MONTURE DE SCIE</v>
          </cell>
          <cell r="C5148" t="str">
            <v>603E</v>
          </cell>
          <cell r="D5148" t="str">
            <v>PE</v>
          </cell>
          <cell r="E5148" t="str">
            <v>522.52208</v>
          </cell>
          <cell r="F5148">
            <v>285.69600000000003</v>
          </cell>
          <cell r="G5148">
            <v>0</v>
          </cell>
          <cell r="H5148">
            <v>0</v>
          </cell>
          <cell r="I5148">
            <v>0</v>
          </cell>
          <cell r="J5148">
            <v>0</v>
          </cell>
          <cell r="K5148">
            <v>0</v>
          </cell>
          <cell r="L5148">
            <v>0</v>
          </cell>
        </row>
        <row r="5149">
          <cell r="A5149" t="str">
            <v>20361.00548</v>
          </cell>
          <cell r="B5149" t="str">
            <v>AGMENTAT IMPACT-M1"-F.3/4</v>
          </cell>
          <cell r="C5149" t="str">
            <v>NK 232</v>
          </cell>
          <cell r="D5149" t="str">
            <v>PE</v>
          </cell>
          <cell r="E5149" t="str">
            <v>522.52208</v>
          </cell>
          <cell r="F5149">
            <v>406</v>
          </cell>
          <cell r="G5149">
            <v>0</v>
          </cell>
          <cell r="H5149">
            <v>0</v>
          </cell>
          <cell r="I5149">
            <v>0</v>
          </cell>
          <cell r="J5149">
            <v>0</v>
          </cell>
          <cell r="K5149">
            <v>0</v>
          </cell>
          <cell r="L5149">
            <v>0</v>
          </cell>
        </row>
        <row r="5150">
          <cell r="A5150" t="str">
            <v>20361.00561</v>
          </cell>
          <cell r="B5150" t="str">
            <v>CAISSE A OUTILS VIDE</v>
          </cell>
          <cell r="C5150" t="str">
            <v>BT 11</v>
          </cell>
          <cell r="D5150" t="str">
            <v>PE</v>
          </cell>
          <cell r="E5150" t="str">
            <v>522.52208</v>
          </cell>
          <cell r="F5150">
            <v>556.79999999999995</v>
          </cell>
          <cell r="G5150">
            <v>0</v>
          </cell>
          <cell r="H5150">
            <v>0</v>
          </cell>
          <cell r="I5150">
            <v>0</v>
          </cell>
          <cell r="J5150">
            <v>0</v>
          </cell>
          <cell r="K5150">
            <v>0</v>
          </cell>
          <cell r="L5150">
            <v>0</v>
          </cell>
        </row>
        <row r="5151">
          <cell r="A5151" t="str">
            <v>20361.02258</v>
          </cell>
          <cell r="B5151" t="str">
            <v>CLE MALE "JEU DE 12"</v>
          </cell>
          <cell r="C5151" t="str">
            <v>82H.JL12</v>
          </cell>
          <cell r="D5151" t="str">
            <v>JE</v>
          </cell>
          <cell r="E5151" t="str">
            <v>522.52208</v>
          </cell>
          <cell r="F5151">
            <v>237.78700000000001</v>
          </cell>
          <cell r="G5151">
            <v>0</v>
          </cell>
          <cell r="H5151">
            <v>0</v>
          </cell>
          <cell r="I5151">
            <v>0</v>
          </cell>
          <cell r="J5151">
            <v>0</v>
          </cell>
          <cell r="K5151">
            <v>0</v>
          </cell>
          <cell r="L5151">
            <v>0</v>
          </cell>
        </row>
        <row r="5152">
          <cell r="A5152" t="str">
            <v>20361.00621</v>
          </cell>
          <cell r="B5152" t="str">
            <v>JEU 25 FORET 1A13P.1/2MM</v>
          </cell>
          <cell r="C5152" t="str">
            <v>222A.TJ25</v>
          </cell>
          <cell r="D5152" t="str">
            <v>PE</v>
          </cell>
          <cell r="E5152" t="str">
            <v>522.52208</v>
          </cell>
          <cell r="F5152">
            <v>1721.1138000000001</v>
          </cell>
          <cell r="G5152">
            <v>0</v>
          </cell>
          <cell r="H5152">
            <v>0</v>
          </cell>
          <cell r="I5152">
            <v>0</v>
          </cell>
          <cell r="J5152">
            <v>0</v>
          </cell>
          <cell r="K5152">
            <v>0</v>
          </cell>
          <cell r="L5152">
            <v>0</v>
          </cell>
        </row>
        <row r="5153">
          <cell r="A5153" t="str">
            <v>20361.09247</v>
          </cell>
          <cell r="B5153" t="str">
            <v>BEDANE</v>
          </cell>
          <cell r="C5153" t="str">
            <v>265.22</v>
          </cell>
          <cell r="D5153" t="str">
            <v>PE</v>
          </cell>
          <cell r="E5153" t="str">
            <v>522.52208</v>
          </cell>
          <cell r="F5153">
            <v>160.12799999999999</v>
          </cell>
          <cell r="G5153">
            <v>0</v>
          </cell>
          <cell r="H5153">
            <v>0</v>
          </cell>
          <cell r="I5153">
            <v>0</v>
          </cell>
          <cell r="J5153">
            <v>0</v>
          </cell>
          <cell r="K5153">
            <v>0</v>
          </cell>
          <cell r="L5153">
            <v>0</v>
          </cell>
        </row>
        <row r="5154">
          <cell r="A5154" t="str">
            <v>20361.00627</v>
          </cell>
          <cell r="B5154" t="str">
            <v>CLE A MOLETTE</v>
          </cell>
          <cell r="C5154" t="str">
            <v>113A12C</v>
          </cell>
          <cell r="D5154" t="str">
            <v>PE</v>
          </cell>
          <cell r="E5154" t="str">
            <v>522.52208</v>
          </cell>
          <cell r="F5154">
            <v>304.2</v>
          </cell>
          <cell r="G5154">
            <v>0</v>
          </cell>
          <cell r="H5154">
            <v>0</v>
          </cell>
          <cell r="I5154">
            <v>0</v>
          </cell>
          <cell r="J5154">
            <v>0</v>
          </cell>
          <cell r="K5154">
            <v>0</v>
          </cell>
          <cell r="L5154">
            <v>0</v>
          </cell>
        </row>
        <row r="5155">
          <cell r="A5155" t="str">
            <v>20361.09250</v>
          </cell>
          <cell r="B5155" t="str">
            <v>JEU CLE MALE</v>
          </cell>
          <cell r="C5155" t="str">
            <v>86H.JU6</v>
          </cell>
          <cell r="D5155" t="str">
            <v>PE</v>
          </cell>
          <cell r="E5155" t="str">
            <v>522.52208</v>
          </cell>
          <cell r="F5155">
            <v>193.536</v>
          </cell>
          <cell r="G5155">
            <v>0</v>
          </cell>
          <cell r="H5155">
            <v>0</v>
          </cell>
          <cell r="I5155">
            <v>0</v>
          </cell>
          <cell r="J5155">
            <v>0</v>
          </cell>
          <cell r="K5155">
            <v>0</v>
          </cell>
          <cell r="L5155">
            <v>0</v>
          </cell>
        </row>
        <row r="5156">
          <cell r="A5156" t="str">
            <v>20361.01329</v>
          </cell>
          <cell r="B5156" t="str">
            <v>CLE POLYGONALE A FRAPPER</v>
          </cell>
          <cell r="C5156" t="str">
            <v>50.36</v>
          </cell>
          <cell r="D5156" t="str">
            <v>PE</v>
          </cell>
          <cell r="E5156" t="str">
            <v>522.52208</v>
          </cell>
          <cell r="F5156">
            <v>529.91999999999996</v>
          </cell>
          <cell r="G5156">
            <v>0</v>
          </cell>
          <cell r="H5156">
            <v>0</v>
          </cell>
          <cell r="I5156">
            <v>0</v>
          </cell>
          <cell r="J5156">
            <v>0</v>
          </cell>
          <cell r="K5156">
            <v>0</v>
          </cell>
          <cell r="L5156">
            <v>0</v>
          </cell>
        </row>
        <row r="5157">
          <cell r="A5157" t="str">
            <v>20361.01346</v>
          </cell>
          <cell r="B5157" t="str">
            <v>CLE POLYGONALE A FRAPPER</v>
          </cell>
          <cell r="C5157" t="str">
            <v>50.55</v>
          </cell>
          <cell r="D5157" t="str">
            <v>PE</v>
          </cell>
          <cell r="E5157" t="str">
            <v>522.52208</v>
          </cell>
          <cell r="F5157">
            <v>889.34400000000005</v>
          </cell>
          <cell r="G5157">
            <v>0</v>
          </cell>
          <cell r="H5157">
            <v>0</v>
          </cell>
          <cell r="I5157">
            <v>0</v>
          </cell>
          <cell r="J5157">
            <v>0</v>
          </cell>
          <cell r="K5157">
            <v>0</v>
          </cell>
          <cell r="L5157">
            <v>0</v>
          </cell>
        </row>
        <row r="5158">
          <cell r="A5158" t="str">
            <v>20361.01367</v>
          </cell>
          <cell r="B5158" t="str">
            <v>CLE POLYGONALE A FRAPPER</v>
          </cell>
          <cell r="C5158" t="str">
            <v>50.90</v>
          </cell>
          <cell r="D5158" t="str">
            <v>PE</v>
          </cell>
          <cell r="E5158" t="str">
            <v>522.52208</v>
          </cell>
          <cell r="F5158">
            <v>2520</v>
          </cell>
          <cell r="G5158">
            <v>0</v>
          </cell>
          <cell r="H5158">
            <v>0</v>
          </cell>
          <cell r="I5158">
            <v>0</v>
          </cell>
          <cell r="J5158">
            <v>0</v>
          </cell>
          <cell r="K5158">
            <v>6</v>
          </cell>
          <cell r="L5158">
            <v>0</v>
          </cell>
        </row>
        <row r="5159">
          <cell r="A5159" t="str">
            <v>20361.01451</v>
          </cell>
          <cell r="B5159" t="str">
            <v>CLE A CREMAILL 60MM L.230</v>
          </cell>
          <cell r="C5159" t="str">
            <v>105.230</v>
          </cell>
          <cell r="D5159" t="str">
            <v>PE</v>
          </cell>
          <cell r="E5159" t="str">
            <v>522.52208</v>
          </cell>
          <cell r="F5159">
            <v>237.5</v>
          </cell>
          <cell r="G5159">
            <v>0</v>
          </cell>
          <cell r="H5159">
            <v>0</v>
          </cell>
          <cell r="I5159">
            <v>0</v>
          </cell>
          <cell r="J5159">
            <v>0</v>
          </cell>
          <cell r="K5159">
            <v>0</v>
          </cell>
          <cell r="L5159">
            <v>0</v>
          </cell>
        </row>
        <row r="5160">
          <cell r="A5160" t="str">
            <v>20361.01452</v>
          </cell>
          <cell r="B5160" t="str">
            <v>CLE A CREMAILL 78MM L.280</v>
          </cell>
          <cell r="C5160" t="str">
            <v>105.280</v>
          </cell>
          <cell r="D5160" t="str">
            <v>PE</v>
          </cell>
          <cell r="E5160" t="str">
            <v>522.52208</v>
          </cell>
          <cell r="F5160">
            <v>313.60000000000002</v>
          </cell>
          <cell r="G5160">
            <v>0</v>
          </cell>
          <cell r="H5160">
            <v>0</v>
          </cell>
          <cell r="I5160">
            <v>0</v>
          </cell>
          <cell r="J5160">
            <v>0</v>
          </cell>
          <cell r="K5160">
            <v>0</v>
          </cell>
          <cell r="L5160">
            <v>0</v>
          </cell>
        </row>
        <row r="5161">
          <cell r="A5161" t="str">
            <v>20361.01453</v>
          </cell>
          <cell r="B5161" t="str">
            <v>CLE A CREMAILLER</v>
          </cell>
          <cell r="C5161" t="str">
            <v>105.375</v>
          </cell>
          <cell r="D5161" t="str">
            <v>PE</v>
          </cell>
          <cell r="E5161" t="str">
            <v>522.52208</v>
          </cell>
          <cell r="F5161">
            <v>557.56799999999998</v>
          </cell>
          <cell r="G5161">
            <v>0</v>
          </cell>
          <cell r="H5161">
            <v>0</v>
          </cell>
          <cell r="I5161">
            <v>0</v>
          </cell>
          <cell r="J5161">
            <v>0</v>
          </cell>
          <cell r="K5161">
            <v>0</v>
          </cell>
          <cell r="L5161">
            <v>0</v>
          </cell>
        </row>
        <row r="5162">
          <cell r="A5162" t="str">
            <v>20361.01473</v>
          </cell>
          <cell r="B5162" t="str">
            <v>CLE SERRE TUBE STILLSON</v>
          </cell>
          <cell r="C5162" t="str">
            <v>131-14</v>
          </cell>
          <cell r="D5162" t="str">
            <v>PE</v>
          </cell>
          <cell r="E5162" t="str">
            <v>522.52208</v>
          </cell>
          <cell r="F5162">
            <v>299.52</v>
          </cell>
          <cell r="G5162">
            <v>0</v>
          </cell>
          <cell r="H5162">
            <v>0</v>
          </cell>
          <cell r="I5162">
            <v>0</v>
          </cell>
          <cell r="J5162">
            <v>0</v>
          </cell>
          <cell r="K5162">
            <v>0</v>
          </cell>
          <cell r="L5162">
            <v>0</v>
          </cell>
        </row>
        <row r="5163">
          <cell r="A5163" t="str">
            <v>20212.10699</v>
          </cell>
          <cell r="B5163" t="str">
            <v>FLEXIBLE</v>
          </cell>
          <cell r="C5163" t="str">
            <v>0574 9911 13</v>
          </cell>
          <cell r="D5163" t="str">
            <v>PE</v>
          </cell>
          <cell r="E5163" t="str">
            <v>515.51504</v>
          </cell>
          <cell r="F5163">
            <v>440.23</v>
          </cell>
          <cell r="G5163">
            <v>0</v>
          </cell>
          <cell r="H5163">
            <v>0</v>
          </cell>
          <cell r="I5163">
            <v>0</v>
          </cell>
          <cell r="J5163">
            <v>0</v>
          </cell>
          <cell r="K5163">
            <v>0</v>
          </cell>
          <cell r="L5163">
            <v>1</v>
          </cell>
        </row>
        <row r="5164">
          <cell r="A5164" t="str">
            <v>20212.10702</v>
          </cell>
          <cell r="B5164" t="str">
            <v>FLEXIBLE</v>
          </cell>
          <cell r="C5164" t="str">
            <v>0574 9911 12</v>
          </cell>
          <cell r="D5164" t="str">
            <v>PE</v>
          </cell>
          <cell r="E5164" t="str">
            <v>515.51504</v>
          </cell>
          <cell r="F5164">
            <v>420.11</v>
          </cell>
          <cell r="G5164">
            <v>0</v>
          </cell>
          <cell r="H5164">
            <v>0</v>
          </cell>
          <cell r="I5164">
            <v>0</v>
          </cell>
          <cell r="J5164">
            <v>0</v>
          </cell>
          <cell r="K5164">
            <v>0</v>
          </cell>
          <cell r="L5164">
            <v>1</v>
          </cell>
        </row>
        <row r="5165">
          <cell r="A5165" t="str">
            <v>20212.10703</v>
          </cell>
          <cell r="B5165" t="str">
            <v>FLEXIBLE</v>
          </cell>
          <cell r="C5165" t="str">
            <v>0574 9911 14</v>
          </cell>
          <cell r="D5165" t="str">
            <v>PE</v>
          </cell>
          <cell r="E5165" t="str">
            <v>515.51504</v>
          </cell>
          <cell r="F5165">
            <v>577.82000000000005</v>
          </cell>
          <cell r="G5165">
            <v>0</v>
          </cell>
          <cell r="H5165">
            <v>0</v>
          </cell>
          <cell r="I5165">
            <v>0</v>
          </cell>
          <cell r="J5165">
            <v>0</v>
          </cell>
          <cell r="K5165">
            <v>0</v>
          </cell>
          <cell r="L5165">
            <v>1</v>
          </cell>
        </row>
        <row r="5166">
          <cell r="A5166" t="str">
            <v>20212.10704</v>
          </cell>
          <cell r="B5166" t="str">
            <v>JOINT TORIQUE</v>
          </cell>
          <cell r="C5166" t="str">
            <v>0663 2111 78</v>
          </cell>
          <cell r="D5166" t="str">
            <v>PE</v>
          </cell>
          <cell r="E5166" t="str">
            <v>515.51504</v>
          </cell>
          <cell r="F5166">
            <v>7.02</v>
          </cell>
          <cell r="G5166">
            <v>0</v>
          </cell>
          <cell r="H5166">
            <v>0</v>
          </cell>
          <cell r="I5166">
            <v>0</v>
          </cell>
          <cell r="J5166">
            <v>0</v>
          </cell>
          <cell r="K5166">
            <v>1</v>
          </cell>
          <cell r="L5166">
            <v>2</v>
          </cell>
        </row>
        <row r="5167">
          <cell r="A5167" t="str">
            <v>20212.10719</v>
          </cell>
          <cell r="B5167" t="str">
            <v>FILTRE A AIR</v>
          </cell>
          <cell r="C5167" t="str">
            <v>1622 0171 00</v>
          </cell>
          <cell r="D5167" t="str">
            <v>PE</v>
          </cell>
          <cell r="E5167" t="str">
            <v>515.51504</v>
          </cell>
          <cell r="F5167">
            <v>289.70999999999998</v>
          </cell>
          <cell r="G5167">
            <v>0</v>
          </cell>
          <cell r="H5167">
            <v>0</v>
          </cell>
          <cell r="I5167">
            <v>0</v>
          </cell>
          <cell r="J5167">
            <v>0</v>
          </cell>
          <cell r="K5167">
            <v>0</v>
          </cell>
          <cell r="L5167">
            <v>2</v>
          </cell>
        </row>
        <row r="5168">
          <cell r="A5168" t="str">
            <v>20212.10721</v>
          </cell>
          <cell r="B5168" t="str">
            <v>SEPARATEUR D'HUILE</v>
          </cell>
          <cell r="C5168" t="str">
            <v>1622 0516 00</v>
          </cell>
          <cell r="D5168" t="str">
            <v>PE</v>
          </cell>
          <cell r="E5168" t="str">
            <v>515.51504</v>
          </cell>
          <cell r="F5168">
            <v>1825.5527</v>
          </cell>
          <cell r="G5168">
            <v>0</v>
          </cell>
          <cell r="H5168">
            <v>0</v>
          </cell>
          <cell r="I5168">
            <v>0</v>
          </cell>
          <cell r="J5168">
            <v>0</v>
          </cell>
          <cell r="K5168">
            <v>0</v>
          </cell>
          <cell r="L5168">
            <v>3</v>
          </cell>
        </row>
        <row r="5169">
          <cell r="A5169" t="str">
            <v>20212.10723</v>
          </cell>
          <cell r="B5169" t="str">
            <v>PISTON</v>
          </cell>
          <cell r="C5169" t="str">
            <v>1622 0522 00</v>
          </cell>
          <cell r="D5169" t="str">
            <v>PE</v>
          </cell>
          <cell r="E5169" t="str">
            <v>515.51504</v>
          </cell>
          <cell r="F5169">
            <v>145.72999999999999</v>
          </cell>
          <cell r="G5169">
            <v>0</v>
          </cell>
          <cell r="H5169">
            <v>0</v>
          </cell>
          <cell r="I5169">
            <v>0</v>
          </cell>
          <cell r="J5169">
            <v>0</v>
          </cell>
          <cell r="K5169">
            <v>1</v>
          </cell>
          <cell r="L5169">
            <v>2</v>
          </cell>
        </row>
        <row r="5170">
          <cell r="A5170" t="str">
            <v>20212.10724</v>
          </cell>
          <cell r="B5170" t="str">
            <v>DISQUE DE VALVE</v>
          </cell>
          <cell r="C5170" t="str">
            <v>1622 0523 00</v>
          </cell>
          <cell r="D5170" t="str">
            <v>PE</v>
          </cell>
          <cell r="E5170" t="str">
            <v>515.51504</v>
          </cell>
          <cell r="F5170">
            <v>318.75</v>
          </cell>
          <cell r="G5170">
            <v>0</v>
          </cell>
          <cell r="H5170">
            <v>0</v>
          </cell>
          <cell r="I5170">
            <v>0</v>
          </cell>
          <cell r="J5170">
            <v>0</v>
          </cell>
          <cell r="K5170">
            <v>0</v>
          </cell>
          <cell r="L5170">
            <v>1</v>
          </cell>
        </row>
        <row r="5171">
          <cell r="A5171" t="str">
            <v>20212.10725</v>
          </cell>
          <cell r="B5171" t="str">
            <v>RESSORT</v>
          </cell>
          <cell r="C5171" t="str">
            <v>1622 0524 00</v>
          </cell>
          <cell r="D5171" t="str">
            <v>PE</v>
          </cell>
          <cell r="E5171" t="str">
            <v>515.51504</v>
          </cell>
          <cell r="F5171">
            <v>142.8193</v>
          </cell>
          <cell r="G5171">
            <v>0</v>
          </cell>
          <cell r="H5171">
            <v>0</v>
          </cell>
          <cell r="I5171">
            <v>0</v>
          </cell>
          <cell r="J5171">
            <v>0</v>
          </cell>
          <cell r="K5171">
            <v>1</v>
          </cell>
          <cell r="L5171">
            <v>2</v>
          </cell>
        </row>
        <row r="5172">
          <cell r="A5172" t="str">
            <v>20212.10726</v>
          </cell>
          <cell r="B5172" t="str">
            <v>RESSORT</v>
          </cell>
          <cell r="C5172" t="str">
            <v>1622 0525 00</v>
          </cell>
          <cell r="D5172" t="str">
            <v>PE</v>
          </cell>
          <cell r="E5172" t="str">
            <v>515.51504</v>
          </cell>
          <cell r="F5172">
            <v>24.19</v>
          </cell>
          <cell r="G5172">
            <v>0</v>
          </cell>
          <cell r="H5172">
            <v>0</v>
          </cell>
          <cell r="I5172">
            <v>0</v>
          </cell>
          <cell r="J5172">
            <v>0</v>
          </cell>
          <cell r="K5172">
            <v>1</v>
          </cell>
          <cell r="L5172">
            <v>2</v>
          </cell>
        </row>
        <row r="5173">
          <cell r="A5173" t="str">
            <v>20361.01480</v>
          </cell>
          <cell r="B5173" t="str">
            <v>CLE SERRE TUBE 76MM L.45*</v>
          </cell>
          <cell r="C5173" t="str">
            <v>134-18</v>
          </cell>
          <cell r="D5173" t="str">
            <v>PE</v>
          </cell>
          <cell r="E5173" t="str">
            <v>522.52208</v>
          </cell>
          <cell r="F5173">
            <v>772.8</v>
          </cell>
          <cell r="G5173">
            <v>0</v>
          </cell>
          <cell r="H5173">
            <v>0</v>
          </cell>
          <cell r="I5173">
            <v>0</v>
          </cell>
          <cell r="J5173">
            <v>0</v>
          </cell>
          <cell r="K5173">
            <v>0</v>
          </cell>
          <cell r="L5173">
            <v>0</v>
          </cell>
        </row>
        <row r="5174">
          <cell r="A5174" t="str">
            <v>20361.01652</v>
          </cell>
          <cell r="B5174" t="str">
            <v>JEU DE 8 CLES RESISTORX</v>
          </cell>
          <cell r="C5174" t="str">
            <v>89R.JM8</v>
          </cell>
          <cell r="D5174" t="str">
            <v>PE</v>
          </cell>
          <cell r="E5174" t="str">
            <v>522.52208</v>
          </cell>
          <cell r="F5174">
            <v>447</v>
          </cell>
          <cell r="G5174">
            <v>0</v>
          </cell>
          <cell r="H5174">
            <v>0</v>
          </cell>
          <cell r="I5174">
            <v>0</v>
          </cell>
          <cell r="J5174">
            <v>0</v>
          </cell>
          <cell r="K5174">
            <v>0</v>
          </cell>
          <cell r="L5174">
            <v>0</v>
          </cell>
        </row>
        <row r="5175">
          <cell r="A5175" t="str">
            <v>20361.00314</v>
          </cell>
          <cell r="B5175" t="str">
            <v>POIGNEE COULISS. MAMMOUTH</v>
          </cell>
          <cell r="C5175" t="str">
            <v>M 120A</v>
          </cell>
          <cell r="D5175" t="str">
            <v>PE</v>
          </cell>
          <cell r="E5175" t="str">
            <v>522.52208</v>
          </cell>
          <cell r="F5175">
            <v>637</v>
          </cell>
          <cell r="G5175">
            <v>0</v>
          </cell>
          <cell r="H5175">
            <v>0</v>
          </cell>
          <cell r="I5175">
            <v>0</v>
          </cell>
          <cell r="J5175">
            <v>0</v>
          </cell>
          <cell r="K5175">
            <v>0</v>
          </cell>
          <cell r="L5175">
            <v>0</v>
          </cell>
        </row>
        <row r="5176">
          <cell r="A5176" t="str">
            <v>20212.10088</v>
          </cell>
          <cell r="B5176" t="str">
            <v>ELEMENT HP</v>
          </cell>
          <cell r="C5176" t="str">
            <v>1616 5803 81</v>
          </cell>
          <cell r="D5176" t="str">
            <v>PE</v>
          </cell>
          <cell r="E5176" t="str">
            <v>515.51504</v>
          </cell>
          <cell r="F5176">
            <v>242816.52</v>
          </cell>
          <cell r="G5176">
            <v>0</v>
          </cell>
          <cell r="H5176">
            <v>0</v>
          </cell>
          <cell r="I5176">
            <v>0</v>
          </cell>
          <cell r="J5176">
            <v>0</v>
          </cell>
          <cell r="K5176">
            <v>0</v>
          </cell>
          <cell r="L5176">
            <v>1</v>
          </cell>
        </row>
        <row r="5177">
          <cell r="A5177" t="str">
            <v>20212.10126</v>
          </cell>
          <cell r="B5177" t="str">
            <v>CAPTEUR</v>
          </cell>
          <cell r="C5177" t="str">
            <v>TYPE: BD 390 REF: 1089 0574 46</v>
          </cell>
          <cell r="D5177" t="str">
            <v>PE</v>
          </cell>
          <cell r="E5177" t="str">
            <v>515.51504</v>
          </cell>
          <cell r="F5177">
            <v>870.71500000000003</v>
          </cell>
          <cell r="G5177">
            <v>0</v>
          </cell>
          <cell r="H5177">
            <v>0</v>
          </cell>
          <cell r="I5177">
            <v>0</v>
          </cell>
          <cell r="J5177">
            <v>0</v>
          </cell>
          <cell r="K5177">
            <v>0</v>
          </cell>
          <cell r="L5177">
            <v>2</v>
          </cell>
        </row>
        <row r="5178">
          <cell r="A5178" t="str">
            <v>20375.00107</v>
          </cell>
          <cell r="B5178" t="str">
            <v>CLAVETTE BOUT ARBRE</v>
          </cell>
          <cell r="C5178" t="str">
            <v>LH60530     SERIE 53253-56       REPERE 27</v>
          </cell>
          <cell r="D5178" t="str">
            <v>PE</v>
          </cell>
          <cell r="E5178" t="str">
            <v>515.51503</v>
          </cell>
          <cell r="F5178">
            <v>459.05020000000002</v>
          </cell>
          <cell r="G5178">
            <v>0</v>
          </cell>
          <cell r="H5178">
            <v>0</v>
          </cell>
          <cell r="I5178">
            <v>0</v>
          </cell>
          <cell r="J5178">
            <v>0</v>
          </cell>
          <cell r="K5178">
            <v>4</v>
          </cell>
          <cell r="L5178">
            <v>0</v>
          </cell>
        </row>
        <row r="5179">
          <cell r="A5179" t="str">
            <v>20375.00108</v>
          </cell>
          <cell r="B5179" t="str">
            <v>CLAVETTE PROPULSEUR</v>
          </cell>
          <cell r="C5179" t="str">
            <v>LH60530     SERIE 53253-56       REPERE 28</v>
          </cell>
          <cell r="D5179" t="str">
            <v>PE</v>
          </cell>
          <cell r="E5179" t="str">
            <v>515.51503</v>
          </cell>
          <cell r="F5179">
            <v>1589.1628000000001</v>
          </cell>
          <cell r="G5179">
            <v>0</v>
          </cell>
          <cell r="H5179">
            <v>0</v>
          </cell>
          <cell r="I5179">
            <v>0</v>
          </cell>
          <cell r="J5179">
            <v>0</v>
          </cell>
          <cell r="K5179">
            <v>4</v>
          </cell>
          <cell r="L5179">
            <v>2</v>
          </cell>
        </row>
        <row r="5180">
          <cell r="A5180" t="str">
            <v>20375.00109</v>
          </cell>
          <cell r="B5180" t="str">
            <v>ECROU DE BLOCAGE</v>
          </cell>
          <cell r="C5180" t="str">
            <v>LH60530     SERIE 53253-56       REPERE 30</v>
          </cell>
          <cell r="D5180" t="str">
            <v>PE</v>
          </cell>
          <cell r="E5180" t="str">
            <v>515.51503</v>
          </cell>
          <cell r="F5180">
            <v>768.51639999999998</v>
          </cell>
          <cell r="G5180">
            <v>0</v>
          </cell>
          <cell r="H5180">
            <v>2</v>
          </cell>
          <cell r="I5180">
            <v>3</v>
          </cell>
          <cell r="J5180">
            <v>0</v>
          </cell>
          <cell r="K5180">
            <v>0</v>
          </cell>
          <cell r="L5180">
            <v>1</v>
          </cell>
        </row>
        <row r="5181">
          <cell r="A5181" t="str">
            <v>20375.00111</v>
          </cell>
          <cell r="B5181" t="str">
            <v>ARBRE</v>
          </cell>
          <cell r="C5181" t="str">
            <v>CHAS-S-LEWIS TYPE LH60530 SERIE 53253-56 REPERE 48</v>
          </cell>
          <cell r="D5181" t="str">
            <v>PE</v>
          </cell>
          <cell r="E5181" t="str">
            <v>515.51503</v>
          </cell>
          <cell r="F5181">
            <v>405104.59179999999</v>
          </cell>
          <cell r="G5181">
            <v>0</v>
          </cell>
          <cell r="H5181">
            <v>0</v>
          </cell>
          <cell r="I5181">
            <v>0</v>
          </cell>
          <cell r="J5181">
            <v>1</v>
          </cell>
          <cell r="K5181">
            <v>0</v>
          </cell>
          <cell r="L5181">
            <v>0</v>
          </cell>
        </row>
        <row r="5182">
          <cell r="A5182" t="str">
            <v>20375.00114</v>
          </cell>
          <cell r="B5182" t="str">
            <v>RONDELLE DE BLOCAGE</v>
          </cell>
          <cell r="C5182" t="str">
            <v>LH60530     SERIE 53253-56       REPERE 57</v>
          </cell>
          <cell r="D5182" t="str">
            <v>PE</v>
          </cell>
          <cell r="E5182" t="str">
            <v>515.51503</v>
          </cell>
          <cell r="F5182">
            <v>328.45650000000001</v>
          </cell>
          <cell r="G5182">
            <v>0</v>
          </cell>
          <cell r="H5182">
            <v>2</v>
          </cell>
          <cell r="I5182">
            <v>3</v>
          </cell>
          <cell r="J5182">
            <v>0</v>
          </cell>
          <cell r="K5182">
            <v>0</v>
          </cell>
          <cell r="L5182">
            <v>1</v>
          </cell>
        </row>
        <row r="5183">
          <cell r="A5183" t="str">
            <v>20361.00935</v>
          </cell>
          <cell r="B5183" t="str">
            <v>CLE POLYGONALE CONTRE-COU</v>
          </cell>
          <cell r="C5183" t="str">
            <v>54A.60</v>
          </cell>
          <cell r="D5183" t="str">
            <v>PE</v>
          </cell>
          <cell r="E5183" t="str">
            <v>522.52208</v>
          </cell>
          <cell r="F5183">
            <v>287.32</v>
          </cell>
          <cell r="G5183">
            <v>0</v>
          </cell>
          <cell r="H5183">
            <v>0</v>
          </cell>
          <cell r="I5183">
            <v>0</v>
          </cell>
          <cell r="J5183">
            <v>0</v>
          </cell>
          <cell r="K5183">
            <v>0</v>
          </cell>
          <cell r="L5183">
            <v>0</v>
          </cell>
        </row>
        <row r="5184">
          <cell r="A5184" t="str">
            <v>20361.01005</v>
          </cell>
          <cell r="B5184" t="str">
            <v>CLE MIXTE INCLINEE    6M*</v>
          </cell>
          <cell r="C5184" t="str">
            <v>40.6</v>
          </cell>
          <cell r="D5184" t="str">
            <v>PE</v>
          </cell>
          <cell r="E5184" t="str">
            <v>522.52208</v>
          </cell>
          <cell r="F5184">
            <v>47.231999999999999</v>
          </cell>
          <cell r="G5184">
            <v>0</v>
          </cell>
          <cell r="H5184">
            <v>0</v>
          </cell>
          <cell r="I5184">
            <v>0</v>
          </cell>
          <cell r="J5184">
            <v>0</v>
          </cell>
          <cell r="K5184">
            <v>0</v>
          </cell>
          <cell r="L5184">
            <v>0</v>
          </cell>
        </row>
        <row r="5185">
          <cell r="A5185" t="str">
            <v>20361.01013</v>
          </cell>
          <cell r="B5185" t="str">
            <v>CLE MIXTE INCLINEE   14MM</v>
          </cell>
          <cell r="C5185" t="str">
            <v>40.14</v>
          </cell>
          <cell r="D5185" t="str">
            <v>PE</v>
          </cell>
          <cell r="E5185" t="str">
            <v>522.52208</v>
          </cell>
          <cell r="F5185">
            <v>51</v>
          </cell>
          <cell r="G5185">
            <v>0</v>
          </cell>
          <cell r="H5185">
            <v>0</v>
          </cell>
          <cell r="I5185">
            <v>0</v>
          </cell>
          <cell r="J5185">
            <v>0</v>
          </cell>
          <cell r="K5185">
            <v>0</v>
          </cell>
          <cell r="L5185">
            <v>0</v>
          </cell>
        </row>
        <row r="5186">
          <cell r="A5186" t="str">
            <v>20361.01014</v>
          </cell>
          <cell r="B5186" t="str">
            <v>CLE MIXTE INCLINEE   15MM</v>
          </cell>
          <cell r="C5186" t="str">
            <v>40.15</v>
          </cell>
          <cell r="D5186" t="str">
            <v>PE</v>
          </cell>
          <cell r="E5186" t="str">
            <v>522.52208</v>
          </cell>
          <cell r="F5186">
            <v>59.1</v>
          </cell>
          <cell r="G5186">
            <v>0</v>
          </cell>
          <cell r="H5186">
            <v>0</v>
          </cell>
          <cell r="I5186">
            <v>0</v>
          </cell>
          <cell r="J5186">
            <v>0</v>
          </cell>
          <cell r="K5186">
            <v>0</v>
          </cell>
          <cell r="L5186">
            <v>0</v>
          </cell>
        </row>
        <row r="5187">
          <cell r="A5187" t="str">
            <v>20361.01017</v>
          </cell>
          <cell r="B5187" t="str">
            <v>CLE MIXTE INCLINEE   18MM</v>
          </cell>
          <cell r="C5187" t="str">
            <v>40.18</v>
          </cell>
          <cell r="D5187" t="str">
            <v>PE</v>
          </cell>
          <cell r="E5187" t="str">
            <v>522.52208</v>
          </cell>
          <cell r="F5187">
            <v>86.4</v>
          </cell>
          <cell r="G5187">
            <v>0</v>
          </cell>
          <cell r="H5187">
            <v>0</v>
          </cell>
          <cell r="I5187">
            <v>0</v>
          </cell>
          <cell r="J5187">
            <v>0</v>
          </cell>
          <cell r="K5187">
            <v>0</v>
          </cell>
          <cell r="L5187">
            <v>0</v>
          </cell>
        </row>
        <row r="5188">
          <cell r="A5188" t="str">
            <v>20361.01018</v>
          </cell>
          <cell r="B5188" t="str">
            <v>CLE MIXTE INCLINEE   19MM</v>
          </cell>
          <cell r="C5188" t="str">
            <v>40.19</v>
          </cell>
          <cell r="D5188" t="str">
            <v>PE</v>
          </cell>
          <cell r="E5188" t="str">
            <v>522.52208</v>
          </cell>
          <cell r="F5188">
            <v>92.16</v>
          </cell>
          <cell r="G5188">
            <v>0</v>
          </cell>
          <cell r="H5188">
            <v>0</v>
          </cell>
          <cell r="I5188">
            <v>0</v>
          </cell>
          <cell r="J5188">
            <v>0</v>
          </cell>
          <cell r="K5188">
            <v>0</v>
          </cell>
          <cell r="L5188">
            <v>0</v>
          </cell>
        </row>
        <row r="5189">
          <cell r="A5189" t="str">
            <v>20361.01019</v>
          </cell>
          <cell r="B5189" t="str">
            <v>CLE MIXTE INCLINEE   20MM</v>
          </cell>
          <cell r="C5189" t="str">
            <v>40.20</v>
          </cell>
          <cell r="D5189" t="str">
            <v>PE</v>
          </cell>
          <cell r="E5189" t="str">
            <v>522.52208</v>
          </cell>
          <cell r="F5189">
            <v>87.1</v>
          </cell>
          <cell r="G5189">
            <v>0</v>
          </cell>
          <cell r="H5189">
            <v>0</v>
          </cell>
          <cell r="I5189">
            <v>0</v>
          </cell>
          <cell r="J5189">
            <v>0</v>
          </cell>
          <cell r="K5189">
            <v>0</v>
          </cell>
          <cell r="L5189">
            <v>0</v>
          </cell>
        </row>
        <row r="5190">
          <cell r="A5190" t="str">
            <v>20361.01020</v>
          </cell>
          <cell r="B5190" t="str">
            <v>CLE MIXTE INCLINEE   21MM</v>
          </cell>
          <cell r="C5190" t="str">
            <v>40.21</v>
          </cell>
          <cell r="D5190" t="str">
            <v>PE</v>
          </cell>
          <cell r="E5190" t="str">
            <v>522.52208</v>
          </cell>
          <cell r="F5190">
            <v>105.98399999999999</v>
          </cell>
          <cell r="G5190">
            <v>0</v>
          </cell>
          <cell r="H5190">
            <v>0</v>
          </cell>
          <cell r="I5190">
            <v>0</v>
          </cell>
          <cell r="J5190">
            <v>0</v>
          </cell>
          <cell r="K5190">
            <v>0</v>
          </cell>
          <cell r="L5190">
            <v>0</v>
          </cell>
        </row>
        <row r="5191">
          <cell r="A5191" t="str">
            <v>20361.01021</v>
          </cell>
          <cell r="B5191" t="str">
            <v>CLE MIXTE INCLINEE   22MM</v>
          </cell>
          <cell r="C5191" t="str">
            <v>40.22</v>
          </cell>
          <cell r="D5191" t="str">
            <v>PE</v>
          </cell>
          <cell r="E5191" t="str">
            <v>522.52208</v>
          </cell>
          <cell r="F5191">
            <v>109.44</v>
          </cell>
          <cell r="G5191">
            <v>0</v>
          </cell>
          <cell r="H5191">
            <v>0</v>
          </cell>
          <cell r="I5191">
            <v>0</v>
          </cell>
          <cell r="J5191">
            <v>0</v>
          </cell>
          <cell r="K5191">
            <v>0</v>
          </cell>
          <cell r="L5191">
            <v>0</v>
          </cell>
        </row>
        <row r="5192">
          <cell r="A5192" t="str">
            <v>20361.01022</v>
          </cell>
          <cell r="B5192" t="str">
            <v>CLE MIXTE INCLINEE   23MM</v>
          </cell>
          <cell r="C5192" t="str">
            <v>40.23</v>
          </cell>
          <cell r="D5192" t="str">
            <v>PE</v>
          </cell>
          <cell r="E5192" t="str">
            <v>522.52208</v>
          </cell>
          <cell r="F5192">
            <v>116.352</v>
          </cell>
          <cell r="G5192">
            <v>0</v>
          </cell>
          <cell r="H5192">
            <v>0</v>
          </cell>
          <cell r="I5192">
            <v>0</v>
          </cell>
          <cell r="J5192">
            <v>0</v>
          </cell>
          <cell r="K5192">
            <v>0</v>
          </cell>
          <cell r="L5192">
            <v>0</v>
          </cell>
        </row>
        <row r="5193">
          <cell r="A5193" t="str">
            <v>20361.01023</v>
          </cell>
          <cell r="B5193" t="str">
            <v>CLE MIXTE INCLINEE   24MM</v>
          </cell>
          <cell r="C5193" t="str">
            <v>40.24</v>
          </cell>
          <cell r="D5193" t="str">
            <v>PE</v>
          </cell>
          <cell r="E5193" t="str">
            <v>522.52208</v>
          </cell>
          <cell r="F5193">
            <v>124.416</v>
          </cell>
          <cell r="G5193">
            <v>0</v>
          </cell>
          <cell r="H5193">
            <v>0</v>
          </cell>
          <cell r="I5193">
            <v>0</v>
          </cell>
          <cell r="J5193">
            <v>0</v>
          </cell>
          <cell r="K5193">
            <v>0</v>
          </cell>
          <cell r="L5193">
            <v>0</v>
          </cell>
        </row>
        <row r="5194">
          <cell r="A5194" t="str">
            <v>20361.01024</v>
          </cell>
          <cell r="B5194" t="str">
            <v>CLE MIXTE INCLINEE   25M*</v>
          </cell>
          <cell r="C5194" t="str">
            <v>40.25</v>
          </cell>
          <cell r="D5194" t="str">
            <v>PE</v>
          </cell>
          <cell r="E5194" t="str">
            <v>522.52208</v>
          </cell>
          <cell r="F5194">
            <v>133.63200000000001</v>
          </cell>
          <cell r="G5194">
            <v>0</v>
          </cell>
          <cell r="H5194">
            <v>0</v>
          </cell>
          <cell r="I5194">
            <v>0</v>
          </cell>
          <cell r="J5194">
            <v>0</v>
          </cell>
          <cell r="K5194">
            <v>0</v>
          </cell>
          <cell r="L5194">
            <v>0</v>
          </cell>
        </row>
        <row r="5195">
          <cell r="A5195" t="str">
            <v>20361.01031</v>
          </cell>
          <cell r="B5195" t="str">
            <v>CLE MIXTE INCLINEE   32M*</v>
          </cell>
          <cell r="C5195" t="str">
            <v>40.32</v>
          </cell>
          <cell r="D5195" t="str">
            <v>PE</v>
          </cell>
          <cell r="E5195" t="str">
            <v>522.52208</v>
          </cell>
          <cell r="F5195">
            <v>178.16399999999999</v>
          </cell>
          <cell r="G5195">
            <v>0</v>
          </cell>
          <cell r="H5195">
            <v>0</v>
          </cell>
          <cell r="I5195">
            <v>0</v>
          </cell>
          <cell r="J5195">
            <v>0</v>
          </cell>
          <cell r="K5195">
            <v>0</v>
          </cell>
          <cell r="L5195">
            <v>0</v>
          </cell>
        </row>
        <row r="5196">
          <cell r="A5196" t="str">
            <v>20371.00295</v>
          </cell>
          <cell r="B5196" t="str">
            <v>ROBINET</v>
          </cell>
          <cell r="C5196" t="str">
            <v>AQUISORIA 10 DN 50 PN 10 3T 6K 6 XC EPDM HOMOLOGUE WRC</v>
          </cell>
          <cell r="D5196" t="str">
            <v>PE</v>
          </cell>
          <cell r="E5196" t="str">
            <v>515.51511</v>
          </cell>
          <cell r="F5196">
            <v>656</v>
          </cell>
          <cell r="G5196">
            <v>0</v>
          </cell>
          <cell r="H5196">
            <v>1</v>
          </cell>
          <cell r="I5196">
            <v>0</v>
          </cell>
          <cell r="J5196">
            <v>0</v>
          </cell>
          <cell r="K5196">
            <v>0</v>
          </cell>
          <cell r="L5196">
            <v>0</v>
          </cell>
        </row>
        <row r="5197">
          <cell r="A5197" t="str">
            <v>20371.00296</v>
          </cell>
          <cell r="B5197" t="str">
            <v>ROBINET</v>
          </cell>
          <cell r="C5197" t="str">
            <v>AQUISORIA 10 DN 80 PN 10 3T 6K 6 XC EPDM HOMOLOGUE WRC</v>
          </cell>
          <cell r="D5197" t="str">
            <v>PE</v>
          </cell>
          <cell r="E5197" t="str">
            <v>515.51511</v>
          </cell>
          <cell r="F5197">
            <v>374</v>
          </cell>
          <cell r="G5197">
            <v>0</v>
          </cell>
          <cell r="H5197">
            <v>1</v>
          </cell>
          <cell r="I5197">
            <v>0</v>
          </cell>
          <cell r="J5197">
            <v>0</v>
          </cell>
          <cell r="K5197">
            <v>0</v>
          </cell>
          <cell r="L5197">
            <v>0</v>
          </cell>
        </row>
        <row r="5198">
          <cell r="A5198" t="str">
            <v>20371.00297</v>
          </cell>
          <cell r="B5198" t="str">
            <v>ROBINET</v>
          </cell>
          <cell r="C5198" t="str">
            <v>AQUISORIA 10 DN 100 PN 10 3T 6K 6 XC EPDM HOMOLOGUE WRC</v>
          </cell>
          <cell r="D5198" t="str">
            <v>PE</v>
          </cell>
          <cell r="E5198" t="str">
            <v>515.51511</v>
          </cell>
          <cell r="F5198">
            <v>921.3</v>
          </cell>
          <cell r="G5198">
            <v>0</v>
          </cell>
          <cell r="H5198">
            <v>0</v>
          </cell>
          <cell r="I5198">
            <v>0</v>
          </cell>
          <cell r="J5198">
            <v>0</v>
          </cell>
          <cell r="K5198">
            <v>0</v>
          </cell>
          <cell r="L5198">
            <v>2</v>
          </cell>
        </row>
        <row r="5199">
          <cell r="A5199" t="str">
            <v>20371.00298</v>
          </cell>
          <cell r="B5199" t="str">
            <v>ROBINET</v>
          </cell>
          <cell r="C5199" t="str">
            <v>AQUISORIA 10 DN 100 PN 10 3G 6K 6 XC EPDM HOMOLOGUE WRC</v>
          </cell>
          <cell r="D5199" t="str">
            <v>PE</v>
          </cell>
          <cell r="E5199" t="str">
            <v>515.51511</v>
          </cell>
          <cell r="F5199">
            <v>921.3</v>
          </cell>
          <cell r="G5199">
            <v>0</v>
          </cell>
          <cell r="H5199">
            <v>0</v>
          </cell>
          <cell r="I5199">
            <v>0</v>
          </cell>
          <cell r="J5199">
            <v>0</v>
          </cell>
          <cell r="K5199">
            <v>0</v>
          </cell>
          <cell r="L5199">
            <v>1</v>
          </cell>
        </row>
        <row r="5200">
          <cell r="A5200" t="str">
            <v>20371.00299</v>
          </cell>
          <cell r="B5200" t="str">
            <v>ROBINET</v>
          </cell>
          <cell r="C5200" t="str">
            <v>AQUISORIA 10 DN 150 PN 10 3G 6K 6 XC EPDM HOMOLOGUE WRC</v>
          </cell>
          <cell r="D5200" t="str">
            <v>PE</v>
          </cell>
          <cell r="E5200" t="str">
            <v>515.51511</v>
          </cell>
          <cell r="F5200">
            <v>931</v>
          </cell>
          <cell r="G5200">
            <v>0</v>
          </cell>
          <cell r="H5200">
            <v>1</v>
          </cell>
          <cell r="I5200">
            <v>0</v>
          </cell>
          <cell r="J5200">
            <v>0</v>
          </cell>
          <cell r="K5200">
            <v>0</v>
          </cell>
          <cell r="L5200">
            <v>0</v>
          </cell>
        </row>
        <row r="5201">
          <cell r="A5201" t="str">
            <v>20371.00294</v>
          </cell>
          <cell r="B5201" t="str">
            <v>ROBINET</v>
          </cell>
          <cell r="C5201" t="str">
            <v>AQUISORIA 10 DN 40 PN 10 3T 6K 6 XC EPDM HOMOLOGUE WRC</v>
          </cell>
          <cell r="D5201" t="str">
            <v>PE</v>
          </cell>
          <cell r="E5201" t="str">
            <v>515.51511</v>
          </cell>
          <cell r="F5201">
            <v>612</v>
          </cell>
          <cell r="G5201">
            <v>0</v>
          </cell>
          <cell r="H5201">
            <v>0</v>
          </cell>
          <cell r="I5201">
            <v>0</v>
          </cell>
          <cell r="J5201">
            <v>0</v>
          </cell>
          <cell r="K5201">
            <v>0</v>
          </cell>
          <cell r="L5201">
            <v>0</v>
          </cell>
        </row>
        <row r="5202">
          <cell r="A5202" t="str">
            <v>20361.00342</v>
          </cell>
          <cell r="B5202" t="str">
            <v>OUTIL A RESTAURER FILETAG</v>
          </cell>
          <cell r="C5202" t="str">
            <v>237.B</v>
          </cell>
          <cell r="D5202" t="str">
            <v>PE</v>
          </cell>
          <cell r="E5202" t="str">
            <v>522.52208</v>
          </cell>
          <cell r="F5202">
            <v>290.33330000000001</v>
          </cell>
          <cell r="G5202">
            <v>0</v>
          </cell>
          <cell r="H5202">
            <v>0</v>
          </cell>
          <cell r="I5202">
            <v>0</v>
          </cell>
          <cell r="J5202">
            <v>0</v>
          </cell>
          <cell r="K5202">
            <v>10</v>
          </cell>
          <cell r="L5202">
            <v>0</v>
          </cell>
        </row>
        <row r="5203">
          <cell r="A5203" t="str">
            <v>20361.00347</v>
          </cell>
          <cell r="B5203" t="str">
            <v>CLE POLYGONALE</v>
          </cell>
          <cell r="C5203" t="str">
            <v>55A.22X24</v>
          </cell>
          <cell r="D5203" t="str">
            <v>PE</v>
          </cell>
          <cell r="E5203" t="str">
            <v>522.52208</v>
          </cell>
          <cell r="F5203">
            <v>150</v>
          </cell>
          <cell r="G5203">
            <v>0</v>
          </cell>
          <cell r="H5203">
            <v>0</v>
          </cell>
          <cell r="I5203">
            <v>0</v>
          </cell>
          <cell r="J5203">
            <v>0</v>
          </cell>
          <cell r="K5203">
            <v>0</v>
          </cell>
          <cell r="L5203">
            <v>0</v>
          </cell>
        </row>
        <row r="5204">
          <cell r="A5204" t="str">
            <v>20361.00348</v>
          </cell>
          <cell r="B5204" t="str">
            <v>CLE POLYGONALE</v>
          </cell>
          <cell r="C5204" t="str">
            <v>55A.24X27</v>
          </cell>
          <cell r="D5204" t="str">
            <v>PE</v>
          </cell>
          <cell r="E5204" t="str">
            <v>522.52208</v>
          </cell>
          <cell r="F5204">
            <v>189</v>
          </cell>
          <cell r="G5204">
            <v>0</v>
          </cell>
          <cell r="H5204">
            <v>0</v>
          </cell>
          <cell r="I5204">
            <v>0</v>
          </cell>
          <cell r="J5204">
            <v>0</v>
          </cell>
          <cell r="K5204">
            <v>0</v>
          </cell>
          <cell r="L5204">
            <v>0</v>
          </cell>
        </row>
        <row r="5205">
          <cell r="A5205" t="str">
            <v>20361.00343</v>
          </cell>
          <cell r="B5205" t="str">
            <v>CLE POLYGONALE</v>
          </cell>
          <cell r="C5205" t="str">
            <v>55A.10X11</v>
          </cell>
          <cell r="D5205" t="str">
            <v>PE</v>
          </cell>
          <cell r="E5205" t="str">
            <v>522.52208</v>
          </cell>
          <cell r="F5205">
            <v>89</v>
          </cell>
          <cell r="G5205">
            <v>0</v>
          </cell>
          <cell r="H5205">
            <v>0</v>
          </cell>
          <cell r="I5205">
            <v>0</v>
          </cell>
          <cell r="J5205">
            <v>0</v>
          </cell>
          <cell r="K5205">
            <v>0</v>
          </cell>
          <cell r="L5205">
            <v>0</v>
          </cell>
        </row>
        <row r="5206">
          <cell r="A5206" t="str">
            <v>20361.00344</v>
          </cell>
          <cell r="B5206" t="str">
            <v>PINCE LEVIER DROIT</v>
          </cell>
          <cell r="C5206">
            <v>269</v>
          </cell>
          <cell r="D5206" t="str">
            <v>PE</v>
          </cell>
          <cell r="E5206" t="str">
            <v>522.52208</v>
          </cell>
          <cell r="F5206">
            <v>195.84</v>
          </cell>
          <cell r="G5206">
            <v>0</v>
          </cell>
          <cell r="H5206">
            <v>0</v>
          </cell>
          <cell r="I5206">
            <v>0</v>
          </cell>
          <cell r="J5206">
            <v>0</v>
          </cell>
          <cell r="K5206">
            <v>0</v>
          </cell>
          <cell r="L5206">
            <v>0</v>
          </cell>
        </row>
        <row r="5207">
          <cell r="A5207" t="str">
            <v>20361.02180</v>
          </cell>
          <cell r="B5207" t="str">
            <v>MASSETTE PLASTIQ LOURD 40</v>
          </cell>
          <cell r="C5207" t="str">
            <v>208A.40</v>
          </cell>
          <cell r="D5207" t="str">
            <v>PE</v>
          </cell>
          <cell r="E5207" t="str">
            <v>522.52208</v>
          </cell>
          <cell r="F5207">
            <v>278.78399999999999</v>
          </cell>
          <cell r="G5207">
            <v>0</v>
          </cell>
          <cell r="H5207">
            <v>0</v>
          </cell>
          <cell r="I5207">
            <v>0</v>
          </cell>
          <cell r="J5207">
            <v>0</v>
          </cell>
          <cell r="K5207">
            <v>0</v>
          </cell>
          <cell r="L5207">
            <v>0</v>
          </cell>
        </row>
        <row r="5208">
          <cell r="A5208" t="str">
            <v>20361.02184</v>
          </cell>
          <cell r="B5208" t="str">
            <v>MASSETTE PLASTIC AV.EMBO.</v>
          </cell>
          <cell r="C5208" t="str">
            <v>208A.60</v>
          </cell>
          <cell r="D5208" t="str">
            <v>PE</v>
          </cell>
          <cell r="E5208" t="str">
            <v>522.52208</v>
          </cell>
          <cell r="F5208">
            <v>579.45600000000002</v>
          </cell>
          <cell r="G5208">
            <v>0</v>
          </cell>
          <cell r="H5208">
            <v>0</v>
          </cell>
          <cell r="I5208">
            <v>0</v>
          </cell>
          <cell r="J5208">
            <v>0</v>
          </cell>
          <cell r="K5208">
            <v>0</v>
          </cell>
          <cell r="L5208">
            <v>0</v>
          </cell>
        </row>
        <row r="5209">
          <cell r="A5209" t="str">
            <v>20361.02187</v>
          </cell>
          <cell r="B5209" t="str">
            <v>EMBOUT POUR MASSETTE NOIR</v>
          </cell>
          <cell r="C5209" t="str">
            <v>EA.40</v>
          </cell>
          <cell r="D5209" t="str">
            <v>PE</v>
          </cell>
          <cell r="E5209" t="str">
            <v>522.52208</v>
          </cell>
          <cell r="F5209">
            <v>104</v>
          </cell>
          <cell r="G5209">
            <v>0</v>
          </cell>
          <cell r="H5209">
            <v>0</v>
          </cell>
          <cell r="I5209">
            <v>0</v>
          </cell>
          <cell r="J5209">
            <v>0</v>
          </cell>
          <cell r="K5209">
            <v>0</v>
          </cell>
          <cell r="L5209">
            <v>0</v>
          </cell>
        </row>
        <row r="5210">
          <cell r="A5210" t="str">
            <v>20361.02132</v>
          </cell>
          <cell r="B5210" t="str">
            <v>BURIN DE 25 AVEC PROTECT.</v>
          </cell>
          <cell r="C5210" t="str">
            <v>263.P25</v>
          </cell>
          <cell r="D5210" t="str">
            <v>PE</v>
          </cell>
          <cell r="E5210" t="str">
            <v>522.52208</v>
          </cell>
          <cell r="F5210">
            <v>216.57599999999999</v>
          </cell>
          <cell r="G5210">
            <v>0</v>
          </cell>
          <cell r="H5210">
            <v>0</v>
          </cell>
          <cell r="I5210">
            <v>0</v>
          </cell>
          <cell r="J5210">
            <v>0</v>
          </cell>
          <cell r="K5210">
            <v>0</v>
          </cell>
          <cell r="L5210">
            <v>0</v>
          </cell>
        </row>
        <row r="5211">
          <cell r="A5211" t="str">
            <v>20361.02166</v>
          </cell>
          <cell r="B5211" t="str">
            <v>MARTEAU RIVOIR 1025G</v>
          </cell>
          <cell r="C5211" t="str">
            <v>200A.40</v>
          </cell>
          <cell r="D5211" t="str">
            <v>PE</v>
          </cell>
          <cell r="E5211" t="str">
            <v>522.52208</v>
          </cell>
          <cell r="F5211">
            <v>223.488</v>
          </cell>
          <cell r="G5211">
            <v>0</v>
          </cell>
          <cell r="H5211">
            <v>0</v>
          </cell>
          <cell r="I5211">
            <v>0</v>
          </cell>
          <cell r="J5211">
            <v>0</v>
          </cell>
          <cell r="K5211">
            <v>0</v>
          </cell>
          <cell r="L5211">
            <v>0</v>
          </cell>
        </row>
        <row r="5212">
          <cell r="A5212" t="str">
            <v>20361.02178</v>
          </cell>
          <cell r="B5212" t="str">
            <v>MASETTE PLASTIQ LOURD 32</v>
          </cell>
          <cell r="C5212" t="str">
            <v>208A.32</v>
          </cell>
          <cell r="D5212" t="str">
            <v>PE</v>
          </cell>
          <cell r="E5212" t="str">
            <v>522.52208</v>
          </cell>
          <cell r="F5212">
            <v>241.92</v>
          </cell>
          <cell r="G5212">
            <v>0</v>
          </cell>
          <cell r="H5212">
            <v>0</v>
          </cell>
          <cell r="I5212">
            <v>0</v>
          </cell>
          <cell r="J5212">
            <v>0</v>
          </cell>
          <cell r="K5212">
            <v>4</v>
          </cell>
          <cell r="L5212">
            <v>0</v>
          </cell>
        </row>
        <row r="5213">
          <cell r="A5213" t="str">
            <v>20212.10729</v>
          </cell>
          <cell r="B5213" t="str">
            <v>FLEXIBLE</v>
          </cell>
          <cell r="C5213" t="str">
            <v>1622 1788 10</v>
          </cell>
          <cell r="D5213" t="str">
            <v>PE</v>
          </cell>
          <cell r="E5213" t="str">
            <v>515.51504</v>
          </cell>
          <cell r="F5213">
            <v>1111.23</v>
          </cell>
          <cell r="G5213">
            <v>0</v>
          </cell>
          <cell r="H5213">
            <v>0</v>
          </cell>
          <cell r="I5213">
            <v>0</v>
          </cell>
          <cell r="J5213">
            <v>0</v>
          </cell>
          <cell r="K5213">
            <v>0</v>
          </cell>
          <cell r="L5213">
            <v>1</v>
          </cell>
        </row>
        <row r="5214">
          <cell r="A5214" t="str">
            <v>20361.00354</v>
          </cell>
          <cell r="B5214" t="str">
            <v>CLE POLYGONALE A FRAPPER</v>
          </cell>
          <cell r="C5214" t="str">
            <v>50.41-1'5/8</v>
          </cell>
          <cell r="D5214" t="str">
            <v>PE</v>
          </cell>
          <cell r="E5214" t="str">
            <v>522.52208</v>
          </cell>
          <cell r="F5214">
            <v>681.98400000000004</v>
          </cell>
          <cell r="G5214">
            <v>0</v>
          </cell>
          <cell r="H5214">
            <v>0</v>
          </cell>
          <cell r="I5214">
            <v>0</v>
          </cell>
          <cell r="J5214">
            <v>0</v>
          </cell>
          <cell r="K5214">
            <v>0</v>
          </cell>
          <cell r="L5214">
            <v>0</v>
          </cell>
        </row>
        <row r="5215">
          <cell r="A5215" t="str">
            <v>20361.02241</v>
          </cell>
          <cell r="B5215" t="str">
            <v>CLE A CHAINE</v>
          </cell>
          <cell r="C5215" t="str">
            <v>137A.2'1/2</v>
          </cell>
          <cell r="D5215" t="str">
            <v>PE</v>
          </cell>
          <cell r="E5215" t="str">
            <v>522.52208</v>
          </cell>
          <cell r="F5215">
            <v>1545.9839999999999</v>
          </cell>
          <cell r="G5215">
            <v>0</v>
          </cell>
          <cell r="H5215">
            <v>0</v>
          </cell>
          <cell r="I5215">
            <v>0</v>
          </cell>
          <cell r="J5215">
            <v>0</v>
          </cell>
          <cell r="K5215">
            <v>1</v>
          </cell>
          <cell r="L5215">
            <v>0</v>
          </cell>
        </row>
        <row r="5216">
          <cell r="A5216" t="str">
            <v>20361.02242</v>
          </cell>
          <cell r="B5216" t="str">
            <v>CLE A CHAINE</v>
          </cell>
          <cell r="C5216" t="str">
            <v>137A.4'</v>
          </cell>
          <cell r="D5216" t="str">
            <v>PE</v>
          </cell>
          <cell r="E5216" t="str">
            <v>522.52208</v>
          </cell>
          <cell r="F5216">
            <v>1982.5626999999999</v>
          </cell>
          <cell r="G5216">
            <v>0</v>
          </cell>
          <cell r="H5216">
            <v>0</v>
          </cell>
          <cell r="I5216">
            <v>0</v>
          </cell>
          <cell r="J5216">
            <v>0</v>
          </cell>
          <cell r="K5216">
            <v>2</v>
          </cell>
          <cell r="L5216">
            <v>0</v>
          </cell>
        </row>
        <row r="5217">
          <cell r="A5217" t="str">
            <v>20361.02253</v>
          </cell>
          <cell r="B5217" t="str">
            <v>CLE MALE "JEU DE 10"</v>
          </cell>
          <cell r="C5217" t="str">
            <v>82H.JU10</v>
          </cell>
          <cell r="D5217" t="str">
            <v>JE</v>
          </cell>
          <cell r="E5217" t="str">
            <v>522.52208</v>
          </cell>
          <cell r="F5217">
            <v>164.81649999999999</v>
          </cell>
          <cell r="G5217">
            <v>0</v>
          </cell>
          <cell r="H5217">
            <v>0</v>
          </cell>
          <cell r="I5217">
            <v>0</v>
          </cell>
          <cell r="J5217">
            <v>0</v>
          </cell>
          <cell r="K5217">
            <v>0</v>
          </cell>
          <cell r="L5217">
            <v>0</v>
          </cell>
        </row>
        <row r="5218">
          <cell r="A5218" t="str">
            <v>20361.02199</v>
          </cell>
          <cell r="B5218" t="str">
            <v>EMBOUT POUR MASSETTE CREM</v>
          </cell>
          <cell r="C5218" t="str">
            <v>EC.60</v>
          </cell>
          <cell r="D5218" t="str">
            <v>PE</v>
          </cell>
          <cell r="E5218" t="str">
            <v>522.52208</v>
          </cell>
          <cell r="F5218">
            <v>195.84</v>
          </cell>
          <cell r="G5218">
            <v>0</v>
          </cell>
          <cell r="H5218">
            <v>0</v>
          </cell>
          <cell r="I5218">
            <v>0</v>
          </cell>
          <cell r="J5218">
            <v>0</v>
          </cell>
          <cell r="K5218">
            <v>7</v>
          </cell>
          <cell r="L5218">
            <v>0</v>
          </cell>
        </row>
        <row r="5219">
          <cell r="A5219" t="str">
            <v>20371.00317</v>
          </cell>
          <cell r="B5219" t="str">
            <v>ACTIONNEUR PNEUMATIQUE</v>
          </cell>
          <cell r="C5219" t="str">
            <v>AMRI SANS REF REP:1120 ACTIONNEUR DOUBLE EFFET ACTAIR3</v>
          </cell>
          <cell r="D5219" t="str">
            <v>PE</v>
          </cell>
          <cell r="E5219" t="str">
            <v>515.51511</v>
          </cell>
          <cell r="F5219">
            <v>1188.25</v>
          </cell>
          <cell r="G5219">
            <v>0</v>
          </cell>
          <cell r="H5219">
            <v>0</v>
          </cell>
          <cell r="I5219">
            <v>0</v>
          </cell>
          <cell r="J5219">
            <v>0</v>
          </cell>
          <cell r="K5219">
            <v>0</v>
          </cell>
          <cell r="L5219">
            <v>3</v>
          </cell>
        </row>
        <row r="5220">
          <cell r="A5220" t="str">
            <v>20371.00300</v>
          </cell>
          <cell r="B5220" t="str">
            <v>ROBINET</v>
          </cell>
          <cell r="C5220" t="str">
            <v>AQUISORIA 10 DN 200 PN 10 3T 6K 6 XC EPDM HOMOLOGUE WRC</v>
          </cell>
          <cell r="D5220" t="str">
            <v>PE</v>
          </cell>
          <cell r="E5220" t="str">
            <v>515.51511</v>
          </cell>
          <cell r="F5220">
            <v>2601.1</v>
          </cell>
          <cell r="G5220">
            <v>0</v>
          </cell>
          <cell r="H5220">
            <v>0</v>
          </cell>
          <cell r="I5220">
            <v>0</v>
          </cell>
          <cell r="J5220">
            <v>0</v>
          </cell>
          <cell r="K5220">
            <v>0</v>
          </cell>
          <cell r="L5220">
            <v>1</v>
          </cell>
        </row>
        <row r="5221">
          <cell r="A5221" t="str">
            <v>20371.00303</v>
          </cell>
          <cell r="B5221" t="str">
            <v>ROBINET</v>
          </cell>
          <cell r="C5221" t="str">
            <v>AQUISORIA 10 DN 200 PN 16 3T 6K 6 XC EPDM HOMOLOGUE WRC</v>
          </cell>
          <cell r="D5221" t="str">
            <v>PE</v>
          </cell>
          <cell r="E5221" t="str">
            <v>515.51511</v>
          </cell>
          <cell r="F5221">
            <v>1650</v>
          </cell>
          <cell r="G5221">
            <v>0</v>
          </cell>
          <cell r="H5221">
            <v>0</v>
          </cell>
          <cell r="I5221">
            <v>0</v>
          </cell>
          <cell r="J5221">
            <v>0</v>
          </cell>
          <cell r="K5221">
            <v>0</v>
          </cell>
          <cell r="L5221">
            <v>1</v>
          </cell>
        </row>
        <row r="5222">
          <cell r="A5222" t="str">
            <v>20371.00304</v>
          </cell>
          <cell r="B5222" t="str">
            <v>ROBINET</v>
          </cell>
          <cell r="C5222" t="str">
            <v>AQUISORIA 10 DN 250 PN 10 3T 6K 6 XC EPDM HOMOLOGUE WRC</v>
          </cell>
          <cell r="D5222" t="str">
            <v>PE</v>
          </cell>
          <cell r="E5222" t="str">
            <v>515.51511</v>
          </cell>
          <cell r="F5222">
            <v>3562.2750000000001</v>
          </cell>
          <cell r="G5222">
            <v>0</v>
          </cell>
          <cell r="H5222">
            <v>0</v>
          </cell>
          <cell r="I5222">
            <v>0</v>
          </cell>
          <cell r="J5222">
            <v>0</v>
          </cell>
          <cell r="K5222">
            <v>0</v>
          </cell>
          <cell r="L5222">
            <v>2</v>
          </cell>
        </row>
        <row r="5223">
          <cell r="A5223" t="str">
            <v>20371.00305</v>
          </cell>
          <cell r="B5223" t="str">
            <v>ROBINET</v>
          </cell>
          <cell r="C5223" t="str">
            <v>AQUISORIA 10 DN 300 PN 10 3T 6K 6 XC EPDM HOMOLOGUE WRC</v>
          </cell>
          <cell r="D5223" t="str">
            <v>PE</v>
          </cell>
          <cell r="E5223" t="str">
            <v>515.51511</v>
          </cell>
          <cell r="F5223">
            <v>6248</v>
          </cell>
          <cell r="G5223">
            <v>0</v>
          </cell>
          <cell r="H5223">
            <v>0</v>
          </cell>
          <cell r="I5223">
            <v>0</v>
          </cell>
          <cell r="J5223">
            <v>0</v>
          </cell>
          <cell r="K5223">
            <v>0</v>
          </cell>
          <cell r="L5223">
            <v>1</v>
          </cell>
        </row>
        <row r="5224">
          <cell r="A5224" t="str">
            <v>20371.00314</v>
          </cell>
          <cell r="B5224" t="str">
            <v>ACTIONNEUR PNEUMATIQUE SIMPLE EFFET</v>
          </cell>
          <cell r="C5224" t="str">
            <v>DYNACTAIR 50</v>
          </cell>
          <cell r="D5224" t="str">
            <v>PE</v>
          </cell>
          <cell r="E5224" t="str">
            <v>515.51511</v>
          </cell>
          <cell r="F5224">
            <v>17783.310000000001</v>
          </cell>
          <cell r="G5224">
            <v>0</v>
          </cell>
          <cell r="H5224">
            <v>0</v>
          </cell>
          <cell r="I5224">
            <v>0</v>
          </cell>
          <cell r="J5224">
            <v>0</v>
          </cell>
          <cell r="K5224">
            <v>0</v>
          </cell>
          <cell r="L5224">
            <v>1</v>
          </cell>
        </row>
        <row r="5225">
          <cell r="A5225" t="str">
            <v>20371.00315</v>
          </cell>
          <cell r="B5225" t="str">
            <v>ACTIONNEUR PNEUMATIQUE DOUBLE EFFET</v>
          </cell>
          <cell r="C5225" t="str">
            <v>ACTAIR  25</v>
          </cell>
          <cell r="D5225" t="str">
            <v>PE</v>
          </cell>
          <cell r="E5225" t="str">
            <v>515.51511</v>
          </cell>
          <cell r="F5225">
            <v>7658.15</v>
          </cell>
          <cell r="G5225">
            <v>0</v>
          </cell>
          <cell r="H5225">
            <v>0</v>
          </cell>
          <cell r="I5225">
            <v>0</v>
          </cell>
          <cell r="J5225">
            <v>0</v>
          </cell>
          <cell r="K5225">
            <v>0</v>
          </cell>
          <cell r="L5225">
            <v>1</v>
          </cell>
        </row>
        <row r="5226">
          <cell r="A5226" t="str">
            <v>20371.00319</v>
          </cell>
          <cell r="B5226" t="str">
            <v>ACTIONNEUR PNEUMATIQUE</v>
          </cell>
          <cell r="C5226" t="str">
            <v>AMRI SANS REF REP:1122 ACTIONNEUR DOUBLE EFFET ACTAIR12</v>
          </cell>
          <cell r="D5226" t="str">
            <v>PE</v>
          </cell>
          <cell r="E5226" t="str">
            <v>515.51511</v>
          </cell>
          <cell r="F5226">
            <v>2400.75</v>
          </cell>
          <cell r="G5226">
            <v>0</v>
          </cell>
          <cell r="H5226">
            <v>0</v>
          </cell>
          <cell r="I5226">
            <v>0</v>
          </cell>
          <cell r="J5226">
            <v>0</v>
          </cell>
          <cell r="K5226">
            <v>0</v>
          </cell>
          <cell r="L5226">
            <v>4</v>
          </cell>
        </row>
        <row r="5227">
          <cell r="A5227" t="str">
            <v>20371.00311</v>
          </cell>
          <cell r="B5227" t="str">
            <v>ACTIONNEUR PNEUMATIQUE SIMPLE EFFET</v>
          </cell>
          <cell r="C5227" t="str">
            <v>DYNACTAIR 3 - R1130</v>
          </cell>
          <cell r="D5227" t="str">
            <v>PE</v>
          </cell>
          <cell r="E5227" t="str">
            <v>515.51511</v>
          </cell>
          <cell r="F5227">
            <v>1920.6</v>
          </cell>
          <cell r="G5227">
            <v>0</v>
          </cell>
          <cell r="H5227">
            <v>0</v>
          </cell>
          <cell r="I5227">
            <v>0</v>
          </cell>
          <cell r="J5227">
            <v>0</v>
          </cell>
          <cell r="K5227">
            <v>0</v>
          </cell>
          <cell r="L5227">
            <v>2</v>
          </cell>
        </row>
        <row r="5228">
          <cell r="A5228" t="str">
            <v>20371.00312</v>
          </cell>
          <cell r="B5228" t="str">
            <v>ACTIONNEUR PNEUMATIQUE SIMPLE EFFET</v>
          </cell>
          <cell r="C5228" t="str">
            <v>DYNACTAIR 6</v>
          </cell>
          <cell r="D5228" t="str">
            <v>PE</v>
          </cell>
          <cell r="E5228" t="str">
            <v>515.51511</v>
          </cell>
          <cell r="F5228">
            <v>2716</v>
          </cell>
          <cell r="G5228">
            <v>0</v>
          </cell>
          <cell r="H5228">
            <v>0</v>
          </cell>
          <cell r="I5228">
            <v>0</v>
          </cell>
          <cell r="J5228">
            <v>0</v>
          </cell>
          <cell r="K5228">
            <v>0</v>
          </cell>
          <cell r="L5228">
            <v>1</v>
          </cell>
        </row>
        <row r="5229">
          <cell r="A5229" t="str">
            <v>20371.00313</v>
          </cell>
          <cell r="B5229" t="str">
            <v>ACTIONNEUR PNEUMATIQUE SIMPLE EFFET</v>
          </cell>
          <cell r="C5229" t="str">
            <v>DYNACTAIR 25</v>
          </cell>
          <cell r="D5229" t="str">
            <v>PE</v>
          </cell>
          <cell r="E5229" t="str">
            <v>515.51511</v>
          </cell>
          <cell r="F5229">
            <v>9319.56</v>
          </cell>
          <cell r="G5229">
            <v>0</v>
          </cell>
          <cell r="H5229">
            <v>0</v>
          </cell>
          <cell r="I5229">
            <v>0</v>
          </cell>
          <cell r="J5229">
            <v>0</v>
          </cell>
          <cell r="K5229">
            <v>0</v>
          </cell>
          <cell r="L5229">
            <v>1</v>
          </cell>
        </row>
        <row r="5230">
          <cell r="A5230" t="str">
            <v>20212.00209</v>
          </cell>
          <cell r="B5230" t="str">
            <v>KIT PREFILTRE DD</v>
          </cell>
          <cell r="C5230" t="str">
            <v>2901 7001 00</v>
          </cell>
          <cell r="D5230" t="str">
            <v>PE</v>
          </cell>
          <cell r="E5230" t="str">
            <v>515.51504</v>
          </cell>
          <cell r="F5230">
            <v>5368.4080000000004</v>
          </cell>
          <cell r="G5230">
            <v>0</v>
          </cell>
          <cell r="H5230">
            <v>0</v>
          </cell>
          <cell r="I5230">
            <v>0</v>
          </cell>
          <cell r="J5230">
            <v>0</v>
          </cell>
          <cell r="K5230">
            <v>0</v>
          </cell>
          <cell r="L5230">
            <v>1</v>
          </cell>
        </row>
        <row r="5231">
          <cell r="A5231" t="str">
            <v>20212.00210</v>
          </cell>
          <cell r="B5231" t="str">
            <v>KIT PREFILTRE PD</v>
          </cell>
          <cell r="C5231" t="str">
            <v>2906 7000 00</v>
          </cell>
          <cell r="D5231" t="str">
            <v>PE</v>
          </cell>
          <cell r="E5231" t="str">
            <v>515.51504</v>
          </cell>
          <cell r="F5231">
            <v>5368.4080000000004</v>
          </cell>
          <cell r="G5231">
            <v>0</v>
          </cell>
          <cell r="H5231">
            <v>0</v>
          </cell>
          <cell r="I5231">
            <v>0</v>
          </cell>
          <cell r="J5231">
            <v>0</v>
          </cell>
          <cell r="K5231">
            <v>0</v>
          </cell>
          <cell r="L5231">
            <v>1</v>
          </cell>
        </row>
        <row r="5232">
          <cell r="A5232" t="str">
            <v>20212.00211</v>
          </cell>
          <cell r="B5232" t="str">
            <v>ELEMENT FILTRANT</v>
          </cell>
          <cell r="C5232" t="str">
            <v>1613 8720 00</v>
          </cell>
          <cell r="D5232" t="str">
            <v>PE</v>
          </cell>
          <cell r="E5232" t="str">
            <v>515.51504</v>
          </cell>
          <cell r="F5232">
            <v>308.64</v>
          </cell>
          <cell r="G5232">
            <v>0</v>
          </cell>
          <cell r="H5232">
            <v>0</v>
          </cell>
          <cell r="I5232">
            <v>0</v>
          </cell>
          <cell r="J5232">
            <v>0</v>
          </cell>
          <cell r="K5232">
            <v>0</v>
          </cell>
          <cell r="L5232">
            <v>1</v>
          </cell>
        </row>
        <row r="5233">
          <cell r="A5233" t="str">
            <v>20212.00212</v>
          </cell>
          <cell r="B5233" t="str">
            <v>FILTRE</v>
          </cell>
          <cell r="C5233" t="str">
            <v>9093 0032 71</v>
          </cell>
          <cell r="D5233" t="str">
            <v>PE</v>
          </cell>
          <cell r="E5233" t="str">
            <v>515.51504</v>
          </cell>
          <cell r="F5233">
            <v>1536.6320000000001</v>
          </cell>
          <cell r="G5233">
            <v>0</v>
          </cell>
          <cell r="H5233">
            <v>0</v>
          </cell>
          <cell r="I5233">
            <v>0</v>
          </cell>
          <cell r="J5233">
            <v>0</v>
          </cell>
          <cell r="K5233">
            <v>0</v>
          </cell>
          <cell r="L5233">
            <v>1</v>
          </cell>
        </row>
        <row r="5234">
          <cell r="A5234" t="str">
            <v>20329.01381</v>
          </cell>
          <cell r="B5234" t="str">
            <v>ROULEMENT CONIQUE</v>
          </cell>
          <cell r="C5234" t="str">
            <v>67787 + 67720</v>
          </cell>
          <cell r="D5234" t="str">
            <v>PE</v>
          </cell>
          <cell r="E5234" t="str">
            <v>515.51515</v>
          </cell>
          <cell r="F5234">
            <v>2344.7955999999999</v>
          </cell>
          <cell r="G5234">
            <v>0</v>
          </cell>
          <cell r="H5234">
            <v>0</v>
          </cell>
          <cell r="I5234">
            <v>0</v>
          </cell>
          <cell r="J5234">
            <v>0</v>
          </cell>
          <cell r="K5234">
            <v>4</v>
          </cell>
          <cell r="L5234">
            <v>0</v>
          </cell>
        </row>
        <row r="5235">
          <cell r="A5235" t="str">
            <v>20361.01311</v>
          </cell>
          <cell r="B5235" t="str">
            <v>CLE POLYGONALE A FRAPPER</v>
          </cell>
          <cell r="C5235" t="str">
            <v>50.70.2'3/4</v>
          </cell>
          <cell r="D5235" t="str">
            <v>PE</v>
          </cell>
          <cell r="E5235" t="str">
            <v>522.52208</v>
          </cell>
          <cell r="F5235">
            <v>1620.864</v>
          </cell>
          <cell r="G5235">
            <v>0</v>
          </cell>
          <cell r="H5235">
            <v>0</v>
          </cell>
          <cell r="I5235">
            <v>0</v>
          </cell>
          <cell r="J5235">
            <v>0</v>
          </cell>
          <cell r="K5235">
            <v>2</v>
          </cell>
          <cell r="L5235">
            <v>0</v>
          </cell>
        </row>
        <row r="5236">
          <cell r="A5236" t="str">
            <v>20371.00332</v>
          </cell>
          <cell r="B5236" t="str">
            <v>VANNE A PAPILLON</v>
          </cell>
          <cell r="C5236" t="str">
            <v>AQUISORIA 16 DN200 PN16 CORPS ANNULAIRE TYPE 1 GABARIT RACCORDEMENT ANSI B16.5 CL 150 POIGNE TYPE SM LONG 530MM</v>
          </cell>
          <cell r="D5236" t="str">
            <v>PE</v>
          </cell>
          <cell r="E5236" t="str">
            <v>515.51511</v>
          </cell>
          <cell r="F5236">
            <v>2225.4499999999998</v>
          </cell>
          <cell r="G5236">
            <v>0</v>
          </cell>
          <cell r="H5236">
            <v>0</v>
          </cell>
          <cell r="I5236">
            <v>0</v>
          </cell>
          <cell r="J5236">
            <v>0</v>
          </cell>
          <cell r="K5236">
            <v>0</v>
          </cell>
          <cell r="L5236">
            <v>2</v>
          </cell>
        </row>
        <row r="5237">
          <cell r="A5237" t="str">
            <v>20371.00333</v>
          </cell>
          <cell r="B5237" t="str">
            <v>VANNE A PAPILLON</v>
          </cell>
          <cell r="C5237" t="str">
            <v>ISORIA 10 DN150 PN10 CORPS A OREILLES TYPE 2 GABARIT DE RACCORDEMENT PN20 OBTURATEUR INOX TYPE 18-12 POIGNE TYPE SR LONG 330MM</v>
          </cell>
          <cell r="D5237" t="str">
            <v>PE</v>
          </cell>
          <cell r="E5237" t="str">
            <v>515.51511</v>
          </cell>
          <cell r="F5237">
            <v>1710.3</v>
          </cell>
          <cell r="G5237">
            <v>0</v>
          </cell>
          <cell r="H5237">
            <v>0</v>
          </cell>
          <cell r="I5237">
            <v>2</v>
          </cell>
          <cell r="J5237">
            <v>0</v>
          </cell>
          <cell r="K5237">
            <v>0</v>
          </cell>
          <cell r="L5237">
            <v>0</v>
          </cell>
        </row>
        <row r="5238">
          <cell r="A5238" t="str">
            <v>20371.00334</v>
          </cell>
          <cell r="B5238" t="str">
            <v>VANNE A PAPILLON</v>
          </cell>
          <cell r="C5238" t="str">
            <v>ISORIA 10 DN150 PN10 CORPS A OREILLES TYPE 2 GABARIT DE RACCORDEMENT PN20 OBTURATEUR INOX URANUS B6 POIGNE TYPE SR LONG 330MM</v>
          </cell>
          <cell r="D5238" t="str">
            <v>PE</v>
          </cell>
          <cell r="E5238" t="str">
            <v>515.51511</v>
          </cell>
          <cell r="F5238">
            <v>2077.36</v>
          </cell>
          <cell r="G5238">
            <v>0</v>
          </cell>
          <cell r="H5238">
            <v>1</v>
          </cell>
          <cell r="I5238">
            <v>1</v>
          </cell>
          <cell r="J5238">
            <v>0</v>
          </cell>
          <cell r="K5238">
            <v>0</v>
          </cell>
          <cell r="L5238">
            <v>0</v>
          </cell>
        </row>
        <row r="5239">
          <cell r="A5239" t="str">
            <v>20371.00326</v>
          </cell>
          <cell r="B5239" t="str">
            <v>VANNE A PAPILLON</v>
          </cell>
          <cell r="C5239" t="str">
            <v>AQUISORIA 10 DN350 PN10 CORPS ANNULAIRE TYPE 1 GABARIT DE RACCORDEMENT ANSI B16. CL 150 DEMULTIPLICATEUR MANUEL TYPE MN 80 COMMANDE PAR VOLANT</v>
          </cell>
          <cell r="D5239" t="str">
            <v>PE</v>
          </cell>
          <cell r="E5239" t="str">
            <v>515.51511</v>
          </cell>
          <cell r="F5239">
            <v>11998</v>
          </cell>
          <cell r="G5239">
            <v>0</v>
          </cell>
          <cell r="H5239">
            <v>0</v>
          </cell>
          <cell r="I5239">
            <v>0</v>
          </cell>
          <cell r="J5239">
            <v>0</v>
          </cell>
          <cell r="K5239">
            <v>0</v>
          </cell>
          <cell r="L5239">
            <v>1</v>
          </cell>
        </row>
        <row r="5240">
          <cell r="A5240" t="str">
            <v>20371.00327</v>
          </cell>
          <cell r="B5240" t="str">
            <v>VANNE A PAPILLON</v>
          </cell>
          <cell r="C5240" t="str">
            <v>AQUISORIA 10 DN150 PN10 CORPS ANNULAIRE TYPE 1 GABARIT RACCORDEMENT ANSI B16.5 CL 150 POIGNE TYPE SR LONG 330MM</v>
          </cell>
          <cell r="D5240" t="str">
            <v>PE</v>
          </cell>
          <cell r="E5240" t="str">
            <v>515.51511</v>
          </cell>
          <cell r="F5240">
            <v>1563.9</v>
          </cell>
          <cell r="G5240">
            <v>0</v>
          </cell>
          <cell r="H5240">
            <v>0</v>
          </cell>
          <cell r="I5240">
            <v>2</v>
          </cell>
          <cell r="J5240">
            <v>0</v>
          </cell>
          <cell r="K5240">
            <v>0</v>
          </cell>
          <cell r="L5240">
            <v>0</v>
          </cell>
        </row>
        <row r="5241">
          <cell r="A5241" t="str">
            <v>20371.00331</v>
          </cell>
          <cell r="B5241" t="str">
            <v>VANNE A PAPILLON</v>
          </cell>
          <cell r="C5241" t="str">
            <v>AQUISORIA 16 DN150 PN16 CORPS ANNULAIRE TYPE 1 GABARIT RACCORDEMENT ANSI B16.5 CL 150 POIGNE TYPE SR LON 330MM</v>
          </cell>
          <cell r="D5241" t="str">
            <v>PE</v>
          </cell>
          <cell r="E5241" t="str">
            <v>515.51511</v>
          </cell>
          <cell r="F5241">
            <v>978</v>
          </cell>
          <cell r="G5241">
            <v>1</v>
          </cell>
          <cell r="H5241">
            <v>0</v>
          </cell>
          <cell r="I5241">
            <v>0</v>
          </cell>
          <cell r="J5241">
            <v>0</v>
          </cell>
          <cell r="K5241">
            <v>0</v>
          </cell>
          <cell r="L5241">
            <v>0</v>
          </cell>
        </row>
        <row r="5242">
          <cell r="A5242" t="str">
            <v>20329.01450</v>
          </cell>
          <cell r="B5242" t="str">
            <v>ROULEMENT A ROULEAUX CONIQUES</v>
          </cell>
          <cell r="C5242" t="str">
            <v>32313A</v>
          </cell>
          <cell r="D5242" t="str">
            <v>PE</v>
          </cell>
          <cell r="E5242" t="str">
            <v>515.51515</v>
          </cell>
          <cell r="F5242">
            <v>341.16669999999999</v>
          </cell>
          <cell r="G5242">
            <v>0</v>
          </cell>
          <cell r="H5242">
            <v>0</v>
          </cell>
          <cell r="I5242">
            <v>0</v>
          </cell>
          <cell r="J5242">
            <v>0</v>
          </cell>
          <cell r="K5242">
            <v>0</v>
          </cell>
          <cell r="L5242">
            <v>3</v>
          </cell>
        </row>
        <row r="5243">
          <cell r="A5243" t="str">
            <v>20361.01324</v>
          </cell>
          <cell r="B5243" t="str">
            <v>CLE POLYGONALE A FRAPPER</v>
          </cell>
          <cell r="C5243" t="str">
            <v>50.24</v>
          </cell>
          <cell r="D5243" t="str">
            <v>PE</v>
          </cell>
          <cell r="E5243" t="str">
            <v>522.52208</v>
          </cell>
          <cell r="F5243">
            <v>529.91999999999996</v>
          </cell>
          <cell r="G5243">
            <v>0</v>
          </cell>
          <cell r="H5243">
            <v>0</v>
          </cell>
          <cell r="I5243">
            <v>0</v>
          </cell>
          <cell r="J5243">
            <v>0</v>
          </cell>
          <cell r="K5243">
            <v>0</v>
          </cell>
          <cell r="L5243">
            <v>0</v>
          </cell>
        </row>
        <row r="5244">
          <cell r="A5244" t="str">
            <v>20361.01326</v>
          </cell>
          <cell r="B5244" t="str">
            <v>CLE POLYGONALE A FRAPPER</v>
          </cell>
          <cell r="C5244" t="str">
            <v>50.30</v>
          </cell>
          <cell r="D5244" t="str">
            <v>PE</v>
          </cell>
          <cell r="E5244" t="str">
            <v>522.52208</v>
          </cell>
          <cell r="F5244">
            <v>529.91999999999996</v>
          </cell>
          <cell r="G5244">
            <v>0</v>
          </cell>
          <cell r="H5244">
            <v>0</v>
          </cell>
          <cell r="I5244">
            <v>0</v>
          </cell>
          <cell r="J5244">
            <v>0</v>
          </cell>
          <cell r="K5244">
            <v>0</v>
          </cell>
          <cell r="L5244">
            <v>0</v>
          </cell>
        </row>
        <row r="5245">
          <cell r="A5245" t="str">
            <v>20361.01327</v>
          </cell>
          <cell r="B5245" t="str">
            <v>CLE POLYGONALE A FRAPPER</v>
          </cell>
          <cell r="C5245" t="str">
            <v>50.32</v>
          </cell>
          <cell r="D5245" t="str">
            <v>PE</v>
          </cell>
          <cell r="E5245" t="str">
            <v>522.52208</v>
          </cell>
          <cell r="F5245">
            <v>529.91999999999996</v>
          </cell>
          <cell r="G5245">
            <v>0</v>
          </cell>
          <cell r="H5245">
            <v>0</v>
          </cell>
          <cell r="I5245">
            <v>0</v>
          </cell>
          <cell r="J5245">
            <v>0</v>
          </cell>
          <cell r="K5245">
            <v>0</v>
          </cell>
          <cell r="L5245">
            <v>0</v>
          </cell>
        </row>
        <row r="5246">
          <cell r="A5246" t="str">
            <v>20329.01172</v>
          </cell>
          <cell r="B5246" t="str">
            <v>ROULEMENT A ROULEAUX CONI</v>
          </cell>
          <cell r="C5246" t="str">
            <v>32026XA</v>
          </cell>
          <cell r="D5246" t="str">
            <v>PE</v>
          </cell>
          <cell r="E5246" t="str">
            <v>515.51515</v>
          </cell>
          <cell r="F5246">
            <v>570.01</v>
          </cell>
          <cell r="G5246">
            <v>0</v>
          </cell>
          <cell r="H5246">
            <v>0</v>
          </cell>
          <cell r="I5246">
            <v>0</v>
          </cell>
          <cell r="J5246">
            <v>0</v>
          </cell>
          <cell r="K5246">
            <v>0</v>
          </cell>
          <cell r="L5246">
            <v>1</v>
          </cell>
        </row>
        <row r="5247">
          <cell r="A5247" t="str">
            <v>20329.01183</v>
          </cell>
          <cell r="B5247" t="str">
            <v>ROULEMENT A ROULEAUX CONI</v>
          </cell>
          <cell r="C5247">
            <v>33217</v>
          </cell>
          <cell r="D5247" t="str">
            <v>PE</v>
          </cell>
          <cell r="E5247" t="str">
            <v>515.51515</v>
          </cell>
          <cell r="F5247">
            <v>491.32</v>
          </cell>
          <cell r="G5247">
            <v>0</v>
          </cell>
          <cell r="H5247">
            <v>0</v>
          </cell>
          <cell r="I5247">
            <v>0</v>
          </cell>
          <cell r="J5247">
            <v>0</v>
          </cell>
          <cell r="K5247">
            <v>0</v>
          </cell>
          <cell r="L5247">
            <v>2</v>
          </cell>
        </row>
        <row r="5248">
          <cell r="A5248" t="str">
            <v>20323.06418</v>
          </cell>
          <cell r="B5248" t="str">
            <v>DETECTEUR DE PROXIMITE</v>
          </cell>
          <cell r="C5248" t="str">
            <v>XSA-V12373</v>
          </cell>
          <cell r="D5248" t="str">
            <v>PE</v>
          </cell>
          <cell r="E5248" t="str">
            <v>522.52206</v>
          </cell>
          <cell r="F5248">
            <v>1149.5999999999999</v>
          </cell>
          <cell r="G5248">
            <v>0</v>
          </cell>
          <cell r="H5248">
            <v>0</v>
          </cell>
          <cell r="I5248">
            <v>0</v>
          </cell>
          <cell r="J5248">
            <v>0</v>
          </cell>
          <cell r="K5248">
            <v>0</v>
          </cell>
          <cell r="L5248">
            <v>0</v>
          </cell>
        </row>
        <row r="5249">
          <cell r="A5249" t="str">
            <v>20323.04904</v>
          </cell>
          <cell r="B5249" t="str">
            <v>SOCLE FUS.UNIPOLAIRE 32A</v>
          </cell>
          <cell r="C5249" t="str">
            <v>DF6-AB10</v>
          </cell>
          <cell r="D5249" t="str">
            <v>PE</v>
          </cell>
          <cell r="E5249" t="str">
            <v>522.52206</v>
          </cell>
          <cell r="F5249">
            <v>49.164000000000001</v>
          </cell>
          <cell r="G5249">
            <v>0</v>
          </cell>
          <cell r="H5249">
            <v>0</v>
          </cell>
          <cell r="I5249">
            <v>0</v>
          </cell>
          <cell r="J5249">
            <v>0</v>
          </cell>
          <cell r="K5249">
            <v>0</v>
          </cell>
          <cell r="L5249">
            <v>0</v>
          </cell>
        </row>
        <row r="5250">
          <cell r="A5250" t="str">
            <v>20323.07120</v>
          </cell>
          <cell r="B5250" t="str">
            <v>DETECTEUR INDUCTIF</v>
          </cell>
          <cell r="C5250" t="str">
            <v>XSA-V11801</v>
          </cell>
          <cell r="D5250" t="str">
            <v>PE</v>
          </cell>
          <cell r="E5250" t="str">
            <v>522.52206</v>
          </cell>
          <cell r="F5250">
            <v>1204.8</v>
          </cell>
          <cell r="G5250">
            <v>0</v>
          </cell>
          <cell r="H5250">
            <v>0</v>
          </cell>
          <cell r="I5250">
            <v>0</v>
          </cell>
          <cell r="J5250">
            <v>0</v>
          </cell>
          <cell r="K5250">
            <v>0</v>
          </cell>
          <cell r="L5250">
            <v>0</v>
          </cell>
        </row>
        <row r="5251">
          <cell r="A5251" t="str">
            <v>20323.06017</v>
          </cell>
          <cell r="B5251" t="str">
            <v>BOITE A BOUTON MARCHE ARR</v>
          </cell>
          <cell r="C5251" t="str">
            <v>XAL-B224</v>
          </cell>
          <cell r="D5251" t="str">
            <v>PE</v>
          </cell>
          <cell r="E5251" t="str">
            <v>522.52206</v>
          </cell>
          <cell r="F5251">
            <v>153.94470000000001</v>
          </cell>
          <cell r="G5251">
            <v>0</v>
          </cell>
          <cell r="H5251">
            <v>0</v>
          </cell>
          <cell r="I5251">
            <v>0</v>
          </cell>
          <cell r="J5251">
            <v>0</v>
          </cell>
          <cell r="K5251">
            <v>0</v>
          </cell>
          <cell r="L5251">
            <v>0</v>
          </cell>
        </row>
        <row r="5252">
          <cell r="A5252" t="str">
            <v>20323.08093</v>
          </cell>
          <cell r="B5252" t="str">
            <v>DISJONCTEUR 2P 10A</v>
          </cell>
          <cell r="C5252" t="str">
            <v>A9F94210</v>
          </cell>
          <cell r="D5252" t="str">
            <v>PE</v>
          </cell>
          <cell r="E5252" t="str">
            <v>522.52206</v>
          </cell>
          <cell r="F5252">
            <v>152.88</v>
          </cell>
          <cell r="G5252">
            <v>4</v>
          </cell>
          <cell r="H5252">
            <v>2</v>
          </cell>
          <cell r="I5252">
            <v>0</v>
          </cell>
          <cell r="J5252">
            <v>0</v>
          </cell>
          <cell r="K5252">
            <v>0</v>
          </cell>
          <cell r="L5252">
            <v>12</v>
          </cell>
        </row>
        <row r="5253">
          <cell r="A5253" t="str">
            <v>20323.08094</v>
          </cell>
          <cell r="B5253" t="str">
            <v>DISJONCTEUR 2P 16A</v>
          </cell>
          <cell r="C5253" t="str">
            <v>A9F94216</v>
          </cell>
          <cell r="D5253" t="str">
            <v>PE</v>
          </cell>
          <cell r="E5253" t="str">
            <v>522.52206</v>
          </cell>
          <cell r="F5253">
            <v>152.88</v>
          </cell>
          <cell r="G5253">
            <v>0</v>
          </cell>
          <cell r="H5253">
            <v>0</v>
          </cell>
          <cell r="I5253">
            <v>0</v>
          </cell>
          <cell r="J5253">
            <v>0</v>
          </cell>
          <cell r="K5253">
            <v>0</v>
          </cell>
          <cell r="L5253">
            <v>16</v>
          </cell>
        </row>
        <row r="5254">
          <cell r="A5254" t="str">
            <v>20323.08109</v>
          </cell>
          <cell r="B5254" t="str">
            <v>DISJONCTEUR 3P</v>
          </cell>
          <cell r="C5254" t="str">
            <v>GV7RE100</v>
          </cell>
          <cell r="D5254" t="str">
            <v>PE</v>
          </cell>
          <cell r="E5254" t="str">
            <v>522.52206</v>
          </cell>
          <cell r="F5254">
            <v>3900</v>
          </cell>
          <cell r="G5254">
            <v>0</v>
          </cell>
          <cell r="H5254">
            <v>0</v>
          </cell>
          <cell r="I5254">
            <v>0</v>
          </cell>
          <cell r="J5254">
            <v>0</v>
          </cell>
          <cell r="K5254">
            <v>0</v>
          </cell>
          <cell r="L5254">
            <v>20</v>
          </cell>
        </row>
        <row r="5255">
          <cell r="A5255" t="str">
            <v>20212.10293</v>
          </cell>
          <cell r="B5255" t="str">
            <v>ARBRE D'ENTRAINEMENT</v>
          </cell>
          <cell r="C5255" t="str">
            <v>1616 6118 00</v>
          </cell>
          <cell r="D5255" t="str">
            <v>PE</v>
          </cell>
          <cell r="E5255" t="str">
            <v>515.51504</v>
          </cell>
          <cell r="F5255">
            <v>10070.6296</v>
          </cell>
          <cell r="G5255">
            <v>0</v>
          </cell>
          <cell r="H5255">
            <v>0</v>
          </cell>
          <cell r="I5255">
            <v>0</v>
          </cell>
          <cell r="J5255">
            <v>0</v>
          </cell>
          <cell r="K5255">
            <v>0</v>
          </cell>
          <cell r="L5255">
            <v>1</v>
          </cell>
        </row>
        <row r="5256">
          <cell r="A5256" t="str">
            <v>20212.10294</v>
          </cell>
          <cell r="B5256" t="str">
            <v>PIGNON</v>
          </cell>
          <cell r="C5256" t="str">
            <v>1614 6813 03</v>
          </cell>
          <cell r="D5256" t="str">
            <v>PE</v>
          </cell>
          <cell r="E5256" t="str">
            <v>515.51504</v>
          </cell>
          <cell r="F5256">
            <v>11561.6</v>
          </cell>
          <cell r="G5256">
            <v>0</v>
          </cell>
          <cell r="H5256">
            <v>0</v>
          </cell>
          <cell r="I5256">
            <v>0</v>
          </cell>
          <cell r="J5256">
            <v>0</v>
          </cell>
          <cell r="K5256">
            <v>0</v>
          </cell>
          <cell r="L5256">
            <v>1</v>
          </cell>
        </row>
        <row r="5257">
          <cell r="A5257" t="str">
            <v>20212.10314</v>
          </cell>
          <cell r="B5257" t="str">
            <v>FILTRE A HUILE</v>
          </cell>
          <cell r="C5257" t="str">
            <v>1617 7043 01</v>
          </cell>
          <cell r="D5257" t="str">
            <v>PE</v>
          </cell>
          <cell r="E5257" t="str">
            <v>515.51504</v>
          </cell>
          <cell r="F5257">
            <v>4829.7091</v>
          </cell>
          <cell r="G5257">
            <v>0</v>
          </cell>
          <cell r="H5257">
            <v>0</v>
          </cell>
          <cell r="I5257">
            <v>0</v>
          </cell>
          <cell r="J5257">
            <v>0</v>
          </cell>
          <cell r="K5257">
            <v>0</v>
          </cell>
          <cell r="L5257">
            <v>4</v>
          </cell>
        </row>
        <row r="5258">
          <cell r="A5258" t="str">
            <v>20212.10315</v>
          </cell>
          <cell r="B5258" t="str">
            <v>ELEMENT D'ACCOUPLEMENT</v>
          </cell>
          <cell r="C5258" t="str">
            <v>1621 0206 00</v>
          </cell>
          <cell r="D5258" t="str">
            <v>PE</v>
          </cell>
          <cell r="E5258" t="str">
            <v>515.51504</v>
          </cell>
          <cell r="F5258">
            <v>167.83</v>
          </cell>
          <cell r="G5258">
            <v>0</v>
          </cell>
          <cell r="H5258">
            <v>0</v>
          </cell>
          <cell r="I5258">
            <v>0</v>
          </cell>
          <cell r="J5258">
            <v>0</v>
          </cell>
          <cell r="K5258">
            <v>0</v>
          </cell>
          <cell r="L5258">
            <v>8</v>
          </cell>
        </row>
        <row r="5259">
          <cell r="A5259" t="str">
            <v>20212.10316</v>
          </cell>
          <cell r="B5259" t="str">
            <v>DEMI ACCOUPLEMENT</v>
          </cell>
          <cell r="C5259" t="str">
            <v>1621 3446 00</v>
          </cell>
          <cell r="D5259" t="str">
            <v>PE</v>
          </cell>
          <cell r="E5259" t="str">
            <v>515.51504</v>
          </cell>
          <cell r="F5259">
            <v>7338.1100999999999</v>
          </cell>
          <cell r="G5259">
            <v>0</v>
          </cell>
          <cell r="H5259">
            <v>0</v>
          </cell>
          <cell r="I5259">
            <v>0</v>
          </cell>
          <cell r="J5259">
            <v>0</v>
          </cell>
          <cell r="K5259">
            <v>0</v>
          </cell>
          <cell r="L5259">
            <v>2</v>
          </cell>
        </row>
        <row r="5260">
          <cell r="A5260" t="str">
            <v>20212.10291</v>
          </cell>
          <cell r="B5260" t="str">
            <v>PIGNON</v>
          </cell>
          <cell r="C5260" t="str">
            <v>1616 6124 15</v>
          </cell>
          <cell r="D5260" t="str">
            <v>PE</v>
          </cell>
          <cell r="E5260" t="str">
            <v>515.51504</v>
          </cell>
          <cell r="F5260">
            <v>44285.727200000001</v>
          </cell>
          <cell r="G5260">
            <v>0</v>
          </cell>
          <cell r="H5260">
            <v>0</v>
          </cell>
          <cell r="I5260">
            <v>0</v>
          </cell>
          <cell r="J5260">
            <v>0</v>
          </cell>
          <cell r="K5260">
            <v>0</v>
          </cell>
          <cell r="L5260">
            <v>1</v>
          </cell>
        </row>
        <row r="5261">
          <cell r="A5261" t="str">
            <v>20212.10292</v>
          </cell>
          <cell r="B5261" t="str">
            <v>PIGNON</v>
          </cell>
          <cell r="C5261" t="str">
            <v>1616 6139 19</v>
          </cell>
          <cell r="D5261" t="str">
            <v>PE</v>
          </cell>
          <cell r="E5261" t="str">
            <v>515.51504</v>
          </cell>
          <cell r="F5261">
            <v>10018.4</v>
          </cell>
          <cell r="G5261">
            <v>0</v>
          </cell>
          <cell r="H5261">
            <v>0</v>
          </cell>
          <cell r="I5261">
            <v>0</v>
          </cell>
          <cell r="J5261">
            <v>0</v>
          </cell>
          <cell r="K5261">
            <v>0</v>
          </cell>
          <cell r="L5261">
            <v>1</v>
          </cell>
        </row>
        <row r="5262">
          <cell r="A5262" t="str">
            <v>20323.08284</v>
          </cell>
          <cell r="B5262" t="str">
            <v>PRESSOSTAT</v>
          </cell>
          <cell r="C5262" t="str">
            <v>XMLB020A1C11</v>
          </cell>
          <cell r="D5262" t="str">
            <v>PE</v>
          </cell>
          <cell r="E5262" t="str">
            <v>522.52206</v>
          </cell>
          <cell r="F5262">
            <v>1169.8969999999999</v>
          </cell>
          <cell r="G5262">
            <v>0</v>
          </cell>
          <cell r="H5262">
            <v>0</v>
          </cell>
          <cell r="I5262">
            <v>0</v>
          </cell>
          <cell r="J5262">
            <v>0</v>
          </cell>
          <cell r="K5262">
            <v>0</v>
          </cell>
          <cell r="L5262">
            <v>0</v>
          </cell>
        </row>
        <row r="5263">
          <cell r="A5263" t="str">
            <v>20323.08285</v>
          </cell>
          <cell r="B5263" t="str">
            <v>PRESSOSTAT</v>
          </cell>
          <cell r="C5263" t="str">
            <v>XMLB020A2S12</v>
          </cell>
          <cell r="D5263" t="str">
            <v>PE</v>
          </cell>
          <cell r="E5263" t="str">
            <v>522.52206</v>
          </cell>
          <cell r="F5263">
            <v>1234.2950000000001</v>
          </cell>
          <cell r="G5263">
            <v>0</v>
          </cell>
          <cell r="H5263">
            <v>0</v>
          </cell>
          <cell r="I5263">
            <v>0</v>
          </cell>
          <cell r="J5263">
            <v>0</v>
          </cell>
          <cell r="K5263">
            <v>0</v>
          </cell>
          <cell r="L5263">
            <v>0</v>
          </cell>
        </row>
        <row r="5264">
          <cell r="A5264" t="str">
            <v>20212.10515</v>
          </cell>
          <cell r="B5264" t="str">
            <v>RONDELLE</v>
          </cell>
          <cell r="C5264" t="str">
            <v>0301 2335 00 TYPE BD260</v>
          </cell>
          <cell r="D5264" t="str">
            <v>PE</v>
          </cell>
          <cell r="E5264" t="str">
            <v>515.51504</v>
          </cell>
          <cell r="F5264">
            <v>2.39</v>
          </cell>
          <cell r="G5264">
            <v>0</v>
          </cell>
          <cell r="H5264">
            <v>0</v>
          </cell>
          <cell r="I5264">
            <v>0</v>
          </cell>
          <cell r="J5264">
            <v>0</v>
          </cell>
          <cell r="K5264">
            <v>1</v>
          </cell>
          <cell r="L5264">
            <v>2</v>
          </cell>
        </row>
        <row r="5265">
          <cell r="A5265" t="str">
            <v>20212.10321</v>
          </cell>
          <cell r="B5265" t="str">
            <v>VIS</v>
          </cell>
          <cell r="C5265" t="str">
            <v>0147 1963 06</v>
          </cell>
          <cell r="D5265" t="str">
            <v>PE</v>
          </cell>
          <cell r="E5265" t="str">
            <v>515.51504</v>
          </cell>
          <cell r="F5265">
            <v>22.666399999999999</v>
          </cell>
          <cell r="G5265">
            <v>0</v>
          </cell>
          <cell r="H5265">
            <v>0</v>
          </cell>
          <cell r="I5265">
            <v>0</v>
          </cell>
          <cell r="J5265">
            <v>0</v>
          </cell>
          <cell r="K5265">
            <v>4</v>
          </cell>
          <cell r="L5265">
            <v>4</v>
          </cell>
        </row>
        <row r="5266">
          <cell r="A5266" t="str">
            <v>20212.10322</v>
          </cell>
          <cell r="B5266" t="str">
            <v>TUYAU FLEXIBLE</v>
          </cell>
          <cell r="C5266" t="str">
            <v>1621 2244 00</v>
          </cell>
          <cell r="D5266" t="str">
            <v>PE</v>
          </cell>
          <cell r="E5266" t="str">
            <v>515.51504</v>
          </cell>
          <cell r="F5266">
            <v>1751.5189</v>
          </cell>
          <cell r="G5266">
            <v>0</v>
          </cell>
          <cell r="H5266">
            <v>0</v>
          </cell>
          <cell r="I5266">
            <v>0</v>
          </cell>
          <cell r="J5266">
            <v>0</v>
          </cell>
          <cell r="K5266">
            <v>0</v>
          </cell>
          <cell r="L5266">
            <v>1</v>
          </cell>
        </row>
        <row r="5267">
          <cell r="A5267" t="str">
            <v>20212.10323</v>
          </cell>
          <cell r="B5267" t="str">
            <v>ELEMENT POMPE</v>
          </cell>
          <cell r="C5267" t="str">
            <v>1616 6127 00</v>
          </cell>
          <cell r="D5267" t="str">
            <v>PE</v>
          </cell>
          <cell r="E5267" t="str">
            <v>515.51504</v>
          </cell>
          <cell r="F5267">
            <v>2820.1077</v>
          </cell>
          <cell r="G5267">
            <v>0</v>
          </cell>
          <cell r="H5267">
            <v>0</v>
          </cell>
          <cell r="I5267">
            <v>0</v>
          </cell>
          <cell r="J5267">
            <v>0</v>
          </cell>
          <cell r="K5267">
            <v>0</v>
          </cell>
          <cell r="L5267">
            <v>1</v>
          </cell>
        </row>
        <row r="5268">
          <cell r="A5268" t="str">
            <v>20212.10317</v>
          </cell>
          <cell r="B5268" t="str">
            <v>DEMI ACCOUPLEMENT COTE MOTEUR</v>
          </cell>
          <cell r="C5268" t="str">
            <v>1621 4874 00</v>
          </cell>
          <cell r="D5268" t="str">
            <v>PE</v>
          </cell>
          <cell r="E5268" t="str">
            <v>515.51504</v>
          </cell>
          <cell r="F5268">
            <v>6032.7794999999996</v>
          </cell>
          <cell r="G5268">
            <v>0</v>
          </cell>
          <cell r="H5268">
            <v>0</v>
          </cell>
          <cell r="I5268">
            <v>0</v>
          </cell>
          <cell r="J5268">
            <v>0</v>
          </cell>
          <cell r="K5268">
            <v>0</v>
          </cell>
          <cell r="L5268">
            <v>1</v>
          </cell>
        </row>
        <row r="5269">
          <cell r="A5269" t="str">
            <v>20212.10318</v>
          </cell>
          <cell r="B5269" t="str">
            <v>FILTRE A HUILE</v>
          </cell>
          <cell r="C5269" t="str">
            <v>1614 8747 00</v>
          </cell>
          <cell r="D5269" t="str">
            <v>PE</v>
          </cell>
          <cell r="E5269" t="str">
            <v>515.51504</v>
          </cell>
          <cell r="F5269">
            <v>827.57309999999995</v>
          </cell>
          <cell r="G5269">
            <v>0</v>
          </cell>
          <cell r="H5269">
            <v>0</v>
          </cell>
          <cell r="I5269">
            <v>0</v>
          </cell>
          <cell r="J5269">
            <v>0</v>
          </cell>
          <cell r="K5269">
            <v>0</v>
          </cell>
          <cell r="L5269">
            <v>2</v>
          </cell>
        </row>
        <row r="5270">
          <cell r="A5270" t="str">
            <v>20212.10319</v>
          </cell>
          <cell r="B5270" t="str">
            <v>VIS</v>
          </cell>
          <cell r="C5270" t="str">
            <v>0147 1963 04</v>
          </cell>
          <cell r="D5270" t="str">
            <v>PE</v>
          </cell>
          <cell r="E5270" t="str">
            <v>515.51504</v>
          </cell>
          <cell r="F5270">
            <v>26.234300000000001</v>
          </cell>
          <cell r="G5270">
            <v>0</v>
          </cell>
          <cell r="H5270">
            <v>0</v>
          </cell>
          <cell r="I5270">
            <v>0</v>
          </cell>
          <cell r="J5270">
            <v>0</v>
          </cell>
          <cell r="K5270">
            <v>4</v>
          </cell>
          <cell r="L5270">
            <v>4</v>
          </cell>
        </row>
        <row r="5271">
          <cell r="A5271" t="str">
            <v>20212.10320</v>
          </cell>
          <cell r="B5271" t="str">
            <v>RONDELLE</v>
          </cell>
          <cell r="C5271" t="str">
            <v>0300 0274 11</v>
          </cell>
          <cell r="D5271" t="str">
            <v>PE</v>
          </cell>
          <cell r="E5271" t="str">
            <v>515.51504</v>
          </cell>
          <cell r="F5271">
            <v>55.491399999999999</v>
          </cell>
          <cell r="G5271">
            <v>0</v>
          </cell>
          <cell r="H5271">
            <v>0</v>
          </cell>
          <cell r="I5271">
            <v>0</v>
          </cell>
          <cell r="J5271">
            <v>0</v>
          </cell>
          <cell r="K5271">
            <v>0</v>
          </cell>
          <cell r="L5271">
            <v>6</v>
          </cell>
        </row>
        <row r="5272">
          <cell r="A5272" t="str">
            <v>20222.07072</v>
          </cell>
          <cell r="B5272" t="str">
            <v>INTERRUPTEUR SECTIONNEUR</v>
          </cell>
          <cell r="C5272" t="str">
            <v>INS 63 500V 63A</v>
          </cell>
          <cell r="D5272" t="str">
            <v>PE</v>
          </cell>
          <cell r="E5272" t="str">
            <v>522.52206</v>
          </cell>
          <cell r="F5272">
            <v>350.46</v>
          </cell>
          <cell r="G5272">
            <v>0</v>
          </cell>
          <cell r="H5272">
            <v>0</v>
          </cell>
          <cell r="I5272">
            <v>0</v>
          </cell>
          <cell r="J5272">
            <v>0</v>
          </cell>
          <cell r="K5272">
            <v>0</v>
          </cell>
          <cell r="L5272">
            <v>4</v>
          </cell>
        </row>
        <row r="5273">
          <cell r="A5273" t="str">
            <v>20222.07138</v>
          </cell>
          <cell r="B5273" t="str">
            <v>COMMANDE ELECTRIQUE</v>
          </cell>
          <cell r="C5273" t="str">
            <v>NW 32H1</v>
          </cell>
          <cell r="D5273" t="str">
            <v>PE</v>
          </cell>
          <cell r="E5273" t="str">
            <v>522.52206</v>
          </cell>
          <cell r="F5273">
            <v>67716</v>
          </cell>
          <cell r="G5273">
            <v>0</v>
          </cell>
          <cell r="H5273">
            <v>0</v>
          </cell>
          <cell r="I5273">
            <v>0</v>
          </cell>
          <cell r="J5273">
            <v>0</v>
          </cell>
          <cell r="K5273">
            <v>0</v>
          </cell>
          <cell r="L5273">
            <v>1</v>
          </cell>
        </row>
        <row r="5274">
          <cell r="A5274" t="str">
            <v>20222.06884</v>
          </cell>
          <cell r="B5274" t="str">
            <v>DISJONC.C60N TETRA 63A</v>
          </cell>
          <cell r="C5274">
            <v>24234</v>
          </cell>
          <cell r="D5274" t="str">
            <v>PE</v>
          </cell>
          <cell r="E5274" t="str">
            <v>522.52206</v>
          </cell>
          <cell r="F5274">
            <v>689.04</v>
          </cell>
          <cell r="G5274">
            <v>0</v>
          </cell>
          <cell r="H5274">
            <v>1</v>
          </cell>
          <cell r="I5274">
            <v>0</v>
          </cell>
          <cell r="J5274">
            <v>0</v>
          </cell>
          <cell r="K5274">
            <v>0</v>
          </cell>
          <cell r="L5274">
            <v>0</v>
          </cell>
        </row>
        <row r="5275">
          <cell r="A5275" t="str">
            <v>20361.00971</v>
          </cell>
          <cell r="B5275" t="str">
            <v>DOUILLE IMPACT 3/4</v>
          </cell>
          <cell r="C5275" t="str">
            <v>NK 27A</v>
          </cell>
          <cell r="D5275" t="str">
            <v>PE</v>
          </cell>
          <cell r="E5275" t="str">
            <v>522.52208</v>
          </cell>
          <cell r="F5275">
            <v>228</v>
          </cell>
          <cell r="G5275">
            <v>0</v>
          </cell>
          <cell r="H5275">
            <v>0</v>
          </cell>
          <cell r="I5275">
            <v>0</v>
          </cell>
          <cell r="J5275">
            <v>0</v>
          </cell>
          <cell r="K5275">
            <v>0</v>
          </cell>
          <cell r="L5275">
            <v>0</v>
          </cell>
        </row>
        <row r="5276">
          <cell r="A5276" t="str">
            <v>20361.01006</v>
          </cell>
          <cell r="B5276" t="str">
            <v>CLE MIXTE INCLINEE    7MM</v>
          </cell>
          <cell r="C5276" t="str">
            <v>40.7</v>
          </cell>
          <cell r="D5276" t="str">
            <v>PE</v>
          </cell>
          <cell r="E5276" t="str">
            <v>522.52208</v>
          </cell>
          <cell r="F5276">
            <v>47.231999999999999</v>
          </cell>
          <cell r="G5276">
            <v>0</v>
          </cell>
          <cell r="H5276">
            <v>0</v>
          </cell>
          <cell r="I5276">
            <v>0</v>
          </cell>
          <cell r="J5276">
            <v>0</v>
          </cell>
          <cell r="K5276">
            <v>0</v>
          </cell>
          <cell r="L5276">
            <v>0</v>
          </cell>
        </row>
        <row r="5277">
          <cell r="A5277" t="str">
            <v>20361.01009</v>
          </cell>
          <cell r="B5277" t="str">
            <v>CLE MIXTE INCLINEE   10MM</v>
          </cell>
          <cell r="C5277" t="str">
            <v>40.10</v>
          </cell>
          <cell r="D5277" t="str">
            <v>PE</v>
          </cell>
          <cell r="E5277" t="str">
            <v>522.52208</v>
          </cell>
          <cell r="F5277">
            <v>49.536000000000001</v>
          </cell>
          <cell r="G5277">
            <v>0</v>
          </cell>
          <cell r="H5277">
            <v>0</v>
          </cell>
          <cell r="I5277">
            <v>0</v>
          </cell>
          <cell r="J5277">
            <v>0</v>
          </cell>
          <cell r="K5277">
            <v>0</v>
          </cell>
          <cell r="L5277">
            <v>0</v>
          </cell>
        </row>
        <row r="5278">
          <cell r="A5278" t="str">
            <v>20361.01010</v>
          </cell>
          <cell r="B5278" t="str">
            <v>CLE MIXTE INCLINEE   11MM</v>
          </cell>
          <cell r="C5278" t="str">
            <v>40.11</v>
          </cell>
          <cell r="D5278" t="str">
            <v>PE</v>
          </cell>
          <cell r="E5278" t="str">
            <v>522.52208</v>
          </cell>
          <cell r="F5278">
            <v>52.991999999999997</v>
          </cell>
          <cell r="G5278">
            <v>0</v>
          </cell>
          <cell r="H5278">
            <v>0</v>
          </cell>
          <cell r="I5278">
            <v>0</v>
          </cell>
          <cell r="J5278">
            <v>0</v>
          </cell>
          <cell r="K5278">
            <v>0</v>
          </cell>
          <cell r="L5278">
            <v>0</v>
          </cell>
        </row>
        <row r="5279">
          <cell r="A5279" t="str">
            <v>20361.01011</v>
          </cell>
          <cell r="B5279" t="str">
            <v>CLE MIXTE INCLINEE   12MM</v>
          </cell>
          <cell r="C5279" t="str">
            <v>40.12</v>
          </cell>
          <cell r="D5279" t="str">
            <v>PE</v>
          </cell>
          <cell r="E5279" t="str">
            <v>522.52208</v>
          </cell>
          <cell r="F5279">
            <v>54.143999999999998</v>
          </cell>
          <cell r="G5279">
            <v>0</v>
          </cell>
          <cell r="H5279">
            <v>0</v>
          </cell>
          <cell r="I5279">
            <v>0</v>
          </cell>
          <cell r="J5279">
            <v>0</v>
          </cell>
          <cell r="K5279">
            <v>0</v>
          </cell>
          <cell r="L5279">
            <v>0</v>
          </cell>
        </row>
        <row r="5280">
          <cell r="A5280" t="str">
            <v>20361.01012</v>
          </cell>
          <cell r="B5280" t="str">
            <v>CLE MIXTE INCLINEE   13MM</v>
          </cell>
          <cell r="C5280" t="str">
            <v>40.13</v>
          </cell>
          <cell r="D5280" t="str">
            <v>PE</v>
          </cell>
          <cell r="E5280" t="str">
            <v>522.52208</v>
          </cell>
          <cell r="F5280">
            <v>58.752000000000002</v>
          </cell>
          <cell r="G5280">
            <v>0</v>
          </cell>
          <cell r="H5280">
            <v>0</v>
          </cell>
          <cell r="I5280">
            <v>0</v>
          </cell>
          <cell r="J5280">
            <v>0</v>
          </cell>
          <cell r="K5280">
            <v>0</v>
          </cell>
          <cell r="L5280">
            <v>0</v>
          </cell>
        </row>
        <row r="5281">
          <cell r="A5281" t="str">
            <v>20361.01007</v>
          </cell>
          <cell r="B5281" t="str">
            <v>CLE MIXTE INCLINEE    8MM</v>
          </cell>
          <cell r="C5281" t="str">
            <v>40.8</v>
          </cell>
          <cell r="D5281" t="str">
            <v>PE</v>
          </cell>
          <cell r="E5281" t="str">
            <v>522.52208</v>
          </cell>
          <cell r="F5281">
            <v>48.384</v>
          </cell>
          <cell r="G5281">
            <v>0</v>
          </cell>
          <cell r="H5281">
            <v>0</v>
          </cell>
          <cell r="I5281">
            <v>0</v>
          </cell>
          <cell r="J5281">
            <v>0</v>
          </cell>
          <cell r="K5281">
            <v>0</v>
          </cell>
          <cell r="L5281">
            <v>0</v>
          </cell>
        </row>
        <row r="5282">
          <cell r="A5282" t="str">
            <v>20361.01008</v>
          </cell>
          <cell r="B5282" t="str">
            <v>CLE MIXTE INCLINEE    9MM</v>
          </cell>
          <cell r="C5282" t="str">
            <v>40.9</v>
          </cell>
          <cell r="D5282" t="str">
            <v>PE</v>
          </cell>
          <cell r="E5282" t="str">
            <v>522.52208</v>
          </cell>
          <cell r="F5282">
            <v>49.536000000000001</v>
          </cell>
          <cell r="G5282">
            <v>0</v>
          </cell>
          <cell r="H5282">
            <v>0</v>
          </cell>
          <cell r="I5282">
            <v>0</v>
          </cell>
          <cell r="J5282">
            <v>0</v>
          </cell>
          <cell r="K5282">
            <v>0</v>
          </cell>
          <cell r="L5282">
            <v>0</v>
          </cell>
        </row>
        <row r="5283">
          <cell r="A5283" t="str">
            <v>20361.00466</v>
          </cell>
          <cell r="B5283" t="str">
            <v>DOUIL IMPACT 6P-1 P. 27MM</v>
          </cell>
          <cell r="C5283" t="str">
            <v>NM 27 NORMALE</v>
          </cell>
          <cell r="D5283" t="str">
            <v>PE</v>
          </cell>
          <cell r="E5283" t="str">
            <v>522.52208</v>
          </cell>
          <cell r="F5283">
            <v>307</v>
          </cell>
          <cell r="G5283">
            <v>0</v>
          </cell>
          <cell r="H5283">
            <v>0</v>
          </cell>
          <cell r="I5283">
            <v>0</v>
          </cell>
          <cell r="J5283">
            <v>0</v>
          </cell>
          <cell r="K5283">
            <v>0</v>
          </cell>
          <cell r="L5283">
            <v>0</v>
          </cell>
        </row>
        <row r="5284">
          <cell r="A5284" t="str">
            <v>20222.04004</v>
          </cell>
          <cell r="B5284" t="str">
            <v>REPARTITEUR TETRA 250 A</v>
          </cell>
          <cell r="C5284">
            <v>7058</v>
          </cell>
          <cell r="D5284" t="str">
            <v>PE</v>
          </cell>
          <cell r="E5284" t="str">
            <v>522.52206</v>
          </cell>
          <cell r="F5284">
            <v>540</v>
          </cell>
          <cell r="G5284">
            <v>0</v>
          </cell>
          <cell r="H5284">
            <v>0</v>
          </cell>
          <cell r="I5284">
            <v>0</v>
          </cell>
          <cell r="J5284">
            <v>0</v>
          </cell>
          <cell r="K5284">
            <v>0</v>
          </cell>
          <cell r="L5284">
            <v>2</v>
          </cell>
        </row>
        <row r="5285">
          <cell r="A5285" t="str">
            <v>20222.04005</v>
          </cell>
          <cell r="B5285" t="str">
            <v>DISJONCTEUR DT40 6A 1P + N</v>
          </cell>
          <cell r="C5285">
            <v>21023</v>
          </cell>
          <cell r="D5285" t="str">
            <v>PE</v>
          </cell>
          <cell r="E5285" t="str">
            <v>522.52206</v>
          </cell>
          <cell r="F5285">
            <v>57.024000000000001</v>
          </cell>
          <cell r="G5285">
            <v>0</v>
          </cell>
          <cell r="H5285">
            <v>0</v>
          </cell>
          <cell r="I5285">
            <v>0</v>
          </cell>
          <cell r="J5285">
            <v>0</v>
          </cell>
          <cell r="K5285">
            <v>1</v>
          </cell>
          <cell r="L5285">
            <v>0</v>
          </cell>
        </row>
        <row r="5286">
          <cell r="A5286" t="str">
            <v>20222.04006</v>
          </cell>
          <cell r="B5286" t="str">
            <v>RELAIS DE DEFAUT  RH10P 220V -240V</v>
          </cell>
          <cell r="C5286">
            <v>56230</v>
          </cell>
          <cell r="D5286" t="str">
            <v>PE</v>
          </cell>
          <cell r="E5286" t="str">
            <v>522.52206</v>
          </cell>
          <cell r="F5286">
            <v>1805.76</v>
          </cell>
          <cell r="G5286">
            <v>0</v>
          </cell>
          <cell r="H5286">
            <v>0</v>
          </cell>
          <cell r="I5286">
            <v>0</v>
          </cell>
          <cell r="J5286">
            <v>0</v>
          </cell>
          <cell r="K5286">
            <v>0</v>
          </cell>
          <cell r="L5286">
            <v>2</v>
          </cell>
        </row>
        <row r="5287">
          <cell r="A5287" t="str">
            <v>20361.00785</v>
          </cell>
          <cell r="B5287" t="str">
            <v>JEU 5 MOLLETTE P COUP TUB</v>
          </cell>
          <cell r="C5287" t="str">
            <v>338A.F5</v>
          </cell>
          <cell r="D5287" t="str">
            <v>JE</v>
          </cell>
          <cell r="E5287" t="str">
            <v>522.52208</v>
          </cell>
          <cell r="F5287">
            <v>623</v>
          </cell>
          <cell r="G5287">
            <v>0</v>
          </cell>
          <cell r="H5287">
            <v>0</v>
          </cell>
          <cell r="I5287">
            <v>0</v>
          </cell>
          <cell r="J5287">
            <v>0</v>
          </cell>
          <cell r="K5287">
            <v>0</v>
          </cell>
          <cell r="L5287">
            <v>0</v>
          </cell>
        </row>
        <row r="5288">
          <cell r="A5288" t="str">
            <v>20361.00786</v>
          </cell>
          <cell r="B5288" t="str">
            <v>TOURNEVIS</v>
          </cell>
          <cell r="C5288" t="str">
            <v>AY.2,5X75</v>
          </cell>
          <cell r="D5288" t="str">
            <v>PE</v>
          </cell>
          <cell r="E5288" t="str">
            <v>522.52208</v>
          </cell>
          <cell r="F5288">
            <v>21.6</v>
          </cell>
          <cell r="G5288">
            <v>0</v>
          </cell>
          <cell r="H5288">
            <v>0</v>
          </cell>
          <cell r="I5288">
            <v>0</v>
          </cell>
          <cell r="J5288">
            <v>0</v>
          </cell>
          <cell r="K5288">
            <v>0</v>
          </cell>
          <cell r="L5288">
            <v>0</v>
          </cell>
        </row>
        <row r="5289">
          <cell r="A5289" t="str">
            <v>20361.00814</v>
          </cell>
          <cell r="B5289" t="str">
            <v>POINTEAU AUTOMATIQUE</v>
          </cell>
          <cell r="C5289">
            <v>257</v>
          </cell>
          <cell r="D5289" t="str">
            <v>PE</v>
          </cell>
          <cell r="E5289" t="str">
            <v>522.52208</v>
          </cell>
          <cell r="F5289">
            <v>528.6</v>
          </cell>
          <cell r="G5289">
            <v>0</v>
          </cell>
          <cell r="H5289">
            <v>0</v>
          </cell>
          <cell r="I5289">
            <v>0</v>
          </cell>
          <cell r="J5289">
            <v>0</v>
          </cell>
          <cell r="K5289">
            <v>0</v>
          </cell>
          <cell r="L5289">
            <v>0</v>
          </cell>
        </row>
        <row r="5290">
          <cell r="A5290" t="str">
            <v>20361.00867</v>
          </cell>
          <cell r="B5290" t="str">
            <v>CLE A PIPE DEBOUCHEE</v>
          </cell>
          <cell r="C5290" t="str">
            <v>75.23</v>
          </cell>
          <cell r="D5290" t="str">
            <v>PE</v>
          </cell>
          <cell r="E5290" t="str">
            <v>522.52208</v>
          </cell>
          <cell r="F5290">
            <v>144</v>
          </cell>
          <cell r="G5290">
            <v>0</v>
          </cell>
          <cell r="H5290">
            <v>0</v>
          </cell>
          <cell r="I5290">
            <v>0</v>
          </cell>
          <cell r="J5290">
            <v>0</v>
          </cell>
          <cell r="K5290">
            <v>0</v>
          </cell>
          <cell r="L5290">
            <v>0</v>
          </cell>
        </row>
        <row r="5291">
          <cell r="A5291" t="str">
            <v>20361.00868</v>
          </cell>
          <cell r="B5291" t="str">
            <v>CLE A PIPE DEBOUCHEE</v>
          </cell>
          <cell r="C5291" t="str">
            <v>75.24</v>
          </cell>
          <cell r="D5291" t="str">
            <v>PE</v>
          </cell>
          <cell r="E5291" t="str">
            <v>522.52208</v>
          </cell>
          <cell r="F5291">
            <v>151</v>
          </cell>
          <cell r="G5291">
            <v>0</v>
          </cell>
          <cell r="H5291">
            <v>0</v>
          </cell>
          <cell r="I5291">
            <v>0</v>
          </cell>
          <cell r="J5291">
            <v>0</v>
          </cell>
          <cell r="K5291">
            <v>0</v>
          </cell>
          <cell r="L5291">
            <v>0</v>
          </cell>
        </row>
        <row r="5292">
          <cell r="A5292" t="str">
            <v>20361.01025</v>
          </cell>
          <cell r="B5292" t="str">
            <v>CLE MIXTE INCLINEE   26MM</v>
          </cell>
          <cell r="C5292" t="str">
            <v>40.26</v>
          </cell>
          <cell r="D5292" t="str">
            <v>PE</v>
          </cell>
          <cell r="E5292" t="str">
            <v>522.52208</v>
          </cell>
          <cell r="F5292">
            <v>142.84800000000001</v>
          </cell>
          <cell r="G5292">
            <v>0</v>
          </cell>
          <cell r="H5292">
            <v>0</v>
          </cell>
          <cell r="I5292">
            <v>0</v>
          </cell>
          <cell r="J5292">
            <v>0</v>
          </cell>
          <cell r="K5292">
            <v>0</v>
          </cell>
          <cell r="L5292">
            <v>0</v>
          </cell>
        </row>
        <row r="5293">
          <cell r="A5293" t="str">
            <v>20361.01026</v>
          </cell>
          <cell r="B5293" t="str">
            <v>CLE MIXTE INCLINEE   27M*</v>
          </cell>
          <cell r="C5293" t="str">
            <v>40.27</v>
          </cell>
          <cell r="D5293" t="str">
            <v>PE</v>
          </cell>
          <cell r="E5293" t="str">
            <v>522.52208</v>
          </cell>
          <cell r="F5293">
            <v>149.76</v>
          </cell>
          <cell r="G5293">
            <v>0</v>
          </cell>
          <cell r="H5293">
            <v>0</v>
          </cell>
          <cell r="I5293">
            <v>0</v>
          </cell>
          <cell r="J5293">
            <v>0</v>
          </cell>
          <cell r="K5293">
            <v>0</v>
          </cell>
          <cell r="L5293">
            <v>0</v>
          </cell>
        </row>
        <row r="5294">
          <cell r="A5294" t="str">
            <v>20361.01015</v>
          </cell>
          <cell r="B5294" t="str">
            <v>CLE MIXTE INCLINEE   16MM</v>
          </cell>
          <cell r="C5294" t="str">
            <v>40.16</v>
          </cell>
          <cell r="D5294" t="str">
            <v>PE</v>
          </cell>
          <cell r="E5294" t="str">
            <v>522.52208</v>
          </cell>
          <cell r="F5294">
            <v>72.575999999999993</v>
          </cell>
          <cell r="G5294">
            <v>0</v>
          </cell>
          <cell r="H5294">
            <v>0</v>
          </cell>
          <cell r="I5294">
            <v>0</v>
          </cell>
          <cell r="J5294">
            <v>0</v>
          </cell>
          <cell r="K5294">
            <v>0</v>
          </cell>
          <cell r="L5294">
            <v>0</v>
          </cell>
        </row>
        <row r="5295">
          <cell r="A5295" t="str">
            <v>20361.01016</v>
          </cell>
          <cell r="B5295" t="str">
            <v>CLE MIXTE INCLINEE   17MM</v>
          </cell>
          <cell r="C5295" t="str">
            <v>40.17</v>
          </cell>
          <cell r="D5295" t="str">
            <v>PE</v>
          </cell>
          <cell r="E5295" t="str">
            <v>522.52208</v>
          </cell>
          <cell r="F5295">
            <v>81.792000000000002</v>
          </cell>
          <cell r="G5295">
            <v>0</v>
          </cell>
          <cell r="H5295">
            <v>0</v>
          </cell>
          <cell r="I5295">
            <v>0</v>
          </cell>
          <cell r="J5295">
            <v>0</v>
          </cell>
          <cell r="K5295">
            <v>0</v>
          </cell>
          <cell r="L5295">
            <v>0</v>
          </cell>
        </row>
        <row r="5296">
          <cell r="A5296" t="str">
            <v>20361.01079</v>
          </cell>
          <cell r="B5296" t="str">
            <v>CLE A FOURCHE</v>
          </cell>
          <cell r="C5296" t="str">
            <v>44.6X7</v>
          </cell>
          <cell r="D5296" t="str">
            <v>PE</v>
          </cell>
          <cell r="E5296" t="str">
            <v>522.52208</v>
          </cell>
          <cell r="F5296">
            <v>28</v>
          </cell>
          <cell r="G5296">
            <v>0</v>
          </cell>
          <cell r="H5296">
            <v>0</v>
          </cell>
          <cell r="I5296">
            <v>0</v>
          </cell>
          <cell r="J5296">
            <v>0</v>
          </cell>
          <cell r="K5296">
            <v>0</v>
          </cell>
          <cell r="L5296">
            <v>0</v>
          </cell>
        </row>
        <row r="5297">
          <cell r="A5297" t="str">
            <v>20361.01081</v>
          </cell>
          <cell r="B5297" t="str">
            <v>CLE MALE COUDEE TORX</v>
          </cell>
          <cell r="C5297" t="str">
            <v>89.6</v>
          </cell>
          <cell r="D5297" t="str">
            <v>PE</v>
          </cell>
          <cell r="E5297" t="str">
            <v>522.52208</v>
          </cell>
          <cell r="F5297">
            <v>36</v>
          </cell>
          <cell r="G5297">
            <v>0</v>
          </cell>
          <cell r="H5297">
            <v>0</v>
          </cell>
          <cell r="I5297">
            <v>0</v>
          </cell>
          <cell r="J5297">
            <v>0</v>
          </cell>
          <cell r="K5297">
            <v>0</v>
          </cell>
          <cell r="L5297">
            <v>0</v>
          </cell>
        </row>
        <row r="5298">
          <cell r="A5298" t="str">
            <v>20361.01082</v>
          </cell>
          <cell r="B5298" t="str">
            <v>CLE MALE COUDEE TORX</v>
          </cell>
          <cell r="C5298" t="str">
            <v>89.7</v>
          </cell>
          <cell r="D5298" t="str">
            <v>PE</v>
          </cell>
          <cell r="E5298" t="str">
            <v>522.52208</v>
          </cell>
          <cell r="F5298">
            <v>36</v>
          </cell>
          <cell r="G5298">
            <v>0</v>
          </cell>
          <cell r="H5298">
            <v>0</v>
          </cell>
          <cell r="I5298">
            <v>0</v>
          </cell>
          <cell r="J5298">
            <v>0</v>
          </cell>
          <cell r="K5298">
            <v>0</v>
          </cell>
          <cell r="L5298">
            <v>0</v>
          </cell>
        </row>
        <row r="5299">
          <cell r="A5299" t="str">
            <v>20361.01083</v>
          </cell>
          <cell r="B5299" t="str">
            <v>CLE MALE COUDEE TORX</v>
          </cell>
          <cell r="C5299" t="str">
            <v>89.8</v>
          </cell>
          <cell r="D5299" t="str">
            <v>PE</v>
          </cell>
          <cell r="E5299" t="str">
            <v>522.52208</v>
          </cell>
          <cell r="F5299">
            <v>39</v>
          </cell>
          <cell r="G5299">
            <v>0</v>
          </cell>
          <cell r="H5299">
            <v>0</v>
          </cell>
          <cell r="I5299">
            <v>0</v>
          </cell>
          <cell r="J5299">
            <v>0</v>
          </cell>
          <cell r="K5299">
            <v>0</v>
          </cell>
          <cell r="L5299">
            <v>0</v>
          </cell>
        </row>
        <row r="5300">
          <cell r="A5300" t="str">
            <v>20361.01029</v>
          </cell>
          <cell r="B5300" t="str">
            <v>CLE MIXTE INCLINEE   30M*</v>
          </cell>
          <cell r="C5300" t="str">
            <v>40.30</v>
          </cell>
          <cell r="D5300" t="str">
            <v>PE</v>
          </cell>
          <cell r="E5300" t="str">
            <v>522.52208</v>
          </cell>
          <cell r="F5300">
            <v>175.10400000000001</v>
          </cell>
          <cell r="G5300">
            <v>0</v>
          </cell>
          <cell r="H5300">
            <v>0</v>
          </cell>
          <cell r="I5300">
            <v>0</v>
          </cell>
          <cell r="J5300">
            <v>0</v>
          </cell>
          <cell r="K5300">
            <v>0</v>
          </cell>
          <cell r="L5300">
            <v>0</v>
          </cell>
        </row>
        <row r="5301">
          <cell r="A5301" t="str">
            <v>20361.01036</v>
          </cell>
          <cell r="B5301" t="str">
            <v>CLE MIXTE INCLINEE   38M*</v>
          </cell>
          <cell r="C5301" t="str">
            <v>40 38 A</v>
          </cell>
          <cell r="D5301" t="str">
            <v>PE</v>
          </cell>
          <cell r="E5301" t="str">
            <v>522.52208</v>
          </cell>
          <cell r="F5301">
            <v>303.73</v>
          </cell>
          <cell r="G5301">
            <v>0</v>
          </cell>
          <cell r="H5301">
            <v>0</v>
          </cell>
          <cell r="I5301">
            <v>0</v>
          </cell>
          <cell r="J5301">
            <v>0</v>
          </cell>
          <cell r="K5301">
            <v>0</v>
          </cell>
          <cell r="L5301">
            <v>0</v>
          </cell>
        </row>
        <row r="5302">
          <cell r="A5302" t="str">
            <v>20361.01084</v>
          </cell>
          <cell r="B5302" t="str">
            <v>CLE MALE COUDEE TORX</v>
          </cell>
          <cell r="C5302" t="str">
            <v>89.9</v>
          </cell>
          <cell r="D5302" t="str">
            <v>PE</v>
          </cell>
          <cell r="E5302" t="str">
            <v>522.52208</v>
          </cell>
          <cell r="F5302">
            <v>42</v>
          </cell>
          <cell r="G5302">
            <v>0</v>
          </cell>
          <cell r="H5302">
            <v>0</v>
          </cell>
          <cell r="I5302">
            <v>0</v>
          </cell>
          <cell r="J5302">
            <v>0</v>
          </cell>
          <cell r="K5302">
            <v>0</v>
          </cell>
          <cell r="L5302">
            <v>0</v>
          </cell>
        </row>
        <row r="5303">
          <cell r="A5303" t="str">
            <v>20361.01089</v>
          </cell>
          <cell r="B5303" t="str">
            <v>CLE MALE COUDEE TORX</v>
          </cell>
          <cell r="C5303" t="str">
            <v>89.27</v>
          </cell>
          <cell r="D5303" t="str">
            <v>PE</v>
          </cell>
          <cell r="E5303" t="str">
            <v>522.52208</v>
          </cell>
          <cell r="F5303">
            <v>53</v>
          </cell>
          <cell r="G5303">
            <v>0</v>
          </cell>
          <cell r="H5303">
            <v>0</v>
          </cell>
          <cell r="I5303">
            <v>0</v>
          </cell>
          <cell r="J5303">
            <v>0</v>
          </cell>
          <cell r="K5303">
            <v>0</v>
          </cell>
          <cell r="L5303">
            <v>0</v>
          </cell>
        </row>
        <row r="5304">
          <cell r="A5304" t="str">
            <v>20361.01090</v>
          </cell>
          <cell r="B5304" t="str">
            <v>CLE MALE COUDEE TORX</v>
          </cell>
          <cell r="C5304" t="str">
            <v>89.30</v>
          </cell>
          <cell r="D5304" t="str">
            <v>PE</v>
          </cell>
          <cell r="E5304" t="str">
            <v>522.52208</v>
          </cell>
          <cell r="F5304">
            <v>54</v>
          </cell>
          <cell r="G5304">
            <v>0</v>
          </cell>
          <cell r="H5304">
            <v>0</v>
          </cell>
          <cell r="I5304">
            <v>0</v>
          </cell>
          <cell r="J5304">
            <v>0</v>
          </cell>
          <cell r="K5304">
            <v>0</v>
          </cell>
          <cell r="L5304">
            <v>0</v>
          </cell>
        </row>
        <row r="5305">
          <cell r="A5305" t="str">
            <v>20361.01091</v>
          </cell>
          <cell r="B5305" t="str">
            <v>CLE MALE COUDEE TORX</v>
          </cell>
          <cell r="C5305" t="str">
            <v>89.40</v>
          </cell>
          <cell r="D5305" t="str">
            <v>PE</v>
          </cell>
          <cell r="E5305" t="str">
            <v>522.52208</v>
          </cell>
          <cell r="F5305">
            <v>60</v>
          </cell>
          <cell r="G5305">
            <v>0</v>
          </cell>
          <cell r="H5305">
            <v>0</v>
          </cell>
          <cell r="I5305">
            <v>0</v>
          </cell>
          <cell r="J5305">
            <v>0</v>
          </cell>
          <cell r="K5305">
            <v>0</v>
          </cell>
          <cell r="L5305">
            <v>0</v>
          </cell>
        </row>
        <row r="5306">
          <cell r="A5306" t="str">
            <v>20361.01092</v>
          </cell>
          <cell r="B5306" t="str">
            <v>CLE MALE COUDEE TORX</v>
          </cell>
          <cell r="C5306" t="str">
            <v>89.45</v>
          </cell>
          <cell r="D5306" t="str">
            <v>PE</v>
          </cell>
          <cell r="E5306" t="str">
            <v>522.52208</v>
          </cell>
          <cell r="F5306">
            <v>73</v>
          </cell>
          <cell r="G5306">
            <v>0</v>
          </cell>
          <cell r="H5306">
            <v>0</v>
          </cell>
          <cell r="I5306">
            <v>0</v>
          </cell>
          <cell r="J5306">
            <v>0</v>
          </cell>
          <cell r="K5306">
            <v>0</v>
          </cell>
          <cell r="L5306">
            <v>0</v>
          </cell>
        </row>
        <row r="5307">
          <cell r="A5307" t="str">
            <v>20361.01085</v>
          </cell>
          <cell r="B5307" t="str">
            <v>CLE MALE COUDEE TORX</v>
          </cell>
          <cell r="C5307" t="str">
            <v>89.10</v>
          </cell>
          <cell r="D5307" t="str">
            <v>PE</v>
          </cell>
          <cell r="E5307" t="str">
            <v>522.52208</v>
          </cell>
          <cell r="F5307">
            <v>44</v>
          </cell>
          <cell r="G5307">
            <v>0</v>
          </cell>
          <cell r="H5307">
            <v>0</v>
          </cell>
          <cell r="I5307">
            <v>0</v>
          </cell>
          <cell r="J5307">
            <v>0</v>
          </cell>
          <cell r="K5307">
            <v>0</v>
          </cell>
          <cell r="L5307">
            <v>0</v>
          </cell>
        </row>
        <row r="5308">
          <cell r="A5308" t="str">
            <v>20361.01086</v>
          </cell>
          <cell r="B5308" t="str">
            <v>CLE MALE COUDEE TORX</v>
          </cell>
          <cell r="C5308" t="str">
            <v>89.15</v>
          </cell>
          <cell r="D5308" t="str">
            <v>PE</v>
          </cell>
          <cell r="E5308" t="str">
            <v>522.52208</v>
          </cell>
          <cell r="F5308">
            <v>44.87</v>
          </cell>
          <cell r="G5308">
            <v>0</v>
          </cell>
          <cell r="H5308">
            <v>0</v>
          </cell>
          <cell r="I5308">
            <v>0</v>
          </cell>
          <cell r="J5308">
            <v>0</v>
          </cell>
          <cell r="K5308">
            <v>0</v>
          </cell>
          <cell r="L5308">
            <v>0</v>
          </cell>
        </row>
        <row r="5309">
          <cell r="A5309" t="str">
            <v>20361.01087</v>
          </cell>
          <cell r="B5309" t="str">
            <v>CLE MALE COUDEE TORX</v>
          </cell>
          <cell r="C5309" t="str">
            <v>89.20</v>
          </cell>
          <cell r="D5309" t="str">
            <v>PE</v>
          </cell>
          <cell r="E5309" t="str">
            <v>522.52208</v>
          </cell>
          <cell r="F5309">
            <v>47</v>
          </cell>
          <cell r="G5309">
            <v>0</v>
          </cell>
          <cell r="H5309">
            <v>0</v>
          </cell>
          <cell r="I5309">
            <v>0</v>
          </cell>
          <cell r="J5309">
            <v>0</v>
          </cell>
          <cell r="K5309">
            <v>0</v>
          </cell>
          <cell r="L5309">
            <v>0</v>
          </cell>
        </row>
        <row r="5310">
          <cell r="A5310" t="str">
            <v>20361.01088</v>
          </cell>
          <cell r="B5310" t="str">
            <v>CLE MALE COUDEE TORX</v>
          </cell>
          <cell r="C5310" t="str">
            <v>89.25</v>
          </cell>
          <cell r="D5310" t="str">
            <v>PE</v>
          </cell>
          <cell r="E5310" t="str">
            <v>522.52208</v>
          </cell>
          <cell r="F5310">
            <v>51</v>
          </cell>
          <cell r="G5310">
            <v>0</v>
          </cell>
          <cell r="H5310">
            <v>0</v>
          </cell>
          <cell r="I5310">
            <v>0</v>
          </cell>
          <cell r="J5310">
            <v>0</v>
          </cell>
          <cell r="K5310">
            <v>0</v>
          </cell>
          <cell r="L5310">
            <v>0</v>
          </cell>
        </row>
        <row r="5311">
          <cell r="A5311" t="str">
            <v>20361.01095</v>
          </cell>
          <cell r="B5311" t="str">
            <v>CLE A FRAPPER 80 MM</v>
          </cell>
          <cell r="C5311" t="str">
            <v>51A.80</v>
          </cell>
          <cell r="D5311" t="str">
            <v>PE</v>
          </cell>
          <cell r="E5311" t="str">
            <v>522.52208</v>
          </cell>
          <cell r="F5311">
            <v>3222.1439999999998</v>
          </cell>
          <cell r="G5311">
            <v>0</v>
          </cell>
          <cell r="H5311">
            <v>0</v>
          </cell>
          <cell r="I5311">
            <v>0</v>
          </cell>
          <cell r="J5311">
            <v>0</v>
          </cell>
          <cell r="K5311">
            <v>4</v>
          </cell>
          <cell r="L5311">
            <v>0</v>
          </cell>
        </row>
        <row r="5312">
          <cell r="A5312" t="str">
            <v>20361.01100</v>
          </cell>
          <cell r="B5312" t="str">
            <v>CLE A FOURCHE</v>
          </cell>
          <cell r="C5312" t="str">
            <v>44.16X17</v>
          </cell>
          <cell r="D5312" t="str">
            <v>PE</v>
          </cell>
          <cell r="E5312" t="str">
            <v>522.52208</v>
          </cell>
          <cell r="F5312">
            <v>38</v>
          </cell>
          <cell r="G5312">
            <v>0</v>
          </cell>
          <cell r="H5312">
            <v>0</v>
          </cell>
          <cell r="I5312">
            <v>0</v>
          </cell>
          <cell r="J5312">
            <v>0</v>
          </cell>
          <cell r="K5312">
            <v>0</v>
          </cell>
          <cell r="L5312">
            <v>0</v>
          </cell>
        </row>
        <row r="5313">
          <cell r="A5313" t="str">
            <v>20361.00042</v>
          </cell>
          <cell r="B5313" t="str">
            <v>PINCE CIRCLIPS EXT.</v>
          </cell>
          <cell r="C5313" t="str">
            <v>167E.18</v>
          </cell>
          <cell r="D5313" t="str">
            <v>PE</v>
          </cell>
          <cell r="E5313" t="str">
            <v>522.52208</v>
          </cell>
          <cell r="F5313">
            <v>245.376</v>
          </cell>
          <cell r="G5313">
            <v>0</v>
          </cell>
          <cell r="H5313">
            <v>0</v>
          </cell>
          <cell r="I5313">
            <v>0</v>
          </cell>
          <cell r="J5313">
            <v>0</v>
          </cell>
          <cell r="K5313">
            <v>0</v>
          </cell>
          <cell r="L5313">
            <v>0</v>
          </cell>
        </row>
        <row r="5314">
          <cell r="A5314" t="str">
            <v>20361.00043</v>
          </cell>
          <cell r="B5314" t="str">
            <v>PINCE CIRCLIPS EXT.</v>
          </cell>
          <cell r="C5314" t="str">
            <v>197E.18</v>
          </cell>
          <cell r="D5314" t="str">
            <v>PE</v>
          </cell>
          <cell r="E5314" t="str">
            <v>522.52208</v>
          </cell>
          <cell r="F5314">
            <v>246.52799999999999</v>
          </cell>
          <cell r="G5314">
            <v>0</v>
          </cell>
          <cell r="H5314">
            <v>0</v>
          </cell>
          <cell r="I5314">
            <v>0</v>
          </cell>
          <cell r="J5314">
            <v>0</v>
          </cell>
          <cell r="K5314">
            <v>0</v>
          </cell>
          <cell r="L5314">
            <v>0</v>
          </cell>
        </row>
        <row r="5315">
          <cell r="A5315" t="str">
            <v>20361.00088</v>
          </cell>
          <cell r="B5315" t="str">
            <v>COUPLE CABLE STD</v>
          </cell>
          <cell r="C5315" t="str">
            <v>996-8</v>
          </cell>
          <cell r="D5315" t="str">
            <v>PE</v>
          </cell>
          <cell r="E5315" t="str">
            <v>522.52208</v>
          </cell>
          <cell r="F5315">
            <v>1816.704</v>
          </cell>
          <cell r="G5315">
            <v>0</v>
          </cell>
          <cell r="H5315">
            <v>0</v>
          </cell>
          <cell r="I5315">
            <v>0</v>
          </cell>
          <cell r="J5315">
            <v>0</v>
          </cell>
          <cell r="K5315">
            <v>3</v>
          </cell>
          <cell r="L5315">
            <v>0</v>
          </cell>
        </row>
        <row r="5316">
          <cell r="A5316" t="str">
            <v>20361.00089</v>
          </cell>
          <cell r="B5316" t="str">
            <v>JEU LAMES POUR COUPE-CABL</v>
          </cell>
          <cell r="C5316" t="str">
            <v>996-L8</v>
          </cell>
          <cell r="D5316" t="str">
            <v>PE</v>
          </cell>
          <cell r="E5316" t="str">
            <v>522.52208</v>
          </cell>
          <cell r="F5316">
            <v>1163.52</v>
          </cell>
          <cell r="G5316">
            <v>0</v>
          </cell>
          <cell r="H5316">
            <v>0</v>
          </cell>
          <cell r="I5316">
            <v>0</v>
          </cell>
          <cell r="J5316">
            <v>0</v>
          </cell>
          <cell r="K5316">
            <v>17</v>
          </cell>
          <cell r="L5316">
            <v>0</v>
          </cell>
        </row>
        <row r="5317">
          <cell r="A5317" t="str">
            <v>20361.01902</v>
          </cell>
          <cell r="B5317" t="str">
            <v>MANCHE POUR CLE POLYGONAL</v>
          </cell>
          <cell r="C5317" t="str">
            <v>54.M3B</v>
          </cell>
          <cell r="D5317" t="str">
            <v>PE</v>
          </cell>
          <cell r="E5317" t="str">
            <v>522.52208</v>
          </cell>
          <cell r="F5317">
            <v>532.79999999999995</v>
          </cell>
          <cell r="G5317">
            <v>0</v>
          </cell>
          <cell r="H5317">
            <v>0</v>
          </cell>
          <cell r="I5317">
            <v>0</v>
          </cell>
          <cell r="J5317">
            <v>0</v>
          </cell>
          <cell r="K5317">
            <v>0</v>
          </cell>
          <cell r="L5317">
            <v>0</v>
          </cell>
        </row>
        <row r="5318">
          <cell r="A5318" t="str">
            <v>20361.03206</v>
          </cell>
          <cell r="B5318" t="str">
            <v>CLE A MOLETTE CHROMEE</v>
          </cell>
          <cell r="C5318" t="str">
            <v>113-10 EC</v>
          </cell>
          <cell r="D5318" t="str">
            <v>PE</v>
          </cell>
          <cell r="E5318" t="str">
            <v>522.52208</v>
          </cell>
          <cell r="F5318">
            <v>238.464</v>
          </cell>
          <cell r="G5318">
            <v>0</v>
          </cell>
          <cell r="H5318">
            <v>0</v>
          </cell>
          <cell r="I5318">
            <v>0</v>
          </cell>
          <cell r="J5318">
            <v>0</v>
          </cell>
          <cell r="K5318">
            <v>0</v>
          </cell>
          <cell r="L5318">
            <v>0</v>
          </cell>
        </row>
        <row r="5319">
          <cell r="A5319" t="str">
            <v>20361.03207</v>
          </cell>
          <cell r="B5319" t="str">
            <v>CLE A MOLETTE CHROMEE</v>
          </cell>
          <cell r="C5319" t="str">
            <v>113-12 EC</v>
          </cell>
          <cell r="D5319" t="str">
            <v>PE</v>
          </cell>
          <cell r="E5319" t="str">
            <v>522.52208</v>
          </cell>
          <cell r="F5319">
            <v>347.904</v>
          </cell>
          <cell r="G5319">
            <v>0</v>
          </cell>
          <cell r="H5319">
            <v>0</v>
          </cell>
          <cell r="I5319">
            <v>0</v>
          </cell>
          <cell r="J5319">
            <v>0</v>
          </cell>
          <cell r="K5319">
            <v>0</v>
          </cell>
          <cell r="L5319">
            <v>0</v>
          </cell>
        </row>
        <row r="5320">
          <cell r="A5320" t="str">
            <v>20361.03208</v>
          </cell>
          <cell r="B5320" t="str">
            <v>CLE A MOLETTE CHROMEE</v>
          </cell>
          <cell r="C5320" t="str">
            <v>113-15 EC</v>
          </cell>
          <cell r="D5320" t="str">
            <v>PE</v>
          </cell>
          <cell r="E5320" t="str">
            <v>522.52208</v>
          </cell>
          <cell r="F5320">
            <v>565.63199999999995</v>
          </cell>
          <cell r="G5320">
            <v>0</v>
          </cell>
          <cell r="H5320">
            <v>0</v>
          </cell>
          <cell r="I5320">
            <v>0</v>
          </cell>
          <cell r="J5320">
            <v>0</v>
          </cell>
          <cell r="K5320">
            <v>0</v>
          </cell>
          <cell r="L5320">
            <v>0</v>
          </cell>
        </row>
        <row r="5321">
          <cell r="A5321" t="str">
            <v>20361.02010</v>
          </cell>
          <cell r="B5321" t="str">
            <v>CLE A MOLETTE</v>
          </cell>
          <cell r="C5321" t="str">
            <v>113A.8C</v>
          </cell>
          <cell r="D5321" t="str">
            <v>PE</v>
          </cell>
          <cell r="E5321" t="str">
            <v>522.52208</v>
          </cell>
          <cell r="F5321">
            <v>161</v>
          </cell>
          <cell r="G5321">
            <v>0</v>
          </cell>
          <cell r="H5321">
            <v>0</v>
          </cell>
          <cell r="I5321">
            <v>0</v>
          </cell>
          <cell r="J5321">
            <v>0</v>
          </cell>
          <cell r="K5321">
            <v>0</v>
          </cell>
          <cell r="L5321">
            <v>0</v>
          </cell>
        </row>
        <row r="5322">
          <cell r="A5322" t="str">
            <v>20361.00931</v>
          </cell>
          <cell r="B5322" t="str">
            <v>CLE POLYGONALE CONTRE-COU</v>
          </cell>
          <cell r="C5322" t="str">
            <v>54A.41</v>
          </cell>
          <cell r="D5322" t="str">
            <v>PE</v>
          </cell>
          <cell r="E5322" t="str">
            <v>522.52208</v>
          </cell>
          <cell r="F5322">
            <v>414</v>
          </cell>
          <cell r="G5322">
            <v>0</v>
          </cell>
          <cell r="H5322">
            <v>0</v>
          </cell>
          <cell r="I5322">
            <v>0</v>
          </cell>
          <cell r="J5322">
            <v>0</v>
          </cell>
          <cell r="K5322">
            <v>0</v>
          </cell>
          <cell r="L5322">
            <v>0</v>
          </cell>
        </row>
        <row r="5323">
          <cell r="A5323" t="str">
            <v>20361.00932</v>
          </cell>
          <cell r="B5323" t="str">
            <v>CLE POLYGONALE CONTRE-COU</v>
          </cell>
          <cell r="C5323" t="str">
            <v>54A.46</v>
          </cell>
          <cell r="D5323" t="str">
            <v>PE</v>
          </cell>
          <cell r="E5323" t="str">
            <v>522.52208</v>
          </cell>
          <cell r="F5323">
            <v>486</v>
          </cell>
          <cell r="G5323">
            <v>0</v>
          </cell>
          <cell r="H5323">
            <v>0</v>
          </cell>
          <cell r="I5323">
            <v>0</v>
          </cell>
          <cell r="J5323">
            <v>0</v>
          </cell>
          <cell r="K5323">
            <v>0</v>
          </cell>
          <cell r="L5323">
            <v>0</v>
          </cell>
        </row>
        <row r="5324">
          <cell r="A5324" t="str">
            <v>20361.00933</v>
          </cell>
          <cell r="B5324" t="str">
            <v>CLE POLYGONALE CONTRE-COU</v>
          </cell>
          <cell r="C5324" t="str">
            <v>54A.50</v>
          </cell>
          <cell r="D5324" t="str">
            <v>PE</v>
          </cell>
          <cell r="E5324" t="str">
            <v>522.52208</v>
          </cell>
          <cell r="F5324">
            <v>181.61</v>
          </cell>
          <cell r="G5324">
            <v>0</v>
          </cell>
          <cell r="H5324">
            <v>0</v>
          </cell>
          <cell r="I5324">
            <v>0</v>
          </cell>
          <cell r="J5324">
            <v>0</v>
          </cell>
          <cell r="K5324">
            <v>0</v>
          </cell>
          <cell r="L5324">
            <v>0</v>
          </cell>
        </row>
        <row r="5325">
          <cell r="A5325" t="str">
            <v>20361.00934</v>
          </cell>
          <cell r="B5325" t="str">
            <v>CLE POLYGONALE CONTRE-COU</v>
          </cell>
          <cell r="C5325" t="str">
            <v>54A.55</v>
          </cell>
          <cell r="D5325" t="str">
            <v>PE</v>
          </cell>
          <cell r="E5325" t="str">
            <v>522.52208</v>
          </cell>
          <cell r="F5325">
            <v>260.41399999999999</v>
          </cell>
          <cell r="G5325">
            <v>0</v>
          </cell>
          <cell r="H5325">
            <v>0</v>
          </cell>
          <cell r="I5325">
            <v>0</v>
          </cell>
          <cell r="J5325">
            <v>0</v>
          </cell>
          <cell r="K5325">
            <v>0</v>
          </cell>
          <cell r="L5325">
            <v>0</v>
          </cell>
        </row>
        <row r="5326">
          <cell r="A5326" t="str">
            <v>20361.00476</v>
          </cell>
          <cell r="B5326" t="str">
            <v>DOUIL IMPACT 6P-1 P. 46MM</v>
          </cell>
          <cell r="C5326" t="str">
            <v>NM 46A</v>
          </cell>
          <cell r="D5326" t="str">
            <v>PE</v>
          </cell>
          <cell r="E5326" t="str">
            <v>522.52208</v>
          </cell>
          <cell r="F5326">
            <v>477</v>
          </cell>
          <cell r="G5326">
            <v>0</v>
          </cell>
          <cell r="H5326">
            <v>0</v>
          </cell>
          <cell r="I5326">
            <v>0</v>
          </cell>
          <cell r="J5326">
            <v>0</v>
          </cell>
          <cell r="K5326">
            <v>0</v>
          </cell>
          <cell r="L5326">
            <v>0</v>
          </cell>
        </row>
        <row r="5327">
          <cell r="A5327" t="str">
            <v>20361.00507</v>
          </cell>
          <cell r="B5327" t="str">
            <v>RALLONGE NM 209A</v>
          </cell>
          <cell r="C5327" t="str">
            <v>NM 209A</v>
          </cell>
          <cell r="D5327" t="str">
            <v>PE</v>
          </cell>
          <cell r="E5327" t="str">
            <v>522.52208</v>
          </cell>
          <cell r="F5327">
            <v>598.91999999999996</v>
          </cell>
          <cell r="G5327">
            <v>0</v>
          </cell>
          <cell r="H5327">
            <v>0</v>
          </cell>
          <cell r="I5327">
            <v>0</v>
          </cell>
          <cell r="J5327">
            <v>0</v>
          </cell>
          <cell r="K5327">
            <v>0</v>
          </cell>
          <cell r="L5327">
            <v>0</v>
          </cell>
        </row>
        <row r="5328">
          <cell r="A5328" t="str">
            <v>20361.00472</v>
          </cell>
          <cell r="B5328" t="str">
            <v>DOUIL IMPACT 6P-1 P. 36MM</v>
          </cell>
          <cell r="C5328" t="str">
            <v>NM 36A</v>
          </cell>
          <cell r="D5328" t="str">
            <v>PE</v>
          </cell>
          <cell r="E5328" t="str">
            <v>522.52208</v>
          </cell>
          <cell r="F5328">
            <v>360</v>
          </cell>
          <cell r="G5328">
            <v>0</v>
          </cell>
          <cell r="H5328">
            <v>0</v>
          </cell>
          <cell r="I5328">
            <v>0</v>
          </cell>
          <cell r="J5328">
            <v>0</v>
          </cell>
          <cell r="K5328">
            <v>0</v>
          </cell>
          <cell r="L5328">
            <v>0</v>
          </cell>
        </row>
        <row r="5329">
          <cell r="A5329" t="str">
            <v>20361.00473</v>
          </cell>
          <cell r="B5329" t="str">
            <v>DOUIL IMPACT 6P-1 P. 38MM</v>
          </cell>
          <cell r="C5329" t="str">
            <v>NM.38A</v>
          </cell>
          <cell r="D5329" t="str">
            <v>PE</v>
          </cell>
          <cell r="E5329" t="str">
            <v>522.52208</v>
          </cell>
          <cell r="F5329">
            <v>376</v>
          </cell>
          <cell r="G5329">
            <v>0</v>
          </cell>
          <cell r="H5329">
            <v>0</v>
          </cell>
          <cell r="I5329">
            <v>0</v>
          </cell>
          <cell r="J5329">
            <v>0</v>
          </cell>
          <cell r="K5329">
            <v>0</v>
          </cell>
          <cell r="L5329">
            <v>0</v>
          </cell>
        </row>
        <row r="5330">
          <cell r="A5330" t="str">
            <v>20361.00474</v>
          </cell>
          <cell r="B5330" t="str">
            <v>DOUIL IMPACT 6P-1 P. 41MM</v>
          </cell>
          <cell r="C5330" t="str">
            <v>NM 41 NORMALE</v>
          </cell>
          <cell r="D5330" t="str">
            <v>PE</v>
          </cell>
          <cell r="E5330" t="str">
            <v>522.52208</v>
          </cell>
          <cell r="F5330">
            <v>397</v>
          </cell>
          <cell r="G5330">
            <v>0</v>
          </cell>
          <cell r="H5330">
            <v>0</v>
          </cell>
          <cell r="I5330">
            <v>0</v>
          </cell>
          <cell r="J5330">
            <v>0</v>
          </cell>
          <cell r="K5330">
            <v>0</v>
          </cell>
          <cell r="L5330">
            <v>0</v>
          </cell>
        </row>
        <row r="5331">
          <cell r="A5331" t="str">
            <v>20361.00509</v>
          </cell>
          <cell r="B5331" t="str">
            <v>CLIQUET REVERSIBLE+MANCHE</v>
          </cell>
          <cell r="C5331" t="str">
            <v>K.154</v>
          </cell>
          <cell r="D5331" t="str">
            <v>PE</v>
          </cell>
          <cell r="E5331" t="str">
            <v>522.52208</v>
          </cell>
          <cell r="F5331">
            <v>1078</v>
          </cell>
          <cell r="G5331">
            <v>0</v>
          </cell>
          <cell r="H5331">
            <v>0</v>
          </cell>
          <cell r="I5331">
            <v>0</v>
          </cell>
          <cell r="J5331">
            <v>0</v>
          </cell>
          <cell r="K5331">
            <v>0</v>
          </cell>
          <cell r="L5331">
            <v>0</v>
          </cell>
        </row>
        <row r="5332">
          <cell r="A5332" t="str">
            <v>20361.00511</v>
          </cell>
          <cell r="B5332" t="str">
            <v>DOUILLE 6 PANS NM 34</v>
          </cell>
          <cell r="C5332" t="str">
            <v>NM 34</v>
          </cell>
          <cell r="D5332" t="str">
            <v>PE</v>
          </cell>
          <cell r="E5332" t="str">
            <v>522.52208</v>
          </cell>
          <cell r="F5332">
            <v>365</v>
          </cell>
          <cell r="G5332">
            <v>0</v>
          </cell>
          <cell r="H5332">
            <v>0</v>
          </cell>
          <cell r="I5332">
            <v>0</v>
          </cell>
          <cell r="J5332">
            <v>0</v>
          </cell>
          <cell r="K5332">
            <v>0</v>
          </cell>
          <cell r="L5332">
            <v>0</v>
          </cell>
        </row>
        <row r="5333">
          <cell r="A5333" t="str">
            <v>20361.00671</v>
          </cell>
          <cell r="B5333" t="str">
            <v>CLE A FOURCHE</v>
          </cell>
          <cell r="C5333" t="str">
            <v>45-50</v>
          </cell>
          <cell r="D5333" t="str">
            <v>PE</v>
          </cell>
          <cell r="E5333" t="str">
            <v>522.52208</v>
          </cell>
          <cell r="F5333">
            <v>225.89</v>
          </cell>
          <cell r="G5333">
            <v>0</v>
          </cell>
          <cell r="H5333">
            <v>0</v>
          </cell>
          <cell r="I5333">
            <v>0</v>
          </cell>
          <cell r="J5333">
            <v>0</v>
          </cell>
          <cell r="K5333">
            <v>0</v>
          </cell>
          <cell r="L5333">
            <v>0</v>
          </cell>
        </row>
        <row r="5334">
          <cell r="A5334" t="str">
            <v>20361.00873</v>
          </cell>
          <cell r="B5334" t="str">
            <v>CLE A PIPE DEBOUCHEE</v>
          </cell>
          <cell r="C5334" t="str">
            <v>75.29</v>
          </cell>
          <cell r="D5334" t="str">
            <v>PE</v>
          </cell>
          <cell r="E5334" t="str">
            <v>522.52208</v>
          </cell>
          <cell r="F5334">
            <v>214</v>
          </cell>
          <cell r="G5334">
            <v>0</v>
          </cell>
          <cell r="H5334">
            <v>0</v>
          </cell>
          <cell r="I5334">
            <v>0</v>
          </cell>
          <cell r="J5334">
            <v>0</v>
          </cell>
          <cell r="K5334">
            <v>0</v>
          </cell>
          <cell r="L5334">
            <v>0</v>
          </cell>
        </row>
        <row r="5335">
          <cell r="A5335" t="str">
            <v>20361.00874</v>
          </cell>
          <cell r="B5335" t="str">
            <v>CLE A PIPE DEBOUCHEE</v>
          </cell>
          <cell r="C5335" t="str">
            <v>75.30</v>
          </cell>
          <cell r="D5335" t="str">
            <v>PE</v>
          </cell>
          <cell r="E5335" t="str">
            <v>522.52208</v>
          </cell>
          <cell r="F5335">
            <v>290.2</v>
          </cell>
          <cell r="G5335">
            <v>0</v>
          </cell>
          <cell r="H5335">
            <v>0</v>
          </cell>
          <cell r="I5335">
            <v>0</v>
          </cell>
          <cell r="J5335">
            <v>0</v>
          </cell>
          <cell r="K5335">
            <v>0</v>
          </cell>
          <cell r="L5335">
            <v>0</v>
          </cell>
        </row>
        <row r="5336">
          <cell r="A5336" t="str">
            <v>20361.00876</v>
          </cell>
          <cell r="B5336" t="str">
            <v>CLE A PIPE DEBOUCHEE</v>
          </cell>
          <cell r="C5336" t="str">
            <v>75.32</v>
          </cell>
          <cell r="D5336" t="str">
            <v>PE</v>
          </cell>
          <cell r="E5336" t="str">
            <v>522.52208</v>
          </cell>
          <cell r="F5336">
            <v>307</v>
          </cell>
          <cell r="G5336">
            <v>0</v>
          </cell>
          <cell r="H5336">
            <v>0</v>
          </cell>
          <cell r="I5336">
            <v>0</v>
          </cell>
          <cell r="J5336">
            <v>0</v>
          </cell>
          <cell r="K5336">
            <v>0</v>
          </cell>
          <cell r="L5336">
            <v>0</v>
          </cell>
        </row>
        <row r="5337">
          <cell r="A5337" t="str">
            <v>20361.00903</v>
          </cell>
          <cell r="B5337" t="str">
            <v>MEULE SUR TIDE DIAM 6 MM</v>
          </cell>
          <cell r="C5337" t="str">
            <v>VM.604</v>
          </cell>
          <cell r="D5337" t="str">
            <v>PE</v>
          </cell>
          <cell r="E5337" t="str">
            <v>522.52208</v>
          </cell>
          <cell r="F5337">
            <v>74.599999999999994</v>
          </cell>
          <cell r="G5337">
            <v>0</v>
          </cell>
          <cell r="H5337">
            <v>0</v>
          </cell>
          <cell r="I5337">
            <v>0</v>
          </cell>
          <cell r="J5337">
            <v>0</v>
          </cell>
          <cell r="K5337">
            <v>0</v>
          </cell>
          <cell r="L5337">
            <v>0</v>
          </cell>
        </row>
        <row r="5338">
          <cell r="A5338" t="str">
            <v>20361.04532</v>
          </cell>
          <cell r="B5338" t="str">
            <v>MASSE</v>
          </cell>
          <cell r="C5338" t="str">
            <v>1263-400</v>
          </cell>
          <cell r="D5338" t="str">
            <v>PE</v>
          </cell>
          <cell r="E5338" t="str">
            <v>522.52208</v>
          </cell>
          <cell r="F5338">
            <v>812.16</v>
          </cell>
          <cell r="G5338">
            <v>0</v>
          </cell>
          <cell r="H5338">
            <v>0</v>
          </cell>
          <cell r="I5338">
            <v>0</v>
          </cell>
          <cell r="J5338">
            <v>0</v>
          </cell>
          <cell r="K5338">
            <v>0</v>
          </cell>
          <cell r="L5338">
            <v>0</v>
          </cell>
        </row>
        <row r="5339">
          <cell r="A5339" t="str">
            <v>20361.04659</v>
          </cell>
          <cell r="B5339" t="str">
            <v>POINTEAU</v>
          </cell>
          <cell r="C5339" t="str">
            <v>256. 4</v>
          </cell>
          <cell r="D5339" t="str">
            <v>PE</v>
          </cell>
          <cell r="E5339" t="str">
            <v>522.52208</v>
          </cell>
          <cell r="F5339">
            <v>36</v>
          </cell>
          <cell r="G5339">
            <v>0</v>
          </cell>
          <cell r="H5339">
            <v>0</v>
          </cell>
          <cell r="I5339">
            <v>0</v>
          </cell>
          <cell r="J5339">
            <v>0</v>
          </cell>
          <cell r="K5339">
            <v>0</v>
          </cell>
          <cell r="L5339">
            <v>0</v>
          </cell>
        </row>
        <row r="5340">
          <cell r="A5340" t="str">
            <v>20361.04660</v>
          </cell>
          <cell r="B5340" t="str">
            <v>PINCE A CREMAILLERE POUR CIRCLIPS EXTERIEUR</v>
          </cell>
          <cell r="C5340" t="str">
            <v>477. 32</v>
          </cell>
          <cell r="D5340" t="str">
            <v>PE</v>
          </cell>
          <cell r="E5340" t="str">
            <v>522.52208</v>
          </cell>
          <cell r="F5340">
            <v>624.5</v>
          </cell>
          <cell r="G5340">
            <v>0</v>
          </cell>
          <cell r="H5340">
            <v>0</v>
          </cell>
          <cell r="I5340">
            <v>0</v>
          </cell>
          <cell r="J5340">
            <v>0</v>
          </cell>
          <cell r="K5340">
            <v>0</v>
          </cell>
          <cell r="L5340">
            <v>0</v>
          </cell>
        </row>
        <row r="5341">
          <cell r="A5341" t="str">
            <v>20361.09231</v>
          </cell>
          <cell r="B5341" t="str">
            <v>POIGNEE COULISSANTE 1/2</v>
          </cell>
          <cell r="C5341" t="str">
            <v>S.120</v>
          </cell>
          <cell r="D5341" t="str">
            <v>PE</v>
          </cell>
          <cell r="E5341" t="str">
            <v>522.52208</v>
          </cell>
          <cell r="F5341">
            <v>123.9</v>
          </cell>
          <cell r="G5341">
            <v>0</v>
          </cell>
          <cell r="H5341">
            <v>0</v>
          </cell>
          <cell r="I5341">
            <v>0</v>
          </cell>
          <cell r="J5341">
            <v>0</v>
          </cell>
          <cell r="K5341">
            <v>0</v>
          </cell>
          <cell r="L5341">
            <v>0</v>
          </cell>
        </row>
        <row r="5342">
          <cell r="A5342" t="str">
            <v>20361.02001</v>
          </cell>
          <cell r="B5342" t="str">
            <v>TOURNEVIS + PHILIPS-D.5MM</v>
          </cell>
          <cell r="C5342" t="str">
            <v>AP.1X100</v>
          </cell>
          <cell r="D5342" t="str">
            <v>PE</v>
          </cell>
          <cell r="E5342" t="str">
            <v>522.52208</v>
          </cell>
          <cell r="F5342">
            <v>63.503999999999998</v>
          </cell>
          <cell r="G5342">
            <v>0</v>
          </cell>
          <cell r="H5342">
            <v>0</v>
          </cell>
          <cell r="I5342">
            <v>0</v>
          </cell>
          <cell r="J5342">
            <v>0</v>
          </cell>
          <cell r="K5342">
            <v>0</v>
          </cell>
          <cell r="L5342">
            <v>0</v>
          </cell>
        </row>
        <row r="5343">
          <cell r="A5343" t="str">
            <v>20361.02002</v>
          </cell>
          <cell r="B5343" t="str">
            <v>TOURNEVIS + PHILIPS-D.6,5</v>
          </cell>
          <cell r="C5343" t="str">
            <v>AP.2X125</v>
          </cell>
          <cell r="D5343" t="str">
            <v>PE</v>
          </cell>
          <cell r="E5343" t="str">
            <v>522.52208</v>
          </cell>
          <cell r="F5343">
            <v>71.424000000000007</v>
          </cell>
          <cell r="G5343">
            <v>0</v>
          </cell>
          <cell r="H5343">
            <v>0</v>
          </cell>
          <cell r="I5343">
            <v>0</v>
          </cell>
          <cell r="J5343">
            <v>0</v>
          </cell>
          <cell r="K5343">
            <v>0</v>
          </cell>
          <cell r="L5343">
            <v>0</v>
          </cell>
        </row>
        <row r="5344">
          <cell r="A5344" t="str">
            <v>20361.02003</v>
          </cell>
          <cell r="B5344" t="str">
            <v>TOURNEVIS + PHILIPS-D.8MM</v>
          </cell>
          <cell r="C5344" t="str">
            <v>AP.3X150</v>
          </cell>
          <cell r="D5344" t="str">
            <v>PE</v>
          </cell>
          <cell r="E5344" t="str">
            <v>522.52208</v>
          </cell>
          <cell r="F5344">
            <v>91.14</v>
          </cell>
          <cell r="G5344">
            <v>0</v>
          </cell>
          <cell r="H5344">
            <v>0</v>
          </cell>
          <cell r="I5344">
            <v>0</v>
          </cell>
          <cell r="J5344">
            <v>0</v>
          </cell>
          <cell r="K5344">
            <v>0</v>
          </cell>
          <cell r="L5344">
            <v>0</v>
          </cell>
        </row>
        <row r="5345">
          <cell r="A5345" t="str">
            <v>20361.04666</v>
          </cell>
          <cell r="B5345" t="str">
            <v>LAMES SUPER HSS</v>
          </cell>
          <cell r="C5345" t="str">
            <v>660A.10</v>
          </cell>
          <cell r="D5345" t="str">
            <v>PE</v>
          </cell>
          <cell r="E5345" t="str">
            <v>522.52208</v>
          </cell>
          <cell r="F5345">
            <v>25.9</v>
          </cell>
          <cell r="G5345">
            <v>0</v>
          </cell>
          <cell r="H5345">
            <v>0</v>
          </cell>
          <cell r="I5345">
            <v>0</v>
          </cell>
          <cell r="J5345">
            <v>0</v>
          </cell>
          <cell r="K5345">
            <v>0</v>
          </cell>
          <cell r="L5345">
            <v>0</v>
          </cell>
        </row>
        <row r="5346">
          <cell r="A5346" t="str">
            <v>20361.01612</v>
          </cell>
          <cell r="B5346" t="str">
            <v>PINCE COUPANTE DIAGONALE</v>
          </cell>
          <cell r="C5346" t="str">
            <v>405-10 R</v>
          </cell>
          <cell r="D5346" t="str">
            <v>PE</v>
          </cell>
          <cell r="E5346" t="str">
            <v>522.52208</v>
          </cell>
          <cell r="F5346">
            <v>334.2</v>
          </cell>
          <cell r="G5346">
            <v>0</v>
          </cell>
          <cell r="H5346">
            <v>0</v>
          </cell>
          <cell r="I5346">
            <v>0</v>
          </cell>
          <cell r="J5346">
            <v>0</v>
          </cell>
          <cell r="K5346">
            <v>0</v>
          </cell>
          <cell r="L5346">
            <v>0</v>
          </cell>
        </row>
        <row r="5347">
          <cell r="A5347" t="str">
            <v>20361.00464</v>
          </cell>
          <cell r="B5347" t="str">
            <v>DOUIL IMPACT 6P-1 P. 24MM</v>
          </cell>
          <cell r="C5347" t="str">
            <v>NM 24 NORMALE</v>
          </cell>
          <cell r="D5347" t="str">
            <v>PE</v>
          </cell>
          <cell r="E5347" t="str">
            <v>522.52208</v>
          </cell>
          <cell r="F5347">
            <v>289</v>
          </cell>
          <cell r="G5347">
            <v>0</v>
          </cell>
          <cell r="H5347">
            <v>0</v>
          </cell>
          <cell r="I5347">
            <v>0</v>
          </cell>
          <cell r="J5347">
            <v>0</v>
          </cell>
          <cell r="K5347">
            <v>0</v>
          </cell>
          <cell r="L5347">
            <v>0</v>
          </cell>
        </row>
        <row r="5348">
          <cell r="A5348" t="str">
            <v>20361.00471</v>
          </cell>
          <cell r="B5348" t="str">
            <v>DOUIL IMPACT 6P-1 P. 35MM</v>
          </cell>
          <cell r="C5348" t="str">
            <v>NM 35 NORMALE</v>
          </cell>
          <cell r="D5348" t="str">
            <v>PE</v>
          </cell>
          <cell r="E5348" t="str">
            <v>522.52208</v>
          </cell>
          <cell r="F5348">
            <v>365</v>
          </cell>
          <cell r="G5348">
            <v>0</v>
          </cell>
          <cell r="H5348">
            <v>0</v>
          </cell>
          <cell r="I5348">
            <v>0</v>
          </cell>
          <cell r="J5348">
            <v>0</v>
          </cell>
          <cell r="K5348">
            <v>0</v>
          </cell>
          <cell r="L5348">
            <v>0</v>
          </cell>
        </row>
        <row r="5349">
          <cell r="A5349" t="str">
            <v>20361.00475</v>
          </cell>
          <cell r="B5349" t="str">
            <v>DOUIL IMPACT 6P-1 P. 42MM</v>
          </cell>
          <cell r="C5349" t="str">
            <v>NM 42 NORMALE</v>
          </cell>
          <cell r="D5349" t="str">
            <v>PE</v>
          </cell>
          <cell r="E5349" t="str">
            <v>522.52208</v>
          </cell>
          <cell r="F5349">
            <v>435</v>
          </cell>
          <cell r="G5349">
            <v>0</v>
          </cell>
          <cell r="H5349">
            <v>0</v>
          </cell>
          <cell r="I5349">
            <v>0</v>
          </cell>
          <cell r="J5349">
            <v>0</v>
          </cell>
          <cell r="K5349">
            <v>0</v>
          </cell>
          <cell r="L5349">
            <v>0</v>
          </cell>
        </row>
        <row r="5350">
          <cell r="A5350" t="str">
            <v>20361.00940</v>
          </cell>
          <cell r="B5350" t="str">
            <v>PINCE A CREMAILLERE P/CIR</v>
          </cell>
          <cell r="C5350" t="str">
            <v>479.32</v>
          </cell>
          <cell r="D5350" t="str">
            <v>PE</v>
          </cell>
          <cell r="E5350" t="str">
            <v>522.52208</v>
          </cell>
          <cell r="F5350">
            <v>624.5</v>
          </cell>
          <cell r="G5350">
            <v>0</v>
          </cell>
          <cell r="H5350">
            <v>0</v>
          </cell>
          <cell r="I5350">
            <v>0</v>
          </cell>
          <cell r="J5350">
            <v>0</v>
          </cell>
          <cell r="K5350">
            <v>0</v>
          </cell>
          <cell r="L5350">
            <v>0</v>
          </cell>
        </row>
        <row r="5351">
          <cell r="A5351" t="str">
            <v>20361.03213</v>
          </cell>
          <cell r="B5351" t="str">
            <v>PINCE UNIVERSELLE</v>
          </cell>
          <cell r="C5351" t="str">
            <v>187-16CPY</v>
          </cell>
          <cell r="D5351" t="str">
            <v>PE</v>
          </cell>
          <cell r="E5351" t="str">
            <v>522.52208</v>
          </cell>
          <cell r="F5351">
            <v>169.93199999999999</v>
          </cell>
          <cell r="G5351">
            <v>0</v>
          </cell>
          <cell r="H5351">
            <v>0</v>
          </cell>
          <cell r="I5351">
            <v>0</v>
          </cell>
          <cell r="J5351">
            <v>0</v>
          </cell>
          <cell r="K5351">
            <v>0</v>
          </cell>
          <cell r="L5351">
            <v>0</v>
          </cell>
        </row>
        <row r="5352">
          <cell r="A5352" t="str">
            <v>20361.03221</v>
          </cell>
          <cell r="B5352" t="str">
            <v>CLE POLYGONALE CONTR COUD</v>
          </cell>
          <cell r="C5352" t="str">
            <v>55-12X13</v>
          </cell>
          <cell r="D5352" t="str">
            <v>PE</v>
          </cell>
          <cell r="E5352" t="str">
            <v>522.52208</v>
          </cell>
          <cell r="F5352">
            <v>102.52800000000001</v>
          </cell>
          <cell r="G5352">
            <v>0</v>
          </cell>
          <cell r="H5352">
            <v>0</v>
          </cell>
          <cell r="I5352">
            <v>0</v>
          </cell>
          <cell r="J5352">
            <v>0</v>
          </cell>
          <cell r="K5352">
            <v>0</v>
          </cell>
          <cell r="L5352">
            <v>0</v>
          </cell>
        </row>
        <row r="5353">
          <cell r="A5353" t="str">
            <v>20361.00936</v>
          </cell>
          <cell r="B5353" t="str">
            <v>CLE POLYGONALE CONTRE-COU</v>
          </cell>
          <cell r="C5353" t="str">
            <v>54A.65</v>
          </cell>
          <cell r="D5353" t="str">
            <v>PE</v>
          </cell>
          <cell r="E5353" t="str">
            <v>522.52208</v>
          </cell>
          <cell r="F5353">
            <v>260.21600000000001</v>
          </cell>
          <cell r="G5353">
            <v>0</v>
          </cell>
          <cell r="H5353">
            <v>0</v>
          </cell>
          <cell r="I5353">
            <v>0</v>
          </cell>
          <cell r="J5353">
            <v>0</v>
          </cell>
          <cell r="K5353">
            <v>0</v>
          </cell>
          <cell r="L5353">
            <v>0</v>
          </cell>
        </row>
        <row r="5354">
          <cell r="A5354" t="str">
            <v>20361.00937</v>
          </cell>
          <cell r="B5354" t="str">
            <v>CLE POLYGONALE CONTRE-COU</v>
          </cell>
          <cell r="C5354" t="str">
            <v>54A.70</v>
          </cell>
          <cell r="D5354" t="str">
            <v>PE</v>
          </cell>
          <cell r="E5354" t="str">
            <v>522.52208</v>
          </cell>
          <cell r="F5354">
            <v>325.96300000000002</v>
          </cell>
          <cell r="G5354">
            <v>0</v>
          </cell>
          <cell r="H5354">
            <v>0</v>
          </cell>
          <cell r="I5354">
            <v>0</v>
          </cell>
          <cell r="J5354">
            <v>0</v>
          </cell>
          <cell r="K5354">
            <v>0</v>
          </cell>
          <cell r="L5354">
            <v>0</v>
          </cell>
        </row>
        <row r="5355">
          <cell r="A5355" t="str">
            <v>20361.00960</v>
          </cell>
          <cell r="B5355" t="str">
            <v>FER-A-SOUDE-BI-WAT-25-50W</v>
          </cell>
          <cell r="C5355" t="str">
            <v>1116-BW</v>
          </cell>
          <cell r="D5355" t="str">
            <v>PE</v>
          </cell>
          <cell r="E5355" t="str">
            <v>522.52208</v>
          </cell>
          <cell r="F5355">
            <v>497.5</v>
          </cell>
          <cell r="G5355">
            <v>0</v>
          </cell>
          <cell r="H5355">
            <v>0</v>
          </cell>
          <cell r="I5355">
            <v>0</v>
          </cell>
          <cell r="J5355">
            <v>0</v>
          </cell>
          <cell r="K5355">
            <v>0</v>
          </cell>
          <cell r="L5355">
            <v>0</v>
          </cell>
        </row>
        <row r="5356">
          <cell r="A5356" t="str">
            <v>20361.00274</v>
          </cell>
          <cell r="B5356" t="str">
            <v>LIMES D'ATELIER</v>
          </cell>
          <cell r="C5356" t="str">
            <v>PAM MD 300</v>
          </cell>
          <cell r="D5356" t="str">
            <v>PE</v>
          </cell>
          <cell r="E5356" t="str">
            <v>522.52208</v>
          </cell>
          <cell r="F5356">
            <v>136</v>
          </cell>
          <cell r="G5356">
            <v>0</v>
          </cell>
          <cell r="H5356">
            <v>0</v>
          </cell>
          <cell r="I5356">
            <v>0</v>
          </cell>
          <cell r="J5356">
            <v>0</v>
          </cell>
          <cell r="K5356">
            <v>0</v>
          </cell>
          <cell r="L5356">
            <v>0</v>
          </cell>
        </row>
        <row r="5357">
          <cell r="A5357" t="str">
            <v>20361.00275</v>
          </cell>
          <cell r="B5357" t="str">
            <v>POIGNEE COULIS C3/4</v>
          </cell>
          <cell r="C5357" t="str">
            <v>K 120 A</v>
          </cell>
          <cell r="D5357" t="str">
            <v>PE</v>
          </cell>
          <cell r="E5357" t="str">
            <v>522.52208</v>
          </cell>
          <cell r="F5357">
            <v>337</v>
          </cell>
          <cell r="G5357">
            <v>0</v>
          </cell>
          <cell r="H5357">
            <v>0</v>
          </cell>
          <cell r="I5357">
            <v>0</v>
          </cell>
          <cell r="J5357">
            <v>0</v>
          </cell>
          <cell r="K5357">
            <v>0</v>
          </cell>
          <cell r="L5357">
            <v>0</v>
          </cell>
        </row>
        <row r="5358">
          <cell r="A5358" t="str">
            <v>20361.00277</v>
          </cell>
          <cell r="B5358" t="str">
            <v>LIMES D'ATELIER</v>
          </cell>
          <cell r="C5358" t="str">
            <v>DRD MD 300</v>
          </cell>
          <cell r="D5358" t="str">
            <v>PE</v>
          </cell>
          <cell r="E5358" t="str">
            <v>522.52208</v>
          </cell>
          <cell r="F5358">
            <v>108.64</v>
          </cell>
          <cell r="G5358">
            <v>0</v>
          </cell>
          <cell r="H5358">
            <v>0</v>
          </cell>
          <cell r="I5358">
            <v>0</v>
          </cell>
          <cell r="J5358">
            <v>0</v>
          </cell>
          <cell r="K5358">
            <v>0</v>
          </cell>
          <cell r="L5358">
            <v>0</v>
          </cell>
        </row>
        <row r="5359">
          <cell r="A5359" t="str">
            <v>20361.00283</v>
          </cell>
          <cell r="B5359" t="str">
            <v>MEULE SUR TIGE 30X30</v>
          </cell>
          <cell r="C5359" t="str">
            <v>VM.600</v>
          </cell>
          <cell r="D5359" t="str">
            <v>PE</v>
          </cell>
          <cell r="E5359" t="str">
            <v>522.52208</v>
          </cell>
          <cell r="F5359">
            <v>62.3</v>
          </cell>
          <cell r="G5359">
            <v>0</v>
          </cell>
          <cell r="H5359">
            <v>0</v>
          </cell>
          <cell r="I5359">
            <v>0</v>
          </cell>
          <cell r="J5359">
            <v>0</v>
          </cell>
          <cell r="K5359">
            <v>0</v>
          </cell>
          <cell r="L5359">
            <v>0</v>
          </cell>
        </row>
        <row r="5360">
          <cell r="A5360" t="str">
            <v>20361.00286</v>
          </cell>
          <cell r="B5360" t="str">
            <v>MEULE SUR TIGE 20X20</v>
          </cell>
          <cell r="C5360" t="str">
            <v>VM.622</v>
          </cell>
          <cell r="D5360" t="str">
            <v>PE</v>
          </cell>
          <cell r="E5360" t="str">
            <v>522.52208</v>
          </cell>
          <cell r="F5360">
            <v>58.8</v>
          </cell>
          <cell r="G5360">
            <v>0</v>
          </cell>
          <cell r="H5360">
            <v>0</v>
          </cell>
          <cell r="I5360">
            <v>0</v>
          </cell>
          <cell r="J5360">
            <v>0</v>
          </cell>
          <cell r="K5360">
            <v>0</v>
          </cell>
          <cell r="L5360">
            <v>0</v>
          </cell>
        </row>
        <row r="5361">
          <cell r="A5361" t="str">
            <v>20361.00414</v>
          </cell>
          <cell r="B5361" t="str">
            <v>JAUGE DE FILETAGE METRIQU</v>
          </cell>
          <cell r="C5361" t="str">
            <v>814-M</v>
          </cell>
          <cell r="D5361" t="str">
            <v>PE</v>
          </cell>
          <cell r="E5361" t="str">
            <v>522.52208</v>
          </cell>
          <cell r="F5361">
            <v>97.081999999999994</v>
          </cell>
          <cell r="G5361">
            <v>0</v>
          </cell>
          <cell r="H5361">
            <v>0</v>
          </cell>
          <cell r="I5361">
            <v>0</v>
          </cell>
          <cell r="J5361">
            <v>0</v>
          </cell>
          <cell r="K5361">
            <v>0</v>
          </cell>
          <cell r="L5361">
            <v>0</v>
          </cell>
        </row>
        <row r="5362">
          <cell r="A5362" t="str">
            <v>20361.00120</v>
          </cell>
          <cell r="B5362" t="str">
            <v>CLE MALE LONGUE Ë 6 PANS</v>
          </cell>
          <cell r="C5362" t="str">
            <v>83H.8</v>
          </cell>
          <cell r="D5362" t="str">
            <v>PE</v>
          </cell>
          <cell r="E5362" t="str">
            <v>522.52208</v>
          </cell>
          <cell r="F5362">
            <v>22</v>
          </cell>
          <cell r="G5362">
            <v>0</v>
          </cell>
          <cell r="H5362">
            <v>0</v>
          </cell>
          <cell r="I5362">
            <v>0</v>
          </cell>
          <cell r="J5362">
            <v>0</v>
          </cell>
          <cell r="K5362">
            <v>0</v>
          </cell>
          <cell r="L5362">
            <v>0</v>
          </cell>
        </row>
        <row r="5363">
          <cell r="A5363" t="str">
            <v>20361.00121</v>
          </cell>
          <cell r="B5363" t="str">
            <v>CLE MALE LONGUE Ë 6 PANS</v>
          </cell>
          <cell r="C5363" t="str">
            <v>83H.10</v>
          </cell>
          <cell r="D5363" t="str">
            <v>PE</v>
          </cell>
          <cell r="E5363" t="str">
            <v>522.52208</v>
          </cell>
          <cell r="F5363">
            <v>32</v>
          </cell>
          <cell r="G5363">
            <v>0</v>
          </cell>
          <cell r="H5363">
            <v>0</v>
          </cell>
          <cell r="I5363">
            <v>0</v>
          </cell>
          <cell r="J5363">
            <v>0</v>
          </cell>
          <cell r="K5363">
            <v>0</v>
          </cell>
          <cell r="L5363">
            <v>0</v>
          </cell>
        </row>
        <row r="5364">
          <cell r="A5364" t="str">
            <v>20361.00122</v>
          </cell>
          <cell r="B5364" t="str">
            <v>CLE MALE LONGUE A 6 PANS</v>
          </cell>
          <cell r="C5364" t="str">
            <v>83H.12</v>
          </cell>
          <cell r="D5364" t="str">
            <v>PE</v>
          </cell>
          <cell r="E5364" t="str">
            <v>522.52208</v>
          </cell>
          <cell r="F5364">
            <v>41</v>
          </cell>
          <cell r="G5364">
            <v>0</v>
          </cell>
          <cell r="H5364">
            <v>0</v>
          </cell>
          <cell r="I5364">
            <v>0</v>
          </cell>
          <cell r="J5364">
            <v>0</v>
          </cell>
          <cell r="K5364">
            <v>0</v>
          </cell>
          <cell r="L5364">
            <v>0</v>
          </cell>
        </row>
        <row r="5365">
          <cell r="A5365" t="str">
            <v>20361.00123</v>
          </cell>
          <cell r="B5365" t="str">
            <v>CLE MALE LONGUE A 6 PANS</v>
          </cell>
          <cell r="C5365" t="str">
            <v>83H.14</v>
          </cell>
          <cell r="D5365" t="str">
            <v>PE</v>
          </cell>
          <cell r="E5365" t="str">
            <v>522.52208</v>
          </cell>
          <cell r="F5365">
            <v>57</v>
          </cell>
          <cell r="G5365">
            <v>0</v>
          </cell>
          <cell r="H5365">
            <v>0</v>
          </cell>
          <cell r="I5365">
            <v>0</v>
          </cell>
          <cell r="J5365">
            <v>0</v>
          </cell>
          <cell r="K5365">
            <v>0</v>
          </cell>
          <cell r="L5365">
            <v>0</v>
          </cell>
        </row>
        <row r="5366">
          <cell r="A5366" t="str">
            <v>20361.00704</v>
          </cell>
          <cell r="B5366" t="str">
            <v>CLE MIXTE COUDEE</v>
          </cell>
          <cell r="C5366" t="str">
            <v>41.7</v>
          </cell>
          <cell r="D5366" t="str">
            <v>PE</v>
          </cell>
          <cell r="E5366" t="str">
            <v>522.52208</v>
          </cell>
          <cell r="F5366">
            <v>62.4</v>
          </cell>
          <cell r="G5366">
            <v>0</v>
          </cell>
          <cell r="H5366">
            <v>0</v>
          </cell>
          <cell r="I5366">
            <v>0</v>
          </cell>
          <cell r="J5366">
            <v>0</v>
          </cell>
          <cell r="K5366">
            <v>0</v>
          </cell>
          <cell r="L5366">
            <v>0</v>
          </cell>
        </row>
        <row r="5367">
          <cell r="A5367" t="str">
            <v>20361.00228</v>
          </cell>
          <cell r="B5367" t="str">
            <v>JEU DE CLES MALES</v>
          </cell>
          <cell r="C5367" t="str">
            <v>82H.JU13</v>
          </cell>
          <cell r="D5367" t="str">
            <v>PE</v>
          </cell>
          <cell r="E5367" t="str">
            <v>522.52208</v>
          </cell>
          <cell r="F5367">
            <v>430.84800000000001</v>
          </cell>
          <cell r="G5367">
            <v>0</v>
          </cell>
          <cell r="H5367">
            <v>0</v>
          </cell>
          <cell r="I5367">
            <v>0</v>
          </cell>
          <cell r="J5367">
            <v>0</v>
          </cell>
          <cell r="K5367">
            <v>0</v>
          </cell>
          <cell r="L5367">
            <v>0</v>
          </cell>
        </row>
        <row r="5368">
          <cell r="A5368" t="str">
            <v>20361.00705</v>
          </cell>
          <cell r="B5368" t="str">
            <v>CLE MIXTE COUDEE</v>
          </cell>
          <cell r="C5368" t="str">
            <v>41.8</v>
          </cell>
          <cell r="D5368" t="str">
            <v>PE</v>
          </cell>
          <cell r="E5368" t="str">
            <v>522.52208</v>
          </cell>
          <cell r="F5368">
            <v>69.599999999999994</v>
          </cell>
          <cell r="G5368">
            <v>0</v>
          </cell>
          <cell r="H5368">
            <v>0</v>
          </cell>
          <cell r="I5368">
            <v>0</v>
          </cell>
          <cell r="J5368">
            <v>0</v>
          </cell>
          <cell r="K5368">
            <v>0</v>
          </cell>
          <cell r="L5368">
            <v>0</v>
          </cell>
        </row>
        <row r="5369">
          <cell r="A5369" t="str">
            <v>20361.00706</v>
          </cell>
          <cell r="B5369" t="str">
            <v>CLE MIXTE COUDEE</v>
          </cell>
          <cell r="C5369" t="str">
            <v>41.9</v>
          </cell>
          <cell r="D5369" t="str">
            <v>PE</v>
          </cell>
          <cell r="E5369" t="str">
            <v>522.52208</v>
          </cell>
          <cell r="F5369">
            <v>72</v>
          </cell>
          <cell r="G5369">
            <v>0</v>
          </cell>
          <cell r="H5369">
            <v>0</v>
          </cell>
          <cell r="I5369">
            <v>0</v>
          </cell>
          <cell r="J5369">
            <v>0</v>
          </cell>
          <cell r="K5369">
            <v>0</v>
          </cell>
          <cell r="L5369">
            <v>0</v>
          </cell>
        </row>
        <row r="5370">
          <cell r="A5370" t="str">
            <v>20361.00249</v>
          </cell>
          <cell r="B5370" t="str">
            <v>MASSE DE 1,5 KG</v>
          </cell>
          <cell r="C5370" t="str">
            <v>1262.100</v>
          </cell>
          <cell r="D5370" t="str">
            <v>PE</v>
          </cell>
          <cell r="E5370" t="str">
            <v>522.52208</v>
          </cell>
          <cell r="F5370">
            <v>232</v>
          </cell>
          <cell r="G5370">
            <v>0</v>
          </cell>
          <cell r="H5370">
            <v>0</v>
          </cell>
          <cell r="I5370">
            <v>0</v>
          </cell>
          <cell r="J5370">
            <v>0</v>
          </cell>
          <cell r="K5370">
            <v>0</v>
          </cell>
          <cell r="L5370">
            <v>0</v>
          </cell>
        </row>
        <row r="5371">
          <cell r="A5371" t="str">
            <v>20361.00253</v>
          </cell>
          <cell r="B5371" t="str">
            <v>RALLONGE 250MM</v>
          </cell>
          <cell r="C5371" t="str">
            <v>J.215</v>
          </cell>
          <cell r="D5371" t="str">
            <v>PE</v>
          </cell>
          <cell r="E5371" t="str">
            <v>522.52208</v>
          </cell>
          <cell r="F5371">
            <v>99.96</v>
          </cell>
          <cell r="G5371">
            <v>0</v>
          </cell>
          <cell r="H5371">
            <v>0</v>
          </cell>
          <cell r="I5371">
            <v>0</v>
          </cell>
          <cell r="J5371">
            <v>0</v>
          </cell>
          <cell r="K5371">
            <v>0</v>
          </cell>
          <cell r="L5371">
            <v>0</v>
          </cell>
        </row>
        <row r="5372">
          <cell r="A5372" t="str">
            <v>20361.00869</v>
          </cell>
          <cell r="B5372" t="str">
            <v>CLE A PIPE DEBOUCHEE</v>
          </cell>
          <cell r="C5372" t="str">
            <v>75.25</v>
          </cell>
          <cell r="D5372" t="str">
            <v>PE</v>
          </cell>
          <cell r="E5372" t="str">
            <v>522.52208</v>
          </cell>
          <cell r="F5372">
            <v>163</v>
          </cell>
          <cell r="G5372">
            <v>0</v>
          </cell>
          <cell r="H5372">
            <v>0</v>
          </cell>
          <cell r="I5372">
            <v>0</v>
          </cell>
          <cell r="J5372">
            <v>0</v>
          </cell>
          <cell r="K5372">
            <v>0</v>
          </cell>
          <cell r="L5372">
            <v>0</v>
          </cell>
        </row>
        <row r="5373">
          <cell r="A5373" t="str">
            <v>20361.00870</v>
          </cell>
          <cell r="B5373" t="str">
            <v>CLE A PIPE DEBOUCHEE</v>
          </cell>
          <cell r="C5373" t="str">
            <v>75.26</v>
          </cell>
          <cell r="D5373" t="str">
            <v>PE</v>
          </cell>
          <cell r="E5373" t="str">
            <v>522.52208</v>
          </cell>
          <cell r="F5373">
            <v>179</v>
          </cell>
          <cell r="G5373">
            <v>0</v>
          </cell>
          <cell r="H5373">
            <v>0</v>
          </cell>
          <cell r="I5373">
            <v>0</v>
          </cell>
          <cell r="J5373">
            <v>0</v>
          </cell>
          <cell r="K5373">
            <v>0</v>
          </cell>
          <cell r="L5373">
            <v>0</v>
          </cell>
        </row>
        <row r="5374">
          <cell r="A5374" t="str">
            <v>20361.00871</v>
          </cell>
          <cell r="B5374" t="str">
            <v>CLE A PIPE DEBOUCHEE</v>
          </cell>
          <cell r="C5374" t="str">
            <v>75.27</v>
          </cell>
          <cell r="D5374" t="str">
            <v>PE</v>
          </cell>
          <cell r="E5374" t="str">
            <v>522.52208</v>
          </cell>
          <cell r="F5374">
            <v>188</v>
          </cell>
          <cell r="G5374">
            <v>0</v>
          </cell>
          <cell r="H5374">
            <v>0</v>
          </cell>
          <cell r="I5374">
            <v>0</v>
          </cell>
          <cell r="J5374">
            <v>0</v>
          </cell>
          <cell r="K5374">
            <v>0</v>
          </cell>
          <cell r="L5374">
            <v>0</v>
          </cell>
        </row>
        <row r="5375">
          <cell r="A5375" t="str">
            <v>20361.00872</v>
          </cell>
          <cell r="B5375" t="str">
            <v>CLE A PIPE DEBOUCHEE</v>
          </cell>
          <cell r="C5375" t="str">
            <v>75.28</v>
          </cell>
          <cell r="D5375" t="str">
            <v>PE</v>
          </cell>
          <cell r="E5375" t="str">
            <v>522.52208</v>
          </cell>
          <cell r="F5375">
            <v>201</v>
          </cell>
          <cell r="G5375">
            <v>0</v>
          </cell>
          <cell r="H5375">
            <v>0</v>
          </cell>
          <cell r="I5375">
            <v>0</v>
          </cell>
          <cell r="J5375">
            <v>0</v>
          </cell>
          <cell r="K5375">
            <v>0</v>
          </cell>
          <cell r="L5375">
            <v>0</v>
          </cell>
        </row>
        <row r="5376">
          <cell r="A5376" t="str">
            <v>20361.00030</v>
          </cell>
          <cell r="B5376" t="str">
            <v>POINTEAU</v>
          </cell>
          <cell r="C5376" t="str">
            <v>256.8</v>
          </cell>
          <cell r="D5376" t="str">
            <v>PE</v>
          </cell>
          <cell r="E5376" t="str">
            <v>522.52208</v>
          </cell>
          <cell r="F5376">
            <v>48</v>
          </cell>
          <cell r="G5376">
            <v>0</v>
          </cell>
          <cell r="H5376">
            <v>0</v>
          </cell>
          <cell r="I5376">
            <v>0</v>
          </cell>
          <cell r="J5376">
            <v>0</v>
          </cell>
          <cell r="K5376">
            <v>0</v>
          </cell>
          <cell r="L5376">
            <v>0</v>
          </cell>
        </row>
        <row r="5377">
          <cell r="A5377" t="str">
            <v>20361.01308</v>
          </cell>
          <cell r="B5377" t="str">
            <v>CLE POLYGONALE A FRAPPER</v>
          </cell>
          <cell r="C5377" t="str">
            <v>50.60.2'3/8</v>
          </cell>
          <cell r="D5377" t="str">
            <v>PE</v>
          </cell>
          <cell r="E5377" t="str">
            <v>522.52208</v>
          </cell>
          <cell r="F5377">
            <v>1225.7280000000001</v>
          </cell>
          <cell r="G5377">
            <v>0</v>
          </cell>
          <cell r="H5377">
            <v>0</v>
          </cell>
          <cell r="I5377">
            <v>0</v>
          </cell>
          <cell r="J5377">
            <v>0</v>
          </cell>
          <cell r="K5377">
            <v>2</v>
          </cell>
          <cell r="L5377">
            <v>0</v>
          </cell>
        </row>
        <row r="5378">
          <cell r="A5378" t="str">
            <v>20361.01309</v>
          </cell>
          <cell r="B5378" t="str">
            <v>CLE POLYGONALE A FRAPPER</v>
          </cell>
          <cell r="C5378" t="str">
            <v>50.65.2'9/16</v>
          </cell>
          <cell r="D5378" t="str">
            <v>PE</v>
          </cell>
          <cell r="E5378" t="str">
            <v>522.52208</v>
          </cell>
          <cell r="F5378">
            <v>1228.0319999999999</v>
          </cell>
          <cell r="G5378">
            <v>0</v>
          </cell>
          <cell r="H5378">
            <v>0</v>
          </cell>
          <cell r="I5378">
            <v>0</v>
          </cell>
          <cell r="J5378">
            <v>0</v>
          </cell>
          <cell r="K5378">
            <v>6</v>
          </cell>
          <cell r="L5378">
            <v>0</v>
          </cell>
        </row>
        <row r="5379">
          <cell r="A5379" t="str">
            <v>20361.04943</v>
          </cell>
          <cell r="B5379" t="str">
            <v>CLE MIXTE 19</v>
          </cell>
          <cell r="C5379" t="str">
            <v>440.19</v>
          </cell>
          <cell r="D5379" t="str">
            <v>PE</v>
          </cell>
          <cell r="E5379" t="str">
            <v>522.52208</v>
          </cell>
          <cell r="F5379">
            <v>79.5</v>
          </cell>
          <cell r="G5379">
            <v>0</v>
          </cell>
          <cell r="H5379">
            <v>0</v>
          </cell>
          <cell r="I5379">
            <v>0</v>
          </cell>
          <cell r="J5379">
            <v>0</v>
          </cell>
          <cell r="K5379">
            <v>0</v>
          </cell>
          <cell r="L5379">
            <v>0</v>
          </cell>
        </row>
        <row r="5380">
          <cell r="A5380" t="str">
            <v>20361.04946</v>
          </cell>
          <cell r="B5380" t="str">
            <v>CLE MIXTE 22</v>
          </cell>
          <cell r="C5380" t="str">
            <v>440.22</v>
          </cell>
          <cell r="D5380" t="str">
            <v>PE</v>
          </cell>
          <cell r="E5380" t="str">
            <v>522.52208</v>
          </cell>
          <cell r="F5380">
            <v>93.9</v>
          </cell>
          <cell r="G5380">
            <v>0</v>
          </cell>
          <cell r="H5380">
            <v>0</v>
          </cell>
          <cell r="I5380">
            <v>0</v>
          </cell>
          <cell r="J5380">
            <v>0</v>
          </cell>
          <cell r="K5380">
            <v>0</v>
          </cell>
          <cell r="L5380">
            <v>0</v>
          </cell>
        </row>
        <row r="5381">
          <cell r="A5381" t="str">
            <v>20212.10306</v>
          </cell>
          <cell r="B5381" t="str">
            <v>SOUPAGE</v>
          </cell>
          <cell r="C5381" t="str">
            <v>0832 1000 79</v>
          </cell>
          <cell r="D5381" t="str">
            <v>PE</v>
          </cell>
          <cell r="E5381" t="str">
            <v>515.51504</v>
          </cell>
          <cell r="F5381">
            <v>1160.1080999999999</v>
          </cell>
          <cell r="G5381">
            <v>0</v>
          </cell>
          <cell r="H5381">
            <v>0</v>
          </cell>
          <cell r="I5381">
            <v>0</v>
          </cell>
          <cell r="J5381">
            <v>0</v>
          </cell>
          <cell r="K5381">
            <v>0</v>
          </cell>
          <cell r="L5381">
            <v>2</v>
          </cell>
        </row>
        <row r="5382">
          <cell r="A5382" t="str">
            <v>20212.10307</v>
          </cell>
          <cell r="B5382" t="str">
            <v>ELEMENT</v>
          </cell>
          <cell r="C5382" t="str">
            <v>1616 6712 90</v>
          </cell>
          <cell r="D5382" t="str">
            <v>PE</v>
          </cell>
          <cell r="E5382" t="str">
            <v>515.51504</v>
          </cell>
          <cell r="F5382">
            <v>42751.839</v>
          </cell>
          <cell r="G5382">
            <v>0</v>
          </cell>
          <cell r="H5382">
            <v>0</v>
          </cell>
          <cell r="I5382">
            <v>0</v>
          </cell>
          <cell r="J5382">
            <v>0</v>
          </cell>
          <cell r="K5382">
            <v>0</v>
          </cell>
          <cell r="L5382">
            <v>1</v>
          </cell>
        </row>
        <row r="5383">
          <cell r="A5383" t="str">
            <v>20212.10308</v>
          </cell>
          <cell r="B5383" t="str">
            <v>PIGNON</v>
          </cell>
          <cell r="C5383" t="str">
            <v>1603 0702 68</v>
          </cell>
          <cell r="D5383" t="str">
            <v>PE</v>
          </cell>
          <cell r="E5383" t="str">
            <v>515.51504</v>
          </cell>
          <cell r="F5383">
            <v>2237.3038999999999</v>
          </cell>
          <cell r="G5383">
            <v>0</v>
          </cell>
          <cell r="H5383">
            <v>0</v>
          </cell>
          <cell r="I5383">
            <v>0</v>
          </cell>
          <cell r="J5383">
            <v>0</v>
          </cell>
          <cell r="K5383">
            <v>0</v>
          </cell>
          <cell r="L5383">
            <v>1</v>
          </cell>
        </row>
        <row r="5384">
          <cell r="A5384" t="str">
            <v>20212.10309</v>
          </cell>
          <cell r="B5384" t="str">
            <v>RADIATEUR</v>
          </cell>
          <cell r="C5384" t="str">
            <v>1622 3929 00</v>
          </cell>
          <cell r="D5384" t="str">
            <v>PE</v>
          </cell>
          <cell r="E5384" t="str">
            <v>515.51504</v>
          </cell>
          <cell r="F5384">
            <v>12043.5772</v>
          </cell>
          <cell r="G5384">
            <v>0</v>
          </cell>
          <cell r="H5384">
            <v>0</v>
          </cell>
          <cell r="I5384">
            <v>0</v>
          </cell>
          <cell r="J5384">
            <v>0</v>
          </cell>
          <cell r="K5384">
            <v>0</v>
          </cell>
          <cell r="L5384">
            <v>1</v>
          </cell>
        </row>
        <row r="5385">
          <cell r="A5385" t="str">
            <v>20212.10310</v>
          </cell>
          <cell r="B5385" t="str">
            <v>KIT FILTRE</v>
          </cell>
          <cell r="C5385" t="str">
            <v>2901 0695 01</v>
          </cell>
          <cell r="D5385" t="str">
            <v>PE</v>
          </cell>
          <cell r="E5385" t="str">
            <v>515.51504</v>
          </cell>
          <cell r="F5385">
            <v>555.4769</v>
          </cell>
          <cell r="G5385">
            <v>0</v>
          </cell>
          <cell r="H5385">
            <v>0</v>
          </cell>
          <cell r="I5385">
            <v>0</v>
          </cell>
          <cell r="J5385">
            <v>0</v>
          </cell>
          <cell r="K5385">
            <v>0</v>
          </cell>
          <cell r="L5385">
            <v>4</v>
          </cell>
        </row>
        <row r="5386">
          <cell r="A5386" t="str">
            <v>20361.02446</v>
          </cell>
          <cell r="B5386" t="str">
            <v>CLE 4 EMPRINTES P/ARMOIRES</v>
          </cell>
          <cell r="C5386">
            <v>985548</v>
          </cell>
          <cell r="D5386" t="str">
            <v>PE</v>
          </cell>
          <cell r="E5386" t="str">
            <v>522.52208</v>
          </cell>
          <cell r="F5386">
            <v>171.3</v>
          </cell>
          <cell r="G5386">
            <v>0</v>
          </cell>
          <cell r="H5386">
            <v>0</v>
          </cell>
          <cell r="I5386">
            <v>0</v>
          </cell>
          <cell r="J5386">
            <v>0</v>
          </cell>
          <cell r="K5386">
            <v>0</v>
          </cell>
          <cell r="L5386">
            <v>0</v>
          </cell>
        </row>
        <row r="5387">
          <cell r="A5387" t="str">
            <v>20212.10300</v>
          </cell>
          <cell r="B5387" t="str">
            <v>ROULEMENT</v>
          </cell>
          <cell r="C5387" t="str">
            <v>0502 1090 86</v>
          </cell>
          <cell r="D5387" t="str">
            <v>PE</v>
          </cell>
          <cell r="E5387" t="str">
            <v>515.51504</v>
          </cell>
          <cell r="F5387">
            <v>1268.1507999999999</v>
          </cell>
          <cell r="G5387">
            <v>0</v>
          </cell>
          <cell r="H5387">
            <v>0</v>
          </cell>
          <cell r="I5387">
            <v>0</v>
          </cell>
          <cell r="J5387">
            <v>0</v>
          </cell>
          <cell r="K5387">
            <v>0</v>
          </cell>
          <cell r="L5387">
            <v>1</v>
          </cell>
        </row>
        <row r="5388">
          <cell r="A5388" t="str">
            <v>20212.10301</v>
          </cell>
          <cell r="B5388" t="str">
            <v>SOUPAGE</v>
          </cell>
          <cell r="C5388" t="str">
            <v>0830 1008 23</v>
          </cell>
          <cell r="D5388" t="str">
            <v>PE</v>
          </cell>
          <cell r="E5388" t="str">
            <v>515.51504</v>
          </cell>
          <cell r="F5388">
            <v>6313.4781999999996</v>
          </cell>
          <cell r="G5388">
            <v>0</v>
          </cell>
          <cell r="H5388">
            <v>0</v>
          </cell>
          <cell r="I5388">
            <v>0</v>
          </cell>
          <cell r="J5388">
            <v>0</v>
          </cell>
          <cell r="K5388">
            <v>0</v>
          </cell>
          <cell r="L5388">
            <v>1</v>
          </cell>
        </row>
        <row r="5389">
          <cell r="A5389" t="str">
            <v>20212.10302</v>
          </cell>
          <cell r="B5389" t="str">
            <v>VIS</v>
          </cell>
          <cell r="C5389" t="str">
            <v>0147 1368 03</v>
          </cell>
          <cell r="D5389" t="str">
            <v>PE</v>
          </cell>
          <cell r="E5389" t="str">
            <v>515.51504</v>
          </cell>
          <cell r="F5389">
            <v>5.2365000000000004</v>
          </cell>
          <cell r="G5389">
            <v>0</v>
          </cell>
          <cell r="H5389">
            <v>0</v>
          </cell>
          <cell r="I5389">
            <v>0</v>
          </cell>
          <cell r="J5389">
            <v>0</v>
          </cell>
          <cell r="K5389">
            <v>0</v>
          </cell>
          <cell r="L5389">
            <v>2</v>
          </cell>
        </row>
        <row r="5390">
          <cell r="A5390" t="str">
            <v>20212.10303</v>
          </cell>
          <cell r="B5390" t="str">
            <v>ESPACEUR</v>
          </cell>
          <cell r="C5390" t="str">
            <v>01622 0138 00</v>
          </cell>
          <cell r="D5390" t="str">
            <v>PE</v>
          </cell>
          <cell r="E5390" t="str">
            <v>515.51504</v>
          </cell>
          <cell r="F5390">
            <v>456.86</v>
          </cell>
          <cell r="G5390">
            <v>0</v>
          </cell>
          <cell r="H5390">
            <v>0</v>
          </cell>
          <cell r="I5390">
            <v>0</v>
          </cell>
          <cell r="J5390">
            <v>0</v>
          </cell>
          <cell r="K5390">
            <v>1</v>
          </cell>
          <cell r="L5390">
            <v>1</v>
          </cell>
        </row>
        <row r="5391">
          <cell r="A5391" t="str">
            <v>20212.10305</v>
          </cell>
          <cell r="B5391" t="str">
            <v>JOINT</v>
          </cell>
          <cell r="C5391" t="str">
            <v>0663 2111 35</v>
          </cell>
          <cell r="D5391" t="str">
            <v>PE</v>
          </cell>
          <cell r="E5391" t="str">
            <v>515.51504</v>
          </cell>
          <cell r="F5391">
            <v>10.16</v>
          </cell>
          <cell r="G5391">
            <v>0</v>
          </cell>
          <cell r="H5391">
            <v>0</v>
          </cell>
          <cell r="I5391">
            <v>0</v>
          </cell>
          <cell r="J5391">
            <v>0</v>
          </cell>
          <cell r="K5391">
            <v>6</v>
          </cell>
          <cell r="L5391">
            <v>6</v>
          </cell>
        </row>
        <row r="5392">
          <cell r="A5392" t="str">
            <v>20212.10325</v>
          </cell>
          <cell r="B5392" t="str">
            <v>JOINT</v>
          </cell>
          <cell r="C5392" t="str">
            <v>1616 6126 00</v>
          </cell>
          <cell r="D5392" t="str">
            <v>PE</v>
          </cell>
          <cell r="E5392" t="str">
            <v>515.51504</v>
          </cell>
          <cell r="F5392">
            <v>1592.9281000000001</v>
          </cell>
          <cell r="G5392">
            <v>0</v>
          </cell>
          <cell r="H5392">
            <v>0</v>
          </cell>
          <cell r="I5392">
            <v>0</v>
          </cell>
          <cell r="J5392">
            <v>0</v>
          </cell>
          <cell r="K5392">
            <v>0</v>
          </cell>
          <cell r="L5392">
            <v>1</v>
          </cell>
        </row>
        <row r="5393">
          <cell r="A5393" t="str">
            <v>20212.10326</v>
          </cell>
          <cell r="B5393" t="str">
            <v>BAGUE</v>
          </cell>
          <cell r="C5393" t="str">
            <v>1616 5439 00</v>
          </cell>
          <cell r="D5393" t="str">
            <v>PE</v>
          </cell>
          <cell r="E5393" t="str">
            <v>515.51504</v>
          </cell>
          <cell r="F5393">
            <v>1527.7885000000001</v>
          </cell>
          <cell r="G5393">
            <v>0</v>
          </cell>
          <cell r="H5393">
            <v>0</v>
          </cell>
          <cell r="I5393">
            <v>0</v>
          </cell>
          <cell r="J5393">
            <v>0</v>
          </cell>
          <cell r="K5393">
            <v>0</v>
          </cell>
          <cell r="L5393">
            <v>1</v>
          </cell>
        </row>
        <row r="5394">
          <cell r="A5394" t="str">
            <v>20212.10327</v>
          </cell>
          <cell r="B5394" t="str">
            <v>CAPTEUR</v>
          </cell>
          <cell r="C5394" t="str">
            <v>1089 9625 35</v>
          </cell>
          <cell r="D5394" t="str">
            <v>PE</v>
          </cell>
          <cell r="E5394" t="str">
            <v>515.51504</v>
          </cell>
          <cell r="F5394">
            <v>1194.2070000000001</v>
          </cell>
          <cell r="G5394">
            <v>0</v>
          </cell>
          <cell r="H5394">
            <v>0</v>
          </cell>
          <cell r="I5394">
            <v>0</v>
          </cell>
          <cell r="J5394">
            <v>0</v>
          </cell>
          <cell r="K5394">
            <v>0</v>
          </cell>
          <cell r="L5394">
            <v>2</v>
          </cell>
        </row>
        <row r="5395">
          <cell r="A5395" t="str">
            <v>20358.00526</v>
          </cell>
          <cell r="B5395" t="str">
            <v>EQUERRE SUPPORT</v>
          </cell>
          <cell r="C5395">
            <v>88100049</v>
          </cell>
          <cell r="D5395" t="str">
            <v>PE</v>
          </cell>
          <cell r="E5395" t="str">
            <v>522.52209</v>
          </cell>
          <cell r="F5395">
            <v>259.827</v>
          </cell>
          <cell r="G5395">
            <v>0</v>
          </cell>
          <cell r="H5395">
            <v>0</v>
          </cell>
          <cell r="I5395">
            <v>0</v>
          </cell>
          <cell r="J5395">
            <v>0</v>
          </cell>
          <cell r="K5395">
            <v>0</v>
          </cell>
          <cell r="L5395">
            <v>2</v>
          </cell>
        </row>
        <row r="5396">
          <cell r="A5396" t="str">
            <v>20212.10328</v>
          </cell>
          <cell r="B5396" t="str">
            <v>MODEM</v>
          </cell>
          <cell r="C5396" t="str">
            <v>1900 0711 42</v>
          </cell>
          <cell r="D5396" t="str">
            <v>PE</v>
          </cell>
          <cell r="E5396" t="str">
            <v>515.51504</v>
          </cell>
          <cell r="F5396">
            <v>11915.4846</v>
          </cell>
          <cell r="G5396">
            <v>0</v>
          </cell>
          <cell r="H5396">
            <v>0</v>
          </cell>
          <cell r="I5396">
            <v>0</v>
          </cell>
          <cell r="J5396">
            <v>0</v>
          </cell>
          <cell r="K5396">
            <v>0</v>
          </cell>
          <cell r="L5396">
            <v>1</v>
          </cell>
        </row>
        <row r="5397">
          <cell r="A5397" t="str">
            <v>20358.00527</v>
          </cell>
          <cell r="B5397" t="str">
            <v>ELECTROVANNE A COMMANDE DIRECTE 24V DC</v>
          </cell>
          <cell r="C5397" t="str">
            <v>SCG327A001</v>
          </cell>
          <cell r="D5397" t="str">
            <v>PE</v>
          </cell>
          <cell r="E5397" t="str">
            <v>522.52209</v>
          </cell>
          <cell r="F5397">
            <v>2635.0129999999999</v>
          </cell>
          <cell r="G5397">
            <v>0</v>
          </cell>
          <cell r="H5397">
            <v>0</v>
          </cell>
          <cell r="I5397">
            <v>0</v>
          </cell>
          <cell r="J5397">
            <v>0</v>
          </cell>
          <cell r="K5397">
            <v>0</v>
          </cell>
          <cell r="L5397">
            <v>2</v>
          </cell>
        </row>
        <row r="5398">
          <cell r="A5398" t="str">
            <v>20212.10329</v>
          </cell>
          <cell r="B5398" t="str">
            <v>MODULE DE TEMPERATURE</v>
          </cell>
          <cell r="C5398" t="str">
            <v>1900 0710 82</v>
          </cell>
          <cell r="D5398" t="str">
            <v>PE</v>
          </cell>
          <cell r="E5398" t="str">
            <v>515.51504</v>
          </cell>
          <cell r="F5398">
            <v>7190.4461000000001</v>
          </cell>
          <cell r="G5398">
            <v>0</v>
          </cell>
          <cell r="H5398">
            <v>0</v>
          </cell>
          <cell r="I5398">
            <v>0</v>
          </cell>
          <cell r="J5398">
            <v>0</v>
          </cell>
          <cell r="K5398">
            <v>0</v>
          </cell>
          <cell r="L5398">
            <v>1</v>
          </cell>
        </row>
        <row r="5399">
          <cell r="A5399" t="str">
            <v>20212.10311</v>
          </cell>
          <cell r="B5399" t="str">
            <v>RONDELLE</v>
          </cell>
          <cell r="C5399" t="str">
            <v>1622 0010 00</v>
          </cell>
          <cell r="D5399" t="str">
            <v>PE</v>
          </cell>
          <cell r="E5399" t="str">
            <v>515.51504</v>
          </cell>
          <cell r="F5399">
            <v>125.6096</v>
          </cell>
          <cell r="G5399">
            <v>0</v>
          </cell>
          <cell r="H5399">
            <v>0</v>
          </cell>
          <cell r="I5399">
            <v>0</v>
          </cell>
          <cell r="J5399">
            <v>0</v>
          </cell>
          <cell r="K5399">
            <v>2</v>
          </cell>
          <cell r="L5399">
            <v>2</v>
          </cell>
        </row>
        <row r="5400">
          <cell r="A5400" t="str">
            <v>20212.10312</v>
          </cell>
          <cell r="B5400" t="str">
            <v>VIS</v>
          </cell>
          <cell r="C5400" t="str">
            <v>0147 1478 03</v>
          </cell>
          <cell r="D5400" t="str">
            <v>PE</v>
          </cell>
          <cell r="E5400" t="str">
            <v>515.51504</v>
          </cell>
          <cell r="F5400">
            <v>8.59</v>
          </cell>
          <cell r="G5400">
            <v>0</v>
          </cell>
          <cell r="H5400">
            <v>0</v>
          </cell>
          <cell r="I5400">
            <v>0</v>
          </cell>
          <cell r="J5400">
            <v>0</v>
          </cell>
          <cell r="K5400">
            <v>2</v>
          </cell>
          <cell r="L5400">
            <v>2</v>
          </cell>
        </row>
        <row r="5401">
          <cell r="A5401" t="str">
            <v>20212.10313</v>
          </cell>
          <cell r="B5401" t="str">
            <v>SOUPAPE</v>
          </cell>
          <cell r="C5401" t="str">
            <v>TYPE ZR145 (10BAR) REP 2035</v>
          </cell>
          <cell r="D5401" t="str">
            <v>PE</v>
          </cell>
          <cell r="E5401" t="str">
            <v>515.51504</v>
          </cell>
          <cell r="F5401">
            <v>2635.2076000000002</v>
          </cell>
          <cell r="G5401">
            <v>0</v>
          </cell>
          <cell r="H5401">
            <v>0</v>
          </cell>
          <cell r="I5401">
            <v>0</v>
          </cell>
          <cell r="J5401">
            <v>0</v>
          </cell>
          <cell r="K5401">
            <v>0</v>
          </cell>
          <cell r="L5401">
            <v>1</v>
          </cell>
        </row>
        <row r="5402">
          <cell r="A5402" t="str">
            <v>20212.10324</v>
          </cell>
          <cell r="B5402" t="str">
            <v>GOUPILLE</v>
          </cell>
          <cell r="C5402" t="str">
            <v>0101 1951 36</v>
          </cell>
          <cell r="D5402" t="str">
            <v>PE</v>
          </cell>
          <cell r="E5402" t="str">
            <v>515.51504</v>
          </cell>
          <cell r="F5402">
            <v>5.21</v>
          </cell>
          <cell r="G5402">
            <v>0</v>
          </cell>
          <cell r="H5402">
            <v>0</v>
          </cell>
          <cell r="I5402">
            <v>0</v>
          </cell>
          <cell r="J5402">
            <v>0</v>
          </cell>
          <cell r="K5402">
            <v>2</v>
          </cell>
          <cell r="L5402">
            <v>2</v>
          </cell>
        </row>
        <row r="5403">
          <cell r="A5403" t="str">
            <v>20212.10330</v>
          </cell>
          <cell r="B5403" t="str">
            <v>ELECTROVANNE</v>
          </cell>
          <cell r="C5403" t="str">
            <v>1089 0702 09</v>
          </cell>
          <cell r="D5403" t="str">
            <v>PE</v>
          </cell>
          <cell r="E5403" t="str">
            <v>515.51504</v>
          </cell>
          <cell r="F5403">
            <v>396.36189999999999</v>
          </cell>
          <cell r="G5403">
            <v>0</v>
          </cell>
          <cell r="H5403">
            <v>0</v>
          </cell>
          <cell r="I5403">
            <v>0</v>
          </cell>
          <cell r="J5403">
            <v>0</v>
          </cell>
          <cell r="K5403">
            <v>0</v>
          </cell>
          <cell r="L5403">
            <v>1</v>
          </cell>
        </row>
        <row r="5404">
          <cell r="A5404" t="str">
            <v>20212.10331</v>
          </cell>
          <cell r="B5404" t="str">
            <v>CAPTEUR</v>
          </cell>
          <cell r="C5404" t="str">
            <v>1089 0575 54</v>
          </cell>
          <cell r="D5404" t="str">
            <v>PE</v>
          </cell>
          <cell r="E5404" t="str">
            <v>515.51504</v>
          </cell>
          <cell r="F5404">
            <v>1466.2166</v>
          </cell>
          <cell r="G5404">
            <v>0</v>
          </cell>
          <cell r="H5404">
            <v>0</v>
          </cell>
          <cell r="I5404">
            <v>0</v>
          </cell>
          <cell r="J5404">
            <v>0</v>
          </cell>
          <cell r="K5404">
            <v>0</v>
          </cell>
          <cell r="L5404">
            <v>1</v>
          </cell>
        </row>
        <row r="5405">
          <cell r="A5405" t="str">
            <v>20375.00450</v>
          </cell>
          <cell r="B5405" t="str">
            <v>COUDE</v>
          </cell>
          <cell r="C5405" t="str">
            <v>LH60530 SER 52876-79 PL D-4880B R 23</v>
          </cell>
          <cell r="D5405" t="str">
            <v>PE</v>
          </cell>
          <cell r="E5405" t="str">
            <v>515.51503</v>
          </cell>
          <cell r="F5405">
            <v>710453.43839999998</v>
          </cell>
          <cell r="G5405">
            <v>0</v>
          </cell>
          <cell r="H5405">
            <v>2</v>
          </cell>
          <cell r="I5405">
            <v>0</v>
          </cell>
          <cell r="J5405">
            <v>0</v>
          </cell>
          <cell r="K5405">
            <v>0</v>
          </cell>
          <cell r="L5405">
            <v>0</v>
          </cell>
        </row>
        <row r="5406">
          <cell r="A5406" t="str">
            <v>20375.00669</v>
          </cell>
          <cell r="B5406" t="str">
            <v>CHEMISE D'ARBRE EN TEFLON</v>
          </cell>
          <cell r="C5406" t="str">
            <v>MSH 22610 N° SERIE 60924 REP 48</v>
          </cell>
          <cell r="D5406" t="str">
            <v>PE</v>
          </cell>
          <cell r="E5406" t="str">
            <v>515.51503</v>
          </cell>
          <cell r="F5406">
            <v>20980.5635</v>
          </cell>
          <cell r="G5406">
            <v>0</v>
          </cell>
          <cell r="H5406">
            <v>2</v>
          </cell>
          <cell r="I5406">
            <v>0</v>
          </cell>
          <cell r="J5406">
            <v>0</v>
          </cell>
          <cell r="K5406">
            <v>0</v>
          </cell>
          <cell r="L5406">
            <v>0</v>
          </cell>
        </row>
        <row r="5407">
          <cell r="A5407" t="str">
            <v>20375.00670</v>
          </cell>
          <cell r="B5407" t="str">
            <v>CREPINE</v>
          </cell>
          <cell r="C5407" t="str">
            <v>MSH 22610 N° SERIE 60924 REP 134</v>
          </cell>
          <cell r="D5407" t="str">
            <v>PE</v>
          </cell>
          <cell r="E5407" t="str">
            <v>515.51503</v>
          </cell>
          <cell r="F5407">
            <v>94303.202000000005</v>
          </cell>
          <cell r="G5407">
            <v>2</v>
          </cell>
          <cell r="H5407">
            <v>0</v>
          </cell>
          <cell r="I5407">
            <v>0</v>
          </cell>
          <cell r="J5407">
            <v>0</v>
          </cell>
          <cell r="K5407">
            <v>0</v>
          </cell>
          <cell r="L5407">
            <v>1</v>
          </cell>
        </row>
        <row r="5408">
          <cell r="A5408" t="str">
            <v>20375.00703</v>
          </cell>
          <cell r="B5408" t="str">
            <v>JEU DE JOINT</v>
          </cell>
          <cell r="C5408" t="str">
            <v>3 VSH 1883 N° SERIE 60926 REP 64</v>
          </cell>
          <cell r="D5408" t="str">
            <v>JE</v>
          </cell>
          <cell r="E5408" t="str">
            <v>515.51503</v>
          </cell>
          <cell r="F5408">
            <v>1629.8514</v>
          </cell>
          <cell r="G5408">
            <v>0</v>
          </cell>
          <cell r="H5408">
            <v>0</v>
          </cell>
          <cell r="I5408">
            <v>1</v>
          </cell>
          <cell r="J5408">
            <v>0</v>
          </cell>
          <cell r="K5408">
            <v>0</v>
          </cell>
          <cell r="L5408">
            <v>3</v>
          </cell>
        </row>
        <row r="5409">
          <cell r="A5409" t="str">
            <v>20375.00704</v>
          </cell>
          <cell r="B5409" t="str">
            <v>JEU DE BOULONS</v>
          </cell>
          <cell r="C5409" t="str">
            <v>3 VSH 1883 N° SERIE 60926 REP 37</v>
          </cell>
          <cell r="D5409" t="str">
            <v>JE</v>
          </cell>
          <cell r="E5409" t="str">
            <v>515.51503</v>
          </cell>
          <cell r="F5409">
            <v>1502.0175999999999</v>
          </cell>
          <cell r="G5409">
            <v>0</v>
          </cell>
          <cell r="H5409">
            <v>0</v>
          </cell>
          <cell r="I5409">
            <v>0</v>
          </cell>
          <cell r="J5409">
            <v>0</v>
          </cell>
          <cell r="K5409">
            <v>0</v>
          </cell>
          <cell r="L5409">
            <v>3</v>
          </cell>
        </row>
        <row r="5410">
          <cell r="A5410" t="str">
            <v>20361.01383</v>
          </cell>
          <cell r="B5410" t="str">
            <v>CAISSE 02 CASES</v>
          </cell>
          <cell r="C5410" t="str">
            <v>BT.6A</v>
          </cell>
          <cell r="D5410" t="str">
            <v>PE</v>
          </cell>
          <cell r="E5410" t="str">
            <v>522.52208</v>
          </cell>
          <cell r="F5410">
            <v>461</v>
          </cell>
          <cell r="G5410">
            <v>0</v>
          </cell>
          <cell r="H5410">
            <v>0</v>
          </cell>
          <cell r="I5410">
            <v>0</v>
          </cell>
          <cell r="J5410">
            <v>0</v>
          </cell>
          <cell r="K5410">
            <v>0</v>
          </cell>
          <cell r="L5410">
            <v>0</v>
          </cell>
        </row>
        <row r="5411">
          <cell r="A5411" t="str">
            <v>20375.00705</v>
          </cell>
          <cell r="B5411" t="str">
            <v>KIT REPARATION ACCOUPLEMENT</v>
          </cell>
          <cell r="C5411" t="str">
            <v>3 VSH 1883 N° SERIE 60926 REP 113</v>
          </cell>
          <cell r="D5411" t="str">
            <v>JE</v>
          </cell>
          <cell r="E5411" t="str">
            <v>515.51503</v>
          </cell>
          <cell r="F5411">
            <v>1275.3371999999999</v>
          </cell>
          <cell r="G5411">
            <v>0</v>
          </cell>
          <cell r="H5411">
            <v>1</v>
          </cell>
          <cell r="I5411">
            <v>0</v>
          </cell>
          <cell r="J5411">
            <v>0</v>
          </cell>
          <cell r="K5411">
            <v>1</v>
          </cell>
          <cell r="L5411">
            <v>1</v>
          </cell>
        </row>
        <row r="5412">
          <cell r="A5412" t="str">
            <v>20347.00012</v>
          </cell>
          <cell r="B5412" t="str">
            <v>BOITIER DE SIGNALISATION POUR ACTIONNEURS PNEUMATIQUES ACTAIR ET DYNACTAIR</v>
          </cell>
          <cell r="C5412" t="str">
            <v>AMTROBOX C-RA 1290</v>
          </cell>
          <cell r="D5412" t="str">
            <v>PE</v>
          </cell>
          <cell r="E5412" t="str">
            <v>515.51517</v>
          </cell>
          <cell r="F5412">
            <v>1674</v>
          </cell>
          <cell r="G5412">
            <v>0</v>
          </cell>
          <cell r="H5412">
            <v>1</v>
          </cell>
          <cell r="I5412">
            <v>0</v>
          </cell>
          <cell r="J5412">
            <v>0</v>
          </cell>
          <cell r="K5412">
            <v>0</v>
          </cell>
          <cell r="L5412">
            <v>0</v>
          </cell>
        </row>
        <row r="5413">
          <cell r="A5413" t="str">
            <v>20375.00632</v>
          </cell>
          <cell r="B5413" t="str">
            <v>ROULEMENT A BILLES</v>
          </cell>
          <cell r="C5413" t="str">
            <v>MTH 40312 N° SERIE 60921 REP 6</v>
          </cell>
          <cell r="D5413" t="str">
            <v>PE</v>
          </cell>
          <cell r="E5413" t="str">
            <v>515.51503</v>
          </cell>
          <cell r="F5413">
            <v>7224.7912999999999</v>
          </cell>
          <cell r="G5413">
            <v>0</v>
          </cell>
          <cell r="H5413">
            <v>0</v>
          </cell>
          <cell r="I5413">
            <v>5</v>
          </cell>
          <cell r="J5413">
            <v>2</v>
          </cell>
          <cell r="K5413">
            <v>0</v>
          </cell>
          <cell r="L5413">
            <v>0</v>
          </cell>
        </row>
        <row r="5414">
          <cell r="A5414" t="str">
            <v>20375.00633</v>
          </cell>
          <cell r="B5414" t="str">
            <v>CREPINE</v>
          </cell>
          <cell r="C5414" t="str">
            <v>MTH 40312 N° SERIE 60921 REP 134</v>
          </cell>
          <cell r="D5414" t="str">
            <v>PE</v>
          </cell>
          <cell r="E5414" t="str">
            <v>515.51503</v>
          </cell>
          <cell r="F5414">
            <v>124400.66409999999</v>
          </cell>
          <cell r="G5414">
            <v>0</v>
          </cell>
          <cell r="H5414">
            <v>3</v>
          </cell>
          <cell r="I5414">
            <v>1</v>
          </cell>
          <cell r="J5414">
            <v>0</v>
          </cell>
          <cell r="K5414">
            <v>0</v>
          </cell>
          <cell r="L5414">
            <v>0</v>
          </cell>
        </row>
        <row r="5415">
          <cell r="A5415" t="str">
            <v>20375.00634</v>
          </cell>
          <cell r="B5415" t="str">
            <v>CHEMISE D'ARBRE EN TEFLON</v>
          </cell>
          <cell r="C5415" t="str">
            <v>MTH 40312 N° SERIE 60921 REP 48</v>
          </cell>
          <cell r="D5415" t="str">
            <v>PE</v>
          </cell>
          <cell r="E5415" t="str">
            <v>515.51503</v>
          </cell>
          <cell r="F5415">
            <v>14250.4262</v>
          </cell>
          <cell r="G5415">
            <v>0</v>
          </cell>
          <cell r="H5415">
            <v>0</v>
          </cell>
          <cell r="I5415">
            <v>2</v>
          </cell>
          <cell r="J5415">
            <v>0</v>
          </cell>
          <cell r="K5415">
            <v>0</v>
          </cell>
          <cell r="L5415">
            <v>0</v>
          </cell>
        </row>
        <row r="5416">
          <cell r="A5416" t="str">
            <v>20375.00635</v>
          </cell>
          <cell r="B5416" t="str">
            <v>PORTEE INTERMIDIAIRE</v>
          </cell>
          <cell r="C5416" t="str">
            <v>MTH 40312 N° SERIE 60921 REP 13</v>
          </cell>
          <cell r="D5416" t="str">
            <v>PE</v>
          </cell>
          <cell r="E5416" t="str">
            <v>515.51503</v>
          </cell>
          <cell r="F5416">
            <v>21685.033100000001</v>
          </cell>
          <cell r="G5416">
            <v>0</v>
          </cell>
          <cell r="H5416">
            <v>0</v>
          </cell>
          <cell r="I5416">
            <v>0</v>
          </cell>
          <cell r="J5416">
            <v>0</v>
          </cell>
          <cell r="K5416">
            <v>0</v>
          </cell>
          <cell r="L5416">
            <v>0</v>
          </cell>
        </row>
        <row r="5417">
          <cell r="A5417" t="str">
            <v>20375.00636</v>
          </cell>
          <cell r="B5417" t="str">
            <v>PALIER INTERMIDIAIRE</v>
          </cell>
          <cell r="C5417" t="str">
            <v>MTH 40312 N° SERIE 60921 REP 14</v>
          </cell>
          <cell r="D5417" t="str">
            <v>PE</v>
          </cell>
          <cell r="E5417" t="str">
            <v>515.51503</v>
          </cell>
          <cell r="F5417">
            <v>18030.925299999999</v>
          </cell>
          <cell r="G5417">
            <v>0</v>
          </cell>
          <cell r="H5417">
            <v>0</v>
          </cell>
          <cell r="I5417">
            <v>0</v>
          </cell>
          <cell r="J5417">
            <v>0</v>
          </cell>
          <cell r="K5417">
            <v>0</v>
          </cell>
          <cell r="L5417">
            <v>0</v>
          </cell>
        </row>
        <row r="5418">
          <cell r="A5418" t="str">
            <v>20375.00637</v>
          </cell>
          <cell r="B5418" t="str">
            <v>ADAPTEUR INTERMIDIAIRE</v>
          </cell>
          <cell r="C5418" t="str">
            <v>MTH 40312 N° SERIE 60921 REP 119</v>
          </cell>
          <cell r="D5418" t="str">
            <v>PE</v>
          </cell>
          <cell r="E5418" t="str">
            <v>515.51503</v>
          </cell>
          <cell r="F5418">
            <v>49894.569799999997</v>
          </cell>
          <cell r="G5418">
            <v>0</v>
          </cell>
          <cell r="H5418">
            <v>0</v>
          </cell>
          <cell r="I5418">
            <v>0</v>
          </cell>
          <cell r="J5418">
            <v>0</v>
          </cell>
          <cell r="K5418">
            <v>0</v>
          </cell>
          <cell r="L5418">
            <v>0</v>
          </cell>
        </row>
        <row r="5419">
          <cell r="A5419" t="str">
            <v>20375.00638</v>
          </cell>
          <cell r="B5419" t="str">
            <v>ACCOUPLEMENT</v>
          </cell>
          <cell r="C5419" t="str">
            <v>MTH 40312 N° SERIE 60921 REP 129</v>
          </cell>
          <cell r="D5419" t="str">
            <v>PE</v>
          </cell>
          <cell r="E5419" t="str">
            <v>515.51503</v>
          </cell>
          <cell r="F5419">
            <v>18840.504199999999</v>
          </cell>
          <cell r="G5419">
            <v>0</v>
          </cell>
          <cell r="H5419">
            <v>0</v>
          </cell>
          <cell r="I5419">
            <v>3</v>
          </cell>
          <cell r="J5419">
            <v>0</v>
          </cell>
          <cell r="K5419">
            <v>0</v>
          </cell>
          <cell r="L5419">
            <v>0</v>
          </cell>
        </row>
        <row r="5420">
          <cell r="A5420" t="str">
            <v>20375.00639</v>
          </cell>
          <cell r="B5420" t="str">
            <v>PALIE DE ROULEMENT</v>
          </cell>
          <cell r="C5420" t="str">
            <v>MSH 22610 N° SERIE 60924 REP 7</v>
          </cell>
          <cell r="D5420" t="str">
            <v>PE</v>
          </cell>
          <cell r="E5420" t="str">
            <v>515.51503</v>
          </cell>
          <cell r="F5420">
            <v>5051.1720999999998</v>
          </cell>
          <cell r="G5420">
            <v>0</v>
          </cell>
          <cell r="H5420">
            <v>0</v>
          </cell>
          <cell r="I5420">
            <v>1</v>
          </cell>
          <cell r="J5420">
            <v>0</v>
          </cell>
          <cell r="K5420">
            <v>0</v>
          </cell>
          <cell r="L5420">
            <v>1</v>
          </cell>
        </row>
        <row r="5421">
          <cell r="A5421" t="str">
            <v>20375.00640</v>
          </cell>
          <cell r="B5421" t="str">
            <v>ARBRE</v>
          </cell>
          <cell r="C5421" t="str">
            <v>MSH 22610 N° SERIE 60924 REP 12</v>
          </cell>
          <cell r="D5421" t="str">
            <v>PE</v>
          </cell>
          <cell r="E5421" t="str">
            <v>515.51503</v>
          </cell>
          <cell r="F5421">
            <v>123778.4423</v>
          </cell>
          <cell r="G5421">
            <v>0</v>
          </cell>
          <cell r="H5421">
            <v>0</v>
          </cell>
          <cell r="I5421">
            <v>0</v>
          </cell>
          <cell r="J5421">
            <v>0</v>
          </cell>
          <cell r="K5421">
            <v>0</v>
          </cell>
          <cell r="L5421">
            <v>2</v>
          </cell>
        </row>
        <row r="5422">
          <cell r="A5422" t="str">
            <v>20375.00728</v>
          </cell>
          <cell r="B5422" t="str">
            <v>CORPS</v>
          </cell>
          <cell r="C5422" t="str">
            <v>TYPE LH-60530 N°DE SERIE: 60981/60982/60983/60984/60985 REP 9</v>
          </cell>
          <cell r="D5422" t="str">
            <v>PE</v>
          </cell>
          <cell r="E5422" t="str">
            <v>515.51503</v>
          </cell>
          <cell r="F5422">
            <v>343513.2328</v>
          </cell>
          <cell r="G5422">
            <v>0</v>
          </cell>
          <cell r="H5422">
            <v>0</v>
          </cell>
          <cell r="I5422">
            <v>0</v>
          </cell>
          <cell r="J5422">
            <v>0</v>
          </cell>
          <cell r="K5422">
            <v>0</v>
          </cell>
          <cell r="L5422">
            <v>1</v>
          </cell>
        </row>
        <row r="5423">
          <cell r="A5423" t="str">
            <v>20375.00730</v>
          </cell>
          <cell r="B5423" t="str">
            <v>IMPULSEUR</v>
          </cell>
          <cell r="C5423" t="str">
            <v>TYPE LH-60530 N°DE SERIE: 60981/60982/60983/60984/60985 REP 26</v>
          </cell>
          <cell r="D5423" t="str">
            <v>PE</v>
          </cell>
          <cell r="E5423" t="str">
            <v>515.51503</v>
          </cell>
          <cell r="F5423">
            <v>228635.7561</v>
          </cell>
          <cell r="G5423">
            <v>0</v>
          </cell>
          <cell r="H5423">
            <v>1</v>
          </cell>
          <cell r="I5423">
            <v>2</v>
          </cell>
          <cell r="J5423">
            <v>0</v>
          </cell>
          <cell r="K5423">
            <v>3</v>
          </cell>
          <cell r="L5423">
            <v>0</v>
          </cell>
        </row>
        <row r="5424">
          <cell r="A5424" t="str">
            <v>20375.00731</v>
          </cell>
          <cell r="B5424" t="str">
            <v>ECROU D IMPULSEUR</v>
          </cell>
          <cell r="C5424" t="str">
            <v>TYPE LH-60530 N°DE SERIE: 60981/60982/60983/60984/60985 REP 32</v>
          </cell>
          <cell r="D5424" t="str">
            <v>PE</v>
          </cell>
          <cell r="E5424" t="str">
            <v>515.51503</v>
          </cell>
          <cell r="F5424">
            <v>21120.335599999999</v>
          </cell>
          <cell r="G5424">
            <v>0</v>
          </cell>
          <cell r="H5424">
            <v>0</v>
          </cell>
          <cell r="I5424">
            <v>0</v>
          </cell>
          <cell r="J5424">
            <v>0</v>
          </cell>
          <cell r="K5424">
            <v>3</v>
          </cell>
          <cell r="L5424">
            <v>5</v>
          </cell>
        </row>
        <row r="5425">
          <cell r="A5425" t="str">
            <v>20361.01037</v>
          </cell>
          <cell r="B5425" t="str">
            <v>CLE MIXTE INCLINEE   41M*</v>
          </cell>
          <cell r="C5425" t="str">
            <v>40 41 A</v>
          </cell>
          <cell r="D5425" t="str">
            <v>PE</v>
          </cell>
          <cell r="E5425" t="str">
            <v>522.52208</v>
          </cell>
          <cell r="F5425">
            <v>374.01</v>
          </cell>
          <cell r="G5425">
            <v>0</v>
          </cell>
          <cell r="H5425">
            <v>0</v>
          </cell>
          <cell r="I5425">
            <v>0</v>
          </cell>
          <cell r="J5425">
            <v>0</v>
          </cell>
          <cell r="K5425">
            <v>0</v>
          </cell>
          <cell r="L5425">
            <v>0</v>
          </cell>
        </row>
        <row r="5426">
          <cell r="A5426" t="str">
            <v>20361.01039</v>
          </cell>
          <cell r="B5426" t="str">
            <v>CLE MIXTE INCLINEE   46M*</v>
          </cell>
          <cell r="C5426" t="str">
            <v>40 46 A</v>
          </cell>
          <cell r="D5426" t="str">
            <v>PE</v>
          </cell>
          <cell r="E5426" t="str">
            <v>522.52208</v>
          </cell>
          <cell r="F5426">
            <v>460</v>
          </cell>
          <cell r="G5426">
            <v>0</v>
          </cell>
          <cell r="H5426">
            <v>0</v>
          </cell>
          <cell r="I5426">
            <v>0</v>
          </cell>
          <cell r="J5426">
            <v>0</v>
          </cell>
          <cell r="K5426">
            <v>0</v>
          </cell>
          <cell r="L5426">
            <v>0</v>
          </cell>
        </row>
        <row r="5427">
          <cell r="A5427" t="str">
            <v>20361.00068</v>
          </cell>
          <cell r="B5427" t="str">
            <v>CLE POLYGONALE C/COUDEE</v>
          </cell>
          <cell r="C5427" t="str">
            <v>55-24X27</v>
          </cell>
          <cell r="D5427" t="str">
            <v>PE</v>
          </cell>
          <cell r="E5427" t="str">
            <v>522.52208</v>
          </cell>
          <cell r="F5427">
            <v>172.8</v>
          </cell>
          <cell r="G5427">
            <v>0</v>
          </cell>
          <cell r="H5427">
            <v>0</v>
          </cell>
          <cell r="I5427">
            <v>0</v>
          </cell>
          <cell r="J5427">
            <v>0</v>
          </cell>
          <cell r="K5427">
            <v>0</v>
          </cell>
          <cell r="L5427">
            <v>0</v>
          </cell>
        </row>
        <row r="5428">
          <cell r="A5428" t="str">
            <v>20345.02010</v>
          </cell>
          <cell r="B5428" t="str">
            <v>ACCOUPLEMENT</v>
          </cell>
          <cell r="C5428" t="str">
            <v>N.EUPEX TAILLE H 225 M 180</v>
          </cell>
          <cell r="D5428" t="str">
            <v>PE</v>
          </cell>
          <cell r="E5428" t="str">
            <v>515.51515</v>
          </cell>
          <cell r="F5428">
            <v>10469</v>
          </cell>
          <cell r="G5428">
            <v>0</v>
          </cell>
          <cell r="H5428">
            <v>0</v>
          </cell>
          <cell r="I5428">
            <v>0</v>
          </cell>
          <cell r="J5428">
            <v>0</v>
          </cell>
          <cell r="K5428">
            <v>0</v>
          </cell>
          <cell r="L5428">
            <v>1</v>
          </cell>
        </row>
        <row r="5429">
          <cell r="A5429" t="str">
            <v>20345.02011</v>
          </cell>
          <cell r="B5429" t="str">
            <v>ACCOUPLEMENT COMPLET</v>
          </cell>
          <cell r="C5429" t="str">
            <v>ARPEX TYPE NAN TAILLE 150-6 GAMME ARP S2=180 ALESAGE 48J7 / 65H7</v>
          </cell>
          <cell r="D5429" t="str">
            <v>PE</v>
          </cell>
          <cell r="E5429" t="str">
            <v>515.51515</v>
          </cell>
          <cell r="F5429">
            <v>7500</v>
          </cell>
          <cell r="G5429">
            <v>0</v>
          </cell>
          <cell r="H5429">
            <v>0</v>
          </cell>
          <cell r="I5429">
            <v>0</v>
          </cell>
          <cell r="J5429">
            <v>0</v>
          </cell>
          <cell r="K5429">
            <v>0</v>
          </cell>
          <cell r="L5429">
            <v>1</v>
          </cell>
        </row>
        <row r="5430">
          <cell r="A5430" t="str">
            <v>20345.02006</v>
          </cell>
          <cell r="B5430" t="str">
            <v>JEU DE TAMPON</v>
          </cell>
          <cell r="C5430" t="str">
            <v>RUPEX RWN 800</v>
          </cell>
          <cell r="D5430" t="str">
            <v>JE</v>
          </cell>
          <cell r="E5430" t="str">
            <v>515.51515</v>
          </cell>
          <cell r="F5430">
            <v>36173.816700000003</v>
          </cell>
          <cell r="G5430">
            <v>0</v>
          </cell>
          <cell r="H5430">
            <v>0</v>
          </cell>
          <cell r="I5430">
            <v>0</v>
          </cell>
          <cell r="J5430">
            <v>1</v>
          </cell>
          <cell r="K5430">
            <v>0</v>
          </cell>
          <cell r="L5430">
            <v>3</v>
          </cell>
        </row>
        <row r="5431">
          <cell r="A5431" t="str">
            <v>20345.00226</v>
          </cell>
          <cell r="B5431" t="str">
            <v>ACCOUPLEMENT COMPLET</v>
          </cell>
          <cell r="C5431" t="str">
            <v>ACCOUPLEMENT N.EUPEX A350</v>
          </cell>
          <cell r="D5431" t="str">
            <v>PE</v>
          </cell>
          <cell r="E5431" t="str">
            <v>515.51515</v>
          </cell>
          <cell r="F5431">
            <v>9123</v>
          </cell>
          <cell r="G5431">
            <v>0</v>
          </cell>
          <cell r="H5431">
            <v>0</v>
          </cell>
          <cell r="I5431">
            <v>0</v>
          </cell>
          <cell r="J5431">
            <v>0</v>
          </cell>
          <cell r="K5431">
            <v>0</v>
          </cell>
          <cell r="L5431">
            <v>2</v>
          </cell>
        </row>
        <row r="5432">
          <cell r="A5432" t="str">
            <v>20345.02007</v>
          </cell>
          <cell r="B5432" t="str">
            <v>JEU DE TAMPON</v>
          </cell>
          <cell r="C5432" t="str">
            <v>RUPEX RWN 252</v>
          </cell>
          <cell r="D5432" t="str">
            <v>JE</v>
          </cell>
          <cell r="E5432" t="str">
            <v>515.51515</v>
          </cell>
          <cell r="F5432">
            <v>2079</v>
          </cell>
          <cell r="G5432">
            <v>0</v>
          </cell>
          <cell r="H5432">
            <v>0</v>
          </cell>
          <cell r="I5432">
            <v>0</v>
          </cell>
          <cell r="J5432">
            <v>0</v>
          </cell>
          <cell r="K5432">
            <v>0</v>
          </cell>
          <cell r="L5432">
            <v>4</v>
          </cell>
        </row>
        <row r="5433">
          <cell r="A5433" t="str">
            <v>20345.02005</v>
          </cell>
          <cell r="B5433" t="str">
            <v>ACCOUPLEMENT AVEC TAMPON</v>
          </cell>
          <cell r="C5433" t="str">
            <v>RUPEX RWN 252</v>
          </cell>
          <cell r="D5433" t="str">
            <v>PE</v>
          </cell>
          <cell r="E5433" t="str">
            <v>515.51515</v>
          </cell>
          <cell r="F5433">
            <v>13925</v>
          </cell>
          <cell r="G5433">
            <v>0</v>
          </cell>
          <cell r="H5433">
            <v>0</v>
          </cell>
          <cell r="I5433">
            <v>0</v>
          </cell>
          <cell r="J5433">
            <v>0</v>
          </cell>
          <cell r="K5433">
            <v>0</v>
          </cell>
          <cell r="L5433">
            <v>1</v>
          </cell>
        </row>
        <row r="5434">
          <cell r="A5434" t="str">
            <v>20375.00642</v>
          </cell>
          <cell r="B5434" t="str">
            <v>PALIER INTERMIDIAIRE</v>
          </cell>
          <cell r="C5434" t="str">
            <v>MSH 22610 N° SERIE 60924 REP 14</v>
          </cell>
          <cell r="D5434" t="str">
            <v>PE</v>
          </cell>
          <cell r="E5434" t="str">
            <v>515.51503</v>
          </cell>
          <cell r="F5434">
            <v>12916.9277</v>
          </cell>
          <cell r="G5434">
            <v>0</v>
          </cell>
          <cell r="H5434">
            <v>0</v>
          </cell>
          <cell r="I5434">
            <v>0</v>
          </cell>
          <cell r="J5434">
            <v>0</v>
          </cell>
          <cell r="K5434">
            <v>0</v>
          </cell>
          <cell r="L5434">
            <v>1</v>
          </cell>
        </row>
        <row r="5435">
          <cell r="A5435" t="str">
            <v>20375.00643</v>
          </cell>
          <cell r="B5435" t="str">
            <v>IMPULSEUR</v>
          </cell>
          <cell r="C5435" t="str">
            <v>MSH 22610 N° SERIE 60924 REP 16</v>
          </cell>
          <cell r="D5435" t="str">
            <v>PE</v>
          </cell>
          <cell r="E5435" t="str">
            <v>515.51503</v>
          </cell>
          <cell r="F5435">
            <v>62275.581200000001</v>
          </cell>
          <cell r="G5435">
            <v>0</v>
          </cell>
          <cell r="H5435">
            <v>0</v>
          </cell>
          <cell r="I5435">
            <v>0</v>
          </cell>
          <cell r="J5435">
            <v>1</v>
          </cell>
          <cell r="K5435">
            <v>0</v>
          </cell>
          <cell r="L5435">
            <v>1</v>
          </cell>
        </row>
        <row r="5436">
          <cell r="A5436" t="str">
            <v>20375.00644</v>
          </cell>
          <cell r="B5436" t="str">
            <v>BAGUE INFERIEURE IMPULSEUR</v>
          </cell>
          <cell r="C5436" t="str">
            <v>MSH 22610 N° SERIE 60924 REP 17</v>
          </cell>
          <cell r="D5436" t="str">
            <v>PE</v>
          </cell>
          <cell r="E5436" t="str">
            <v>515.51503</v>
          </cell>
          <cell r="F5436">
            <v>10105.0787</v>
          </cell>
          <cell r="G5436">
            <v>0</v>
          </cell>
          <cell r="H5436">
            <v>0</v>
          </cell>
          <cell r="I5436">
            <v>0</v>
          </cell>
          <cell r="J5436">
            <v>0</v>
          </cell>
          <cell r="K5436">
            <v>0</v>
          </cell>
          <cell r="L5436">
            <v>1</v>
          </cell>
        </row>
        <row r="5437">
          <cell r="A5437" t="str">
            <v>20375.00645</v>
          </cell>
          <cell r="B5437" t="str">
            <v>BAGUE DE LA JUPE</v>
          </cell>
          <cell r="C5437" t="str">
            <v>MSH 22610 N° SERIE 60924 REP 18</v>
          </cell>
          <cell r="D5437" t="str">
            <v>PE</v>
          </cell>
          <cell r="E5437" t="str">
            <v>515.51503</v>
          </cell>
          <cell r="F5437">
            <v>10435.2238</v>
          </cell>
          <cell r="G5437">
            <v>1</v>
          </cell>
          <cell r="H5437">
            <v>1</v>
          </cell>
          <cell r="I5437">
            <v>0</v>
          </cell>
          <cell r="J5437">
            <v>0</v>
          </cell>
          <cell r="K5437">
            <v>0</v>
          </cell>
          <cell r="L5437">
            <v>1</v>
          </cell>
        </row>
        <row r="5438">
          <cell r="A5438" t="str">
            <v>20375.00646</v>
          </cell>
          <cell r="B5438" t="str">
            <v>ECROU D'IMPULSEUR</v>
          </cell>
          <cell r="C5438" t="str">
            <v>MSH 22610 N° SERIE 60924 REP 19</v>
          </cell>
          <cell r="D5438" t="str">
            <v>PE</v>
          </cell>
          <cell r="E5438" t="str">
            <v>515.51503</v>
          </cell>
          <cell r="F5438">
            <v>5459.6841000000004</v>
          </cell>
          <cell r="G5438">
            <v>0</v>
          </cell>
          <cell r="H5438">
            <v>0</v>
          </cell>
          <cell r="I5438">
            <v>0</v>
          </cell>
          <cell r="J5438">
            <v>0</v>
          </cell>
          <cell r="K5438">
            <v>0</v>
          </cell>
          <cell r="L5438">
            <v>3</v>
          </cell>
        </row>
        <row r="5439">
          <cell r="A5439" t="str">
            <v>20375.00647</v>
          </cell>
          <cell r="B5439" t="str">
            <v>VOLUTE</v>
          </cell>
          <cell r="C5439" t="str">
            <v>MSH 22610 N° SERIE 60924 REP 20</v>
          </cell>
          <cell r="D5439" t="str">
            <v>PE</v>
          </cell>
          <cell r="E5439" t="str">
            <v>515.51503</v>
          </cell>
          <cell r="F5439">
            <v>61436.551700000004</v>
          </cell>
          <cell r="G5439">
            <v>0</v>
          </cell>
          <cell r="H5439">
            <v>0</v>
          </cell>
          <cell r="I5439">
            <v>0</v>
          </cell>
          <cell r="J5439">
            <v>0</v>
          </cell>
          <cell r="K5439">
            <v>0</v>
          </cell>
          <cell r="L5439">
            <v>2</v>
          </cell>
        </row>
        <row r="5440">
          <cell r="A5440" t="str">
            <v>20375.00648</v>
          </cell>
          <cell r="B5440" t="str">
            <v>ENVELOPPE INFERIEURE</v>
          </cell>
          <cell r="C5440" t="str">
            <v>MSH 22610 N° SERIE 60924 REP 25</v>
          </cell>
          <cell r="D5440" t="str">
            <v>PE</v>
          </cell>
          <cell r="E5440" t="str">
            <v>515.51503</v>
          </cell>
          <cell r="F5440">
            <v>31053.925800000001</v>
          </cell>
          <cell r="G5440">
            <v>0</v>
          </cell>
          <cell r="H5440">
            <v>0</v>
          </cell>
          <cell r="I5440">
            <v>0</v>
          </cell>
          <cell r="J5440">
            <v>0</v>
          </cell>
          <cell r="K5440">
            <v>0</v>
          </cell>
          <cell r="L5440">
            <v>2</v>
          </cell>
        </row>
        <row r="5441">
          <cell r="A5441" t="str">
            <v>20375.00649</v>
          </cell>
          <cell r="B5441" t="str">
            <v>PALIER INFERIEUR</v>
          </cell>
          <cell r="C5441" t="str">
            <v>MSH 22610 N° SERIE 60924 REP 28</v>
          </cell>
          <cell r="D5441" t="str">
            <v>PE</v>
          </cell>
          <cell r="E5441" t="str">
            <v>515.51503</v>
          </cell>
          <cell r="F5441">
            <v>16754.8724</v>
          </cell>
          <cell r="G5441">
            <v>0</v>
          </cell>
          <cell r="H5441">
            <v>0</v>
          </cell>
          <cell r="I5441">
            <v>0</v>
          </cell>
          <cell r="J5441">
            <v>0</v>
          </cell>
          <cell r="K5441">
            <v>0</v>
          </cell>
          <cell r="L5441">
            <v>2</v>
          </cell>
        </row>
        <row r="5442">
          <cell r="A5442" t="str">
            <v>20375.00650</v>
          </cell>
          <cell r="B5442" t="str">
            <v>PORTEE PALIER INFERIEURE</v>
          </cell>
          <cell r="C5442" t="str">
            <v>MSH 22610 N° SERIE 60924 REP 27</v>
          </cell>
          <cell r="D5442" t="str">
            <v>PE</v>
          </cell>
          <cell r="E5442" t="str">
            <v>515.51503</v>
          </cell>
          <cell r="F5442">
            <v>15806.9018</v>
          </cell>
          <cell r="G5442">
            <v>0</v>
          </cell>
          <cell r="H5442">
            <v>0</v>
          </cell>
          <cell r="I5442">
            <v>0</v>
          </cell>
          <cell r="J5442">
            <v>0</v>
          </cell>
          <cell r="K5442">
            <v>0</v>
          </cell>
          <cell r="L5442">
            <v>1</v>
          </cell>
        </row>
        <row r="5443">
          <cell r="A5443" t="str">
            <v>20375.00341</v>
          </cell>
          <cell r="B5443" t="str">
            <v>ENS BAGUE ET ERGOT</v>
          </cell>
          <cell r="C5443" t="str">
            <v>CHAS S LEWIS P/TYPE 30LH PLAN B-8547 REP 108+67/17</v>
          </cell>
          <cell r="D5443" t="str">
            <v>PE</v>
          </cell>
          <cell r="E5443" t="str">
            <v>515.51503</v>
          </cell>
          <cell r="F5443">
            <v>6027.7034999999996</v>
          </cell>
          <cell r="G5443">
            <v>0</v>
          </cell>
          <cell r="H5443">
            <v>0</v>
          </cell>
          <cell r="I5443">
            <v>0</v>
          </cell>
          <cell r="J5443">
            <v>0</v>
          </cell>
          <cell r="K5443">
            <v>0</v>
          </cell>
          <cell r="L5443">
            <v>1</v>
          </cell>
        </row>
        <row r="5444">
          <cell r="A5444" t="str">
            <v>20375.00179</v>
          </cell>
          <cell r="B5444" t="str">
            <v>FOURREAU DE REPARATION</v>
          </cell>
          <cell r="C5444" t="str">
            <v>CHAS.S.LEWIS TYPE LH60530 SER 52876-79 PL D-4880B R 38</v>
          </cell>
          <cell r="D5444" t="str">
            <v>PE</v>
          </cell>
          <cell r="E5444" t="str">
            <v>515.51503</v>
          </cell>
          <cell r="F5444">
            <v>141913.26509999999</v>
          </cell>
          <cell r="G5444">
            <v>0</v>
          </cell>
          <cell r="H5444">
            <v>0</v>
          </cell>
          <cell r="I5444">
            <v>0</v>
          </cell>
          <cell r="J5444">
            <v>0</v>
          </cell>
          <cell r="K5444">
            <v>0</v>
          </cell>
          <cell r="L5444">
            <v>1</v>
          </cell>
        </row>
        <row r="5445">
          <cell r="A5445" t="str">
            <v>20361.00066</v>
          </cell>
          <cell r="B5445" t="str">
            <v>CLE POLYGONALE C/COUDEE</v>
          </cell>
          <cell r="C5445" t="str">
            <v>55-19X22</v>
          </cell>
          <cell r="D5445" t="str">
            <v>PE</v>
          </cell>
          <cell r="E5445" t="str">
            <v>522.52208</v>
          </cell>
          <cell r="F5445">
            <v>126</v>
          </cell>
          <cell r="G5445">
            <v>0</v>
          </cell>
          <cell r="H5445">
            <v>0</v>
          </cell>
          <cell r="I5445">
            <v>0</v>
          </cell>
          <cell r="J5445">
            <v>0</v>
          </cell>
          <cell r="K5445">
            <v>0</v>
          </cell>
          <cell r="L5445">
            <v>0</v>
          </cell>
        </row>
        <row r="5446">
          <cell r="A5446" t="str">
            <v>20375.00971</v>
          </cell>
          <cell r="B5446" t="str">
            <v>GARNITURE MECANIQUE DOUBLE A CARTOUCHE</v>
          </cell>
          <cell r="C5446" t="str">
            <v>SANS REF GARNITURE  POUR POMPE TYPE  LH60530  SERIE  53253-56</v>
          </cell>
          <cell r="D5446" t="str">
            <v>PE</v>
          </cell>
          <cell r="E5446" t="str">
            <v>515.51503</v>
          </cell>
          <cell r="F5446">
            <v>167750.04149999999</v>
          </cell>
          <cell r="G5446">
            <v>0</v>
          </cell>
          <cell r="H5446">
            <v>0</v>
          </cell>
          <cell r="I5446">
            <v>0</v>
          </cell>
          <cell r="J5446">
            <v>0</v>
          </cell>
          <cell r="K5446">
            <v>0</v>
          </cell>
          <cell r="L5446">
            <v>0</v>
          </cell>
        </row>
        <row r="5447">
          <cell r="A5447" t="str">
            <v>20347.01725</v>
          </cell>
          <cell r="B5447" t="str">
            <v>REDUCTEUR MAUELLE DERAYABLE</v>
          </cell>
          <cell r="C5447" t="str">
            <v>RMD-OA    P/VANNE KSB</v>
          </cell>
          <cell r="D5447" t="str">
            <v>PE</v>
          </cell>
          <cell r="E5447" t="str">
            <v>515.51517</v>
          </cell>
          <cell r="F5447">
            <v>3756</v>
          </cell>
          <cell r="G5447">
            <v>0</v>
          </cell>
          <cell r="H5447">
            <v>0</v>
          </cell>
          <cell r="I5447">
            <v>1</v>
          </cell>
          <cell r="J5447">
            <v>0</v>
          </cell>
          <cell r="K5447">
            <v>0</v>
          </cell>
          <cell r="L5447">
            <v>0</v>
          </cell>
        </row>
        <row r="5448">
          <cell r="A5448" t="str">
            <v>20347.01726</v>
          </cell>
          <cell r="B5448" t="str">
            <v>REDUCTEUR MAUELLE DERAYABLE</v>
          </cell>
          <cell r="C5448" t="str">
            <v>RMD-1A     P/VANNE KSB</v>
          </cell>
          <cell r="D5448" t="str">
            <v>PE</v>
          </cell>
          <cell r="E5448" t="str">
            <v>515.51517</v>
          </cell>
          <cell r="F5448">
            <v>4075</v>
          </cell>
          <cell r="G5448">
            <v>0</v>
          </cell>
          <cell r="H5448">
            <v>0</v>
          </cell>
          <cell r="I5448">
            <v>0</v>
          </cell>
          <cell r="J5448">
            <v>0</v>
          </cell>
          <cell r="K5448">
            <v>0</v>
          </cell>
          <cell r="L5448">
            <v>1</v>
          </cell>
        </row>
        <row r="5449">
          <cell r="A5449" t="str">
            <v>20347.01727</v>
          </cell>
          <cell r="B5449" t="str">
            <v>REDUCTEUR MAUELLE DERAYABLE</v>
          </cell>
          <cell r="C5449" t="str">
            <v>RMD-2A    P/VANNE KSB</v>
          </cell>
          <cell r="D5449" t="str">
            <v>PE</v>
          </cell>
          <cell r="E5449" t="str">
            <v>515.51517</v>
          </cell>
          <cell r="F5449">
            <v>6105</v>
          </cell>
          <cell r="G5449">
            <v>0</v>
          </cell>
          <cell r="H5449">
            <v>0</v>
          </cell>
          <cell r="I5449">
            <v>0</v>
          </cell>
          <cell r="J5449">
            <v>0</v>
          </cell>
          <cell r="K5449">
            <v>0</v>
          </cell>
          <cell r="L5449">
            <v>2</v>
          </cell>
        </row>
        <row r="5450">
          <cell r="A5450" t="str">
            <v>20347.01728</v>
          </cell>
          <cell r="B5450" t="str">
            <v>REDUCTEUR MAUELLE DERAYABLE</v>
          </cell>
          <cell r="C5450" t="str">
            <v>RMD-3A    P/VANNE KSB</v>
          </cell>
          <cell r="D5450" t="str">
            <v>PE</v>
          </cell>
          <cell r="E5450" t="str">
            <v>515.51517</v>
          </cell>
          <cell r="F5450">
            <v>12025</v>
          </cell>
          <cell r="G5450">
            <v>0</v>
          </cell>
          <cell r="H5450">
            <v>0</v>
          </cell>
          <cell r="I5450">
            <v>0</v>
          </cell>
          <cell r="J5450">
            <v>0</v>
          </cell>
          <cell r="K5450">
            <v>0</v>
          </cell>
          <cell r="L5450">
            <v>1</v>
          </cell>
        </row>
        <row r="5451">
          <cell r="A5451" t="str">
            <v>20375.01003</v>
          </cell>
          <cell r="B5451" t="str">
            <v>LANTERNE</v>
          </cell>
          <cell r="C5451" t="str">
            <v>MTH 40312 N° SERIE 60921 REP 63</v>
          </cell>
          <cell r="D5451" t="str">
            <v>PE</v>
          </cell>
          <cell r="E5451" t="str">
            <v>515.51503</v>
          </cell>
          <cell r="F5451">
            <v>1350.2503999999999</v>
          </cell>
          <cell r="G5451">
            <v>0</v>
          </cell>
          <cell r="H5451">
            <v>0</v>
          </cell>
          <cell r="I5451">
            <v>1</v>
          </cell>
          <cell r="J5451">
            <v>1</v>
          </cell>
          <cell r="K5451">
            <v>0</v>
          </cell>
          <cell r="L5451">
            <v>4</v>
          </cell>
        </row>
        <row r="5452">
          <cell r="A5452" t="str">
            <v>20375.00999</v>
          </cell>
          <cell r="B5452" t="str">
            <v>COUVERCLE DE PALIER</v>
          </cell>
          <cell r="C5452" t="str">
            <v>3 VSH-1883 N° SERIE 60926 REP 23</v>
          </cell>
          <cell r="D5452" t="str">
            <v>PE</v>
          </cell>
          <cell r="E5452" t="str">
            <v>515.51503</v>
          </cell>
          <cell r="F5452">
            <v>1753.5887</v>
          </cell>
          <cell r="G5452">
            <v>0</v>
          </cell>
          <cell r="H5452">
            <v>0</v>
          </cell>
          <cell r="I5452">
            <v>0</v>
          </cell>
          <cell r="J5452">
            <v>0</v>
          </cell>
          <cell r="K5452">
            <v>0</v>
          </cell>
          <cell r="L5452">
            <v>2</v>
          </cell>
        </row>
        <row r="5453">
          <cell r="A5453" t="str">
            <v>20375.01000</v>
          </cell>
          <cell r="B5453" t="str">
            <v>COUVERCLE DE PALIER</v>
          </cell>
          <cell r="C5453" t="str">
            <v>MTH 40312 N° SERIE 60921 REP 23</v>
          </cell>
          <cell r="D5453" t="str">
            <v>PE</v>
          </cell>
          <cell r="E5453" t="str">
            <v>515.51503</v>
          </cell>
          <cell r="F5453">
            <v>3177.0486000000001</v>
          </cell>
          <cell r="G5453">
            <v>0</v>
          </cell>
          <cell r="H5453">
            <v>0</v>
          </cell>
          <cell r="I5453">
            <v>0</v>
          </cell>
          <cell r="J5453">
            <v>1</v>
          </cell>
          <cell r="K5453">
            <v>0</v>
          </cell>
          <cell r="L5453">
            <v>0</v>
          </cell>
        </row>
        <row r="5454">
          <cell r="A5454" t="str">
            <v>20375.01001</v>
          </cell>
          <cell r="B5454" t="str">
            <v>FOULOIRE PRESSE ETOUPE</v>
          </cell>
          <cell r="C5454" t="str">
            <v>MTH 40312 N° SERIE 60921 REP 24</v>
          </cell>
          <cell r="D5454" t="str">
            <v>PE</v>
          </cell>
          <cell r="E5454" t="str">
            <v>515.51503</v>
          </cell>
          <cell r="F5454">
            <v>3846.4493000000002</v>
          </cell>
          <cell r="G5454">
            <v>0</v>
          </cell>
          <cell r="H5454">
            <v>1</v>
          </cell>
          <cell r="I5454">
            <v>0</v>
          </cell>
          <cell r="J5454">
            <v>0</v>
          </cell>
          <cell r="K5454">
            <v>1</v>
          </cell>
          <cell r="L5454">
            <v>0</v>
          </cell>
        </row>
        <row r="5455">
          <cell r="A5455" t="str">
            <v>20375.01002</v>
          </cell>
          <cell r="B5455" t="str">
            <v>ENVELOPPE INFERIEURE</v>
          </cell>
          <cell r="C5455" t="str">
            <v>MTH 40312 N° SERIE 60921 REP 29</v>
          </cell>
          <cell r="D5455" t="str">
            <v>PE</v>
          </cell>
          <cell r="E5455" t="str">
            <v>515.51503</v>
          </cell>
          <cell r="F5455">
            <v>56360.261400000003</v>
          </cell>
          <cell r="G5455">
            <v>0</v>
          </cell>
          <cell r="H5455">
            <v>1</v>
          </cell>
          <cell r="I5455">
            <v>0</v>
          </cell>
          <cell r="J5455">
            <v>0</v>
          </cell>
          <cell r="K5455">
            <v>0</v>
          </cell>
          <cell r="L5455">
            <v>1</v>
          </cell>
        </row>
        <row r="5456">
          <cell r="A5456" t="str">
            <v>20325.03415</v>
          </cell>
          <cell r="B5456" t="str">
            <v>BAGUE D'ARRET POUR PALIER</v>
          </cell>
          <cell r="C5456" t="str">
            <v>FRB 12/180</v>
          </cell>
          <cell r="D5456" t="str">
            <v>PE</v>
          </cell>
          <cell r="E5456" t="str">
            <v>515.51515</v>
          </cell>
          <cell r="F5456">
            <v>36.275199999999998</v>
          </cell>
          <cell r="G5456">
            <v>0</v>
          </cell>
          <cell r="H5456">
            <v>0</v>
          </cell>
          <cell r="I5456">
            <v>2</v>
          </cell>
          <cell r="J5456">
            <v>2</v>
          </cell>
          <cell r="K5456">
            <v>3</v>
          </cell>
          <cell r="L5456">
            <v>0</v>
          </cell>
        </row>
        <row r="5457">
          <cell r="A5457" t="str">
            <v>20375.00655</v>
          </cell>
          <cell r="B5457" t="str">
            <v>TETE D'ASPIRATION</v>
          </cell>
          <cell r="C5457" t="str">
            <v>MSH 22610 N° SERIE 60924 REP 45</v>
          </cell>
          <cell r="D5457" t="str">
            <v>PE</v>
          </cell>
          <cell r="E5457" t="str">
            <v>515.51503</v>
          </cell>
          <cell r="F5457">
            <v>16836.365000000002</v>
          </cell>
          <cell r="G5457">
            <v>1</v>
          </cell>
          <cell r="H5457">
            <v>0</v>
          </cell>
          <cell r="I5457">
            <v>0</v>
          </cell>
          <cell r="J5457">
            <v>0</v>
          </cell>
          <cell r="K5457">
            <v>0</v>
          </cell>
          <cell r="L5457">
            <v>1</v>
          </cell>
        </row>
        <row r="5458">
          <cell r="A5458" t="str">
            <v>20375.00656</v>
          </cell>
          <cell r="B5458" t="str">
            <v>RONDELLE FREIN IMPULSEUR</v>
          </cell>
          <cell r="C5458" t="str">
            <v>MSH 22610 N° SERIE 60924 REP 66</v>
          </cell>
          <cell r="D5458" t="str">
            <v>PE</v>
          </cell>
          <cell r="E5458" t="str">
            <v>515.51503</v>
          </cell>
          <cell r="F5458">
            <v>50.214799999999997</v>
          </cell>
          <cell r="G5458">
            <v>0</v>
          </cell>
          <cell r="H5458">
            <v>0</v>
          </cell>
          <cell r="I5458">
            <v>0</v>
          </cell>
          <cell r="J5458">
            <v>0</v>
          </cell>
          <cell r="K5458">
            <v>0</v>
          </cell>
          <cell r="L5458">
            <v>15</v>
          </cell>
        </row>
        <row r="5459">
          <cell r="A5459" t="str">
            <v>20375.00657</v>
          </cell>
          <cell r="B5459" t="str">
            <v>JEU D'ECROU BORGNES</v>
          </cell>
          <cell r="C5459" t="str">
            <v>MSH 22610 N° SERIE 60924 REP 91</v>
          </cell>
          <cell r="D5459" t="str">
            <v>JE</v>
          </cell>
          <cell r="E5459" t="str">
            <v>515.51503</v>
          </cell>
          <cell r="F5459">
            <v>21550.366300000002</v>
          </cell>
          <cell r="G5459">
            <v>0</v>
          </cell>
          <cell r="H5459">
            <v>0</v>
          </cell>
          <cell r="I5459">
            <v>1</v>
          </cell>
          <cell r="J5459">
            <v>0</v>
          </cell>
          <cell r="K5459">
            <v>0</v>
          </cell>
          <cell r="L5459">
            <v>2</v>
          </cell>
        </row>
        <row r="5460">
          <cell r="A5460" t="str">
            <v>20375.00658</v>
          </cell>
          <cell r="B5460" t="str">
            <v>JEU DE JOINT TORIQUE</v>
          </cell>
          <cell r="C5460" t="str">
            <v>MSH 22610 N° SERIE 60924 REP 92</v>
          </cell>
          <cell r="D5460" t="str">
            <v>JE</v>
          </cell>
          <cell r="E5460" t="str">
            <v>515.51503</v>
          </cell>
          <cell r="F5460">
            <v>8472.6034999999993</v>
          </cell>
          <cell r="G5460">
            <v>0</v>
          </cell>
          <cell r="H5460">
            <v>0</v>
          </cell>
          <cell r="I5460">
            <v>0</v>
          </cell>
          <cell r="J5460">
            <v>0</v>
          </cell>
          <cell r="K5460">
            <v>0</v>
          </cell>
          <cell r="L5460">
            <v>3</v>
          </cell>
        </row>
        <row r="5461">
          <cell r="A5461" t="str">
            <v>20375.00659</v>
          </cell>
          <cell r="B5461" t="str">
            <v>BAGUE SUPERIEURE IMPULSEUR</v>
          </cell>
          <cell r="C5461" t="str">
            <v>MSH 22610 N° SERIE 60924 REP 97</v>
          </cell>
          <cell r="D5461" t="str">
            <v>PE</v>
          </cell>
          <cell r="E5461" t="str">
            <v>515.51503</v>
          </cell>
          <cell r="F5461">
            <v>8449.1795999999995</v>
          </cell>
          <cell r="G5461">
            <v>0</v>
          </cell>
          <cell r="H5461">
            <v>0</v>
          </cell>
          <cell r="I5461">
            <v>0</v>
          </cell>
          <cell r="J5461">
            <v>1</v>
          </cell>
          <cell r="K5461">
            <v>0</v>
          </cell>
          <cell r="L5461">
            <v>1</v>
          </cell>
        </row>
        <row r="5462">
          <cell r="A5462" t="str">
            <v>20375.00651</v>
          </cell>
          <cell r="B5462" t="str">
            <v>CONDUITE DE REFOULEMENT</v>
          </cell>
          <cell r="C5462" t="str">
            <v>MSH 22610 N° SERIE 60924 REP 30</v>
          </cell>
          <cell r="D5462" t="str">
            <v>PE</v>
          </cell>
          <cell r="E5462" t="str">
            <v>515.51503</v>
          </cell>
          <cell r="F5462">
            <v>31676.629000000001</v>
          </cell>
          <cell r="G5462">
            <v>0</v>
          </cell>
          <cell r="H5462">
            <v>0</v>
          </cell>
          <cell r="I5462">
            <v>0</v>
          </cell>
          <cell r="J5462">
            <v>0</v>
          </cell>
          <cell r="K5462">
            <v>0</v>
          </cell>
          <cell r="L5462">
            <v>1</v>
          </cell>
        </row>
        <row r="5463">
          <cell r="A5463" t="str">
            <v>20375.00652</v>
          </cell>
          <cell r="B5463" t="str">
            <v>COUDE DE REFOULEMENT</v>
          </cell>
          <cell r="C5463" t="str">
            <v>MSH 22610 N° SERIE 60924 REP 32</v>
          </cell>
          <cell r="D5463" t="str">
            <v>PE</v>
          </cell>
          <cell r="E5463" t="str">
            <v>515.51503</v>
          </cell>
          <cell r="F5463">
            <v>22459.352299999999</v>
          </cell>
          <cell r="G5463">
            <v>0</v>
          </cell>
          <cell r="H5463">
            <v>0</v>
          </cell>
          <cell r="I5463">
            <v>0</v>
          </cell>
          <cell r="J5463">
            <v>0</v>
          </cell>
          <cell r="K5463">
            <v>0</v>
          </cell>
          <cell r="L5463">
            <v>2</v>
          </cell>
        </row>
        <row r="5464">
          <cell r="A5464" t="str">
            <v>20375.00653</v>
          </cell>
          <cell r="B5464" t="str">
            <v>JEU DE GOUJON</v>
          </cell>
          <cell r="C5464" t="str">
            <v>MSH 22610 N° SERIE 60924 REP 37</v>
          </cell>
          <cell r="D5464" t="str">
            <v>JE</v>
          </cell>
          <cell r="E5464" t="str">
            <v>515.51503</v>
          </cell>
          <cell r="F5464">
            <v>19462.556199999999</v>
          </cell>
          <cell r="G5464">
            <v>0</v>
          </cell>
          <cell r="H5464">
            <v>0</v>
          </cell>
          <cell r="I5464">
            <v>0</v>
          </cell>
          <cell r="J5464">
            <v>0</v>
          </cell>
          <cell r="K5464">
            <v>0</v>
          </cell>
          <cell r="L5464">
            <v>3</v>
          </cell>
        </row>
        <row r="5465">
          <cell r="A5465" t="str">
            <v>20375.00654</v>
          </cell>
          <cell r="B5465" t="str">
            <v>ECROU ET RONDELLE FREIN</v>
          </cell>
          <cell r="C5465" t="str">
            <v>MSH 22610 N° SERIE 60924 REP 44</v>
          </cell>
          <cell r="D5465" t="str">
            <v>PE</v>
          </cell>
          <cell r="E5465" t="str">
            <v>515.51503</v>
          </cell>
          <cell r="F5465">
            <v>4342.7461999999996</v>
          </cell>
          <cell r="G5465">
            <v>0</v>
          </cell>
          <cell r="H5465">
            <v>0</v>
          </cell>
          <cell r="I5465">
            <v>0</v>
          </cell>
          <cell r="J5465">
            <v>1</v>
          </cell>
          <cell r="K5465">
            <v>0</v>
          </cell>
          <cell r="L5465">
            <v>1</v>
          </cell>
        </row>
        <row r="5466">
          <cell r="A5466" t="str">
            <v>20375.00582</v>
          </cell>
          <cell r="B5466" t="str">
            <v>PORTEE INTERMIDIAIRE</v>
          </cell>
          <cell r="C5466" t="str">
            <v>3 VSH-1883-N° SERIE 60926 REP 13</v>
          </cell>
          <cell r="D5466" t="str">
            <v>PE</v>
          </cell>
          <cell r="E5466" t="str">
            <v>515.51503</v>
          </cell>
          <cell r="F5466">
            <v>19004.067299999999</v>
          </cell>
          <cell r="G5466">
            <v>0</v>
          </cell>
          <cell r="H5466">
            <v>1</v>
          </cell>
          <cell r="I5466">
            <v>0</v>
          </cell>
          <cell r="J5466">
            <v>1</v>
          </cell>
          <cell r="K5466">
            <v>0</v>
          </cell>
          <cell r="L5466">
            <v>1</v>
          </cell>
        </row>
        <row r="5467">
          <cell r="A5467" t="str">
            <v>20375.00583</v>
          </cell>
          <cell r="B5467" t="str">
            <v>PALIER INTERMIDIAIRE</v>
          </cell>
          <cell r="C5467" t="str">
            <v>3 VSH-1883-N° SERIE 60926 REP 14</v>
          </cell>
          <cell r="D5467" t="str">
            <v>PE</v>
          </cell>
          <cell r="E5467" t="str">
            <v>515.51503</v>
          </cell>
          <cell r="F5467">
            <v>10822.213299999999</v>
          </cell>
          <cell r="G5467">
            <v>0</v>
          </cell>
          <cell r="H5467">
            <v>1</v>
          </cell>
          <cell r="I5467">
            <v>0</v>
          </cell>
          <cell r="J5467">
            <v>1</v>
          </cell>
          <cell r="K5467">
            <v>0</v>
          </cell>
          <cell r="L5467">
            <v>1</v>
          </cell>
        </row>
        <row r="5468">
          <cell r="A5468" t="str">
            <v>20375.00584</v>
          </cell>
          <cell r="B5468" t="str">
            <v>CORPS DE PALIER</v>
          </cell>
          <cell r="C5468" t="str">
            <v>3 VSH-1883-N° SERIE 60926 REP 15</v>
          </cell>
          <cell r="D5468" t="str">
            <v>PE</v>
          </cell>
          <cell r="E5468" t="str">
            <v>515.51503</v>
          </cell>
          <cell r="F5468">
            <v>7564.1930000000002</v>
          </cell>
          <cell r="G5468">
            <v>0</v>
          </cell>
          <cell r="H5468">
            <v>0</v>
          </cell>
          <cell r="I5468">
            <v>0</v>
          </cell>
          <cell r="J5468">
            <v>1</v>
          </cell>
          <cell r="K5468">
            <v>0</v>
          </cell>
          <cell r="L5468">
            <v>1</v>
          </cell>
        </row>
        <row r="5469">
          <cell r="A5469" t="str">
            <v>20375.00585</v>
          </cell>
          <cell r="B5469" t="str">
            <v>IMPULSEUR</v>
          </cell>
          <cell r="C5469" t="str">
            <v>3 VSH-1883-N° SERIE 60926 REP 16</v>
          </cell>
          <cell r="D5469" t="str">
            <v>PE</v>
          </cell>
          <cell r="E5469" t="str">
            <v>515.51503</v>
          </cell>
          <cell r="F5469">
            <v>20699.112799999999</v>
          </cell>
          <cell r="G5469">
            <v>0</v>
          </cell>
          <cell r="H5469">
            <v>0</v>
          </cell>
          <cell r="I5469">
            <v>0</v>
          </cell>
          <cell r="J5469">
            <v>0</v>
          </cell>
          <cell r="K5469">
            <v>0</v>
          </cell>
          <cell r="L5469">
            <v>3</v>
          </cell>
        </row>
        <row r="5470">
          <cell r="A5470" t="str">
            <v>20375.00586</v>
          </cell>
          <cell r="B5470" t="str">
            <v>BAGUE D'IMPULSEUR</v>
          </cell>
          <cell r="C5470" t="str">
            <v>3 VSH-1883-N° SERIE 60926 REP 17</v>
          </cell>
          <cell r="D5470" t="str">
            <v>PE</v>
          </cell>
          <cell r="E5470" t="str">
            <v>515.51503</v>
          </cell>
          <cell r="F5470">
            <v>1695.0454999999999</v>
          </cell>
          <cell r="G5470">
            <v>0</v>
          </cell>
          <cell r="H5470">
            <v>2</v>
          </cell>
          <cell r="I5470">
            <v>0</v>
          </cell>
          <cell r="J5470">
            <v>0</v>
          </cell>
          <cell r="K5470">
            <v>0</v>
          </cell>
          <cell r="L5470">
            <v>0</v>
          </cell>
        </row>
        <row r="5471">
          <cell r="A5471" t="str">
            <v>20375.00517</v>
          </cell>
          <cell r="B5471" t="str">
            <v>ROULEMENT BUTEE</v>
          </cell>
          <cell r="C5471" t="str">
            <v>LH60530 SERIE 53253-56 REP:04</v>
          </cell>
          <cell r="D5471" t="str">
            <v>PE</v>
          </cell>
          <cell r="E5471" t="str">
            <v>515.51503</v>
          </cell>
          <cell r="F5471">
            <v>14431.9535</v>
          </cell>
          <cell r="G5471">
            <v>0</v>
          </cell>
          <cell r="H5471">
            <v>2</v>
          </cell>
          <cell r="I5471">
            <v>3</v>
          </cell>
          <cell r="J5471">
            <v>3</v>
          </cell>
          <cell r="K5471">
            <v>4</v>
          </cell>
          <cell r="L5471">
            <v>0</v>
          </cell>
        </row>
        <row r="5472">
          <cell r="A5472" t="str">
            <v>20361.00065</v>
          </cell>
          <cell r="B5472" t="str">
            <v>CLE POLYGONALE C/COUDEE</v>
          </cell>
          <cell r="C5472" t="str">
            <v>55-17X19</v>
          </cell>
          <cell r="D5472" t="str">
            <v>PE</v>
          </cell>
          <cell r="E5472" t="str">
            <v>522.52208</v>
          </cell>
          <cell r="F5472">
            <v>117.6</v>
          </cell>
          <cell r="G5472">
            <v>0</v>
          </cell>
          <cell r="H5472">
            <v>0</v>
          </cell>
          <cell r="I5472">
            <v>0</v>
          </cell>
          <cell r="J5472">
            <v>0</v>
          </cell>
          <cell r="K5472">
            <v>0</v>
          </cell>
          <cell r="L5472">
            <v>0</v>
          </cell>
        </row>
        <row r="5473">
          <cell r="A5473" t="str">
            <v>20375.00664</v>
          </cell>
          <cell r="B5473" t="str">
            <v>JEU GARNITURE</v>
          </cell>
          <cell r="C5473" t="str">
            <v>MSH 22610 N° SERIE 60924 REP 131</v>
          </cell>
          <cell r="D5473" t="str">
            <v>JE</v>
          </cell>
          <cell r="E5473" t="str">
            <v>515.51503</v>
          </cell>
          <cell r="F5473">
            <v>1997.7335</v>
          </cell>
          <cell r="G5473">
            <v>0</v>
          </cell>
          <cell r="H5473">
            <v>0</v>
          </cell>
          <cell r="I5473">
            <v>0</v>
          </cell>
          <cell r="J5473">
            <v>2</v>
          </cell>
          <cell r="K5473">
            <v>0</v>
          </cell>
          <cell r="L5473">
            <v>5</v>
          </cell>
        </row>
        <row r="5474">
          <cell r="A5474" t="str">
            <v>20375.00665</v>
          </cell>
          <cell r="B5474" t="str">
            <v>JEU DE JOINTS</v>
          </cell>
          <cell r="C5474" t="str">
            <v>MSH 22610 N° SERIE 60924 REP 64</v>
          </cell>
          <cell r="D5474" t="str">
            <v>JE</v>
          </cell>
          <cell r="E5474" t="str">
            <v>515.51503</v>
          </cell>
          <cell r="F5474">
            <v>5503.8566000000001</v>
          </cell>
          <cell r="G5474">
            <v>0</v>
          </cell>
          <cell r="H5474">
            <v>0</v>
          </cell>
          <cell r="I5474">
            <v>0</v>
          </cell>
          <cell r="J5474">
            <v>0</v>
          </cell>
          <cell r="K5474">
            <v>0</v>
          </cell>
          <cell r="L5474">
            <v>2</v>
          </cell>
        </row>
        <row r="5475">
          <cell r="A5475" t="str">
            <v>20375.00666</v>
          </cell>
          <cell r="B5475" t="str">
            <v>JEU DE COLLIERS COMPLET</v>
          </cell>
          <cell r="C5475" t="str">
            <v>MSH 22610 N° SERIE 60924 REP 144</v>
          </cell>
          <cell r="D5475" t="str">
            <v>JE</v>
          </cell>
          <cell r="E5475" t="str">
            <v>515.51503</v>
          </cell>
          <cell r="F5475">
            <v>3455.6959999999999</v>
          </cell>
          <cell r="G5475">
            <v>0</v>
          </cell>
          <cell r="H5475">
            <v>0</v>
          </cell>
          <cell r="I5475">
            <v>0</v>
          </cell>
          <cell r="J5475">
            <v>0</v>
          </cell>
          <cell r="K5475">
            <v>0</v>
          </cell>
          <cell r="L5475">
            <v>2</v>
          </cell>
        </row>
        <row r="5476">
          <cell r="A5476" t="str">
            <v>20375.00667</v>
          </cell>
          <cell r="B5476" t="str">
            <v>ROULEMENT A BILLES</v>
          </cell>
          <cell r="C5476" t="str">
            <v>MSH 22610 N° SERIE 60924 REP 6</v>
          </cell>
          <cell r="D5476" t="str">
            <v>PE</v>
          </cell>
          <cell r="E5476" t="str">
            <v>515.51503</v>
          </cell>
          <cell r="F5476">
            <v>3028.9391000000001</v>
          </cell>
          <cell r="G5476">
            <v>0</v>
          </cell>
          <cell r="H5476">
            <v>1</v>
          </cell>
          <cell r="I5476">
            <v>0</v>
          </cell>
          <cell r="J5476">
            <v>0</v>
          </cell>
          <cell r="K5476">
            <v>0</v>
          </cell>
          <cell r="L5476">
            <v>0</v>
          </cell>
        </row>
        <row r="5477">
          <cell r="A5477" t="str">
            <v>20375.00668</v>
          </cell>
          <cell r="B5477" t="str">
            <v>ENVELOPPE SUPERIEURE</v>
          </cell>
          <cell r="C5477" t="str">
            <v>MSH 22610 N° SERIE 60924 REP 11</v>
          </cell>
          <cell r="D5477" t="str">
            <v>PE</v>
          </cell>
          <cell r="E5477" t="str">
            <v>515.51503</v>
          </cell>
          <cell r="F5477">
            <v>35698.412400000001</v>
          </cell>
          <cell r="G5477">
            <v>0</v>
          </cell>
          <cell r="H5477">
            <v>0</v>
          </cell>
          <cell r="I5477">
            <v>0</v>
          </cell>
          <cell r="J5477">
            <v>0</v>
          </cell>
          <cell r="K5477">
            <v>0</v>
          </cell>
          <cell r="L5477">
            <v>2</v>
          </cell>
        </row>
        <row r="5478">
          <cell r="A5478" t="str">
            <v>20375.00660</v>
          </cell>
          <cell r="B5478" t="str">
            <v>BAGUE DE LA VOLUTE</v>
          </cell>
          <cell r="C5478" t="str">
            <v>MSH 22610 N° SERIE 60924 REP 98</v>
          </cell>
          <cell r="D5478" t="str">
            <v>PE</v>
          </cell>
          <cell r="E5478" t="str">
            <v>515.51503</v>
          </cell>
          <cell r="F5478">
            <v>8719.7049999999999</v>
          </cell>
          <cell r="G5478">
            <v>0</v>
          </cell>
          <cell r="H5478">
            <v>0</v>
          </cell>
          <cell r="I5478">
            <v>0</v>
          </cell>
          <cell r="J5478">
            <v>0</v>
          </cell>
          <cell r="K5478">
            <v>0</v>
          </cell>
          <cell r="L5478">
            <v>1</v>
          </cell>
        </row>
        <row r="5479">
          <cell r="A5479" t="str">
            <v>20375.00661</v>
          </cell>
          <cell r="B5479" t="str">
            <v>KIT DE REPARATION ACCOUPLEMENT</v>
          </cell>
          <cell r="C5479" t="str">
            <v>MSH 22610 N° SERIE 60924 REP 113</v>
          </cell>
          <cell r="D5479" t="str">
            <v>JE</v>
          </cell>
          <cell r="E5479" t="str">
            <v>515.51503</v>
          </cell>
          <cell r="F5479">
            <v>3560.7660999999998</v>
          </cell>
          <cell r="G5479">
            <v>1</v>
          </cell>
          <cell r="H5479">
            <v>0</v>
          </cell>
          <cell r="I5479">
            <v>1</v>
          </cell>
          <cell r="J5479">
            <v>0</v>
          </cell>
          <cell r="K5479">
            <v>0</v>
          </cell>
          <cell r="L5479">
            <v>0</v>
          </cell>
        </row>
        <row r="5480">
          <cell r="A5480" t="str">
            <v>20361.01140</v>
          </cell>
          <cell r="B5480" t="str">
            <v>GRATTOIR FEUILLE DE SAUGE</v>
          </cell>
          <cell r="C5480">
            <v>232</v>
          </cell>
          <cell r="D5480" t="str">
            <v>PE</v>
          </cell>
          <cell r="E5480" t="str">
            <v>522.52208</v>
          </cell>
          <cell r="F5480">
            <v>183.16800000000001</v>
          </cell>
          <cell r="G5480">
            <v>0</v>
          </cell>
          <cell r="H5480">
            <v>0</v>
          </cell>
          <cell r="I5480">
            <v>0</v>
          </cell>
          <cell r="J5480">
            <v>0</v>
          </cell>
          <cell r="K5480">
            <v>0</v>
          </cell>
          <cell r="L5480">
            <v>0</v>
          </cell>
        </row>
        <row r="5481">
          <cell r="A5481" t="str">
            <v>20375.00662</v>
          </cell>
          <cell r="B5481" t="str">
            <v>ADAPTEUR PALIER VOLUTE</v>
          </cell>
          <cell r="C5481" t="str">
            <v>MSH 22610 N° SERIE 60924 REP 118</v>
          </cell>
          <cell r="D5481" t="str">
            <v>PE</v>
          </cell>
          <cell r="E5481" t="str">
            <v>515.51503</v>
          </cell>
          <cell r="F5481">
            <v>20032.678400000001</v>
          </cell>
          <cell r="G5481">
            <v>0</v>
          </cell>
          <cell r="H5481">
            <v>0</v>
          </cell>
          <cell r="I5481">
            <v>0</v>
          </cell>
          <cell r="J5481">
            <v>0</v>
          </cell>
          <cell r="K5481">
            <v>0</v>
          </cell>
          <cell r="L5481">
            <v>2</v>
          </cell>
        </row>
        <row r="5482">
          <cell r="A5482" t="str">
            <v>20375.00663</v>
          </cell>
          <cell r="B5482" t="str">
            <v>ADAPTEUR INTERMEDIAIRE</v>
          </cell>
          <cell r="C5482" t="str">
            <v>MSH 22610 N° SERIE 60924 REP 119</v>
          </cell>
          <cell r="D5482" t="str">
            <v>PE</v>
          </cell>
          <cell r="E5482" t="str">
            <v>515.51503</v>
          </cell>
          <cell r="F5482">
            <v>19708.512900000002</v>
          </cell>
          <cell r="G5482">
            <v>0</v>
          </cell>
          <cell r="H5482">
            <v>0</v>
          </cell>
          <cell r="I5482">
            <v>0</v>
          </cell>
          <cell r="J5482">
            <v>0</v>
          </cell>
          <cell r="K5482">
            <v>0</v>
          </cell>
          <cell r="L5482">
            <v>2</v>
          </cell>
        </row>
        <row r="5483">
          <cell r="A5483" t="str">
            <v>20361.01141</v>
          </cell>
          <cell r="B5483" t="str">
            <v>CLA A FOURCHE</v>
          </cell>
          <cell r="C5483" t="str">
            <v>44.36X41</v>
          </cell>
          <cell r="D5483" t="str">
            <v>PE</v>
          </cell>
          <cell r="E5483" t="str">
            <v>522.52208</v>
          </cell>
          <cell r="F5483">
            <v>204</v>
          </cell>
          <cell r="G5483">
            <v>0</v>
          </cell>
          <cell r="H5483">
            <v>0</v>
          </cell>
          <cell r="I5483">
            <v>0</v>
          </cell>
          <cell r="J5483">
            <v>0</v>
          </cell>
          <cell r="K5483">
            <v>0</v>
          </cell>
          <cell r="L5483">
            <v>0</v>
          </cell>
        </row>
        <row r="5484">
          <cell r="A5484" t="str">
            <v>20325.03422</v>
          </cell>
          <cell r="B5484" t="str">
            <v>BAGUE D'ARRET POUR PALIER</v>
          </cell>
          <cell r="C5484" t="str">
            <v>FRB 15/250</v>
          </cell>
          <cell r="D5484" t="str">
            <v>PE</v>
          </cell>
          <cell r="E5484" t="str">
            <v>515.51515</v>
          </cell>
          <cell r="F5484">
            <v>77</v>
          </cell>
          <cell r="G5484">
            <v>0</v>
          </cell>
          <cell r="H5484">
            <v>0</v>
          </cell>
          <cell r="I5484">
            <v>0</v>
          </cell>
          <cell r="J5484">
            <v>0</v>
          </cell>
          <cell r="K5484">
            <v>0</v>
          </cell>
          <cell r="L5484">
            <v>4</v>
          </cell>
        </row>
        <row r="5485">
          <cell r="A5485" t="str">
            <v>20361.01168</v>
          </cell>
          <cell r="B5485" t="str">
            <v>CLE A FOURCHE SIMPLE</v>
          </cell>
          <cell r="C5485" t="str">
            <v>45.55</v>
          </cell>
          <cell r="D5485" t="str">
            <v>PE</v>
          </cell>
          <cell r="E5485" t="str">
            <v>522.52208</v>
          </cell>
          <cell r="F5485">
            <v>269</v>
          </cell>
          <cell r="G5485">
            <v>0</v>
          </cell>
          <cell r="H5485">
            <v>0</v>
          </cell>
          <cell r="I5485">
            <v>0</v>
          </cell>
          <cell r="J5485">
            <v>0</v>
          </cell>
          <cell r="K5485">
            <v>0</v>
          </cell>
          <cell r="L5485">
            <v>0</v>
          </cell>
        </row>
        <row r="5486">
          <cell r="A5486" t="str">
            <v>20361.01169</v>
          </cell>
          <cell r="B5486" t="str">
            <v>CLE A FOURCHE SIMPLE</v>
          </cell>
          <cell r="C5486" t="str">
            <v>45-60</v>
          </cell>
          <cell r="D5486" t="str">
            <v>PE</v>
          </cell>
          <cell r="E5486" t="str">
            <v>522.52208</v>
          </cell>
          <cell r="F5486">
            <v>363</v>
          </cell>
          <cell r="G5486">
            <v>0</v>
          </cell>
          <cell r="H5486">
            <v>0</v>
          </cell>
          <cell r="I5486">
            <v>0</v>
          </cell>
          <cell r="J5486">
            <v>0</v>
          </cell>
          <cell r="K5486">
            <v>0</v>
          </cell>
          <cell r="L5486">
            <v>0</v>
          </cell>
        </row>
        <row r="5487">
          <cell r="A5487" t="str">
            <v>20325.01537</v>
          </cell>
          <cell r="B5487" t="str">
            <v>ROULEMENT A BILLES</v>
          </cell>
          <cell r="C5487" t="str">
            <v>6304/C3</v>
          </cell>
          <cell r="D5487" t="str">
            <v>PE</v>
          </cell>
          <cell r="E5487" t="str">
            <v>515.51515</v>
          </cell>
          <cell r="F5487">
            <v>18.6538</v>
          </cell>
          <cell r="G5487">
            <v>0</v>
          </cell>
          <cell r="H5487">
            <v>0</v>
          </cell>
          <cell r="I5487">
            <v>0</v>
          </cell>
          <cell r="J5487">
            <v>0</v>
          </cell>
          <cell r="K5487">
            <v>1</v>
          </cell>
          <cell r="L5487">
            <v>0</v>
          </cell>
        </row>
        <row r="5488">
          <cell r="A5488" t="str">
            <v>20325.01536</v>
          </cell>
          <cell r="B5488" t="str">
            <v>ROULEMENT A BILLES</v>
          </cell>
          <cell r="C5488" t="str">
            <v>6303-2RS1</v>
          </cell>
          <cell r="D5488" t="str">
            <v>PE</v>
          </cell>
          <cell r="E5488" t="str">
            <v>515.51515</v>
          </cell>
          <cell r="F5488">
            <v>36</v>
          </cell>
          <cell r="G5488">
            <v>0</v>
          </cell>
          <cell r="H5488">
            <v>0</v>
          </cell>
          <cell r="I5488">
            <v>0</v>
          </cell>
          <cell r="J5488">
            <v>0</v>
          </cell>
          <cell r="K5488">
            <v>4</v>
          </cell>
          <cell r="L5488">
            <v>0</v>
          </cell>
        </row>
        <row r="5489">
          <cell r="A5489" t="str">
            <v>20325.03433</v>
          </cell>
          <cell r="B5489" t="str">
            <v>ECROU DE SERRAGE</v>
          </cell>
          <cell r="C5489" t="str">
            <v>KM 5</v>
          </cell>
          <cell r="D5489" t="str">
            <v>PE</v>
          </cell>
          <cell r="E5489" t="str">
            <v>515.51515</v>
          </cell>
          <cell r="F5489">
            <v>19.234400000000001</v>
          </cell>
          <cell r="G5489">
            <v>0</v>
          </cell>
          <cell r="H5489">
            <v>0</v>
          </cell>
          <cell r="I5489">
            <v>0</v>
          </cell>
          <cell r="J5489">
            <v>0</v>
          </cell>
          <cell r="K5489">
            <v>0</v>
          </cell>
          <cell r="L5489">
            <v>16</v>
          </cell>
        </row>
        <row r="5490">
          <cell r="A5490" t="str">
            <v>20325.03434</v>
          </cell>
          <cell r="B5490" t="str">
            <v>ECROU DE SERRAGE</v>
          </cell>
          <cell r="C5490" t="str">
            <v>KM 11</v>
          </cell>
          <cell r="D5490" t="str">
            <v>PE</v>
          </cell>
          <cell r="E5490" t="str">
            <v>515.51515</v>
          </cell>
          <cell r="F5490">
            <v>34.881</v>
          </cell>
          <cell r="G5490">
            <v>0</v>
          </cell>
          <cell r="H5490">
            <v>0</v>
          </cell>
          <cell r="I5490">
            <v>0</v>
          </cell>
          <cell r="J5490">
            <v>0</v>
          </cell>
          <cell r="K5490">
            <v>0</v>
          </cell>
          <cell r="L5490">
            <v>12</v>
          </cell>
        </row>
        <row r="5491">
          <cell r="A5491" t="str">
            <v>20375.01073</v>
          </cell>
          <cell r="B5491" t="str">
            <v xml:space="preserve">ACCOUPLEMENT COMPLET </v>
          </cell>
          <cell r="C5491" t="str">
            <v>MSH 22610 N° SERIE 60924 REP 1+3+113</v>
          </cell>
          <cell r="D5491" t="str">
            <v>PE</v>
          </cell>
          <cell r="E5491" t="str">
            <v>515.51503</v>
          </cell>
          <cell r="F5491">
            <v>19675.076799999999</v>
          </cell>
          <cell r="G5491">
            <v>1</v>
          </cell>
          <cell r="H5491">
            <v>0</v>
          </cell>
          <cell r="I5491">
            <v>0</v>
          </cell>
          <cell r="J5491">
            <v>0</v>
          </cell>
          <cell r="K5491">
            <v>0</v>
          </cell>
          <cell r="L5491">
            <v>1</v>
          </cell>
        </row>
        <row r="5492">
          <cell r="A5492" t="str">
            <v>20375.01074</v>
          </cell>
          <cell r="B5492" t="str">
            <v xml:space="preserve">PLAQUE DE RECOUVREMENT </v>
          </cell>
          <cell r="C5492" t="str">
            <v xml:space="preserve">MTH 40312 N° SERIE 60921 REP 9 </v>
          </cell>
          <cell r="D5492" t="str">
            <v>PE</v>
          </cell>
          <cell r="E5492" t="str">
            <v>515.51503</v>
          </cell>
          <cell r="F5492">
            <v>64955.539900000003</v>
          </cell>
          <cell r="G5492">
            <v>0</v>
          </cell>
          <cell r="H5492">
            <v>0</v>
          </cell>
          <cell r="I5492">
            <v>0</v>
          </cell>
          <cell r="J5492">
            <v>0</v>
          </cell>
          <cell r="K5492">
            <v>0</v>
          </cell>
          <cell r="L5492">
            <v>2</v>
          </cell>
        </row>
        <row r="5493">
          <cell r="A5493" t="str">
            <v>20361.04845</v>
          </cell>
          <cell r="B5493" t="str">
            <v>CLE MALE LONGUE A 6 PANS</v>
          </cell>
          <cell r="C5493" t="str">
            <v>83H.16</v>
          </cell>
          <cell r="D5493" t="str">
            <v>PE</v>
          </cell>
          <cell r="E5493" t="str">
            <v>522.52208</v>
          </cell>
          <cell r="F5493">
            <v>74.97</v>
          </cell>
          <cell r="G5493">
            <v>0</v>
          </cell>
          <cell r="H5493">
            <v>0</v>
          </cell>
          <cell r="I5493">
            <v>0</v>
          </cell>
          <cell r="J5493">
            <v>0</v>
          </cell>
          <cell r="K5493">
            <v>0</v>
          </cell>
          <cell r="L5493">
            <v>0</v>
          </cell>
        </row>
        <row r="5494">
          <cell r="A5494" t="str">
            <v>20361.04846</v>
          </cell>
          <cell r="B5494" t="str">
            <v>CLE MALE LONGUE A 6 PANS</v>
          </cell>
          <cell r="C5494" t="str">
            <v>83H.18</v>
          </cell>
          <cell r="D5494" t="str">
            <v>PE</v>
          </cell>
          <cell r="E5494" t="str">
            <v>522.52208</v>
          </cell>
          <cell r="F5494">
            <v>98</v>
          </cell>
          <cell r="G5494">
            <v>0</v>
          </cell>
          <cell r="H5494">
            <v>0</v>
          </cell>
          <cell r="I5494">
            <v>0</v>
          </cell>
          <cell r="J5494">
            <v>0</v>
          </cell>
          <cell r="K5494">
            <v>0</v>
          </cell>
          <cell r="L5494">
            <v>0</v>
          </cell>
        </row>
        <row r="5495">
          <cell r="A5495" t="str">
            <v>20375.01114</v>
          </cell>
          <cell r="B5495" t="str">
            <v>LANTERNE GLAND</v>
          </cell>
          <cell r="C5495" t="str">
            <v>MSH 22610  N° SERIE 60924   REP 63</v>
          </cell>
          <cell r="D5495" t="str">
            <v>PE</v>
          </cell>
          <cell r="E5495" t="str">
            <v>515.51503</v>
          </cell>
          <cell r="F5495">
            <v>1578.2147</v>
          </cell>
          <cell r="G5495">
            <v>0</v>
          </cell>
          <cell r="H5495">
            <v>1</v>
          </cell>
          <cell r="I5495">
            <v>0</v>
          </cell>
          <cell r="J5495">
            <v>0</v>
          </cell>
          <cell r="K5495">
            <v>0</v>
          </cell>
          <cell r="L5495">
            <v>2</v>
          </cell>
        </row>
        <row r="5496">
          <cell r="A5496" t="str">
            <v>20361.04847</v>
          </cell>
          <cell r="B5496" t="str">
            <v>CLE MALE LONGUE A 6 PANS</v>
          </cell>
          <cell r="C5496" t="str">
            <v>83H.24</v>
          </cell>
          <cell r="D5496" t="str">
            <v>PE</v>
          </cell>
          <cell r="E5496" t="str">
            <v>522.52208</v>
          </cell>
          <cell r="F5496">
            <v>230</v>
          </cell>
          <cell r="G5496">
            <v>0</v>
          </cell>
          <cell r="H5496">
            <v>0</v>
          </cell>
          <cell r="I5496">
            <v>0</v>
          </cell>
          <cell r="J5496">
            <v>0</v>
          </cell>
          <cell r="K5496">
            <v>0</v>
          </cell>
          <cell r="L5496">
            <v>0</v>
          </cell>
        </row>
        <row r="5497">
          <cell r="A5497" t="str">
            <v>20375.01113</v>
          </cell>
          <cell r="B5497" t="str">
            <v>BOITIER DE ROULEMENT</v>
          </cell>
          <cell r="C5497" t="str">
            <v>MSH 22610   N° SERIE 60924   REP 23</v>
          </cell>
          <cell r="D5497" t="str">
            <v>PE</v>
          </cell>
          <cell r="E5497" t="str">
            <v>515.51503</v>
          </cell>
          <cell r="F5497">
            <v>1788.6433</v>
          </cell>
          <cell r="G5497">
            <v>0</v>
          </cell>
          <cell r="H5497">
            <v>0</v>
          </cell>
          <cell r="I5497">
            <v>1</v>
          </cell>
          <cell r="J5497">
            <v>0</v>
          </cell>
          <cell r="K5497">
            <v>0</v>
          </cell>
          <cell r="L5497">
            <v>1</v>
          </cell>
        </row>
        <row r="5498">
          <cell r="A5498" t="str">
            <v>20361.04937</v>
          </cell>
          <cell r="B5498" t="str">
            <v>COMPOSITION EXTRACTEUR HYDRAULIQUE</v>
          </cell>
          <cell r="C5498" t="str">
            <v>U.312HJ4</v>
          </cell>
          <cell r="D5498" t="str">
            <v>PE</v>
          </cell>
          <cell r="E5498" t="str">
            <v>522.52208</v>
          </cell>
          <cell r="F5498">
            <v>8374</v>
          </cell>
          <cell r="G5498">
            <v>0</v>
          </cell>
          <cell r="H5498">
            <v>0</v>
          </cell>
          <cell r="I5498">
            <v>0</v>
          </cell>
          <cell r="J5498">
            <v>0</v>
          </cell>
          <cell r="K5498">
            <v>0</v>
          </cell>
          <cell r="L5498">
            <v>0</v>
          </cell>
        </row>
        <row r="5499">
          <cell r="A5499" t="str">
            <v>20375.01008</v>
          </cell>
          <cell r="B5499" t="str">
            <v>CORPS DE VANNE A PAPILLON DN18"</v>
          </cell>
          <cell r="C5499" t="str">
            <v>FIGURE 402 150 LB   LEWMET  DN18"  P / ACIDE SULFURIQUE</v>
          </cell>
          <cell r="D5499" t="str">
            <v>PE</v>
          </cell>
          <cell r="E5499" t="str">
            <v>515.51511</v>
          </cell>
          <cell r="F5499">
            <v>190067</v>
          </cell>
          <cell r="G5499">
            <v>0</v>
          </cell>
          <cell r="H5499">
            <v>0</v>
          </cell>
          <cell r="I5499">
            <v>0</v>
          </cell>
          <cell r="J5499">
            <v>0</v>
          </cell>
          <cell r="K5499">
            <v>0</v>
          </cell>
          <cell r="L5499">
            <v>1</v>
          </cell>
        </row>
        <row r="5500">
          <cell r="A5500" t="str">
            <v>20375.01009</v>
          </cell>
          <cell r="B5500" t="str">
            <v>CORPS DE VANNE A PAPILLON DN14"</v>
          </cell>
          <cell r="C5500" t="str">
            <v>FIGURE 401  150 LB   LEWMET DN14"   P / ACIDE SULFURIQUE</v>
          </cell>
          <cell r="D5500" t="str">
            <v>PE</v>
          </cell>
          <cell r="E5500" t="str">
            <v>515.51511</v>
          </cell>
          <cell r="F5500">
            <v>99621</v>
          </cell>
          <cell r="G5500">
            <v>0</v>
          </cell>
          <cell r="H5500">
            <v>0</v>
          </cell>
          <cell r="I5500">
            <v>0</v>
          </cell>
          <cell r="J5500">
            <v>0</v>
          </cell>
          <cell r="K5500">
            <v>0</v>
          </cell>
          <cell r="L5500">
            <v>1</v>
          </cell>
        </row>
        <row r="5501">
          <cell r="A5501" t="str">
            <v>20361.01685</v>
          </cell>
          <cell r="B5501" t="str">
            <v>COMPAS A POINTES SECHES</v>
          </cell>
          <cell r="C5501" t="str">
            <v>DELA.1901.06</v>
          </cell>
          <cell r="D5501" t="str">
            <v>PE</v>
          </cell>
          <cell r="E5501" t="str">
            <v>522.52208</v>
          </cell>
          <cell r="F5501">
            <v>127.5</v>
          </cell>
          <cell r="G5501">
            <v>0</v>
          </cell>
          <cell r="H5501">
            <v>0</v>
          </cell>
          <cell r="I5501">
            <v>0</v>
          </cell>
          <cell r="J5501">
            <v>0</v>
          </cell>
          <cell r="K5501">
            <v>0</v>
          </cell>
          <cell r="L5501">
            <v>0</v>
          </cell>
        </row>
        <row r="5502">
          <cell r="A5502" t="str">
            <v>20375.01010</v>
          </cell>
          <cell r="B5502" t="str">
            <v>CORPS DE VANNE A PAPILLON DN10"</v>
          </cell>
          <cell r="C5502" t="str">
            <v>FIGURE 401  150 LB  LEWMET DN10"    P /  ACIDE SULFURIQUE</v>
          </cell>
          <cell r="D5502" t="str">
            <v>PE</v>
          </cell>
          <cell r="E5502" t="str">
            <v>515.51511</v>
          </cell>
          <cell r="F5502">
            <v>62705</v>
          </cell>
          <cell r="G5502">
            <v>0</v>
          </cell>
          <cell r="H5502">
            <v>0</v>
          </cell>
          <cell r="I5502">
            <v>0</v>
          </cell>
          <cell r="J5502">
            <v>0</v>
          </cell>
          <cell r="K5502">
            <v>0</v>
          </cell>
          <cell r="L5502">
            <v>1</v>
          </cell>
        </row>
        <row r="5503">
          <cell r="A5503" t="str">
            <v>20325.02278</v>
          </cell>
          <cell r="B5503" t="str">
            <v>ROULEMENT A BILLES</v>
          </cell>
          <cell r="C5503" t="str">
            <v>6006-2RS1</v>
          </cell>
          <cell r="D5503" t="str">
            <v>PE</v>
          </cell>
          <cell r="E5503" t="str">
            <v>515.51515</v>
          </cell>
          <cell r="F5503">
            <v>22.754999999999999</v>
          </cell>
          <cell r="G5503">
            <v>0</v>
          </cell>
          <cell r="H5503">
            <v>0</v>
          </cell>
          <cell r="I5503">
            <v>0</v>
          </cell>
          <cell r="J5503">
            <v>0</v>
          </cell>
          <cell r="K5503">
            <v>2</v>
          </cell>
          <cell r="L5503">
            <v>0</v>
          </cell>
        </row>
        <row r="5504">
          <cell r="A5504" t="str">
            <v>20212.10113</v>
          </cell>
          <cell r="B5504" t="str">
            <v>ELECTRVANNE</v>
          </cell>
          <cell r="C5504" t="str">
            <v>TYPE: ZR-145 SERIE: S991452-01/03REF: 1089 0428 14</v>
          </cell>
          <cell r="D5504" t="str">
            <v>PE</v>
          </cell>
          <cell r="E5504" t="str">
            <v>515.51504</v>
          </cell>
          <cell r="F5504">
            <v>1711.4453000000001</v>
          </cell>
          <cell r="G5504">
            <v>0</v>
          </cell>
          <cell r="H5504">
            <v>0</v>
          </cell>
          <cell r="I5504">
            <v>0</v>
          </cell>
          <cell r="J5504">
            <v>0</v>
          </cell>
          <cell r="K5504">
            <v>0</v>
          </cell>
          <cell r="L5504">
            <v>1</v>
          </cell>
        </row>
        <row r="5505">
          <cell r="A5505" t="str">
            <v>20212.10114</v>
          </cell>
          <cell r="B5505" t="str">
            <v>CAPTEUR</v>
          </cell>
          <cell r="C5505" t="str">
            <v>TYPE: ZR-145 SERIE: S991452-01/03REF: 1089 0574 49</v>
          </cell>
          <cell r="D5505" t="str">
            <v>PE</v>
          </cell>
          <cell r="E5505" t="str">
            <v>515.51504</v>
          </cell>
          <cell r="F5505">
            <v>356.79500000000002</v>
          </cell>
          <cell r="G5505">
            <v>0</v>
          </cell>
          <cell r="H5505">
            <v>0</v>
          </cell>
          <cell r="I5505">
            <v>0</v>
          </cell>
          <cell r="J5505">
            <v>0</v>
          </cell>
          <cell r="K5505">
            <v>0</v>
          </cell>
          <cell r="L5505">
            <v>2</v>
          </cell>
        </row>
        <row r="5506">
          <cell r="A5506" t="str">
            <v>20212.10116</v>
          </cell>
          <cell r="B5506" t="str">
            <v>CAPTEUR</v>
          </cell>
          <cell r="C5506" t="str">
            <v>TYPE: ZR-145 SERIE: S991452-01/03REF: 1089 0575 73</v>
          </cell>
          <cell r="D5506" t="str">
            <v>PE</v>
          </cell>
          <cell r="E5506" t="str">
            <v>515.51504</v>
          </cell>
          <cell r="F5506">
            <v>1531.165</v>
          </cell>
          <cell r="G5506">
            <v>0</v>
          </cell>
          <cell r="H5506">
            <v>0</v>
          </cell>
          <cell r="I5506">
            <v>0</v>
          </cell>
          <cell r="J5506">
            <v>0</v>
          </cell>
          <cell r="K5506">
            <v>0</v>
          </cell>
          <cell r="L5506">
            <v>2</v>
          </cell>
        </row>
        <row r="5507">
          <cell r="A5507" t="str">
            <v>20212.10118</v>
          </cell>
          <cell r="B5507" t="str">
            <v>PREFILTRE</v>
          </cell>
          <cell r="C5507" t="str">
            <v>TYPE: ZR-145 SERIE: S991452-01/03REF: 1621 1389 00</v>
          </cell>
          <cell r="D5507" t="str">
            <v>PE</v>
          </cell>
          <cell r="E5507" t="str">
            <v>515.51504</v>
          </cell>
          <cell r="F5507">
            <v>2778.83</v>
          </cell>
          <cell r="G5507">
            <v>0</v>
          </cell>
          <cell r="H5507">
            <v>0</v>
          </cell>
          <cell r="I5507">
            <v>0</v>
          </cell>
          <cell r="J5507">
            <v>0</v>
          </cell>
          <cell r="K5507">
            <v>0</v>
          </cell>
          <cell r="L5507">
            <v>2</v>
          </cell>
        </row>
        <row r="5508">
          <cell r="A5508" t="str">
            <v>20345.00287</v>
          </cell>
          <cell r="B5508" t="str">
            <v>ACCOUPLEMENT COMPLET</v>
          </cell>
          <cell r="C5508" t="str">
            <v>N.EUPEX TAILLE A 440</v>
          </cell>
          <cell r="D5508" t="str">
            <v>PE</v>
          </cell>
          <cell r="E5508" t="str">
            <v>515.51515</v>
          </cell>
          <cell r="F5508">
            <v>19074</v>
          </cell>
          <cell r="G5508">
            <v>0</v>
          </cell>
          <cell r="H5508">
            <v>0</v>
          </cell>
          <cell r="I5508">
            <v>0</v>
          </cell>
          <cell r="J5508">
            <v>0</v>
          </cell>
          <cell r="K5508">
            <v>0</v>
          </cell>
          <cell r="L5508">
            <v>2</v>
          </cell>
        </row>
        <row r="5509">
          <cell r="A5509" t="str">
            <v>20345.00288</v>
          </cell>
          <cell r="B5509" t="str">
            <v>ACCOUPLEMENT COMPLET</v>
          </cell>
          <cell r="C5509" t="str">
            <v>N.EUPEX TAILLE A 480 CATALOGUE FLENDER PAGE 9 VERSION 78</v>
          </cell>
          <cell r="D5509" t="str">
            <v>PE</v>
          </cell>
          <cell r="E5509" t="str">
            <v>515.51515</v>
          </cell>
          <cell r="F5509">
            <v>18507</v>
          </cell>
          <cell r="G5509">
            <v>0</v>
          </cell>
          <cell r="H5509">
            <v>0</v>
          </cell>
          <cell r="I5509">
            <v>1</v>
          </cell>
          <cell r="J5509">
            <v>0</v>
          </cell>
          <cell r="K5509">
            <v>0</v>
          </cell>
          <cell r="L5509">
            <v>1</v>
          </cell>
        </row>
        <row r="5510">
          <cell r="A5510" t="str">
            <v>20345.00228</v>
          </cell>
          <cell r="B5510" t="str">
            <v>ACCOUPLEMENT</v>
          </cell>
          <cell r="C5510" t="str">
            <v>N.EUPEX TAILLE A 125                    (ACCOUPLEMENT)</v>
          </cell>
          <cell r="D5510" t="str">
            <v>PE</v>
          </cell>
          <cell r="E5510" t="str">
            <v>515.51515</v>
          </cell>
          <cell r="F5510">
            <v>838.95830000000001</v>
          </cell>
          <cell r="G5510">
            <v>0</v>
          </cell>
          <cell r="H5510">
            <v>2</v>
          </cell>
          <cell r="I5510">
            <v>1</v>
          </cell>
          <cell r="J5510">
            <v>2</v>
          </cell>
          <cell r="K5510">
            <v>1</v>
          </cell>
          <cell r="L5510">
            <v>3</v>
          </cell>
        </row>
        <row r="5511">
          <cell r="A5511" t="str">
            <v>20345.00284</v>
          </cell>
          <cell r="B5511" t="str">
            <v>ACCOUPLEMENT COMPLET</v>
          </cell>
          <cell r="C5511" t="str">
            <v>N.EUPEX TAILLE A 110                   (ACCOUPLEMENT)</v>
          </cell>
          <cell r="D5511" t="str">
            <v>PE</v>
          </cell>
          <cell r="E5511" t="str">
            <v>515.51515</v>
          </cell>
          <cell r="F5511">
            <v>750</v>
          </cell>
          <cell r="G5511">
            <v>0</v>
          </cell>
          <cell r="H5511">
            <v>3</v>
          </cell>
          <cell r="I5511">
            <v>0</v>
          </cell>
          <cell r="J5511">
            <v>0</v>
          </cell>
          <cell r="K5511">
            <v>0</v>
          </cell>
          <cell r="L5511">
            <v>0</v>
          </cell>
        </row>
        <row r="5512">
          <cell r="A5512" t="str">
            <v>20212.10119</v>
          </cell>
          <cell r="B5512" t="str">
            <v>COOLER</v>
          </cell>
          <cell r="C5512" t="str">
            <v>TYPE: ZR-145 SERIE: S991452-01/03REF: 1621 4014 01</v>
          </cell>
          <cell r="D5512" t="str">
            <v>PE</v>
          </cell>
          <cell r="E5512" t="str">
            <v>515.51504</v>
          </cell>
          <cell r="F5512">
            <v>15744</v>
          </cell>
          <cell r="G5512">
            <v>0</v>
          </cell>
          <cell r="H5512">
            <v>0</v>
          </cell>
          <cell r="I5512">
            <v>0</v>
          </cell>
          <cell r="J5512">
            <v>0</v>
          </cell>
          <cell r="K5512">
            <v>0</v>
          </cell>
          <cell r="L5512">
            <v>1</v>
          </cell>
        </row>
        <row r="5513">
          <cell r="A5513" t="str">
            <v>20212.10296</v>
          </cell>
          <cell r="B5513" t="str">
            <v>NOYAU</v>
          </cell>
          <cell r="C5513" t="str">
            <v>1621 7001 02</v>
          </cell>
          <cell r="D5513" t="str">
            <v>PE</v>
          </cell>
          <cell r="E5513" t="str">
            <v>515.51504</v>
          </cell>
          <cell r="F5513">
            <v>137668.1905</v>
          </cell>
          <cell r="G5513">
            <v>0</v>
          </cell>
          <cell r="H5513">
            <v>0</v>
          </cell>
          <cell r="I5513">
            <v>0</v>
          </cell>
          <cell r="J5513">
            <v>0</v>
          </cell>
          <cell r="K5513">
            <v>0</v>
          </cell>
          <cell r="L5513">
            <v>1</v>
          </cell>
        </row>
        <row r="5514">
          <cell r="A5514" t="str">
            <v>20212.10297</v>
          </cell>
          <cell r="B5514" t="str">
            <v>NOYAU</v>
          </cell>
          <cell r="C5514" t="str">
            <v>1621 7000 02</v>
          </cell>
          <cell r="D5514" t="str">
            <v>PE</v>
          </cell>
          <cell r="E5514" t="str">
            <v>515.51504</v>
          </cell>
          <cell r="F5514">
            <v>110466.4192</v>
          </cell>
          <cell r="G5514">
            <v>0</v>
          </cell>
          <cell r="H5514">
            <v>0</v>
          </cell>
          <cell r="I5514">
            <v>0</v>
          </cell>
          <cell r="J5514">
            <v>0</v>
          </cell>
          <cell r="K5514">
            <v>0</v>
          </cell>
          <cell r="L5514">
            <v>1</v>
          </cell>
        </row>
        <row r="5515">
          <cell r="A5515" t="str">
            <v>20212.10298</v>
          </cell>
          <cell r="B5515" t="str">
            <v>PREFILTRE</v>
          </cell>
          <cell r="C5515" t="str">
            <v>1621 1389 99</v>
          </cell>
          <cell r="D5515" t="str">
            <v>PE</v>
          </cell>
          <cell r="E5515" t="str">
            <v>515.51504</v>
          </cell>
          <cell r="F5515">
            <v>2778.83</v>
          </cell>
          <cell r="G5515">
            <v>0</v>
          </cell>
          <cell r="H5515">
            <v>0</v>
          </cell>
          <cell r="I5515">
            <v>0</v>
          </cell>
          <cell r="J5515">
            <v>0</v>
          </cell>
          <cell r="K5515">
            <v>0</v>
          </cell>
          <cell r="L5515">
            <v>2</v>
          </cell>
        </row>
        <row r="5516">
          <cell r="A5516" t="str">
            <v>20212.10299</v>
          </cell>
          <cell r="B5516" t="str">
            <v>DIAPHRAGME</v>
          </cell>
          <cell r="C5516" t="str">
            <v>1621 0078 00</v>
          </cell>
          <cell r="D5516" t="str">
            <v>PE</v>
          </cell>
          <cell r="E5516" t="str">
            <v>515.51504</v>
          </cell>
          <cell r="F5516">
            <v>1403.6089999999999</v>
          </cell>
          <cell r="G5516">
            <v>0</v>
          </cell>
          <cell r="H5516">
            <v>0</v>
          </cell>
          <cell r="I5516">
            <v>0</v>
          </cell>
          <cell r="J5516">
            <v>0</v>
          </cell>
          <cell r="K5516">
            <v>0</v>
          </cell>
          <cell r="L5516">
            <v>1</v>
          </cell>
        </row>
        <row r="5517">
          <cell r="A5517" t="str">
            <v>20212.10295</v>
          </cell>
          <cell r="B5517" t="str">
            <v>ELEMENT HP</v>
          </cell>
          <cell r="C5517" t="str">
            <v>1616 5851 81</v>
          </cell>
          <cell r="D5517" t="str">
            <v>PE</v>
          </cell>
          <cell r="E5517" t="str">
            <v>515.51504</v>
          </cell>
          <cell r="F5517">
            <v>148985.36499999999</v>
          </cell>
          <cell r="G5517">
            <v>0</v>
          </cell>
          <cell r="H5517">
            <v>0</v>
          </cell>
          <cell r="I5517">
            <v>0</v>
          </cell>
          <cell r="J5517">
            <v>0</v>
          </cell>
          <cell r="K5517">
            <v>0</v>
          </cell>
          <cell r="L5517">
            <v>1</v>
          </cell>
        </row>
        <row r="5518">
          <cell r="A5518" t="str">
            <v>20361.04931</v>
          </cell>
          <cell r="B5518" t="str">
            <v>JAUGE D'EPAISSEUR</v>
          </cell>
          <cell r="C5518" t="str">
            <v>804.SL</v>
          </cell>
          <cell r="D5518" t="str">
            <v>PE</v>
          </cell>
          <cell r="E5518" t="str">
            <v>522.52208</v>
          </cell>
          <cell r="F5518">
            <v>407</v>
          </cell>
          <cell r="G5518">
            <v>0</v>
          </cell>
          <cell r="H5518">
            <v>0</v>
          </cell>
          <cell r="I5518">
            <v>0</v>
          </cell>
          <cell r="J5518">
            <v>0</v>
          </cell>
          <cell r="K5518">
            <v>0</v>
          </cell>
          <cell r="L5518">
            <v>0</v>
          </cell>
        </row>
        <row r="5519">
          <cell r="A5519" t="str">
            <v>20325.01919</v>
          </cell>
          <cell r="B5519" t="str">
            <v>ROULEMENT A ROTULE/RLX</v>
          </cell>
          <cell r="C5519" t="str">
            <v>23124 CC/W33</v>
          </cell>
          <cell r="D5519" t="str">
            <v>PE</v>
          </cell>
          <cell r="E5519" t="str">
            <v>515.51515</v>
          </cell>
          <cell r="F5519">
            <v>2376.2163999999998</v>
          </cell>
          <cell r="G5519">
            <v>0</v>
          </cell>
          <cell r="H5519">
            <v>0</v>
          </cell>
          <cell r="I5519">
            <v>0</v>
          </cell>
          <cell r="J5519">
            <v>0</v>
          </cell>
          <cell r="K5519">
            <v>0</v>
          </cell>
          <cell r="L5519">
            <v>3</v>
          </cell>
        </row>
        <row r="5520">
          <cell r="A5520" t="str">
            <v>20375.00518</v>
          </cell>
          <cell r="B5520" t="str">
            <v>ROULEMENT BUTEE</v>
          </cell>
          <cell r="C5520" t="str">
            <v>LH60530 SERIE 53253-56 REP:05</v>
          </cell>
          <cell r="D5520" t="str">
            <v>PE</v>
          </cell>
          <cell r="E5520" t="str">
            <v>515.51503</v>
          </cell>
          <cell r="F5520">
            <v>10862.5257</v>
          </cell>
          <cell r="G5520">
            <v>0</v>
          </cell>
          <cell r="H5520">
            <v>2</v>
          </cell>
          <cell r="I5520">
            <v>4</v>
          </cell>
          <cell r="J5520">
            <v>0</v>
          </cell>
          <cell r="K5520">
            <v>6</v>
          </cell>
          <cell r="L5520">
            <v>0</v>
          </cell>
        </row>
        <row r="5521">
          <cell r="A5521" t="str">
            <v>20345.00294</v>
          </cell>
          <cell r="B5521" t="str">
            <v>ACCOUPLEMENT N.EUPEX</v>
          </cell>
          <cell r="C5521" t="str">
            <v>ACCOUPLEMENT N.EUPEX A250 PREALESE</v>
          </cell>
          <cell r="D5521" t="str">
            <v>PE</v>
          </cell>
          <cell r="E5521" t="str">
            <v>515.51515</v>
          </cell>
          <cell r="F5521">
            <v>4445.7547000000004</v>
          </cell>
          <cell r="G5521">
            <v>0</v>
          </cell>
          <cell r="H5521">
            <v>0</v>
          </cell>
          <cell r="I5521">
            <v>0</v>
          </cell>
          <cell r="J5521">
            <v>0</v>
          </cell>
          <cell r="K5521">
            <v>0</v>
          </cell>
          <cell r="L5521">
            <v>0</v>
          </cell>
        </row>
        <row r="5522">
          <cell r="A5522" t="str">
            <v>20345.00296</v>
          </cell>
          <cell r="B5522" t="str">
            <v>ACCOUPLEMENT N.EUPEX</v>
          </cell>
          <cell r="C5522" t="str">
            <v>ACCOUPLEMENT N.EUPEX A280 PREALESE</v>
          </cell>
          <cell r="D5522" t="str">
            <v>PE</v>
          </cell>
          <cell r="E5522" t="str">
            <v>515.51515</v>
          </cell>
          <cell r="F5522">
            <v>4492.2979999999998</v>
          </cell>
          <cell r="G5522">
            <v>0</v>
          </cell>
          <cell r="H5522">
            <v>0</v>
          </cell>
          <cell r="I5522">
            <v>0</v>
          </cell>
          <cell r="J5522">
            <v>0</v>
          </cell>
          <cell r="K5522">
            <v>0</v>
          </cell>
          <cell r="L5522">
            <v>1</v>
          </cell>
        </row>
        <row r="5523">
          <cell r="A5523" t="str">
            <v>20361.04932</v>
          </cell>
          <cell r="B5523" t="str">
            <v>EMBOUT POUR MASSETTE</v>
          </cell>
          <cell r="C5523" t="str">
            <v>EC.40</v>
          </cell>
          <cell r="D5523" t="str">
            <v>PE</v>
          </cell>
          <cell r="E5523" t="str">
            <v>522.52208</v>
          </cell>
          <cell r="F5523">
            <v>87</v>
          </cell>
          <cell r="G5523">
            <v>0</v>
          </cell>
          <cell r="H5523">
            <v>0</v>
          </cell>
          <cell r="I5523">
            <v>0</v>
          </cell>
          <cell r="J5523">
            <v>0</v>
          </cell>
          <cell r="K5523">
            <v>0</v>
          </cell>
          <cell r="L5523">
            <v>0</v>
          </cell>
        </row>
        <row r="5524">
          <cell r="A5524" t="str">
            <v>20361.04933</v>
          </cell>
          <cell r="B5524" t="str">
            <v>CLE A FOURCHE</v>
          </cell>
          <cell r="C5524" t="str">
            <v>44.12X14</v>
          </cell>
          <cell r="D5524" t="str">
            <v>PE</v>
          </cell>
          <cell r="E5524" t="str">
            <v>522.52208</v>
          </cell>
          <cell r="F5524">
            <v>37</v>
          </cell>
          <cell r="G5524">
            <v>0</v>
          </cell>
          <cell r="H5524">
            <v>0</v>
          </cell>
          <cell r="I5524">
            <v>0</v>
          </cell>
          <cell r="J5524">
            <v>0</v>
          </cell>
          <cell r="K5524">
            <v>0</v>
          </cell>
          <cell r="L5524">
            <v>0</v>
          </cell>
        </row>
        <row r="5525">
          <cell r="A5525" t="str">
            <v>20361.04934</v>
          </cell>
          <cell r="B5525" t="str">
            <v>CLE AFOURCHE GROS EFFORT</v>
          </cell>
          <cell r="C5525" t="str">
            <v>45.30</v>
          </cell>
          <cell r="D5525" t="str">
            <v>PE</v>
          </cell>
          <cell r="E5525" t="str">
            <v>522.52208</v>
          </cell>
          <cell r="F5525">
            <v>117</v>
          </cell>
          <cell r="G5525">
            <v>0</v>
          </cell>
          <cell r="H5525">
            <v>0</v>
          </cell>
          <cell r="I5525">
            <v>0</v>
          </cell>
          <cell r="J5525">
            <v>0</v>
          </cell>
          <cell r="K5525">
            <v>0</v>
          </cell>
          <cell r="L5525">
            <v>0</v>
          </cell>
        </row>
        <row r="5526">
          <cell r="A5526" t="str">
            <v>20361.04935</v>
          </cell>
          <cell r="B5526" t="str">
            <v>CLE POLYGONALE OGV</v>
          </cell>
          <cell r="C5526" t="str">
            <v>55A.18X19</v>
          </cell>
          <cell r="D5526" t="str">
            <v>PE</v>
          </cell>
          <cell r="E5526" t="str">
            <v>522.52208</v>
          </cell>
          <cell r="F5526">
            <v>129.85</v>
          </cell>
          <cell r="G5526">
            <v>0</v>
          </cell>
          <cell r="H5526">
            <v>0</v>
          </cell>
          <cell r="I5526">
            <v>0</v>
          </cell>
          <cell r="J5526">
            <v>0</v>
          </cell>
          <cell r="K5526">
            <v>0</v>
          </cell>
          <cell r="L5526">
            <v>0</v>
          </cell>
        </row>
        <row r="5527">
          <cell r="A5527" t="str">
            <v>20361.04936</v>
          </cell>
          <cell r="B5527" t="str">
            <v>FILIERE EXTENSIBLE</v>
          </cell>
          <cell r="C5527" t="str">
            <v>221.9X125</v>
          </cell>
          <cell r="D5527" t="str">
            <v>PE</v>
          </cell>
          <cell r="E5527" t="str">
            <v>522.52208</v>
          </cell>
          <cell r="F5527">
            <v>242.9</v>
          </cell>
          <cell r="G5527">
            <v>0</v>
          </cell>
          <cell r="H5527">
            <v>0</v>
          </cell>
          <cell r="I5527">
            <v>0</v>
          </cell>
          <cell r="J5527">
            <v>0</v>
          </cell>
          <cell r="K5527">
            <v>0</v>
          </cell>
          <cell r="L5527">
            <v>0</v>
          </cell>
        </row>
        <row r="5528">
          <cell r="A5528" t="str">
            <v>20361.00038</v>
          </cell>
          <cell r="B5528" t="str">
            <v>PINCE CIRCLIPS INT.</v>
          </cell>
          <cell r="C5528" t="str">
            <v>199E.18</v>
          </cell>
          <cell r="D5528" t="str">
            <v>PE</v>
          </cell>
          <cell r="E5528" t="str">
            <v>522.52208</v>
          </cell>
          <cell r="F5528">
            <v>247.68</v>
          </cell>
          <cell r="G5528">
            <v>0</v>
          </cell>
          <cell r="H5528">
            <v>0</v>
          </cell>
          <cell r="I5528">
            <v>0</v>
          </cell>
          <cell r="J5528">
            <v>0</v>
          </cell>
          <cell r="K5528">
            <v>0</v>
          </cell>
          <cell r="L5528">
            <v>0</v>
          </cell>
        </row>
        <row r="5529">
          <cell r="A5529" t="str">
            <v>20361.00070</v>
          </cell>
          <cell r="B5529" t="str">
            <v>FER A SOUDER 220V 80WATTS</v>
          </cell>
          <cell r="C5529" t="str">
            <v>947.80</v>
          </cell>
          <cell r="D5529" t="str">
            <v>PE</v>
          </cell>
          <cell r="E5529" t="str">
            <v>522.52208</v>
          </cell>
          <cell r="F5529">
            <v>543.70000000000005</v>
          </cell>
          <cell r="G5529">
            <v>0</v>
          </cell>
          <cell r="H5529">
            <v>0</v>
          </cell>
          <cell r="I5529">
            <v>0</v>
          </cell>
          <cell r="J5529">
            <v>0</v>
          </cell>
          <cell r="K5529">
            <v>0</v>
          </cell>
          <cell r="L5529">
            <v>0</v>
          </cell>
        </row>
        <row r="5530">
          <cell r="A5530" t="str">
            <v>20375.00116</v>
          </cell>
          <cell r="B5530" t="str">
            <v>COUVERCLE PALIER EXTERIEU</v>
          </cell>
          <cell r="C5530" t="str">
            <v>LH60530     SERIE 53253-56       REPERE 80</v>
          </cell>
          <cell r="D5530" t="str">
            <v>PE</v>
          </cell>
          <cell r="E5530" t="str">
            <v>515.51503</v>
          </cell>
          <cell r="F5530">
            <v>8132.9584999999997</v>
          </cell>
          <cell r="G5530">
            <v>0</v>
          </cell>
          <cell r="H5530">
            <v>0</v>
          </cell>
          <cell r="I5530">
            <v>2</v>
          </cell>
          <cell r="J5530">
            <v>0</v>
          </cell>
          <cell r="K5530">
            <v>0</v>
          </cell>
          <cell r="L5530">
            <v>2</v>
          </cell>
        </row>
        <row r="5531">
          <cell r="A5531" t="str">
            <v>20375.00118</v>
          </cell>
          <cell r="B5531" t="str">
            <v>CIRCLIPS</v>
          </cell>
          <cell r="C5531" t="str">
            <v>LH60530     SERIE 53253-56       REPERE 83</v>
          </cell>
          <cell r="D5531" t="str">
            <v>PE</v>
          </cell>
          <cell r="E5531" t="str">
            <v>515.51503</v>
          </cell>
          <cell r="F5531">
            <v>395.822</v>
          </cell>
          <cell r="G5531">
            <v>0</v>
          </cell>
          <cell r="H5531">
            <v>0</v>
          </cell>
          <cell r="I5531">
            <v>0</v>
          </cell>
          <cell r="J5531">
            <v>1</v>
          </cell>
          <cell r="K5531">
            <v>1</v>
          </cell>
          <cell r="L5531">
            <v>0</v>
          </cell>
        </row>
        <row r="5532">
          <cell r="A5532" t="str">
            <v>20375.00102</v>
          </cell>
          <cell r="B5532" t="str">
            <v>VIS AVEC ECROU</v>
          </cell>
          <cell r="C5532" t="str">
            <v>LH60530     SERIE 53253-56       REPERE 02</v>
          </cell>
          <cell r="D5532" t="str">
            <v>PE</v>
          </cell>
          <cell r="E5532" t="str">
            <v>515.51503</v>
          </cell>
          <cell r="F5532">
            <v>12046.6819</v>
          </cell>
          <cell r="G5532">
            <v>0</v>
          </cell>
          <cell r="H5532">
            <v>0</v>
          </cell>
          <cell r="I5532">
            <v>0</v>
          </cell>
          <cell r="J5532">
            <v>0</v>
          </cell>
          <cell r="K5532">
            <v>4</v>
          </cell>
          <cell r="L5532">
            <v>2</v>
          </cell>
        </row>
        <row r="5533">
          <cell r="A5533" t="str">
            <v>20375.00104</v>
          </cell>
          <cell r="B5533" t="str">
            <v>JOINT</v>
          </cell>
          <cell r="C5533" t="str">
            <v>LH60530     SERIE 53253-56       REPERE 18</v>
          </cell>
          <cell r="D5533" t="str">
            <v>PE</v>
          </cell>
          <cell r="E5533" t="str">
            <v>515.51503</v>
          </cell>
          <cell r="F5533">
            <v>2963.4593</v>
          </cell>
          <cell r="G5533">
            <v>0</v>
          </cell>
          <cell r="H5533">
            <v>4</v>
          </cell>
          <cell r="I5533">
            <v>1</v>
          </cell>
          <cell r="J5533">
            <v>0</v>
          </cell>
          <cell r="K5533">
            <v>1</v>
          </cell>
          <cell r="L5533">
            <v>0</v>
          </cell>
        </row>
        <row r="5534">
          <cell r="A5534" t="str">
            <v>20325.03214</v>
          </cell>
          <cell r="B5534" t="str">
            <v>ROULEMENT A BILLES</v>
          </cell>
          <cell r="C5534">
            <v>3311</v>
          </cell>
          <cell r="D5534" t="str">
            <v>PE</v>
          </cell>
          <cell r="E5534" t="str">
            <v>515.51515</v>
          </cell>
          <cell r="F5534">
            <v>477.988</v>
          </cell>
          <cell r="G5534">
            <v>0</v>
          </cell>
          <cell r="H5534">
            <v>0</v>
          </cell>
          <cell r="I5534">
            <v>0</v>
          </cell>
          <cell r="J5534">
            <v>0</v>
          </cell>
          <cell r="K5534">
            <v>0</v>
          </cell>
          <cell r="L5534">
            <v>0</v>
          </cell>
        </row>
        <row r="5535">
          <cell r="A5535" t="str">
            <v>20345.02390</v>
          </cell>
          <cell r="B5535" t="str">
            <v>ELEMENT ELESTIQUE POUR ACCOUPLEMENT</v>
          </cell>
          <cell r="C5535" t="str">
            <v>BIPEX P/ACCOUPLEMENT TYPE BWN TAILLE 97 VERSION AB</v>
          </cell>
          <cell r="D5535" t="str">
            <v>PE</v>
          </cell>
          <cell r="E5535" t="str">
            <v>515.51515</v>
          </cell>
          <cell r="F5535">
            <v>125</v>
          </cell>
          <cell r="G5535">
            <v>0</v>
          </cell>
          <cell r="H5535">
            <v>0</v>
          </cell>
          <cell r="I5535">
            <v>0</v>
          </cell>
          <cell r="J5535">
            <v>0</v>
          </cell>
          <cell r="K5535">
            <v>0</v>
          </cell>
          <cell r="L5535">
            <v>1</v>
          </cell>
        </row>
        <row r="5536">
          <cell r="A5536" t="str">
            <v>20345.02391</v>
          </cell>
          <cell r="B5536" t="str">
            <v>ACCOUPLEMENT COMPLET</v>
          </cell>
          <cell r="C5536" t="str">
            <v>BIPEX TYPE BWN TAILLE 142 VERSION AB</v>
          </cell>
          <cell r="D5536" t="str">
            <v>PE</v>
          </cell>
          <cell r="E5536" t="str">
            <v>515.51515</v>
          </cell>
          <cell r="F5536">
            <v>1430</v>
          </cell>
          <cell r="G5536">
            <v>0</v>
          </cell>
          <cell r="H5536">
            <v>0</v>
          </cell>
          <cell r="I5536">
            <v>0</v>
          </cell>
          <cell r="J5536">
            <v>0</v>
          </cell>
          <cell r="K5536">
            <v>0</v>
          </cell>
          <cell r="L5536">
            <v>1</v>
          </cell>
        </row>
        <row r="5537">
          <cell r="A5537" t="str">
            <v>20345.02392</v>
          </cell>
          <cell r="B5537" t="str">
            <v>ELEMENT ELESTIQUE POUR ACCOUPLEMENT</v>
          </cell>
          <cell r="C5537" t="str">
            <v>BIPEX P/ACCOUPLEMENTTYPE BWN TAILLE 142 VERSION AB</v>
          </cell>
          <cell r="D5537" t="str">
            <v>PE</v>
          </cell>
          <cell r="E5537" t="str">
            <v>515.51515</v>
          </cell>
          <cell r="F5537">
            <v>332.5</v>
          </cell>
          <cell r="G5537">
            <v>0</v>
          </cell>
          <cell r="H5537">
            <v>0</v>
          </cell>
          <cell r="I5537">
            <v>0</v>
          </cell>
          <cell r="J5537">
            <v>0</v>
          </cell>
          <cell r="K5537">
            <v>0</v>
          </cell>
          <cell r="L5537">
            <v>1</v>
          </cell>
        </row>
        <row r="5538">
          <cell r="A5538" t="str">
            <v>20345.02393</v>
          </cell>
          <cell r="B5538" t="str">
            <v>ACCOUPLEMENT COMPLET</v>
          </cell>
          <cell r="C5538" t="str">
            <v>BIPEX TYPE BWN TAILLE 162 VERSION AB</v>
          </cell>
          <cell r="D5538" t="str">
            <v>PE</v>
          </cell>
          <cell r="E5538" t="str">
            <v>515.51515</v>
          </cell>
          <cell r="F5538">
            <v>2369.5</v>
          </cell>
          <cell r="G5538">
            <v>0</v>
          </cell>
          <cell r="H5538">
            <v>0</v>
          </cell>
          <cell r="I5538">
            <v>0</v>
          </cell>
          <cell r="J5538">
            <v>1</v>
          </cell>
          <cell r="K5538">
            <v>0</v>
          </cell>
          <cell r="L5538">
            <v>1</v>
          </cell>
        </row>
        <row r="5539">
          <cell r="A5539" t="str">
            <v>20345.02394</v>
          </cell>
          <cell r="B5539" t="str">
            <v>ELEMENT ELESTIQUE POUR ACCOUPLEMENT</v>
          </cell>
          <cell r="C5539" t="str">
            <v>BIPEX P/ACCOUPLEMENT TYPE BWN TAILLE 162 VERSION AB</v>
          </cell>
          <cell r="D5539" t="str">
            <v>PE</v>
          </cell>
          <cell r="E5539" t="str">
            <v>515.51515</v>
          </cell>
          <cell r="F5539">
            <v>527.5</v>
          </cell>
          <cell r="G5539">
            <v>0</v>
          </cell>
          <cell r="H5539">
            <v>0</v>
          </cell>
          <cell r="I5539">
            <v>0</v>
          </cell>
          <cell r="J5539">
            <v>0</v>
          </cell>
          <cell r="K5539">
            <v>0</v>
          </cell>
          <cell r="L5539">
            <v>2</v>
          </cell>
        </row>
        <row r="5540">
          <cell r="A5540" t="str">
            <v>20345.02389</v>
          </cell>
          <cell r="B5540" t="str">
            <v>ACCOUPLEMENT COMPLET</v>
          </cell>
          <cell r="C5540" t="str">
            <v>BIPEX TYPE BWN TAILLE 97 VERSION AB</v>
          </cell>
          <cell r="D5540" t="str">
            <v>PE</v>
          </cell>
          <cell r="E5540" t="str">
            <v>515.51515</v>
          </cell>
          <cell r="F5540">
            <v>845</v>
          </cell>
          <cell r="G5540">
            <v>0</v>
          </cell>
          <cell r="H5540">
            <v>0</v>
          </cell>
          <cell r="I5540">
            <v>0</v>
          </cell>
          <cell r="J5540">
            <v>0</v>
          </cell>
          <cell r="K5540">
            <v>0</v>
          </cell>
          <cell r="L5540">
            <v>1</v>
          </cell>
        </row>
        <row r="5541">
          <cell r="A5541" t="str">
            <v>20340.00824</v>
          </cell>
          <cell r="B5541" t="str">
            <v>RELAIS 48V</v>
          </cell>
          <cell r="C5541" t="str">
            <v>700-HA33Z48-3</v>
          </cell>
          <cell r="D5541" t="str">
            <v>PE</v>
          </cell>
          <cell r="E5541" t="str">
            <v>522.52206</v>
          </cell>
          <cell r="F5541">
            <v>80</v>
          </cell>
          <cell r="G5541">
            <v>0</v>
          </cell>
          <cell r="H5541">
            <v>0</v>
          </cell>
          <cell r="I5541">
            <v>0</v>
          </cell>
          <cell r="J5541">
            <v>0</v>
          </cell>
          <cell r="K5541">
            <v>0</v>
          </cell>
          <cell r="L5541">
            <v>15</v>
          </cell>
        </row>
        <row r="5542">
          <cell r="A5542" t="str">
            <v>20325.03732</v>
          </cell>
          <cell r="B5542" t="str">
            <v>ROULEMENT A ROULEAX</v>
          </cell>
          <cell r="C5542" t="str">
            <v>NUP 208</v>
          </cell>
          <cell r="D5542" t="str">
            <v>PE</v>
          </cell>
          <cell r="E5542" t="str">
            <v>515.51515</v>
          </cell>
          <cell r="F5542">
            <v>116.5</v>
          </cell>
          <cell r="G5542">
            <v>0</v>
          </cell>
          <cell r="H5542">
            <v>0</v>
          </cell>
          <cell r="I5542">
            <v>0</v>
          </cell>
          <cell r="J5542">
            <v>0</v>
          </cell>
          <cell r="K5542">
            <v>0</v>
          </cell>
          <cell r="L5542">
            <v>2</v>
          </cell>
        </row>
        <row r="5543">
          <cell r="A5543" t="str">
            <v>20340.00843</v>
          </cell>
          <cell r="B5543" t="str">
            <v>DISJONCTEUR MODUL.BIPOLAI</v>
          </cell>
          <cell r="C5543" t="str">
            <v>1492-SP2C040</v>
          </cell>
          <cell r="D5543" t="str">
            <v>PE</v>
          </cell>
          <cell r="E5543" t="str">
            <v>522.52206</v>
          </cell>
          <cell r="F5543">
            <v>232.8</v>
          </cell>
          <cell r="G5543">
            <v>0</v>
          </cell>
          <cell r="H5543">
            <v>0</v>
          </cell>
          <cell r="I5543">
            <v>0</v>
          </cell>
          <cell r="J5543">
            <v>0</v>
          </cell>
          <cell r="K5543">
            <v>0</v>
          </cell>
          <cell r="L5543">
            <v>2</v>
          </cell>
        </row>
        <row r="5544">
          <cell r="A5544" t="str">
            <v>20340.00844</v>
          </cell>
          <cell r="B5544" t="str">
            <v>DISJONCTEUR MODUL.BIPOLAI</v>
          </cell>
          <cell r="C5544" t="str">
            <v>1492-SP2C060</v>
          </cell>
          <cell r="D5544" t="str">
            <v>PE</v>
          </cell>
          <cell r="E5544" t="str">
            <v>522.52206</v>
          </cell>
          <cell r="F5544">
            <v>150.50399999999999</v>
          </cell>
          <cell r="G5544">
            <v>0</v>
          </cell>
          <cell r="H5544">
            <v>0</v>
          </cell>
          <cell r="I5544">
            <v>0</v>
          </cell>
          <cell r="J5544">
            <v>0</v>
          </cell>
          <cell r="K5544">
            <v>1</v>
          </cell>
          <cell r="L5544">
            <v>0</v>
          </cell>
        </row>
        <row r="5545">
          <cell r="A5545" t="str">
            <v>20340.00845</v>
          </cell>
          <cell r="B5545" t="str">
            <v>DISJONCTEUR MODUL.BIPOLAI</v>
          </cell>
          <cell r="C5545" t="str">
            <v>1492-SP2C100</v>
          </cell>
          <cell r="D5545" t="str">
            <v>PE</v>
          </cell>
          <cell r="E5545" t="str">
            <v>522.52206</v>
          </cell>
          <cell r="F5545">
            <v>139.68</v>
          </cell>
          <cell r="G5545">
            <v>0</v>
          </cell>
          <cell r="H5545">
            <v>0</v>
          </cell>
          <cell r="I5545">
            <v>0</v>
          </cell>
          <cell r="J5545">
            <v>0</v>
          </cell>
          <cell r="K5545">
            <v>0</v>
          </cell>
          <cell r="L5545">
            <v>0</v>
          </cell>
        </row>
        <row r="5546">
          <cell r="A5546" t="str">
            <v>20340.01247</v>
          </cell>
          <cell r="B5546" t="str">
            <v>CONTACTEUR 3P</v>
          </cell>
          <cell r="C5546" t="str">
            <v>100-C43KF00</v>
          </cell>
          <cell r="D5546" t="str">
            <v>PE</v>
          </cell>
          <cell r="E5546" t="str">
            <v>522.52206</v>
          </cell>
          <cell r="F5546">
            <v>804.63599999999997</v>
          </cell>
          <cell r="G5546">
            <v>0</v>
          </cell>
          <cell r="H5546">
            <v>0</v>
          </cell>
          <cell r="I5546">
            <v>0</v>
          </cell>
          <cell r="J5546">
            <v>0</v>
          </cell>
          <cell r="K5546">
            <v>0</v>
          </cell>
          <cell r="L5546">
            <v>4</v>
          </cell>
        </row>
        <row r="5547">
          <cell r="A5547" t="str">
            <v>20325.03247</v>
          </cell>
          <cell r="B5547" t="str">
            <v>BUTEE A BILLES</v>
          </cell>
          <cell r="C5547">
            <v>51207</v>
          </cell>
          <cell r="D5547" t="str">
            <v>PE</v>
          </cell>
          <cell r="E5547" t="str">
            <v>515.51515</v>
          </cell>
          <cell r="F5547">
            <v>50.74</v>
          </cell>
          <cell r="G5547">
            <v>0</v>
          </cell>
          <cell r="H5547">
            <v>0</v>
          </cell>
          <cell r="I5547">
            <v>0</v>
          </cell>
          <cell r="J5547">
            <v>0</v>
          </cell>
          <cell r="K5547">
            <v>0</v>
          </cell>
          <cell r="L5547">
            <v>4</v>
          </cell>
        </row>
        <row r="5548">
          <cell r="A5548" t="str">
            <v>20340.01245</v>
          </cell>
          <cell r="B5548" t="str">
            <v>CONTACTEUR 3P</v>
          </cell>
          <cell r="C5548" t="str">
            <v>100-C72KF00</v>
          </cell>
          <cell r="D5548" t="str">
            <v>PE</v>
          </cell>
          <cell r="E5548" t="str">
            <v>522.52206</v>
          </cell>
          <cell r="F5548">
            <v>1196.3399999999999</v>
          </cell>
          <cell r="G5548">
            <v>0</v>
          </cell>
          <cell r="H5548">
            <v>0</v>
          </cell>
          <cell r="I5548">
            <v>0</v>
          </cell>
          <cell r="J5548">
            <v>0</v>
          </cell>
          <cell r="K5548">
            <v>0</v>
          </cell>
          <cell r="L5548">
            <v>3</v>
          </cell>
        </row>
        <row r="5549">
          <cell r="A5549" t="str">
            <v>20340.01250</v>
          </cell>
          <cell r="B5549" t="str">
            <v>CONTACTEUR 3P</v>
          </cell>
          <cell r="C5549" t="str">
            <v>100-C16KF10</v>
          </cell>
          <cell r="D5549" t="str">
            <v>PE</v>
          </cell>
          <cell r="E5549" t="str">
            <v>522.52206</v>
          </cell>
          <cell r="F5549">
            <v>226.548</v>
          </cell>
          <cell r="G5549">
            <v>0</v>
          </cell>
          <cell r="H5549">
            <v>0</v>
          </cell>
          <cell r="I5549">
            <v>0</v>
          </cell>
          <cell r="J5549">
            <v>0</v>
          </cell>
          <cell r="K5549">
            <v>0</v>
          </cell>
          <cell r="L5549">
            <v>3</v>
          </cell>
        </row>
        <row r="5550">
          <cell r="A5550" t="str">
            <v>20345.01657</v>
          </cell>
          <cell r="B5550" t="str">
            <v>ACCOUPLEMENT</v>
          </cell>
          <cell r="C5550" t="str">
            <v>N-EUPEX TAILLE: H95 LZ140</v>
          </cell>
          <cell r="D5550" t="str">
            <v>PE</v>
          </cell>
          <cell r="E5550" t="str">
            <v>515.51515</v>
          </cell>
          <cell r="F5550">
            <v>2154.3791000000001</v>
          </cell>
          <cell r="G5550">
            <v>0</v>
          </cell>
          <cell r="H5550">
            <v>0</v>
          </cell>
          <cell r="I5550">
            <v>0</v>
          </cell>
          <cell r="J5550">
            <v>1</v>
          </cell>
          <cell r="K5550">
            <v>0</v>
          </cell>
          <cell r="L5550">
            <v>0</v>
          </cell>
        </row>
        <row r="5551">
          <cell r="A5551" t="str">
            <v>20340.00494</v>
          </cell>
          <cell r="B5551" t="str">
            <v>BORNE DE PASSAG 4MM CARRE</v>
          </cell>
          <cell r="C5551" t="str">
            <v>1492-W4</v>
          </cell>
          <cell r="D5551" t="str">
            <v>PE</v>
          </cell>
          <cell r="E5551" t="str">
            <v>522.52206</v>
          </cell>
          <cell r="F5551">
            <v>6.5279999999999996</v>
          </cell>
          <cell r="G5551">
            <v>0</v>
          </cell>
          <cell r="H5551">
            <v>0</v>
          </cell>
          <cell r="I5551">
            <v>0</v>
          </cell>
          <cell r="J5551">
            <v>0</v>
          </cell>
          <cell r="K5551">
            <v>10</v>
          </cell>
          <cell r="L5551">
            <v>0</v>
          </cell>
        </row>
        <row r="5552">
          <cell r="A5552" t="str">
            <v>20340.00495</v>
          </cell>
          <cell r="B5552" t="str">
            <v>PIECE D'ARRET PETITE</v>
          </cell>
          <cell r="C5552" t="str">
            <v>1492-EA35</v>
          </cell>
          <cell r="D5552" t="str">
            <v>PE</v>
          </cell>
          <cell r="E5552" t="str">
            <v>522.52206</v>
          </cell>
          <cell r="F5552">
            <v>5.3520000000000003</v>
          </cell>
          <cell r="G5552">
            <v>0</v>
          </cell>
          <cell r="H5552">
            <v>0</v>
          </cell>
          <cell r="I5552">
            <v>0</v>
          </cell>
          <cell r="J5552">
            <v>0</v>
          </cell>
          <cell r="K5552">
            <v>2</v>
          </cell>
          <cell r="L5552">
            <v>0</v>
          </cell>
        </row>
        <row r="5553">
          <cell r="A5553" t="str">
            <v>20340.00984</v>
          </cell>
          <cell r="B5553" t="str">
            <v>SOCLE DE CONNEXION</v>
          </cell>
          <cell r="C5553" t="str">
            <v>700-HN122</v>
          </cell>
          <cell r="D5553" t="str">
            <v>PE</v>
          </cell>
          <cell r="E5553" t="str">
            <v>522.52206</v>
          </cell>
          <cell r="F5553">
            <v>49</v>
          </cell>
          <cell r="G5553">
            <v>0</v>
          </cell>
          <cell r="H5553">
            <v>0</v>
          </cell>
          <cell r="I5553">
            <v>0</v>
          </cell>
          <cell r="J5553">
            <v>0</v>
          </cell>
          <cell r="K5553">
            <v>0</v>
          </cell>
          <cell r="L5553">
            <v>15</v>
          </cell>
        </row>
        <row r="5554">
          <cell r="A5554" t="str">
            <v>20345.02412</v>
          </cell>
          <cell r="B5554" t="str">
            <v>JOINT</v>
          </cell>
          <cell r="C5554" t="str">
            <v>PLAN : 02 R 653-0  TYPE : TX90/4 REP : K110</v>
          </cell>
          <cell r="D5554" t="str">
            <v>PE</v>
          </cell>
          <cell r="E5554" t="str">
            <v>515.51515</v>
          </cell>
          <cell r="F5554">
            <v>67935</v>
          </cell>
          <cell r="G5554">
            <v>0</v>
          </cell>
          <cell r="H5554">
            <v>0</v>
          </cell>
          <cell r="I5554">
            <v>0</v>
          </cell>
          <cell r="J5554">
            <v>0</v>
          </cell>
          <cell r="K5554">
            <v>0</v>
          </cell>
          <cell r="L5554">
            <v>0</v>
          </cell>
        </row>
        <row r="5555">
          <cell r="A5555" t="str">
            <v>20345.02413</v>
          </cell>
          <cell r="B5555" t="str">
            <v>JOINT</v>
          </cell>
          <cell r="C5555" t="str">
            <v>PLAN : 02 R 653-0  TYPE : TX90/4 REP : K210</v>
          </cell>
          <cell r="D5555" t="str">
            <v>PE</v>
          </cell>
          <cell r="E5555" t="str">
            <v>515.51515</v>
          </cell>
          <cell r="F5555">
            <v>47815</v>
          </cell>
          <cell r="G5555">
            <v>0</v>
          </cell>
          <cell r="H5555">
            <v>0</v>
          </cell>
          <cell r="I5555">
            <v>0</v>
          </cell>
          <cell r="J5555">
            <v>0</v>
          </cell>
          <cell r="K5555">
            <v>0</v>
          </cell>
          <cell r="L5555">
            <v>0</v>
          </cell>
        </row>
        <row r="5556">
          <cell r="A5556" t="str">
            <v>20345.02408</v>
          </cell>
          <cell r="B5556" t="str">
            <v>PALIER</v>
          </cell>
          <cell r="C5556" t="str">
            <v>PLAN : 02 R 653-0  TYPE : TX90/4 REP : B210</v>
          </cell>
          <cell r="D5556" t="str">
            <v>PE</v>
          </cell>
          <cell r="E5556" t="str">
            <v>515.51515</v>
          </cell>
          <cell r="F5556">
            <v>240215</v>
          </cell>
          <cell r="G5556">
            <v>0</v>
          </cell>
          <cell r="H5556">
            <v>0</v>
          </cell>
          <cell r="I5556">
            <v>0</v>
          </cell>
          <cell r="J5556">
            <v>0</v>
          </cell>
          <cell r="K5556">
            <v>0</v>
          </cell>
          <cell r="L5556">
            <v>0</v>
          </cell>
        </row>
        <row r="5557">
          <cell r="A5557" t="str">
            <v>20345.02409</v>
          </cell>
          <cell r="B5557" t="str">
            <v>PALIER</v>
          </cell>
          <cell r="C5557" t="str">
            <v>PLAN : 02 R 653-0  TYPE : TX90/4 REP : B220</v>
          </cell>
          <cell r="D5557" t="str">
            <v>PE</v>
          </cell>
          <cell r="E5557" t="str">
            <v>515.51515</v>
          </cell>
          <cell r="F5557">
            <v>123645</v>
          </cell>
          <cell r="G5557">
            <v>0</v>
          </cell>
          <cell r="H5557">
            <v>0</v>
          </cell>
          <cell r="I5557">
            <v>0</v>
          </cell>
          <cell r="J5557">
            <v>0</v>
          </cell>
          <cell r="K5557">
            <v>0</v>
          </cell>
          <cell r="L5557">
            <v>0</v>
          </cell>
        </row>
        <row r="5558">
          <cell r="A5558" t="str">
            <v>20345.02410</v>
          </cell>
          <cell r="B5558" t="str">
            <v>PALIER</v>
          </cell>
          <cell r="C5558" t="str">
            <v>PLAN : 02 R 653-0  TYPE : TX90/4 REP : B110</v>
          </cell>
          <cell r="D5558" t="str">
            <v>PE</v>
          </cell>
          <cell r="E5558" t="str">
            <v>515.51515</v>
          </cell>
          <cell r="F5558">
            <v>154273</v>
          </cell>
          <cell r="G5558">
            <v>0</v>
          </cell>
          <cell r="H5558">
            <v>0</v>
          </cell>
          <cell r="I5558">
            <v>0</v>
          </cell>
          <cell r="J5558">
            <v>0</v>
          </cell>
          <cell r="K5558">
            <v>0</v>
          </cell>
          <cell r="L5558">
            <v>0</v>
          </cell>
        </row>
        <row r="5559">
          <cell r="A5559" t="str">
            <v>20345.02411</v>
          </cell>
          <cell r="B5559" t="str">
            <v>PALIER</v>
          </cell>
          <cell r="C5559" t="str">
            <v>PLAN : 02 R 653-0  TYPE : TX90/4 REP : B120</v>
          </cell>
          <cell r="D5559" t="str">
            <v>PE</v>
          </cell>
          <cell r="E5559" t="str">
            <v>515.51515</v>
          </cell>
          <cell r="F5559">
            <v>210126</v>
          </cell>
          <cell r="G5559">
            <v>0</v>
          </cell>
          <cell r="H5559">
            <v>0</v>
          </cell>
          <cell r="I5559">
            <v>0</v>
          </cell>
          <cell r="J5559">
            <v>0</v>
          </cell>
          <cell r="K5559">
            <v>0</v>
          </cell>
          <cell r="L5559">
            <v>0</v>
          </cell>
        </row>
        <row r="5560">
          <cell r="A5560" t="str">
            <v>20340.01092</v>
          </cell>
          <cell r="B5560" t="str">
            <v>CONTACTEUR</v>
          </cell>
          <cell r="C5560" t="str">
            <v>100-C23</v>
          </cell>
          <cell r="D5560" t="str">
            <v>PE</v>
          </cell>
          <cell r="E5560" t="str">
            <v>522.52206</v>
          </cell>
          <cell r="F5560">
            <v>305</v>
          </cell>
          <cell r="G5560">
            <v>0</v>
          </cell>
          <cell r="H5560">
            <v>0</v>
          </cell>
          <cell r="I5560">
            <v>0</v>
          </cell>
          <cell r="J5560">
            <v>0</v>
          </cell>
          <cell r="K5560">
            <v>0</v>
          </cell>
          <cell r="L5560">
            <v>3</v>
          </cell>
        </row>
        <row r="5561">
          <cell r="A5561" t="str">
            <v>20340.01087</v>
          </cell>
          <cell r="B5561" t="str">
            <v>BLOC DE CONTACT</v>
          </cell>
          <cell r="C5561" t="str">
            <v>100-FA31</v>
          </cell>
          <cell r="D5561" t="str">
            <v>PE</v>
          </cell>
          <cell r="E5561" t="str">
            <v>522.52206</v>
          </cell>
          <cell r="F5561">
            <v>86.64</v>
          </cell>
          <cell r="G5561">
            <v>0</v>
          </cell>
          <cell r="H5561">
            <v>0</v>
          </cell>
          <cell r="I5561">
            <v>0</v>
          </cell>
          <cell r="J5561">
            <v>2</v>
          </cell>
          <cell r="K5561">
            <v>0</v>
          </cell>
          <cell r="L5561">
            <v>8</v>
          </cell>
        </row>
        <row r="5562">
          <cell r="A5562" t="str">
            <v>20345.02395</v>
          </cell>
          <cell r="B5562" t="str">
            <v>ACCOUPLEMENT COMPLET</v>
          </cell>
          <cell r="C5562" t="str">
            <v>BIPEX TYPE BWN TAILLE 182 VERSION AB</v>
          </cell>
          <cell r="D5562" t="str">
            <v>PE</v>
          </cell>
          <cell r="E5562" t="str">
            <v>515.51515</v>
          </cell>
          <cell r="F5562">
            <v>2963.3332999999998</v>
          </cell>
          <cell r="G5562">
            <v>0</v>
          </cell>
          <cell r="H5562">
            <v>0</v>
          </cell>
          <cell r="I5562">
            <v>0</v>
          </cell>
          <cell r="J5562">
            <v>0</v>
          </cell>
          <cell r="K5562">
            <v>0</v>
          </cell>
          <cell r="L5562">
            <v>3</v>
          </cell>
        </row>
        <row r="5563">
          <cell r="A5563" t="str">
            <v>20345.02396</v>
          </cell>
          <cell r="B5563" t="str">
            <v>ELEMENT ELESTIQUE POUR ACCOUPLEMENT</v>
          </cell>
          <cell r="C5563" t="str">
            <v>BIPEX P/ACCOUPLEMENT TYPE BWN TAILLE 182 VERSION AB</v>
          </cell>
          <cell r="D5563" t="str">
            <v>PE</v>
          </cell>
          <cell r="E5563" t="str">
            <v>515.51515</v>
          </cell>
          <cell r="F5563">
            <v>766.33330000000001</v>
          </cell>
          <cell r="G5563">
            <v>0</v>
          </cell>
          <cell r="H5563">
            <v>1</v>
          </cell>
          <cell r="I5563">
            <v>0</v>
          </cell>
          <cell r="J5563">
            <v>0</v>
          </cell>
          <cell r="K5563">
            <v>0</v>
          </cell>
          <cell r="L5563">
            <v>2</v>
          </cell>
        </row>
        <row r="5564">
          <cell r="A5564" t="str">
            <v>20345.02397</v>
          </cell>
          <cell r="B5564" t="str">
            <v>ACCOUPLEMENT COMPLET</v>
          </cell>
          <cell r="C5564" t="str">
            <v>BIPEX TYPE BWN TAILLE 202 VERSION AB</v>
          </cell>
          <cell r="D5564" t="str">
            <v>PE</v>
          </cell>
          <cell r="E5564" t="str">
            <v>515.51515</v>
          </cell>
          <cell r="F5564">
            <v>3172</v>
          </cell>
          <cell r="G5564">
            <v>0</v>
          </cell>
          <cell r="H5564">
            <v>0</v>
          </cell>
          <cell r="I5564">
            <v>0</v>
          </cell>
          <cell r="J5564">
            <v>0</v>
          </cell>
          <cell r="K5564">
            <v>0</v>
          </cell>
          <cell r="L5564">
            <v>1</v>
          </cell>
        </row>
        <row r="5565">
          <cell r="A5565" t="str">
            <v>20345.02398</v>
          </cell>
          <cell r="B5565" t="str">
            <v>ELEMENT ELESTIQUE POUR ACCOUPLEMENT</v>
          </cell>
          <cell r="C5565" t="str">
            <v>BIPEX P/ACCOUPLEMENT TYPE BWN TAILLE 202 VERSION AB</v>
          </cell>
          <cell r="D5565" t="str">
            <v>PE</v>
          </cell>
          <cell r="E5565" t="str">
            <v>515.51515</v>
          </cell>
          <cell r="F5565">
            <v>1224.249</v>
          </cell>
          <cell r="G5565">
            <v>0</v>
          </cell>
          <cell r="H5565">
            <v>0</v>
          </cell>
          <cell r="I5565">
            <v>0</v>
          </cell>
          <cell r="J5565">
            <v>0</v>
          </cell>
          <cell r="K5565">
            <v>1</v>
          </cell>
          <cell r="L5565">
            <v>2</v>
          </cell>
        </row>
        <row r="5566">
          <cell r="A5566" t="str">
            <v>20361.00294</v>
          </cell>
          <cell r="B5566" t="str">
            <v>METRE RUBAN 2 METRES</v>
          </cell>
          <cell r="C5566" t="str">
            <v>800A</v>
          </cell>
          <cell r="D5566" t="str">
            <v>PE</v>
          </cell>
          <cell r="E5566" t="str">
            <v>522.52208</v>
          </cell>
          <cell r="F5566">
            <v>149.76</v>
          </cell>
          <cell r="G5566">
            <v>0</v>
          </cell>
          <cell r="H5566">
            <v>0</v>
          </cell>
          <cell r="I5566">
            <v>0</v>
          </cell>
          <cell r="J5566">
            <v>0</v>
          </cell>
          <cell r="K5566">
            <v>0</v>
          </cell>
          <cell r="L5566">
            <v>0</v>
          </cell>
        </row>
        <row r="5567">
          <cell r="A5567" t="str">
            <v>20361.00295</v>
          </cell>
          <cell r="B5567" t="str">
            <v>METRE RUBAN 3 METRES</v>
          </cell>
          <cell r="C5567" t="str">
            <v>801A</v>
          </cell>
          <cell r="D5567" t="str">
            <v>PE</v>
          </cell>
          <cell r="E5567" t="str">
            <v>522.52208</v>
          </cell>
          <cell r="F5567">
            <v>175.10400000000001</v>
          </cell>
          <cell r="G5567">
            <v>0</v>
          </cell>
          <cell r="H5567">
            <v>0</v>
          </cell>
          <cell r="I5567">
            <v>0</v>
          </cell>
          <cell r="J5567">
            <v>0</v>
          </cell>
          <cell r="K5567">
            <v>0</v>
          </cell>
          <cell r="L5567">
            <v>0</v>
          </cell>
        </row>
        <row r="5568">
          <cell r="A5568" t="str">
            <v>20361.01731</v>
          </cell>
          <cell r="B5568" t="str">
            <v>FILIERE EXPENSIBLE DN 10</v>
          </cell>
          <cell r="C5568" t="str">
            <v>REF.221.10X150</v>
          </cell>
          <cell r="D5568" t="str">
            <v>PE</v>
          </cell>
          <cell r="E5568" t="str">
            <v>522.52208</v>
          </cell>
          <cell r="F5568">
            <v>304</v>
          </cell>
          <cell r="G5568">
            <v>0</v>
          </cell>
          <cell r="H5568">
            <v>0</v>
          </cell>
          <cell r="I5568">
            <v>0</v>
          </cell>
          <cell r="J5568">
            <v>0</v>
          </cell>
          <cell r="K5568">
            <v>0</v>
          </cell>
          <cell r="L5568">
            <v>0</v>
          </cell>
        </row>
        <row r="5569">
          <cell r="A5569" t="str">
            <v>20361.01732</v>
          </cell>
          <cell r="B5569" t="str">
            <v>FILIERE EXPENSIBLE DN 12</v>
          </cell>
          <cell r="C5569" t="str">
            <v>REF. 221.12X175</v>
          </cell>
          <cell r="D5569" t="str">
            <v>PE</v>
          </cell>
          <cell r="E5569" t="str">
            <v>522.52208</v>
          </cell>
          <cell r="F5569">
            <v>304</v>
          </cell>
          <cell r="G5569">
            <v>0</v>
          </cell>
          <cell r="H5569">
            <v>0</v>
          </cell>
          <cell r="I5569">
            <v>0</v>
          </cell>
          <cell r="J5569">
            <v>0</v>
          </cell>
          <cell r="K5569">
            <v>0</v>
          </cell>
          <cell r="L5569">
            <v>0</v>
          </cell>
        </row>
        <row r="5570">
          <cell r="A5570" t="str">
            <v>20361.01733</v>
          </cell>
          <cell r="B5570" t="str">
            <v>FILIERE EXPENSIBLE DN 14</v>
          </cell>
          <cell r="C5570" t="str">
            <v>REF. 221.14X200</v>
          </cell>
          <cell r="D5570" t="str">
            <v>PE</v>
          </cell>
          <cell r="E5570" t="str">
            <v>522.52208</v>
          </cell>
          <cell r="F5570">
            <v>304</v>
          </cell>
          <cell r="G5570">
            <v>0</v>
          </cell>
          <cell r="H5570">
            <v>0</v>
          </cell>
          <cell r="I5570">
            <v>0</v>
          </cell>
          <cell r="J5570">
            <v>0</v>
          </cell>
          <cell r="K5570">
            <v>0</v>
          </cell>
          <cell r="L5570">
            <v>0</v>
          </cell>
        </row>
        <row r="5571">
          <cell r="A5571" t="str">
            <v>20361.01734</v>
          </cell>
          <cell r="B5571" t="str">
            <v>FILIERE EXPENSIBLE DN 8</v>
          </cell>
          <cell r="C5571" t="str">
            <v>REF. 221.8X125</v>
          </cell>
          <cell r="D5571" t="str">
            <v>PE</v>
          </cell>
          <cell r="E5571" t="str">
            <v>522.52208</v>
          </cell>
          <cell r="F5571">
            <v>177</v>
          </cell>
          <cell r="G5571">
            <v>0</v>
          </cell>
          <cell r="H5571">
            <v>0</v>
          </cell>
          <cell r="I5571">
            <v>0</v>
          </cell>
          <cell r="J5571">
            <v>0</v>
          </cell>
          <cell r="K5571">
            <v>0</v>
          </cell>
          <cell r="L5571">
            <v>0</v>
          </cell>
        </row>
        <row r="5572">
          <cell r="A5572" t="str">
            <v>20361.01735</v>
          </cell>
          <cell r="B5572" t="str">
            <v>FILIERE EXPENSIBLE DN 16</v>
          </cell>
          <cell r="C5572" t="str">
            <v>REF. 221.16X200</v>
          </cell>
          <cell r="D5572" t="str">
            <v>PE</v>
          </cell>
          <cell r="E5572" t="str">
            <v>522.52208</v>
          </cell>
          <cell r="F5572">
            <v>304</v>
          </cell>
          <cell r="G5572">
            <v>0</v>
          </cell>
          <cell r="H5572">
            <v>0</v>
          </cell>
          <cell r="I5572">
            <v>0</v>
          </cell>
          <cell r="J5572">
            <v>0</v>
          </cell>
          <cell r="K5572">
            <v>0</v>
          </cell>
          <cell r="L5572">
            <v>0</v>
          </cell>
        </row>
        <row r="5573">
          <cell r="A5573" t="str">
            <v>20361.01736</v>
          </cell>
          <cell r="B5573" t="str">
            <v>FILIERE EXPENSIBLE DN 18</v>
          </cell>
          <cell r="C5573" t="str">
            <v>REF. 221.18X250</v>
          </cell>
          <cell r="D5573" t="str">
            <v>PE</v>
          </cell>
          <cell r="E5573" t="str">
            <v>522.52208</v>
          </cell>
          <cell r="F5573">
            <v>411.95</v>
          </cell>
          <cell r="G5573">
            <v>0</v>
          </cell>
          <cell r="H5573">
            <v>0</v>
          </cell>
          <cell r="I5573">
            <v>0</v>
          </cell>
          <cell r="J5573">
            <v>0</v>
          </cell>
          <cell r="K5573">
            <v>0</v>
          </cell>
          <cell r="L5573">
            <v>0</v>
          </cell>
        </row>
        <row r="5574">
          <cell r="A5574" t="str">
            <v>20371.00320</v>
          </cell>
          <cell r="B5574" t="str">
            <v>VANNE A PAPILLON</v>
          </cell>
          <cell r="C5574" t="str">
            <v>AQUISORIA 10 DN40 PN10 CORPS ANNULAIRE TYPE 1 GABARIT RACCORDEMENT ANSI B16.5 CL 150 POIGNE TYPE SR LONG 180MM</v>
          </cell>
          <cell r="D5574" t="str">
            <v>PE</v>
          </cell>
          <cell r="E5574" t="str">
            <v>515.51511</v>
          </cell>
          <cell r="F5574">
            <v>605.5</v>
          </cell>
          <cell r="G5574">
            <v>0</v>
          </cell>
          <cell r="H5574">
            <v>0</v>
          </cell>
          <cell r="I5574">
            <v>2</v>
          </cell>
          <cell r="J5574">
            <v>0</v>
          </cell>
          <cell r="K5574">
            <v>0</v>
          </cell>
          <cell r="L5574">
            <v>0</v>
          </cell>
        </row>
        <row r="5575">
          <cell r="A5575" t="str">
            <v>20371.00321</v>
          </cell>
          <cell r="B5575" t="str">
            <v>VANNE A PAPILLON</v>
          </cell>
          <cell r="C5575" t="str">
            <v>AQUISORIA 10 DN50 PN10 CORPS ANNULAIRE TYPE 1 GABARIT RACCORDEMENT ANSI B16.5 CL 150 POIGNE TYPE SR LONG 180MM</v>
          </cell>
          <cell r="D5575" t="str">
            <v>PE</v>
          </cell>
          <cell r="E5575" t="str">
            <v>515.51511</v>
          </cell>
          <cell r="F5575">
            <v>647.5</v>
          </cell>
          <cell r="G5575">
            <v>0</v>
          </cell>
          <cell r="H5575">
            <v>1</v>
          </cell>
          <cell r="I5575">
            <v>0</v>
          </cell>
          <cell r="J5575">
            <v>0</v>
          </cell>
          <cell r="K5575">
            <v>0</v>
          </cell>
          <cell r="L5575">
            <v>1</v>
          </cell>
        </row>
        <row r="5576">
          <cell r="A5576" t="str">
            <v>20371.00322</v>
          </cell>
          <cell r="B5576" t="str">
            <v>VANNE A PAPILLON</v>
          </cell>
          <cell r="C5576" t="str">
            <v>AQUISORIA 10 DN80 PN10 CORPS ANNULAIRE TYPE 1 GABARIT RACCORDEMENT ANSI B16.5 CL 150 POIGNE TYPE SR LONG 180MM</v>
          </cell>
          <cell r="D5576" t="str">
            <v>PE</v>
          </cell>
          <cell r="E5576" t="str">
            <v>515.51511</v>
          </cell>
          <cell r="F5576">
            <v>827.01</v>
          </cell>
          <cell r="G5576">
            <v>0</v>
          </cell>
          <cell r="H5576">
            <v>0</v>
          </cell>
          <cell r="I5576">
            <v>0</v>
          </cell>
          <cell r="J5576">
            <v>0</v>
          </cell>
          <cell r="K5576">
            <v>1</v>
          </cell>
          <cell r="L5576">
            <v>4</v>
          </cell>
        </row>
        <row r="5577">
          <cell r="A5577" t="str">
            <v>20371.00323</v>
          </cell>
          <cell r="B5577" t="str">
            <v>VANNE A PAPILLON</v>
          </cell>
          <cell r="C5577" t="str">
            <v>AQUISORIA 10 DN100 PN10 CORPS ANNULAIRE TYPE 1 GABARIT RACCORDEMENT ANSI B16.5 CL 150 POIGNE TYPE SR LONG 330MM</v>
          </cell>
          <cell r="D5577" t="str">
            <v>PE</v>
          </cell>
          <cell r="E5577" t="str">
            <v>515.51511</v>
          </cell>
          <cell r="F5577">
            <v>996.3</v>
          </cell>
          <cell r="G5577">
            <v>0</v>
          </cell>
          <cell r="H5577">
            <v>3</v>
          </cell>
          <cell r="I5577">
            <v>1</v>
          </cell>
          <cell r="J5577">
            <v>0</v>
          </cell>
          <cell r="K5577">
            <v>2</v>
          </cell>
          <cell r="L5577">
            <v>0</v>
          </cell>
        </row>
        <row r="5578">
          <cell r="A5578" t="str">
            <v>20361.04855</v>
          </cell>
          <cell r="B5578" t="str">
            <v>COUTEAU DE SECURITE A LAME RETRACTABLE</v>
          </cell>
          <cell r="C5578" t="str">
            <v>844.D</v>
          </cell>
          <cell r="D5578" t="str">
            <v>PE</v>
          </cell>
          <cell r="E5578" t="str">
            <v>522.52208</v>
          </cell>
          <cell r="F5578">
            <v>38.5</v>
          </cell>
          <cell r="G5578">
            <v>0</v>
          </cell>
          <cell r="H5578">
            <v>0</v>
          </cell>
          <cell r="I5578">
            <v>0</v>
          </cell>
          <cell r="J5578">
            <v>0</v>
          </cell>
          <cell r="K5578">
            <v>0</v>
          </cell>
          <cell r="L5578">
            <v>0</v>
          </cell>
        </row>
        <row r="5579">
          <cell r="A5579" t="str">
            <v>20371.00324</v>
          </cell>
          <cell r="B5579" t="str">
            <v>VANNE A PAPILLON</v>
          </cell>
          <cell r="C5579" t="str">
            <v>AQUISORIA 10 DN250 PN10 CORPS ANNULAIRE TYPE 1 GABARIT RACCORDEMENT ANSI B16.5 CL 150 DEMULTIPLICATEUR MANUEL TYPE MR25 STANDARD COMMANDE PAR VOLANT</v>
          </cell>
          <cell r="D5579" t="str">
            <v>PE</v>
          </cell>
          <cell r="E5579" t="str">
            <v>515.51511</v>
          </cell>
          <cell r="F5579">
            <v>5232.5</v>
          </cell>
          <cell r="G5579">
            <v>0</v>
          </cell>
          <cell r="H5579">
            <v>0</v>
          </cell>
          <cell r="I5579">
            <v>0</v>
          </cell>
          <cell r="J5579">
            <v>0</v>
          </cell>
          <cell r="K5579">
            <v>0</v>
          </cell>
          <cell r="L5579">
            <v>1</v>
          </cell>
        </row>
        <row r="5580">
          <cell r="A5580" t="str">
            <v>20371.00325</v>
          </cell>
          <cell r="B5580" t="str">
            <v>VANNE A PAPILLON</v>
          </cell>
          <cell r="C5580" t="str">
            <v>AQUISORIA 10 DN300 PN10  CORPS ANNULAIRE TYPE 1 GABARIT DE RACCORDEMENT ANSI B16. CL 150 DEMULTIPLICATEUR MANUEL TYPE MN 40 COMMANDE PAR VOLANT</v>
          </cell>
          <cell r="D5580" t="str">
            <v>PE</v>
          </cell>
          <cell r="E5580" t="str">
            <v>515.51511</v>
          </cell>
          <cell r="F5580">
            <v>8190</v>
          </cell>
          <cell r="G5580">
            <v>0</v>
          </cell>
          <cell r="H5580">
            <v>2</v>
          </cell>
          <cell r="I5580">
            <v>0</v>
          </cell>
          <cell r="J5580">
            <v>1</v>
          </cell>
          <cell r="K5580">
            <v>0</v>
          </cell>
          <cell r="L5580">
            <v>1</v>
          </cell>
        </row>
        <row r="5581">
          <cell r="A5581" t="str">
            <v>20361.02791</v>
          </cell>
          <cell r="B5581" t="str">
            <v>CLE POLYGONALE</v>
          </cell>
          <cell r="C5581" t="str">
            <v>55A.38X42</v>
          </cell>
          <cell r="D5581" t="str">
            <v>PE</v>
          </cell>
          <cell r="E5581" t="str">
            <v>522.52208</v>
          </cell>
          <cell r="F5581">
            <v>591</v>
          </cell>
          <cell r="G5581">
            <v>0</v>
          </cell>
          <cell r="H5581">
            <v>0</v>
          </cell>
          <cell r="I5581">
            <v>0</v>
          </cell>
          <cell r="J5581">
            <v>0</v>
          </cell>
          <cell r="K5581">
            <v>0</v>
          </cell>
          <cell r="L5581">
            <v>0</v>
          </cell>
        </row>
        <row r="5582">
          <cell r="A5582" t="str">
            <v>20361.04859</v>
          </cell>
          <cell r="B5582" t="str">
            <v>POINTEAU DE PRECISION</v>
          </cell>
          <cell r="C5582" t="str">
            <v>256.10</v>
          </cell>
          <cell r="D5582" t="str">
            <v>PE</v>
          </cell>
          <cell r="E5582" t="str">
            <v>522.52208</v>
          </cell>
          <cell r="F5582">
            <v>66</v>
          </cell>
          <cell r="G5582">
            <v>0</v>
          </cell>
          <cell r="H5582">
            <v>0</v>
          </cell>
          <cell r="I5582">
            <v>0</v>
          </cell>
          <cell r="J5582">
            <v>0</v>
          </cell>
          <cell r="K5582">
            <v>0</v>
          </cell>
          <cell r="L5582">
            <v>0</v>
          </cell>
        </row>
        <row r="5583">
          <cell r="A5583" t="str">
            <v>20361.03134</v>
          </cell>
          <cell r="B5583" t="str">
            <v>JEU 3 TARAUD 227.16X200T3</v>
          </cell>
          <cell r="C5583" t="str">
            <v>227.16X200T3</v>
          </cell>
          <cell r="D5583" t="str">
            <v>PE</v>
          </cell>
          <cell r="E5583" t="str">
            <v>522.52208</v>
          </cell>
          <cell r="F5583">
            <v>813.31200000000001</v>
          </cell>
          <cell r="G5583">
            <v>0</v>
          </cell>
          <cell r="H5583">
            <v>0</v>
          </cell>
          <cell r="I5583">
            <v>0</v>
          </cell>
          <cell r="J5583">
            <v>0</v>
          </cell>
          <cell r="K5583">
            <v>0</v>
          </cell>
          <cell r="L5583">
            <v>0</v>
          </cell>
        </row>
        <row r="5584">
          <cell r="A5584" t="str">
            <v>20361.03135</v>
          </cell>
          <cell r="B5584" t="str">
            <v>JEU 3 TARAUD 227.18X250T3</v>
          </cell>
          <cell r="C5584" t="str">
            <v>227.18X250T3</v>
          </cell>
          <cell r="D5584" t="str">
            <v>PE</v>
          </cell>
          <cell r="E5584" t="str">
            <v>522.52208</v>
          </cell>
          <cell r="F5584">
            <v>1001.088</v>
          </cell>
          <cell r="G5584">
            <v>0</v>
          </cell>
          <cell r="H5584">
            <v>0</v>
          </cell>
          <cell r="I5584">
            <v>0</v>
          </cell>
          <cell r="J5584">
            <v>0</v>
          </cell>
          <cell r="K5584">
            <v>0</v>
          </cell>
          <cell r="L5584">
            <v>0</v>
          </cell>
        </row>
        <row r="5585">
          <cell r="A5585" t="str">
            <v>20361.03136</v>
          </cell>
          <cell r="B5585" t="str">
            <v>JEU 3 TARAUD 227.20X250T3</v>
          </cell>
          <cell r="C5585" t="str">
            <v>227.20X250T3</v>
          </cell>
          <cell r="D5585" t="str">
            <v>PE</v>
          </cell>
          <cell r="E5585" t="str">
            <v>522.52208</v>
          </cell>
          <cell r="F5585">
            <v>1201.5360000000001</v>
          </cell>
          <cell r="G5585">
            <v>0</v>
          </cell>
          <cell r="H5585">
            <v>0</v>
          </cell>
          <cell r="I5585">
            <v>0</v>
          </cell>
          <cell r="J5585">
            <v>0</v>
          </cell>
          <cell r="K5585">
            <v>0</v>
          </cell>
          <cell r="L5585">
            <v>0</v>
          </cell>
        </row>
        <row r="5586">
          <cell r="A5586" t="str">
            <v>20361.03139</v>
          </cell>
          <cell r="B5586" t="str">
            <v>CISAILLE UNIVERSEL 882A</v>
          </cell>
          <cell r="C5586" t="str">
            <v>882A</v>
          </cell>
          <cell r="D5586" t="str">
            <v>PE</v>
          </cell>
          <cell r="E5586" t="str">
            <v>522.52208</v>
          </cell>
          <cell r="F5586">
            <v>479.23200000000003</v>
          </cell>
          <cell r="G5586">
            <v>0</v>
          </cell>
          <cell r="H5586">
            <v>0</v>
          </cell>
          <cell r="I5586">
            <v>0</v>
          </cell>
          <cell r="J5586">
            <v>0</v>
          </cell>
          <cell r="K5586">
            <v>0</v>
          </cell>
          <cell r="L5586">
            <v>0</v>
          </cell>
        </row>
        <row r="5587">
          <cell r="A5587" t="str">
            <v>20361.09288</v>
          </cell>
          <cell r="B5587" t="str">
            <v>REGLET INOXYDABLE</v>
          </cell>
          <cell r="C5587" t="str">
            <v>803.200M</v>
          </cell>
          <cell r="D5587" t="str">
            <v>PE</v>
          </cell>
          <cell r="E5587" t="str">
            <v>522.52208</v>
          </cell>
          <cell r="F5587">
            <v>33.408000000000001</v>
          </cell>
          <cell r="G5587">
            <v>0</v>
          </cell>
          <cell r="H5587">
            <v>0</v>
          </cell>
          <cell r="I5587">
            <v>0</v>
          </cell>
          <cell r="J5587">
            <v>0</v>
          </cell>
          <cell r="K5587">
            <v>0</v>
          </cell>
          <cell r="L5587">
            <v>0</v>
          </cell>
        </row>
        <row r="5588">
          <cell r="A5588" t="str">
            <v>20361.09289</v>
          </cell>
          <cell r="B5588" t="str">
            <v>REGLET INOXYDABLE</v>
          </cell>
          <cell r="C5588" t="str">
            <v>803.300M</v>
          </cell>
          <cell r="D5588" t="str">
            <v>PE</v>
          </cell>
          <cell r="E5588" t="str">
            <v>522.52208</v>
          </cell>
          <cell r="F5588">
            <v>52.991999999999997</v>
          </cell>
          <cell r="G5588">
            <v>0</v>
          </cell>
          <cell r="H5588">
            <v>0</v>
          </cell>
          <cell r="I5588">
            <v>0</v>
          </cell>
          <cell r="J5588">
            <v>0</v>
          </cell>
          <cell r="K5588">
            <v>0</v>
          </cell>
          <cell r="L5588">
            <v>0</v>
          </cell>
        </row>
        <row r="5589">
          <cell r="A5589" t="str">
            <v>20361.01431</v>
          </cell>
          <cell r="B5589" t="str">
            <v>CLE POLYGONALE A FRAPPER</v>
          </cell>
          <cell r="C5589" t="str">
            <v>50.46</v>
          </cell>
          <cell r="D5589" t="str">
            <v>PE</v>
          </cell>
          <cell r="E5589" t="str">
            <v>522.52208</v>
          </cell>
          <cell r="F5589">
            <v>781.05600000000004</v>
          </cell>
          <cell r="G5589">
            <v>0</v>
          </cell>
          <cell r="H5589">
            <v>0</v>
          </cell>
          <cell r="I5589">
            <v>0</v>
          </cell>
          <cell r="J5589">
            <v>0</v>
          </cell>
          <cell r="K5589">
            <v>0</v>
          </cell>
          <cell r="L5589">
            <v>0</v>
          </cell>
        </row>
        <row r="5590">
          <cell r="A5590" t="str">
            <v>20361.04864</v>
          </cell>
          <cell r="B5590" t="str">
            <v>PANNEAUX PERFORES</v>
          </cell>
          <cell r="C5590" t="str">
            <v>PK.4</v>
          </cell>
          <cell r="D5590" t="str">
            <v>PE</v>
          </cell>
          <cell r="E5590" t="str">
            <v>522.52208</v>
          </cell>
          <cell r="F5590">
            <v>838.88</v>
          </cell>
          <cell r="G5590">
            <v>0</v>
          </cell>
          <cell r="H5590">
            <v>0</v>
          </cell>
          <cell r="I5590">
            <v>0</v>
          </cell>
          <cell r="J5590">
            <v>0</v>
          </cell>
          <cell r="K5590">
            <v>0</v>
          </cell>
          <cell r="L5590">
            <v>0</v>
          </cell>
        </row>
        <row r="5591">
          <cell r="A5591" t="str">
            <v>20361.04865</v>
          </cell>
          <cell r="B5591" t="str">
            <v>LOT DE CROCHETS</v>
          </cell>
          <cell r="C5591" t="str">
            <v>CKS.K1</v>
          </cell>
          <cell r="D5591" t="str">
            <v>PE</v>
          </cell>
          <cell r="E5591" t="str">
            <v>522.52208</v>
          </cell>
          <cell r="F5591">
            <v>187.04</v>
          </cell>
          <cell r="G5591">
            <v>0</v>
          </cell>
          <cell r="H5591">
            <v>0</v>
          </cell>
          <cell r="I5591">
            <v>0</v>
          </cell>
          <cell r="J5591">
            <v>0</v>
          </cell>
          <cell r="K5591">
            <v>0</v>
          </cell>
          <cell r="L5591">
            <v>0</v>
          </cell>
        </row>
        <row r="5592">
          <cell r="A5592" t="str">
            <v>20361.04866</v>
          </cell>
          <cell r="B5592" t="str">
            <v>LOT DE CROCHETS</v>
          </cell>
          <cell r="C5592" t="str">
            <v>CKS.K2</v>
          </cell>
          <cell r="D5592" t="str">
            <v>PE</v>
          </cell>
          <cell r="E5592" t="str">
            <v>522.52208</v>
          </cell>
          <cell r="F5592">
            <v>187.04</v>
          </cell>
          <cell r="G5592">
            <v>0</v>
          </cell>
          <cell r="H5592">
            <v>0</v>
          </cell>
          <cell r="I5592">
            <v>0</v>
          </cell>
          <cell r="J5592">
            <v>0</v>
          </cell>
          <cell r="K5592">
            <v>0</v>
          </cell>
          <cell r="L5592">
            <v>0</v>
          </cell>
        </row>
        <row r="5593">
          <cell r="A5593" t="str">
            <v>20361.04867</v>
          </cell>
          <cell r="B5593" t="str">
            <v>LOT DE CROCHETS</v>
          </cell>
          <cell r="C5593" t="str">
            <v>CKS.K3</v>
          </cell>
          <cell r="D5593" t="str">
            <v>PE</v>
          </cell>
          <cell r="E5593" t="str">
            <v>522.52208</v>
          </cell>
          <cell r="F5593">
            <v>1552</v>
          </cell>
          <cell r="G5593">
            <v>0</v>
          </cell>
          <cell r="H5593">
            <v>0</v>
          </cell>
          <cell r="I5593">
            <v>0</v>
          </cell>
          <cell r="J5593">
            <v>0</v>
          </cell>
          <cell r="K5593">
            <v>0</v>
          </cell>
          <cell r="L5593">
            <v>0</v>
          </cell>
        </row>
        <row r="5594">
          <cell r="A5594" t="str">
            <v>20361.04868</v>
          </cell>
          <cell r="B5594" t="str">
            <v>CLE A ERGOT A CREMAILLERE</v>
          </cell>
          <cell r="C5594" t="str">
            <v>115A.50</v>
          </cell>
          <cell r="D5594" t="str">
            <v>PE</v>
          </cell>
          <cell r="E5594" t="str">
            <v>522.52208</v>
          </cell>
          <cell r="F5594">
            <v>798</v>
          </cell>
          <cell r="G5594">
            <v>0</v>
          </cell>
          <cell r="H5594">
            <v>0</v>
          </cell>
          <cell r="I5594">
            <v>0</v>
          </cell>
          <cell r="J5594">
            <v>0</v>
          </cell>
          <cell r="K5594">
            <v>0</v>
          </cell>
          <cell r="L5594">
            <v>0</v>
          </cell>
        </row>
        <row r="5595">
          <cell r="A5595" t="str">
            <v>20361.04860</v>
          </cell>
          <cell r="B5595" t="str">
            <v>REDUCTEUR IMPACT 1" A 3/4"</v>
          </cell>
          <cell r="C5595" t="str">
            <v>NM.230A</v>
          </cell>
          <cell r="D5595" t="str">
            <v>PE</v>
          </cell>
          <cell r="E5595" t="str">
            <v>522.52208</v>
          </cell>
          <cell r="F5595">
            <v>632</v>
          </cell>
          <cell r="G5595">
            <v>0</v>
          </cell>
          <cell r="H5595">
            <v>0</v>
          </cell>
          <cell r="I5595">
            <v>0</v>
          </cell>
          <cell r="J5595">
            <v>0</v>
          </cell>
          <cell r="K5595">
            <v>0</v>
          </cell>
          <cell r="L5595">
            <v>0</v>
          </cell>
        </row>
        <row r="5596">
          <cell r="A5596" t="str">
            <v>20361.04862</v>
          </cell>
          <cell r="B5596" t="str">
            <v>PRESSE GRAND DEPORT</v>
          </cell>
          <cell r="C5596" t="str">
            <v>271A.150L</v>
          </cell>
          <cell r="D5596" t="str">
            <v>PE</v>
          </cell>
          <cell r="E5596" t="str">
            <v>522.52208</v>
          </cell>
          <cell r="F5596">
            <v>1193</v>
          </cell>
          <cell r="G5596">
            <v>0</v>
          </cell>
          <cell r="H5596">
            <v>0</v>
          </cell>
          <cell r="I5596">
            <v>0</v>
          </cell>
          <cell r="J5596">
            <v>0</v>
          </cell>
          <cell r="K5596">
            <v>0</v>
          </cell>
          <cell r="L5596">
            <v>0</v>
          </cell>
        </row>
        <row r="5597">
          <cell r="A5597" t="str">
            <v>20361.04863</v>
          </cell>
          <cell r="B5597" t="str">
            <v>PINCE MULTIPRISE A BRANCHES ENTREPASSEES</v>
          </cell>
          <cell r="C5597" t="str">
            <v>484A.30</v>
          </cell>
          <cell r="D5597" t="str">
            <v>PE</v>
          </cell>
          <cell r="E5597" t="str">
            <v>522.52208</v>
          </cell>
          <cell r="F5597">
            <v>330</v>
          </cell>
          <cell r="G5597">
            <v>0</v>
          </cell>
          <cell r="H5597">
            <v>0</v>
          </cell>
          <cell r="I5597">
            <v>0</v>
          </cell>
          <cell r="J5597">
            <v>0</v>
          </cell>
          <cell r="K5597">
            <v>0</v>
          </cell>
          <cell r="L5597">
            <v>0</v>
          </cell>
        </row>
        <row r="5598">
          <cell r="A5598" t="str">
            <v>20340.01132</v>
          </cell>
          <cell r="B5598" t="str">
            <v>ALIMENTATION STABILISEE</v>
          </cell>
          <cell r="C5598" t="str">
            <v>1606-XLP50E</v>
          </cell>
          <cell r="D5598" t="str">
            <v>PE</v>
          </cell>
          <cell r="E5598" t="str">
            <v>522.52206</v>
          </cell>
          <cell r="F5598">
            <v>1190.7719999999999</v>
          </cell>
          <cell r="G5598">
            <v>0</v>
          </cell>
          <cell r="H5598">
            <v>0</v>
          </cell>
          <cell r="I5598">
            <v>0</v>
          </cell>
          <cell r="J5598">
            <v>0</v>
          </cell>
          <cell r="K5598">
            <v>0</v>
          </cell>
          <cell r="L5598">
            <v>0</v>
          </cell>
        </row>
        <row r="5599">
          <cell r="A5599" t="str">
            <v>20361.04869</v>
          </cell>
          <cell r="B5599" t="str">
            <v>CLE A ERGOT A CREMAILLERE</v>
          </cell>
          <cell r="C5599" t="str">
            <v>115A.100</v>
          </cell>
          <cell r="D5599" t="str">
            <v>PE</v>
          </cell>
          <cell r="E5599" t="str">
            <v>522.52208</v>
          </cell>
          <cell r="F5599">
            <v>1129</v>
          </cell>
          <cell r="G5599">
            <v>0</v>
          </cell>
          <cell r="H5599">
            <v>0</v>
          </cell>
          <cell r="I5599">
            <v>0</v>
          </cell>
          <cell r="J5599">
            <v>0</v>
          </cell>
          <cell r="K5599">
            <v>0</v>
          </cell>
          <cell r="L5599">
            <v>0</v>
          </cell>
        </row>
        <row r="5600">
          <cell r="A5600" t="str">
            <v>20340.01189</v>
          </cell>
          <cell r="B5600" t="str">
            <v>COMMUTATEUR 3 POLES 12A</v>
          </cell>
          <cell r="C5600" t="str">
            <v>194L-E12-2503</v>
          </cell>
          <cell r="D5600" t="str">
            <v>PE</v>
          </cell>
          <cell r="E5600" t="str">
            <v>522.52206</v>
          </cell>
          <cell r="F5600">
            <v>176.76</v>
          </cell>
          <cell r="G5600">
            <v>0</v>
          </cell>
          <cell r="H5600">
            <v>0</v>
          </cell>
          <cell r="I5600">
            <v>0</v>
          </cell>
          <cell r="J5600">
            <v>0</v>
          </cell>
          <cell r="K5600">
            <v>0</v>
          </cell>
          <cell r="L5600">
            <v>1</v>
          </cell>
        </row>
        <row r="5601">
          <cell r="A5601" t="str">
            <v>20340.01190</v>
          </cell>
          <cell r="B5601" t="str">
            <v>DISJONCTEUR 3P+N 6A</v>
          </cell>
          <cell r="C5601" t="str">
            <v>1492-SP3C060-N</v>
          </cell>
          <cell r="D5601" t="str">
            <v>PE</v>
          </cell>
          <cell r="E5601" t="str">
            <v>522.52206</v>
          </cell>
          <cell r="F5601">
            <v>218.66730000000001</v>
          </cell>
          <cell r="G5601">
            <v>0</v>
          </cell>
          <cell r="H5601">
            <v>0</v>
          </cell>
          <cell r="I5601">
            <v>0</v>
          </cell>
          <cell r="J5601">
            <v>0</v>
          </cell>
          <cell r="K5601">
            <v>0</v>
          </cell>
          <cell r="L5601">
            <v>18</v>
          </cell>
        </row>
        <row r="5602">
          <cell r="A5602" t="str">
            <v>20371.00281</v>
          </cell>
          <cell r="B5602" t="str">
            <v>VANNE</v>
          </cell>
          <cell r="C5602" t="str">
            <v>AQUISORIA 10 DN250 PN 10 BAR ACTIONNEUR PNEUMATIQUE DOUBLE EFFET ACTAIR 25</v>
          </cell>
          <cell r="D5602" t="str">
            <v>PE</v>
          </cell>
          <cell r="E5602" t="str">
            <v>515.51511</v>
          </cell>
          <cell r="F5602">
            <v>7788</v>
          </cell>
          <cell r="G5602">
            <v>0</v>
          </cell>
          <cell r="H5602">
            <v>0</v>
          </cell>
          <cell r="I5602">
            <v>0</v>
          </cell>
          <cell r="J5602">
            <v>0</v>
          </cell>
          <cell r="K5602">
            <v>0</v>
          </cell>
          <cell r="L5602">
            <v>1</v>
          </cell>
        </row>
        <row r="5603">
          <cell r="A5603" t="str">
            <v>20340.01207</v>
          </cell>
          <cell r="B5603" t="str">
            <v>CONTACTEUR 75KW</v>
          </cell>
          <cell r="C5603" t="str">
            <v>100-D110EA11</v>
          </cell>
          <cell r="D5603" t="str">
            <v>PE</v>
          </cell>
          <cell r="E5603" t="str">
            <v>522.52206</v>
          </cell>
          <cell r="F5603">
            <v>2211.6</v>
          </cell>
          <cell r="G5603">
            <v>0</v>
          </cell>
          <cell r="H5603">
            <v>0</v>
          </cell>
          <cell r="I5603">
            <v>0</v>
          </cell>
          <cell r="J5603">
            <v>0</v>
          </cell>
          <cell r="K5603">
            <v>0</v>
          </cell>
          <cell r="L5603">
            <v>2</v>
          </cell>
        </row>
        <row r="5604">
          <cell r="A5604" t="str">
            <v>20340.01195</v>
          </cell>
          <cell r="B5604" t="str">
            <v>DISJONCTEUR MODULAIRE 10KA 1 POLES-1A</v>
          </cell>
          <cell r="C5604" t="str">
            <v>1492-SP1C010</v>
          </cell>
          <cell r="D5604" t="str">
            <v>PE</v>
          </cell>
          <cell r="E5604" t="str">
            <v>522.52206</v>
          </cell>
          <cell r="F5604">
            <v>100.104</v>
          </cell>
          <cell r="G5604">
            <v>0</v>
          </cell>
          <cell r="H5604">
            <v>0</v>
          </cell>
          <cell r="I5604">
            <v>0</v>
          </cell>
          <cell r="J5604">
            <v>0</v>
          </cell>
          <cell r="K5604">
            <v>2</v>
          </cell>
          <cell r="L5604">
            <v>0</v>
          </cell>
        </row>
        <row r="5605">
          <cell r="A5605" t="str">
            <v>20340.01202</v>
          </cell>
          <cell r="B5605" t="str">
            <v>CONTACTEUR 4KW</v>
          </cell>
          <cell r="C5605" t="str">
            <v>100-C12KF10</v>
          </cell>
          <cell r="D5605" t="str">
            <v>PE</v>
          </cell>
          <cell r="E5605" t="str">
            <v>522.52206</v>
          </cell>
          <cell r="F5605">
            <v>197.88</v>
          </cell>
          <cell r="G5605">
            <v>0</v>
          </cell>
          <cell r="H5605">
            <v>0</v>
          </cell>
          <cell r="I5605">
            <v>0</v>
          </cell>
          <cell r="J5605">
            <v>0</v>
          </cell>
          <cell r="K5605">
            <v>0</v>
          </cell>
          <cell r="L5605">
            <v>3</v>
          </cell>
        </row>
        <row r="5606">
          <cell r="A5606" t="str">
            <v>20340.01203</v>
          </cell>
          <cell r="B5606" t="str">
            <v>CONTACTEUR 7,5KW</v>
          </cell>
          <cell r="C5606" t="str">
            <v>100-C23KF10</v>
          </cell>
          <cell r="D5606" t="str">
            <v>PE</v>
          </cell>
          <cell r="E5606" t="str">
            <v>522.52206</v>
          </cell>
          <cell r="F5606">
            <v>413.62799999999999</v>
          </cell>
          <cell r="G5606">
            <v>0</v>
          </cell>
          <cell r="H5606">
            <v>0</v>
          </cell>
          <cell r="I5606">
            <v>0</v>
          </cell>
          <cell r="J5606">
            <v>0</v>
          </cell>
          <cell r="K5606">
            <v>0</v>
          </cell>
          <cell r="L5606">
            <v>0</v>
          </cell>
        </row>
        <row r="5607">
          <cell r="A5607" t="str">
            <v>20340.01204</v>
          </cell>
          <cell r="B5607" t="str">
            <v>CONTACTEUR 11KW</v>
          </cell>
          <cell r="C5607" t="str">
            <v>100-C30KF10</v>
          </cell>
          <cell r="D5607" t="str">
            <v>PE</v>
          </cell>
          <cell r="E5607" t="str">
            <v>522.52206</v>
          </cell>
          <cell r="F5607">
            <v>523.79999999999995</v>
          </cell>
          <cell r="G5607">
            <v>0</v>
          </cell>
          <cell r="H5607">
            <v>0</v>
          </cell>
          <cell r="I5607">
            <v>0</v>
          </cell>
          <cell r="J5607">
            <v>0</v>
          </cell>
          <cell r="K5607">
            <v>0</v>
          </cell>
          <cell r="L5607">
            <v>1</v>
          </cell>
        </row>
        <row r="5608">
          <cell r="A5608" t="str">
            <v>20371.00284</v>
          </cell>
          <cell r="B5608" t="str">
            <v>VANNE</v>
          </cell>
          <cell r="C5608" t="str">
            <v>ISORIA 10 DN100 PN 10 BAR ACTIONNEUR PNEUMATIQUE DOUBLE EFFET ACTAIR 6</v>
          </cell>
          <cell r="D5608" t="str">
            <v>PE</v>
          </cell>
          <cell r="E5608" t="str">
            <v>515.51511</v>
          </cell>
          <cell r="F5608">
            <v>3152</v>
          </cell>
          <cell r="G5608">
            <v>0</v>
          </cell>
          <cell r="H5608">
            <v>0</v>
          </cell>
          <cell r="I5608">
            <v>0</v>
          </cell>
          <cell r="J5608">
            <v>0</v>
          </cell>
          <cell r="K5608">
            <v>0</v>
          </cell>
          <cell r="L5608">
            <v>1</v>
          </cell>
        </row>
        <row r="5609">
          <cell r="A5609" t="str">
            <v>20371.00282</v>
          </cell>
          <cell r="B5609" t="str">
            <v>VANNE</v>
          </cell>
          <cell r="C5609" t="str">
            <v>AQUISORIA 10 DN100 PN 10 BAR ACTIONNEUR PNEUMATIQUE SIMPLE EFFET DYNACTAIR 7</v>
          </cell>
          <cell r="D5609" t="str">
            <v>PE</v>
          </cell>
          <cell r="E5609" t="str">
            <v>515.51511</v>
          </cell>
          <cell r="F5609">
            <v>3636</v>
          </cell>
          <cell r="G5609">
            <v>0</v>
          </cell>
          <cell r="H5609">
            <v>0</v>
          </cell>
          <cell r="I5609">
            <v>0</v>
          </cell>
          <cell r="J5609">
            <v>0</v>
          </cell>
          <cell r="K5609">
            <v>0</v>
          </cell>
          <cell r="L5609">
            <v>1</v>
          </cell>
        </row>
        <row r="5610">
          <cell r="A5610" t="str">
            <v>20361.01741</v>
          </cell>
          <cell r="B5610" t="str">
            <v>LIME RONDE BATARDE</v>
          </cell>
          <cell r="C5610" t="str">
            <v>REF. RD.B300     * LONGUEUR : 300MM;     * DIAMETRE : 12MM.</v>
          </cell>
          <cell r="D5610" t="str">
            <v>PE</v>
          </cell>
          <cell r="E5610" t="str">
            <v>522.52208</v>
          </cell>
          <cell r="F5610">
            <v>117</v>
          </cell>
          <cell r="G5610">
            <v>0</v>
          </cell>
          <cell r="H5610">
            <v>0</v>
          </cell>
          <cell r="I5610">
            <v>0</v>
          </cell>
          <cell r="J5610">
            <v>0</v>
          </cell>
          <cell r="K5610">
            <v>0</v>
          </cell>
          <cell r="L5610">
            <v>0</v>
          </cell>
        </row>
        <row r="5611">
          <cell r="A5611" t="str">
            <v>20361.00630</v>
          </cell>
          <cell r="B5611" t="str">
            <v>TOURNE VIS</v>
          </cell>
          <cell r="C5611" t="str">
            <v>NS.263 M</v>
          </cell>
          <cell r="D5611" t="str">
            <v>PE</v>
          </cell>
          <cell r="E5611" t="str">
            <v>522.52208</v>
          </cell>
          <cell r="F5611">
            <v>1424</v>
          </cell>
          <cell r="G5611">
            <v>0</v>
          </cell>
          <cell r="H5611">
            <v>0</v>
          </cell>
          <cell r="I5611">
            <v>0</v>
          </cell>
          <cell r="J5611">
            <v>0</v>
          </cell>
          <cell r="K5611">
            <v>0</v>
          </cell>
          <cell r="L5611">
            <v>0</v>
          </cell>
        </row>
        <row r="5612">
          <cell r="A5612" t="str">
            <v>20361.00631</v>
          </cell>
          <cell r="B5612" t="str">
            <v>JEU DE CLESMALES</v>
          </cell>
          <cell r="C5612" t="str">
            <v>86HJU6</v>
          </cell>
          <cell r="D5612" t="str">
            <v>PE</v>
          </cell>
          <cell r="E5612" t="str">
            <v>522.52208</v>
          </cell>
          <cell r="F5612">
            <v>167.2</v>
          </cell>
          <cell r="G5612">
            <v>0</v>
          </cell>
          <cell r="H5612">
            <v>0</v>
          </cell>
          <cell r="I5612">
            <v>0</v>
          </cell>
          <cell r="J5612">
            <v>0</v>
          </cell>
          <cell r="K5612">
            <v>0</v>
          </cell>
          <cell r="L5612">
            <v>0</v>
          </cell>
        </row>
        <row r="5613">
          <cell r="A5613" t="str">
            <v>20361.01341</v>
          </cell>
          <cell r="B5613" t="str">
            <v>CLE POLYGONALE CONTRE COUDEE A FRAPPER</v>
          </cell>
          <cell r="C5613" t="str">
            <v>50TC.50</v>
          </cell>
          <cell r="D5613" t="str">
            <v>PE</v>
          </cell>
          <cell r="E5613" t="str">
            <v>522.52208</v>
          </cell>
          <cell r="F5613">
            <v>769.10400000000004</v>
          </cell>
          <cell r="G5613">
            <v>0</v>
          </cell>
          <cell r="H5613">
            <v>0</v>
          </cell>
          <cell r="I5613">
            <v>0</v>
          </cell>
          <cell r="J5613">
            <v>0</v>
          </cell>
          <cell r="K5613">
            <v>0</v>
          </cell>
          <cell r="L5613">
            <v>0</v>
          </cell>
        </row>
        <row r="5614">
          <cell r="A5614" t="str">
            <v>20361.00650</v>
          </cell>
          <cell r="B5614" t="str">
            <v>CLE MIXTE COUDEE</v>
          </cell>
          <cell r="C5614" t="str">
            <v>41.12</v>
          </cell>
          <cell r="D5614" t="str">
            <v>PE</v>
          </cell>
          <cell r="E5614" t="str">
            <v>522.52208</v>
          </cell>
          <cell r="F5614">
            <v>74.400000000000006</v>
          </cell>
          <cell r="G5614">
            <v>0</v>
          </cell>
          <cell r="H5614">
            <v>0</v>
          </cell>
          <cell r="I5614">
            <v>0</v>
          </cell>
          <cell r="J5614">
            <v>0</v>
          </cell>
          <cell r="K5614">
            <v>0</v>
          </cell>
          <cell r="L5614">
            <v>0</v>
          </cell>
        </row>
        <row r="5615">
          <cell r="A5615" t="str">
            <v>20361.01719</v>
          </cell>
          <cell r="B5615" t="str">
            <v>FIL DE SOUDURE 40 SN 60PB</v>
          </cell>
          <cell r="C5615" t="str">
            <v>REF. 661618</v>
          </cell>
          <cell r="D5615" t="str">
            <v>PE</v>
          </cell>
          <cell r="E5615" t="str">
            <v>522.52208</v>
          </cell>
          <cell r="F5615">
            <v>130</v>
          </cell>
          <cell r="G5615">
            <v>0</v>
          </cell>
          <cell r="H5615">
            <v>0</v>
          </cell>
          <cell r="I5615">
            <v>0</v>
          </cell>
          <cell r="J5615">
            <v>0</v>
          </cell>
          <cell r="K5615">
            <v>0</v>
          </cell>
          <cell r="L5615">
            <v>0</v>
          </cell>
        </row>
        <row r="5616">
          <cell r="A5616" t="str">
            <v>20361.00652</v>
          </cell>
          <cell r="B5616" t="str">
            <v>CLE MIXTE COUDEE</v>
          </cell>
          <cell r="C5616" t="str">
            <v>41.16</v>
          </cell>
          <cell r="D5616" t="str">
            <v>PE</v>
          </cell>
          <cell r="E5616" t="str">
            <v>522.52208</v>
          </cell>
          <cell r="F5616">
            <v>98.4</v>
          </cell>
          <cell r="G5616">
            <v>0</v>
          </cell>
          <cell r="H5616">
            <v>0</v>
          </cell>
          <cell r="I5616">
            <v>0</v>
          </cell>
          <cell r="J5616">
            <v>0</v>
          </cell>
          <cell r="K5616">
            <v>0</v>
          </cell>
          <cell r="L5616">
            <v>0</v>
          </cell>
        </row>
        <row r="5617">
          <cell r="A5617" t="str">
            <v>20361.03141</v>
          </cell>
          <cell r="B5617" t="str">
            <v>OUTIL ARESTAURER 237.C</v>
          </cell>
          <cell r="C5617" t="str">
            <v>237.C</v>
          </cell>
          <cell r="D5617" t="str">
            <v>PE</v>
          </cell>
          <cell r="E5617" t="str">
            <v>522.52208</v>
          </cell>
          <cell r="F5617">
            <v>322.70670000000001</v>
          </cell>
          <cell r="G5617">
            <v>0</v>
          </cell>
          <cell r="H5617">
            <v>0</v>
          </cell>
          <cell r="I5617">
            <v>0</v>
          </cell>
          <cell r="J5617">
            <v>0</v>
          </cell>
          <cell r="K5617">
            <v>1</v>
          </cell>
          <cell r="L5617">
            <v>0</v>
          </cell>
        </row>
        <row r="5618">
          <cell r="A5618" t="str">
            <v>20345.02195</v>
          </cell>
          <cell r="B5618" t="str">
            <v>JEU DE LAMELLE AVEC VISSERIE</v>
          </cell>
          <cell r="C5618" t="str">
            <v>ARPEX P/ACCOUPLEMENT TYPE: MAN TAILLE: 150-6</v>
          </cell>
          <cell r="D5618" t="str">
            <v>PE</v>
          </cell>
          <cell r="E5618" t="str">
            <v>515.51515</v>
          </cell>
          <cell r="F5618">
            <v>2626</v>
          </cell>
          <cell r="G5618">
            <v>0</v>
          </cell>
          <cell r="H5618">
            <v>0</v>
          </cell>
          <cell r="I5618">
            <v>0</v>
          </cell>
          <cell r="J5618">
            <v>0</v>
          </cell>
          <cell r="K5618">
            <v>0</v>
          </cell>
          <cell r="L5618">
            <v>1</v>
          </cell>
        </row>
        <row r="5619">
          <cell r="A5619" t="str">
            <v>20361.01174</v>
          </cell>
          <cell r="B5619" t="str">
            <v>EMBOUT - CLE DYNAMO</v>
          </cell>
          <cell r="C5619" t="str">
            <v>20.19</v>
          </cell>
          <cell r="D5619" t="str">
            <v>PE</v>
          </cell>
          <cell r="E5619" t="str">
            <v>522.52208</v>
          </cell>
          <cell r="F5619">
            <v>227.4</v>
          </cell>
          <cell r="G5619">
            <v>0</v>
          </cell>
          <cell r="H5619">
            <v>0</v>
          </cell>
          <cell r="I5619">
            <v>0</v>
          </cell>
          <cell r="J5619">
            <v>0</v>
          </cell>
          <cell r="K5619">
            <v>0</v>
          </cell>
          <cell r="L5619">
            <v>0</v>
          </cell>
        </row>
        <row r="5620">
          <cell r="A5620" t="str">
            <v>20361.04500</v>
          </cell>
          <cell r="B5620" t="str">
            <v>CLES A FOURCHE</v>
          </cell>
          <cell r="C5620" t="str">
            <v>45.41</v>
          </cell>
          <cell r="D5620" t="str">
            <v>PE</v>
          </cell>
          <cell r="E5620" t="str">
            <v>522.52208</v>
          </cell>
          <cell r="F5620">
            <v>176</v>
          </cell>
          <cell r="G5620">
            <v>0</v>
          </cell>
          <cell r="H5620">
            <v>0</v>
          </cell>
          <cell r="I5620">
            <v>0</v>
          </cell>
          <cell r="J5620">
            <v>0</v>
          </cell>
          <cell r="K5620">
            <v>0</v>
          </cell>
          <cell r="L5620">
            <v>0</v>
          </cell>
        </row>
        <row r="5621">
          <cell r="A5621" t="str">
            <v>20361.04501</v>
          </cell>
          <cell r="B5621" t="str">
            <v>CLE MIXTE TETE CONTR-COUD</v>
          </cell>
          <cell r="C5621" t="str">
            <v>41.46L</v>
          </cell>
          <cell r="D5621" t="str">
            <v>PE</v>
          </cell>
          <cell r="E5621" t="str">
            <v>522.52208</v>
          </cell>
          <cell r="F5621">
            <v>1364</v>
          </cell>
          <cell r="G5621">
            <v>0</v>
          </cell>
          <cell r="H5621">
            <v>0</v>
          </cell>
          <cell r="I5621">
            <v>0</v>
          </cell>
          <cell r="J5621">
            <v>0</v>
          </cell>
          <cell r="K5621">
            <v>0</v>
          </cell>
          <cell r="L5621">
            <v>0</v>
          </cell>
        </row>
        <row r="5622">
          <cell r="A5622" t="str">
            <v>20361.02281</v>
          </cell>
          <cell r="B5622" t="str">
            <v>MASSETTE</v>
          </cell>
          <cell r="C5622" t="str">
            <v>1262.125</v>
          </cell>
          <cell r="D5622" t="str">
            <v>PE</v>
          </cell>
          <cell r="E5622" t="str">
            <v>522.52208</v>
          </cell>
          <cell r="F5622">
            <v>247</v>
          </cell>
          <cell r="G5622">
            <v>0</v>
          </cell>
          <cell r="H5622">
            <v>0</v>
          </cell>
          <cell r="I5622">
            <v>0</v>
          </cell>
          <cell r="J5622">
            <v>0</v>
          </cell>
          <cell r="K5622">
            <v>0</v>
          </cell>
          <cell r="L5622">
            <v>0</v>
          </cell>
        </row>
        <row r="5623">
          <cell r="A5623" t="str">
            <v>20361.02282</v>
          </cell>
          <cell r="B5623" t="str">
            <v>MASSETTE</v>
          </cell>
          <cell r="C5623" t="str">
            <v>1262.150</v>
          </cell>
          <cell r="D5623" t="str">
            <v>PE</v>
          </cell>
          <cell r="E5623" t="str">
            <v>522.52208</v>
          </cell>
          <cell r="F5623">
            <v>268</v>
          </cell>
          <cell r="G5623">
            <v>0</v>
          </cell>
          <cell r="H5623">
            <v>0</v>
          </cell>
          <cell r="I5623">
            <v>0</v>
          </cell>
          <cell r="J5623">
            <v>0</v>
          </cell>
          <cell r="K5623">
            <v>0</v>
          </cell>
          <cell r="L5623">
            <v>0</v>
          </cell>
        </row>
        <row r="5624">
          <cell r="A5624" t="str">
            <v>20340.01691</v>
          </cell>
          <cell r="B5624" t="str">
            <v>ALIMENTATION STABILISEE 24V 240W</v>
          </cell>
          <cell r="C5624" t="str">
            <v>1606-XL240EP</v>
          </cell>
          <cell r="D5624" t="str">
            <v>PE</v>
          </cell>
          <cell r="E5624" t="str">
            <v>522.52206</v>
          </cell>
          <cell r="F5624">
            <v>2973</v>
          </cell>
          <cell r="G5624">
            <v>0</v>
          </cell>
          <cell r="H5624">
            <v>0</v>
          </cell>
          <cell r="I5624">
            <v>0</v>
          </cell>
          <cell r="J5624">
            <v>0</v>
          </cell>
          <cell r="K5624">
            <v>0</v>
          </cell>
          <cell r="L5624">
            <v>1</v>
          </cell>
        </row>
        <row r="5625">
          <cell r="A5625" t="str">
            <v>20361.02288</v>
          </cell>
          <cell r="B5625" t="str">
            <v>COMPOSITION TARAUD FILIER</v>
          </cell>
          <cell r="C5625" t="str">
            <v>221.227J2</v>
          </cell>
          <cell r="D5625" t="str">
            <v>PE</v>
          </cell>
          <cell r="E5625" t="str">
            <v>522.52208</v>
          </cell>
          <cell r="F5625">
            <v>8338</v>
          </cell>
          <cell r="G5625">
            <v>0</v>
          </cell>
          <cell r="H5625">
            <v>0</v>
          </cell>
          <cell r="I5625">
            <v>0</v>
          </cell>
          <cell r="J5625">
            <v>0</v>
          </cell>
          <cell r="K5625">
            <v>0</v>
          </cell>
          <cell r="L5625">
            <v>0</v>
          </cell>
        </row>
        <row r="5626">
          <cell r="A5626" t="str">
            <v>20361.02289</v>
          </cell>
          <cell r="B5626" t="str">
            <v>FORET JEU=19 (0.5Ë10MM)</v>
          </cell>
          <cell r="C5626" t="str">
            <v>222.J19</v>
          </cell>
          <cell r="D5626" t="str">
            <v>JE</v>
          </cell>
          <cell r="E5626" t="str">
            <v>522.52208</v>
          </cell>
          <cell r="F5626">
            <v>903.16800000000001</v>
          </cell>
          <cell r="G5626">
            <v>0</v>
          </cell>
          <cell r="H5626">
            <v>0</v>
          </cell>
          <cell r="I5626">
            <v>0</v>
          </cell>
          <cell r="J5626">
            <v>0</v>
          </cell>
          <cell r="K5626">
            <v>0</v>
          </cell>
          <cell r="L5626">
            <v>0</v>
          </cell>
        </row>
        <row r="5627">
          <cell r="A5627" t="str">
            <v>20361.04941</v>
          </cell>
          <cell r="B5627" t="str">
            <v>CLE MIXTE 17</v>
          </cell>
          <cell r="C5627" t="str">
            <v>440.17</v>
          </cell>
          <cell r="D5627" t="str">
            <v>PE</v>
          </cell>
          <cell r="E5627" t="str">
            <v>522.52208</v>
          </cell>
          <cell r="F5627">
            <v>70.7</v>
          </cell>
          <cell r="G5627">
            <v>0</v>
          </cell>
          <cell r="H5627">
            <v>0</v>
          </cell>
          <cell r="I5627">
            <v>0</v>
          </cell>
          <cell r="J5627">
            <v>0</v>
          </cell>
          <cell r="K5627">
            <v>0</v>
          </cell>
          <cell r="L5627">
            <v>0</v>
          </cell>
        </row>
        <row r="5628">
          <cell r="A5628" t="str">
            <v>20361.04762</v>
          </cell>
          <cell r="B5628" t="str">
            <v>PANNEAU PERFORE</v>
          </cell>
          <cell r="C5628" t="str">
            <v>PK.2</v>
          </cell>
          <cell r="D5628" t="str">
            <v>PE</v>
          </cell>
          <cell r="E5628" t="str">
            <v>522.52208</v>
          </cell>
          <cell r="F5628">
            <v>224.91</v>
          </cell>
          <cell r="G5628">
            <v>0</v>
          </cell>
          <cell r="H5628">
            <v>0</v>
          </cell>
          <cell r="I5628">
            <v>0</v>
          </cell>
          <cell r="J5628">
            <v>0</v>
          </cell>
          <cell r="K5628">
            <v>0</v>
          </cell>
          <cell r="L5628">
            <v>0</v>
          </cell>
        </row>
        <row r="5629">
          <cell r="A5629" t="str">
            <v>20361.02292</v>
          </cell>
          <cell r="B5629" t="str">
            <v>NIVEAU STANDARD</v>
          </cell>
          <cell r="C5629" t="str">
            <v>310B.60</v>
          </cell>
          <cell r="D5629" t="str">
            <v>PE</v>
          </cell>
          <cell r="E5629" t="str">
            <v>522.52208</v>
          </cell>
          <cell r="F5629">
            <v>549.50400000000002</v>
          </cell>
          <cell r="G5629">
            <v>0</v>
          </cell>
          <cell r="H5629">
            <v>0</v>
          </cell>
          <cell r="I5629">
            <v>0</v>
          </cell>
          <cell r="J5629">
            <v>0</v>
          </cell>
          <cell r="K5629">
            <v>0</v>
          </cell>
          <cell r="L5629">
            <v>0</v>
          </cell>
        </row>
        <row r="5630">
          <cell r="A5630" t="str">
            <v>20361.02294</v>
          </cell>
          <cell r="B5630" t="str">
            <v>TOURNE A GAUCHE</v>
          </cell>
          <cell r="C5630" t="str">
            <v>831.2</v>
          </cell>
          <cell r="D5630" t="str">
            <v>PE</v>
          </cell>
          <cell r="E5630" t="str">
            <v>522.52208</v>
          </cell>
          <cell r="F5630">
            <v>228</v>
          </cell>
          <cell r="G5630">
            <v>0</v>
          </cell>
          <cell r="H5630">
            <v>0</v>
          </cell>
          <cell r="I5630">
            <v>0</v>
          </cell>
          <cell r="J5630">
            <v>0</v>
          </cell>
          <cell r="K5630">
            <v>0</v>
          </cell>
          <cell r="L5630">
            <v>0</v>
          </cell>
        </row>
        <row r="5631">
          <cell r="A5631" t="str">
            <v>20361.02295</v>
          </cell>
          <cell r="B5631" t="str">
            <v>TOURNE A GAUCHE</v>
          </cell>
          <cell r="C5631" t="str">
            <v>831.3</v>
          </cell>
          <cell r="D5631" t="str">
            <v>PE</v>
          </cell>
          <cell r="E5631" t="str">
            <v>522.52208</v>
          </cell>
          <cell r="F5631">
            <v>335.93</v>
          </cell>
          <cell r="G5631">
            <v>0</v>
          </cell>
          <cell r="H5631">
            <v>0</v>
          </cell>
          <cell r="I5631">
            <v>0</v>
          </cell>
          <cell r="J5631">
            <v>0</v>
          </cell>
          <cell r="K5631">
            <v>0</v>
          </cell>
          <cell r="L5631">
            <v>0</v>
          </cell>
        </row>
        <row r="5632">
          <cell r="A5632" t="str">
            <v>20361.02296</v>
          </cell>
          <cell r="B5632" t="str">
            <v>OUTIL RESTAURER FILETAGE</v>
          </cell>
          <cell r="C5632" t="str">
            <v>237.A</v>
          </cell>
          <cell r="D5632" t="str">
            <v>PE</v>
          </cell>
          <cell r="E5632" t="str">
            <v>522.52208</v>
          </cell>
          <cell r="F5632">
            <v>327.50400000000002</v>
          </cell>
          <cell r="G5632">
            <v>0</v>
          </cell>
          <cell r="H5632">
            <v>0</v>
          </cell>
          <cell r="I5632">
            <v>0</v>
          </cell>
          <cell r="J5632">
            <v>0</v>
          </cell>
          <cell r="K5632">
            <v>3</v>
          </cell>
          <cell r="L5632">
            <v>0</v>
          </cell>
        </row>
        <row r="5633">
          <cell r="A5633" t="str">
            <v>20361.02297</v>
          </cell>
          <cell r="B5633" t="str">
            <v>PORTE FILIERES</v>
          </cell>
          <cell r="C5633" t="str">
            <v>832.1'</v>
          </cell>
          <cell r="D5633" t="str">
            <v>PE</v>
          </cell>
          <cell r="E5633" t="str">
            <v>522.52208</v>
          </cell>
          <cell r="F5633">
            <v>112</v>
          </cell>
          <cell r="G5633">
            <v>0</v>
          </cell>
          <cell r="H5633">
            <v>0</v>
          </cell>
          <cell r="I5633">
            <v>0</v>
          </cell>
          <cell r="J5633">
            <v>0</v>
          </cell>
          <cell r="K5633">
            <v>0</v>
          </cell>
          <cell r="L5633">
            <v>0</v>
          </cell>
        </row>
        <row r="5634">
          <cell r="A5634" t="str">
            <v>20361.02298</v>
          </cell>
          <cell r="B5634" t="str">
            <v>PORTE FILIERES</v>
          </cell>
          <cell r="C5634" t="str">
            <v>832.1'1/2</v>
          </cell>
          <cell r="D5634" t="str">
            <v>PE</v>
          </cell>
          <cell r="E5634" t="str">
            <v>522.52208</v>
          </cell>
          <cell r="F5634">
            <v>180.81</v>
          </cell>
          <cell r="G5634">
            <v>0</v>
          </cell>
          <cell r="H5634">
            <v>0</v>
          </cell>
          <cell r="I5634">
            <v>0</v>
          </cell>
          <cell r="J5634">
            <v>0</v>
          </cell>
          <cell r="K5634">
            <v>0</v>
          </cell>
          <cell r="L5634">
            <v>0</v>
          </cell>
        </row>
        <row r="5635">
          <cell r="A5635" t="str">
            <v>20361.02299</v>
          </cell>
          <cell r="B5635" t="str">
            <v>POINTE A TRACER</v>
          </cell>
          <cell r="C5635">
            <v>234</v>
          </cell>
          <cell r="D5635" t="str">
            <v>PE</v>
          </cell>
          <cell r="E5635" t="str">
            <v>522.52208</v>
          </cell>
          <cell r="F5635">
            <v>46.08</v>
          </cell>
          <cell r="G5635">
            <v>0</v>
          </cell>
          <cell r="H5635">
            <v>0</v>
          </cell>
          <cell r="I5635">
            <v>0</v>
          </cell>
          <cell r="J5635">
            <v>0</v>
          </cell>
          <cell r="K5635">
            <v>0</v>
          </cell>
          <cell r="L5635">
            <v>0</v>
          </cell>
        </row>
        <row r="5636">
          <cell r="A5636" t="str">
            <v>20340.00009</v>
          </cell>
          <cell r="B5636" t="str">
            <v>DISJONCTEUR MODULAIRE 2A</v>
          </cell>
          <cell r="C5636" t="str">
            <v>1492-SP1C020-N</v>
          </cell>
          <cell r="D5636" t="str">
            <v>PE</v>
          </cell>
          <cell r="E5636" t="str">
            <v>522.52206</v>
          </cell>
          <cell r="F5636">
            <v>100.104</v>
          </cell>
          <cell r="G5636">
            <v>0</v>
          </cell>
          <cell r="H5636">
            <v>0</v>
          </cell>
          <cell r="I5636">
            <v>0</v>
          </cell>
          <cell r="J5636">
            <v>0</v>
          </cell>
          <cell r="K5636">
            <v>0</v>
          </cell>
          <cell r="L5636">
            <v>0</v>
          </cell>
        </row>
        <row r="5637">
          <cell r="A5637" t="str">
            <v>20361.03103</v>
          </cell>
          <cell r="B5637" t="str">
            <v>PINCE A DENUDER 194.17CPE</v>
          </cell>
          <cell r="C5637" t="str">
            <v>194.17CPE</v>
          </cell>
          <cell r="D5637" t="str">
            <v>PE</v>
          </cell>
          <cell r="E5637" t="str">
            <v>522.52208</v>
          </cell>
          <cell r="F5637">
            <v>286.10000000000002</v>
          </cell>
          <cell r="G5637">
            <v>0</v>
          </cell>
          <cell r="H5637">
            <v>0</v>
          </cell>
          <cell r="I5637">
            <v>0</v>
          </cell>
          <cell r="J5637">
            <v>0</v>
          </cell>
          <cell r="K5637">
            <v>0</v>
          </cell>
          <cell r="L5637">
            <v>0</v>
          </cell>
        </row>
        <row r="5638">
          <cell r="A5638" t="str">
            <v>20361.03106</v>
          </cell>
          <cell r="B5638" t="str">
            <v>TOURNEVIS AP.0X75</v>
          </cell>
          <cell r="C5638" t="str">
            <v>AP.0X75</v>
          </cell>
          <cell r="D5638" t="str">
            <v>PE</v>
          </cell>
          <cell r="E5638" t="str">
            <v>522.52208</v>
          </cell>
          <cell r="F5638">
            <v>52.991999999999997</v>
          </cell>
          <cell r="G5638">
            <v>0</v>
          </cell>
          <cell r="H5638">
            <v>0</v>
          </cell>
          <cell r="I5638">
            <v>0</v>
          </cell>
          <cell r="J5638">
            <v>0</v>
          </cell>
          <cell r="K5638">
            <v>0</v>
          </cell>
          <cell r="L5638">
            <v>0</v>
          </cell>
        </row>
        <row r="5639">
          <cell r="A5639" t="str">
            <v>20361.04562</v>
          </cell>
          <cell r="B5639" t="str">
            <v>CLE A FOURCHE</v>
          </cell>
          <cell r="C5639" t="str">
            <v>44.24X27</v>
          </cell>
          <cell r="D5639" t="str">
            <v>PE</v>
          </cell>
          <cell r="E5639" t="str">
            <v>522.52208</v>
          </cell>
          <cell r="F5639">
            <v>95</v>
          </cell>
          <cell r="G5639">
            <v>0</v>
          </cell>
          <cell r="H5639">
            <v>0</v>
          </cell>
          <cell r="I5639">
            <v>0</v>
          </cell>
          <cell r="J5639">
            <v>0</v>
          </cell>
          <cell r="K5639">
            <v>0</v>
          </cell>
          <cell r="L5639">
            <v>0</v>
          </cell>
        </row>
        <row r="5640">
          <cell r="A5640" t="str">
            <v>20361.04563</v>
          </cell>
          <cell r="B5640" t="str">
            <v>CLE A FOURCHE</v>
          </cell>
          <cell r="C5640" t="str">
            <v>44.27X30</v>
          </cell>
          <cell r="D5640" t="str">
            <v>PE</v>
          </cell>
          <cell r="E5640" t="str">
            <v>522.52208</v>
          </cell>
          <cell r="F5640">
            <v>112.98</v>
          </cell>
          <cell r="G5640">
            <v>0</v>
          </cell>
          <cell r="H5640">
            <v>0</v>
          </cell>
          <cell r="I5640">
            <v>0</v>
          </cell>
          <cell r="J5640">
            <v>0</v>
          </cell>
          <cell r="K5640">
            <v>0</v>
          </cell>
          <cell r="L5640">
            <v>0</v>
          </cell>
        </row>
        <row r="5641">
          <cell r="A5641" t="str">
            <v>20361.02476</v>
          </cell>
          <cell r="B5641" t="str">
            <v>CISEAU ELECTRICIEN</v>
          </cell>
          <cell r="C5641">
            <v>841</v>
          </cell>
          <cell r="D5641" t="str">
            <v>PE</v>
          </cell>
          <cell r="E5641" t="str">
            <v>522.52208</v>
          </cell>
          <cell r="F5641">
            <v>130.9</v>
          </cell>
          <cell r="G5641">
            <v>0</v>
          </cell>
          <cell r="H5641">
            <v>0</v>
          </cell>
          <cell r="I5641">
            <v>0</v>
          </cell>
          <cell r="J5641">
            <v>0</v>
          </cell>
          <cell r="K5641">
            <v>0</v>
          </cell>
          <cell r="L5641">
            <v>0</v>
          </cell>
        </row>
        <row r="5642">
          <cell r="A5642" t="str">
            <v>20361.04566</v>
          </cell>
          <cell r="B5642" t="str">
            <v>CLE A FOURCHE</v>
          </cell>
          <cell r="C5642" t="str">
            <v>44.38X42</v>
          </cell>
          <cell r="D5642" t="str">
            <v>PE</v>
          </cell>
          <cell r="E5642" t="str">
            <v>522.52208</v>
          </cell>
          <cell r="F5642">
            <v>265</v>
          </cell>
          <cell r="G5642">
            <v>0</v>
          </cell>
          <cell r="H5642">
            <v>0</v>
          </cell>
          <cell r="I5642">
            <v>0</v>
          </cell>
          <cell r="J5642">
            <v>0</v>
          </cell>
          <cell r="K5642">
            <v>0</v>
          </cell>
          <cell r="L5642">
            <v>0</v>
          </cell>
        </row>
        <row r="5643">
          <cell r="A5643" t="str">
            <v>20361.04561</v>
          </cell>
          <cell r="B5643" t="str">
            <v>CLE A FOURCHE</v>
          </cell>
          <cell r="C5643" t="str">
            <v>44-22X24</v>
          </cell>
          <cell r="D5643" t="str">
            <v>PE</v>
          </cell>
          <cell r="E5643" t="str">
            <v>522.52208</v>
          </cell>
          <cell r="F5643">
            <v>70.84</v>
          </cell>
          <cell r="G5643">
            <v>0</v>
          </cell>
          <cell r="H5643">
            <v>0</v>
          </cell>
          <cell r="I5643">
            <v>0</v>
          </cell>
          <cell r="J5643">
            <v>0</v>
          </cell>
          <cell r="K5643">
            <v>0</v>
          </cell>
          <cell r="L5643">
            <v>0</v>
          </cell>
        </row>
        <row r="5644">
          <cell r="A5644" t="str">
            <v>20371.00181</v>
          </cell>
          <cell r="B5644" t="str">
            <v>PAPILLON</v>
          </cell>
          <cell r="C5644" t="str">
            <v>AMRI SERIE GAMMA V741016 PAPIL DN80 PN10 P/VAN 3G6P2XA</v>
          </cell>
          <cell r="D5644" t="str">
            <v>PE</v>
          </cell>
          <cell r="E5644" t="str">
            <v>515.51511</v>
          </cell>
          <cell r="F5644">
            <v>424</v>
          </cell>
          <cell r="G5644">
            <v>0</v>
          </cell>
          <cell r="H5644">
            <v>0</v>
          </cell>
          <cell r="I5644">
            <v>0</v>
          </cell>
          <cell r="J5644">
            <v>0</v>
          </cell>
          <cell r="K5644">
            <v>0</v>
          </cell>
          <cell r="L5644">
            <v>1</v>
          </cell>
        </row>
        <row r="5645">
          <cell r="A5645" t="str">
            <v>20361.00413</v>
          </cell>
          <cell r="B5645" t="str">
            <v>FER A SOUDER</v>
          </cell>
          <cell r="C5645" t="str">
            <v>947A200</v>
          </cell>
          <cell r="D5645" t="str">
            <v>PE</v>
          </cell>
          <cell r="E5645" t="str">
            <v>522.52208</v>
          </cell>
          <cell r="F5645">
            <v>679.8</v>
          </cell>
          <cell r="G5645">
            <v>0</v>
          </cell>
          <cell r="H5645">
            <v>0</v>
          </cell>
          <cell r="I5645">
            <v>0</v>
          </cell>
          <cell r="J5645">
            <v>0</v>
          </cell>
          <cell r="K5645">
            <v>0</v>
          </cell>
          <cell r="L5645">
            <v>0</v>
          </cell>
        </row>
        <row r="5646">
          <cell r="A5646" t="str">
            <v>20361.00518</v>
          </cell>
          <cell r="B5646" t="str">
            <v>CLE A FOURCHE SIMPLE</v>
          </cell>
          <cell r="C5646" t="str">
            <v>45 34</v>
          </cell>
          <cell r="D5646" t="str">
            <v>PE</v>
          </cell>
          <cell r="E5646" t="str">
            <v>522.52208</v>
          </cell>
          <cell r="F5646">
            <v>166</v>
          </cell>
          <cell r="G5646">
            <v>0</v>
          </cell>
          <cell r="H5646">
            <v>0</v>
          </cell>
          <cell r="I5646">
            <v>0</v>
          </cell>
          <cell r="J5646">
            <v>0</v>
          </cell>
          <cell r="K5646">
            <v>0</v>
          </cell>
          <cell r="L5646">
            <v>0</v>
          </cell>
        </row>
        <row r="5647">
          <cell r="A5647" t="str">
            <v>20361.00520</v>
          </cell>
          <cell r="B5647" t="str">
            <v>MAILLET EN BOIS</v>
          </cell>
          <cell r="C5647" t="str">
            <v>209.60</v>
          </cell>
          <cell r="D5647" t="str">
            <v>PE</v>
          </cell>
          <cell r="E5647" t="str">
            <v>522.52208</v>
          </cell>
          <cell r="F5647">
            <v>126</v>
          </cell>
          <cell r="G5647">
            <v>0</v>
          </cell>
          <cell r="H5647">
            <v>0</v>
          </cell>
          <cell r="I5647">
            <v>0</v>
          </cell>
          <cell r="J5647">
            <v>0</v>
          </cell>
          <cell r="K5647">
            <v>0</v>
          </cell>
          <cell r="L5647">
            <v>0</v>
          </cell>
        </row>
        <row r="5648">
          <cell r="A5648" t="str">
            <v>20361.00516</v>
          </cell>
          <cell r="B5648" t="str">
            <v>DOUILLE 6 PANS NK 34A</v>
          </cell>
          <cell r="C5648" t="str">
            <v>NK 34A</v>
          </cell>
          <cell r="D5648" t="str">
            <v>PE</v>
          </cell>
          <cell r="E5648" t="str">
            <v>522.52208</v>
          </cell>
          <cell r="F5648">
            <v>270</v>
          </cell>
          <cell r="G5648">
            <v>0</v>
          </cell>
          <cell r="H5648">
            <v>0</v>
          </cell>
          <cell r="I5648">
            <v>0</v>
          </cell>
          <cell r="J5648">
            <v>0</v>
          </cell>
          <cell r="K5648">
            <v>0</v>
          </cell>
          <cell r="L5648">
            <v>0</v>
          </cell>
        </row>
        <row r="5649">
          <cell r="A5649" t="str">
            <v>20345.00390</v>
          </cell>
          <cell r="B5649" t="str">
            <v>ACCOUPLEMENT COMPLET</v>
          </cell>
          <cell r="C5649" t="str">
            <v>N.EUPEX TAILLE H 160 /180</v>
          </cell>
          <cell r="D5649" t="str">
            <v>PE</v>
          </cell>
          <cell r="E5649" t="str">
            <v>515.51515</v>
          </cell>
          <cell r="F5649">
            <v>3921.5</v>
          </cell>
          <cell r="G5649">
            <v>0</v>
          </cell>
          <cell r="H5649">
            <v>0</v>
          </cell>
          <cell r="I5649">
            <v>0</v>
          </cell>
          <cell r="J5649">
            <v>0</v>
          </cell>
          <cell r="K5649">
            <v>0</v>
          </cell>
          <cell r="L5649">
            <v>2</v>
          </cell>
        </row>
        <row r="5650">
          <cell r="A5650" t="str">
            <v>20361.00539</v>
          </cell>
          <cell r="B5650" t="str">
            <v>RALLONGE IMPACT CAR.1"</v>
          </cell>
          <cell r="C5650" t="str">
            <v>NM 210 LONG.200MM</v>
          </cell>
          <cell r="D5650" t="str">
            <v>PE</v>
          </cell>
          <cell r="E5650" t="str">
            <v>522.52208</v>
          </cell>
          <cell r="F5650">
            <v>690</v>
          </cell>
          <cell r="G5650">
            <v>0</v>
          </cell>
          <cell r="H5650">
            <v>0</v>
          </cell>
          <cell r="I5650">
            <v>0</v>
          </cell>
          <cell r="J5650">
            <v>0</v>
          </cell>
          <cell r="K5650">
            <v>0</v>
          </cell>
          <cell r="L5650">
            <v>0</v>
          </cell>
        </row>
        <row r="5651">
          <cell r="A5651" t="str">
            <v>20361.03124</v>
          </cell>
          <cell r="B5651" t="str">
            <v>JEU 3 TARAUDS 227.3X50T3</v>
          </cell>
          <cell r="C5651" t="str">
            <v>227.3X50T3</v>
          </cell>
          <cell r="D5651" t="str">
            <v>JE</v>
          </cell>
          <cell r="E5651" t="str">
            <v>522.52208</v>
          </cell>
          <cell r="F5651">
            <v>251.136</v>
          </cell>
          <cell r="G5651">
            <v>0</v>
          </cell>
          <cell r="H5651">
            <v>0</v>
          </cell>
          <cell r="I5651">
            <v>0</v>
          </cell>
          <cell r="J5651">
            <v>0</v>
          </cell>
          <cell r="K5651">
            <v>3</v>
          </cell>
          <cell r="L5651">
            <v>0</v>
          </cell>
        </row>
        <row r="5652">
          <cell r="A5652" t="str">
            <v>20361.03125</v>
          </cell>
          <cell r="B5652" t="str">
            <v>JEU 3 TARAUDS 227.4X70T3</v>
          </cell>
          <cell r="C5652" t="str">
            <v>227.4X70T3</v>
          </cell>
          <cell r="D5652" t="str">
            <v>PE</v>
          </cell>
          <cell r="E5652" t="str">
            <v>522.52208</v>
          </cell>
          <cell r="F5652">
            <v>251.136</v>
          </cell>
          <cell r="G5652">
            <v>0</v>
          </cell>
          <cell r="H5652">
            <v>0</v>
          </cell>
          <cell r="I5652">
            <v>0</v>
          </cell>
          <cell r="J5652">
            <v>0</v>
          </cell>
          <cell r="K5652">
            <v>0</v>
          </cell>
          <cell r="L5652">
            <v>0</v>
          </cell>
        </row>
        <row r="5653">
          <cell r="A5653" t="str">
            <v>20361.01900</v>
          </cell>
          <cell r="B5653" t="str">
            <v>MANCHE POUR CLE POLYGONAL</v>
          </cell>
          <cell r="C5653" t="str">
            <v>54.M1B</v>
          </cell>
          <cell r="D5653" t="str">
            <v>PE</v>
          </cell>
          <cell r="E5653" t="str">
            <v>522.52208</v>
          </cell>
          <cell r="F5653">
            <v>284.39999999999998</v>
          </cell>
          <cell r="G5653">
            <v>0</v>
          </cell>
          <cell r="H5653">
            <v>0</v>
          </cell>
          <cell r="I5653">
            <v>0</v>
          </cell>
          <cell r="J5653">
            <v>0</v>
          </cell>
          <cell r="K5653">
            <v>0</v>
          </cell>
          <cell r="L5653">
            <v>0</v>
          </cell>
        </row>
        <row r="5654">
          <cell r="A5654" t="str">
            <v>20361.01901</v>
          </cell>
          <cell r="B5654" t="str">
            <v>MANCHE POUR CLE POLYGONAL</v>
          </cell>
          <cell r="C5654" t="str">
            <v>54.M2B</v>
          </cell>
          <cell r="D5654" t="str">
            <v>PE</v>
          </cell>
          <cell r="E5654" t="str">
            <v>522.52208</v>
          </cell>
          <cell r="F5654">
            <v>360</v>
          </cell>
          <cell r="G5654">
            <v>0</v>
          </cell>
          <cell r="H5654">
            <v>0</v>
          </cell>
          <cell r="I5654">
            <v>0</v>
          </cell>
          <cell r="J5654">
            <v>0</v>
          </cell>
          <cell r="K5654">
            <v>0</v>
          </cell>
          <cell r="L5654">
            <v>0</v>
          </cell>
        </row>
        <row r="5655">
          <cell r="A5655" t="str">
            <v>20371.00288</v>
          </cell>
          <cell r="B5655" t="str">
            <v>VANNE</v>
          </cell>
          <cell r="C5655" t="str">
            <v>AQUISORIA 10 DN40 PN 10 BAR ACTIONNEUR PNEUMATIQUE DOUBLE EFFET DYNACTAIR 3</v>
          </cell>
          <cell r="D5655" t="str">
            <v>PE</v>
          </cell>
          <cell r="E5655" t="str">
            <v>515.51511</v>
          </cell>
          <cell r="F5655">
            <v>2529.6</v>
          </cell>
          <cell r="G5655">
            <v>0</v>
          </cell>
          <cell r="H5655">
            <v>0</v>
          </cell>
          <cell r="I5655">
            <v>0</v>
          </cell>
          <cell r="J5655">
            <v>0</v>
          </cell>
          <cell r="K5655">
            <v>0</v>
          </cell>
          <cell r="L5655">
            <v>0</v>
          </cell>
        </row>
        <row r="5656">
          <cell r="A5656" t="str">
            <v>20371.00280</v>
          </cell>
          <cell r="B5656" t="str">
            <v>VANNE</v>
          </cell>
          <cell r="C5656" t="str">
            <v>AQUISORIA10 DN250 PN 10 BAR ACTIONNEUR PNEUMATIQUE SIMPLE EFFET DYNACTAIR 25</v>
          </cell>
          <cell r="D5656" t="str">
            <v>PE</v>
          </cell>
          <cell r="E5656" t="str">
            <v>515.51511</v>
          </cell>
          <cell r="F5656">
            <v>13766</v>
          </cell>
          <cell r="G5656">
            <v>0</v>
          </cell>
          <cell r="H5656">
            <v>0</v>
          </cell>
          <cell r="I5656">
            <v>0</v>
          </cell>
          <cell r="J5656">
            <v>0</v>
          </cell>
          <cell r="K5656">
            <v>0</v>
          </cell>
          <cell r="L5656">
            <v>1</v>
          </cell>
        </row>
        <row r="5657">
          <cell r="A5657" t="str">
            <v>20371.00285</v>
          </cell>
          <cell r="B5657" t="str">
            <v>VANNE</v>
          </cell>
          <cell r="C5657" t="str">
            <v>AQUISORIA 10 DN50 PN  10 BAR ACTIONNEUR PNEUMATIQUE DOUBLE EFFET ACTAIR 3</v>
          </cell>
          <cell r="D5657" t="str">
            <v>PE</v>
          </cell>
          <cell r="E5657" t="str">
            <v>515.51511</v>
          </cell>
          <cell r="F5657">
            <v>9099.6</v>
          </cell>
          <cell r="G5657">
            <v>0</v>
          </cell>
          <cell r="H5657">
            <v>0</v>
          </cell>
          <cell r="I5657">
            <v>0</v>
          </cell>
          <cell r="J5657">
            <v>1</v>
          </cell>
          <cell r="K5657">
            <v>0</v>
          </cell>
          <cell r="L5657">
            <v>0</v>
          </cell>
        </row>
        <row r="5658">
          <cell r="A5658" t="str">
            <v>20371.00286</v>
          </cell>
          <cell r="B5658" t="str">
            <v>VANNE</v>
          </cell>
          <cell r="C5658" t="str">
            <v>AQUISORIA 10 DN80 PN 10 BAR ACTIONNEUR PNEUMATIQUE DOUBLE EFFET ACTAIR 3</v>
          </cell>
          <cell r="D5658" t="str">
            <v>PE</v>
          </cell>
          <cell r="E5658" t="str">
            <v>515.51511</v>
          </cell>
          <cell r="F5658">
            <v>2529.6</v>
          </cell>
          <cell r="G5658">
            <v>0</v>
          </cell>
          <cell r="H5658">
            <v>0</v>
          </cell>
          <cell r="I5658">
            <v>0</v>
          </cell>
          <cell r="J5658">
            <v>0</v>
          </cell>
          <cell r="K5658">
            <v>0</v>
          </cell>
          <cell r="L5658">
            <v>1</v>
          </cell>
        </row>
        <row r="5659">
          <cell r="A5659" t="str">
            <v>20361.09292</v>
          </cell>
          <cell r="B5659" t="str">
            <v>JAUGE D'EPAISSEUR</v>
          </cell>
          <cell r="C5659" t="str">
            <v>804.P</v>
          </cell>
          <cell r="D5659" t="str">
            <v>PE</v>
          </cell>
          <cell r="E5659" t="str">
            <v>522.52208</v>
          </cell>
          <cell r="F5659">
            <v>146.304</v>
          </cell>
          <cell r="G5659">
            <v>0</v>
          </cell>
          <cell r="H5659">
            <v>0</v>
          </cell>
          <cell r="I5659">
            <v>0</v>
          </cell>
          <cell r="J5659">
            <v>0</v>
          </cell>
          <cell r="K5659">
            <v>0</v>
          </cell>
          <cell r="L5659">
            <v>0</v>
          </cell>
        </row>
        <row r="5660">
          <cell r="A5660" t="str">
            <v>20371.00287</v>
          </cell>
          <cell r="B5660" t="str">
            <v>VANNE</v>
          </cell>
          <cell r="C5660" t="str">
            <v>AQUISORIA 10 DN100 PN 10 BAR ACTIONNEUR PNEUMATIQUE DOUBLE EFFET ACTAIR 6</v>
          </cell>
          <cell r="D5660" t="str">
            <v>PE</v>
          </cell>
          <cell r="E5660" t="str">
            <v>515.51511</v>
          </cell>
          <cell r="F5660">
            <v>2640</v>
          </cell>
          <cell r="G5660">
            <v>0</v>
          </cell>
          <cell r="H5660">
            <v>0</v>
          </cell>
          <cell r="I5660">
            <v>0</v>
          </cell>
          <cell r="J5660">
            <v>0</v>
          </cell>
          <cell r="K5660">
            <v>0</v>
          </cell>
          <cell r="L5660">
            <v>0</v>
          </cell>
        </row>
        <row r="5661">
          <cell r="A5661" t="str">
            <v>20361.09293</v>
          </cell>
          <cell r="B5661" t="str">
            <v>JAUGE D'EPAISSEUR</v>
          </cell>
          <cell r="C5661" t="str">
            <v>804.L</v>
          </cell>
          <cell r="D5661" t="str">
            <v>PE</v>
          </cell>
          <cell r="E5661" t="str">
            <v>522.52208</v>
          </cell>
          <cell r="F5661">
            <v>296.17200000000003</v>
          </cell>
          <cell r="G5661">
            <v>0</v>
          </cell>
          <cell r="H5661">
            <v>0</v>
          </cell>
          <cell r="I5661">
            <v>0</v>
          </cell>
          <cell r="J5661">
            <v>0</v>
          </cell>
          <cell r="K5661">
            <v>0</v>
          </cell>
          <cell r="L5661">
            <v>0</v>
          </cell>
        </row>
        <row r="5662">
          <cell r="A5662" t="str">
            <v>20361.03219</v>
          </cell>
          <cell r="B5662" t="str">
            <v>CLE A FOURCHE</v>
          </cell>
          <cell r="C5662" t="str">
            <v>44.30X32</v>
          </cell>
          <cell r="D5662" t="str">
            <v>PE</v>
          </cell>
          <cell r="E5662" t="str">
            <v>522.52208</v>
          </cell>
          <cell r="F5662">
            <v>143</v>
          </cell>
          <cell r="G5662">
            <v>0</v>
          </cell>
          <cell r="H5662">
            <v>0</v>
          </cell>
          <cell r="I5662">
            <v>0</v>
          </cell>
          <cell r="J5662">
            <v>0</v>
          </cell>
          <cell r="K5662">
            <v>0</v>
          </cell>
          <cell r="L5662">
            <v>0</v>
          </cell>
        </row>
        <row r="5663">
          <cell r="A5663" t="str">
            <v>20361.09296</v>
          </cell>
          <cell r="B5663" t="str">
            <v>CLE A SANGLE</v>
          </cell>
          <cell r="C5663" t="str">
            <v>138.48</v>
          </cell>
          <cell r="D5663" t="str">
            <v>PE</v>
          </cell>
          <cell r="E5663" t="str">
            <v>522.52208</v>
          </cell>
          <cell r="F5663">
            <v>467.5</v>
          </cell>
          <cell r="G5663">
            <v>0</v>
          </cell>
          <cell r="H5663">
            <v>0</v>
          </cell>
          <cell r="I5663">
            <v>0</v>
          </cell>
          <cell r="J5663">
            <v>0</v>
          </cell>
          <cell r="K5663">
            <v>0</v>
          </cell>
          <cell r="L5663">
            <v>0</v>
          </cell>
        </row>
        <row r="5664">
          <cell r="A5664" t="str">
            <v>20361.03220</v>
          </cell>
          <cell r="B5664" t="str">
            <v>CLE POLYGONALE CONTR COUD</v>
          </cell>
          <cell r="C5664" t="str">
            <v>55-10X11</v>
          </cell>
          <cell r="D5664" t="str">
            <v>PE</v>
          </cell>
          <cell r="E5664" t="str">
            <v>522.52208</v>
          </cell>
          <cell r="F5664">
            <v>96.768000000000001</v>
          </cell>
          <cell r="G5664">
            <v>0</v>
          </cell>
          <cell r="H5664">
            <v>0</v>
          </cell>
          <cell r="I5664">
            <v>0</v>
          </cell>
          <cell r="J5664">
            <v>0</v>
          </cell>
          <cell r="K5664">
            <v>0</v>
          </cell>
          <cell r="L5664">
            <v>0</v>
          </cell>
        </row>
        <row r="5665">
          <cell r="A5665" t="str">
            <v>20361.00664</v>
          </cell>
          <cell r="B5665" t="str">
            <v>CLE A CHAINE</v>
          </cell>
          <cell r="C5665" t="str">
            <v>137A.6'</v>
          </cell>
          <cell r="D5665" t="str">
            <v>PE</v>
          </cell>
          <cell r="E5665" t="str">
            <v>522.52208</v>
          </cell>
          <cell r="F5665">
            <v>2982.1869999999999</v>
          </cell>
          <cell r="G5665">
            <v>0</v>
          </cell>
          <cell r="H5665">
            <v>0</v>
          </cell>
          <cell r="I5665">
            <v>0</v>
          </cell>
          <cell r="J5665">
            <v>0</v>
          </cell>
          <cell r="K5665">
            <v>3</v>
          </cell>
          <cell r="L5665">
            <v>0</v>
          </cell>
        </row>
        <row r="5666">
          <cell r="A5666" t="str">
            <v>20361.00665</v>
          </cell>
          <cell r="B5666" t="str">
            <v>CLE A FOURCHE</v>
          </cell>
          <cell r="C5666" t="str">
            <v>44-8X9</v>
          </cell>
          <cell r="D5666" t="str">
            <v>PE</v>
          </cell>
          <cell r="E5666" t="str">
            <v>522.52208</v>
          </cell>
          <cell r="F5666">
            <v>31.704000000000001</v>
          </cell>
          <cell r="G5666">
            <v>0</v>
          </cell>
          <cell r="H5666">
            <v>0</v>
          </cell>
          <cell r="I5666">
            <v>0</v>
          </cell>
          <cell r="J5666">
            <v>0</v>
          </cell>
          <cell r="K5666">
            <v>0</v>
          </cell>
          <cell r="L5666">
            <v>0</v>
          </cell>
        </row>
        <row r="5667">
          <cell r="A5667" t="str">
            <v>20361.00666</v>
          </cell>
          <cell r="B5667" t="str">
            <v>CLE A FOURCHE</v>
          </cell>
          <cell r="C5667" t="str">
            <v>44-10X11</v>
          </cell>
          <cell r="D5667" t="str">
            <v>PE</v>
          </cell>
          <cell r="E5667" t="str">
            <v>522.52208</v>
          </cell>
          <cell r="F5667">
            <v>32</v>
          </cell>
          <cell r="G5667">
            <v>0</v>
          </cell>
          <cell r="H5667">
            <v>0</v>
          </cell>
          <cell r="I5667">
            <v>0</v>
          </cell>
          <cell r="J5667">
            <v>0</v>
          </cell>
          <cell r="K5667">
            <v>0</v>
          </cell>
          <cell r="L5667">
            <v>0</v>
          </cell>
        </row>
        <row r="5668">
          <cell r="A5668" t="str">
            <v>20361.00667</v>
          </cell>
          <cell r="B5668" t="str">
            <v>CLE A FOURCHE</v>
          </cell>
          <cell r="C5668" t="str">
            <v>44-18X19</v>
          </cell>
          <cell r="D5668" t="str">
            <v>PE</v>
          </cell>
          <cell r="E5668" t="str">
            <v>522.52208</v>
          </cell>
          <cell r="F5668">
            <v>57</v>
          </cell>
          <cell r="G5668">
            <v>0</v>
          </cell>
          <cell r="H5668">
            <v>0</v>
          </cell>
          <cell r="I5668">
            <v>0</v>
          </cell>
          <cell r="J5668">
            <v>0</v>
          </cell>
          <cell r="K5668">
            <v>0</v>
          </cell>
          <cell r="L5668">
            <v>0</v>
          </cell>
        </row>
        <row r="5669">
          <cell r="A5669" t="str">
            <v>20361.03068</v>
          </cell>
          <cell r="B5669" t="str">
            <v>CLE POLYGONALE 55A.12X13</v>
          </cell>
          <cell r="C5669" t="str">
            <v>55A.12X13</v>
          </cell>
          <cell r="D5669" t="str">
            <v>PE</v>
          </cell>
          <cell r="E5669" t="str">
            <v>522.52208</v>
          </cell>
          <cell r="F5669">
            <v>93.94</v>
          </cell>
          <cell r="G5669">
            <v>0</v>
          </cell>
          <cell r="H5669">
            <v>0</v>
          </cell>
          <cell r="I5669">
            <v>0</v>
          </cell>
          <cell r="J5669">
            <v>0</v>
          </cell>
          <cell r="K5669">
            <v>0</v>
          </cell>
          <cell r="L5669">
            <v>0</v>
          </cell>
        </row>
        <row r="5670">
          <cell r="A5670" t="str">
            <v>20361.03069</v>
          </cell>
          <cell r="B5670" t="str">
            <v>CLE POLYGONALE 55A.16X17</v>
          </cell>
          <cell r="C5670" t="str">
            <v>55A.16X17</v>
          </cell>
          <cell r="D5670" t="str">
            <v>PE</v>
          </cell>
          <cell r="E5670" t="str">
            <v>522.52208</v>
          </cell>
          <cell r="F5670">
            <v>117</v>
          </cell>
          <cell r="G5670">
            <v>0</v>
          </cell>
          <cell r="H5670">
            <v>0</v>
          </cell>
          <cell r="I5670">
            <v>0</v>
          </cell>
          <cell r="J5670">
            <v>0</v>
          </cell>
          <cell r="K5670">
            <v>0</v>
          </cell>
          <cell r="L5670">
            <v>0</v>
          </cell>
        </row>
        <row r="5671">
          <cell r="A5671" t="str">
            <v>20361.03072</v>
          </cell>
          <cell r="B5671" t="str">
            <v>CLE POLYGONALE 55A.27X30</v>
          </cell>
          <cell r="C5671" t="str">
            <v>55A.27X30</v>
          </cell>
          <cell r="D5671" t="str">
            <v>PE</v>
          </cell>
          <cell r="E5671" t="str">
            <v>522.52208</v>
          </cell>
          <cell r="F5671">
            <v>248</v>
          </cell>
          <cell r="G5671">
            <v>0</v>
          </cell>
          <cell r="H5671">
            <v>0</v>
          </cell>
          <cell r="I5671">
            <v>0</v>
          </cell>
          <cell r="J5671">
            <v>0</v>
          </cell>
          <cell r="K5671">
            <v>0</v>
          </cell>
          <cell r="L5671">
            <v>0</v>
          </cell>
        </row>
        <row r="5672">
          <cell r="A5672" t="str">
            <v>20340.00109</v>
          </cell>
          <cell r="B5672" t="str">
            <v>BLOC CONTACTS AUXIL</v>
          </cell>
          <cell r="C5672" t="str">
            <v>100-SB11</v>
          </cell>
          <cell r="D5672" t="str">
            <v>PE</v>
          </cell>
          <cell r="E5672" t="str">
            <v>522.52206</v>
          </cell>
          <cell r="F5672">
            <v>48</v>
          </cell>
          <cell r="G5672">
            <v>0</v>
          </cell>
          <cell r="H5672">
            <v>0</v>
          </cell>
          <cell r="I5672">
            <v>0</v>
          </cell>
          <cell r="J5672">
            <v>0</v>
          </cell>
          <cell r="K5672">
            <v>0</v>
          </cell>
          <cell r="L5672">
            <v>15</v>
          </cell>
        </row>
        <row r="5673">
          <cell r="A5673" t="str">
            <v>20361.03073</v>
          </cell>
          <cell r="B5673" t="str">
            <v>CLE POLYGONALE 55A.36X41</v>
          </cell>
          <cell r="C5673" t="str">
            <v>55A.36X41</v>
          </cell>
          <cell r="D5673" t="str">
            <v>PE</v>
          </cell>
          <cell r="E5673" t="str">
            <v>522.52208</v>
          </cell>
          <cell r="F5673">
            <v>497</v>
          </cell>
          <cell r="G5673">
            <v>0</v>
          </cell>
          <cell r="H5673">
            <v>0</v>
          </cell>
          <cell r="I5673">
            <v>0</v>
          </cell>
          <cell r="J5673">
            <v>0</v>
          </cell>
          <cell r="K5673">
            <v>0</v>
          </cell>
          <cell r="L5673">
            <v>0</v>
          </cell>
        </row>
        <row r="5674">
          <cell r="A5674" t="str">
            <v>20340.00110</v>
          </cell>
          <cell r="B5674" t="str">
            <v>BLOC CONTACTS AUXIL</v>
          </cell>
          <cell r="C5674" t="str">
            <v>100-SB20</v>
          </cell>
          <cell r="D5674" t="str">
            <v>PE</v>
          </cell>
          <cell r="E5674" t="str">
            <v>522.52206</v>
          </cell>
          <cell r="F5674">
            <v>48</v>
          </cell>
          <cell r="G5674">
            <v>0</v>
          </cell>
          <cell r="H5674">
            <v>0</v>
          </cell>
          <cell r="I5674">
            <v>0</v>
          </cell>
          <cell r="J5674">
            <v>0</v>
          </cell>
          <cell r="K5674">
            <v>0</v>
          </cell>
          <cell r="L5674">
            <v>15</v>
          </cell>
        </row>
        <row r="5675">
          <cell r="A5675" t="str">
            <v>20361.03074</v>
          </cell>
          <cell r="B5675" t="str">
            <v>CLE A MOLETTE 113A.10C</v>
          </cell>
          <cell r="C5675" t="str">
            <v>113A.10C</v>
          </cell>
          <cell r="D5675" t="str">
            <v>PE</v>
          </cell>
          <cell r="E5675" t="str">
            <v>522.52208</v>
          </cell>
          <cell r="F5675">
            <v>208.8</v>
          </cell>
          <cell r="G5675">
            <v>0</v>
          </cell>
          <cell r="H5675">
            <v>0</v>
          </cell>
          <cell r="I5675">
            <v>0</v>
          </cell>
          <cell r="J5675">
            <v>0</v>
          </cell>
          <cell r="K5675">
            <v>0</v>
          </cell>
          <cell r="L5675">
            <v>0</v>
          </cell>
        </row>
        <row r="5676">
          <cell r="A5676" t="str">
            <v>20361.02192</v>
          </cell>
          <cell r="B5676" t="str">
            <v>EMBOUT EN PLASTIQUE MOYEN</v>
          </cell>
          <cell r="C5676" t="str">
            <v>EB.40</v>
          </cell>
          <cell r="D5676" t="str">
            <v>PE</v>
          </cell>
          <cell r="E5676" t="str">
            <v>522.52208</v>
          </cell>
          <cell r="F5676">
            <v>102.59480000000001</v>
          </cell>
          <cell r="G5676">
            <v>0</v>
          </cell>
          <cell r="H5676">
            <v>0</v>
          </cell>
          <cell r="I5676">
            <v>0</v>
          </cell>
          <cell r="J5676">
            <v>0</v>
          </cell>
          <cell r="K5676">
            <v>20</v>
          </cell>
          <cell r="L5676">
            <v>0</v>
          </cell>
        </row>
        <row r="5677">
          <cell r="A5677" t="str">
            <v>20340.01415</v>
          </cell>
          <cell r="B5677" t="str">
            <v>COMMUTATEUR DE VOLTMETRE</v>
          </cell>
          <cell r="C5677" t="str">
            <v xml:space="preserve">194L-E12-8271 </v>
          </cell>
          <cell r="D5677" t="str">
            <v>PE</v>
          </cell>
          <cell r="E5677" t="str">
            <v>522.52206</v>
          </cell>
          <cell r="F5677">
            <v>92</v>
          </cell>
          <cell r="G5677">
            <v>0</v>
          </cell>
          <cell r="H5677">
            <v>0</v>
          </cell>
          <cell r="I5677">
            <v>0</v>
          </cell>
          <cell r="J5677">
            <v>0</v>
          </cell>
          <cell r="K5677">
            <v>0</v>
          </cell>
          <cell r="L5677">
            <v>5</v>
          </cell>
        </row>
        <row r="5678">
          <cell r="A5678" t="str">
            <v>20361.03086</v>
          </cell>
          <cell r="B5678" t="str">
            <v>EMBOUT-CLE DYNAM 20.27</v>
          </cell>
          <cell r="C5678" t="str">
            <v>20.27</v>
          </cell>
          <cell r="D5678" t="str">
            <v>PE</v>
          </cell>
          <cell r="E5678" t="str">
            <v>522.52208</v>
          </cell>
          <cell r="F5678">
            <v>278.8</v>
          </cell>
          <cell r="G5678">
            <v>0</v>
          </cell>
          <cell r="H5678">
            <v>0</v>
          </cell>
          <cell r="I5678">
            <v>0</v>
          </cell>
          <cell r="J5678">
            <v>0</v>
          </cell>
          <cell r="K5678">
            <v>0</v>
          </cell>
          <cell r="L5678">
            <v>0</v>
          </cell>
        </row>
        <row r="5679">
          <cell r="A5679" t="str">
            <v>20361.02193</v>
          </cell>
          <cell r="B5679" t="str">
            <v>EMBOUT POUR MASSETTE AMBR</v>
          </cell>
          <cell r="C5679" t="str">
            <v>EB 50 AMBRE</v>
          </cell>
          <cell r="D5679" t="str">
            <v>PE</v>
          </cell>
          <cell r="E5679" t="str">
            <v>522.52208</v>
          </cell>
          <cell r="F5679">
            <v>170.49600000000001</v>
          </cell>
          <cell r="G5679">
            <v>0</v>
          </cell>
          <cell r="H5679">
            <v>0</v>
          </cell>
          <cell r="I5679">
            <v>0</v>
          </cell>
          <cell r="J5679">
            <v>0</v>
          </cell>
          <cell r="K5679">
            <v>8</v>
          </cell>
          <cell r="L5679">
            <v>0</v>
          </cell>
        </row>
        <row r="5680">
          <cell r="A5680" t="str">
            <v>20340.01412</v>
          </cell>
          <cell r="B5680" t="str">
            <v>DISJONCTEUR BIPOLAIRE +CONTACT H3.2A</v>
          </cell>
          <cell r="C5680" t="str">
            <v xml:space="preserve">1492-SP2C020 +CONTACT H3.2A  </v>
          </cell>
          <cell r="D5680" t="str">
            <v>PE</v>
          </cell>
          <cell r="E5680" t="str">
            <v>522.52206</v>
          </cell>
          <cell r="F5680">
            <v>354</v>
          </cell>
          <cell r="G5680">
            <v>0</v>
          </cell>
          <cell r="H5680">
            <v>1</v>
          </cell>
          <cell r="I5680">
            <v>0</v>
          </cell>
          <cell r="J5680">
            <v>0</v>
          </cell>
          <cell r="K5680">
            <v>0</v>
          </cell>
          <cell r="L5680">
            <v>16</v>
          </cell>
        </row>
        <row r="5681">
          <cell r="A5681" t="str">
            <v>20340.01413</v>
          </cell>
          <cell r="B5681" t="str">
            <v>DISJONCTEUR BIPOLAIRE +CONTACT</v>
          </cell>
          <cell r="C5681" t="str">
            <v>1492-SP2C010</v>
          </cell>
          <cell r="D5681" t="str">
            <v>PE</v>
          </cell>
          <cell r="E5681" t="str">
            <v>522.52206</v>
          </cell>
          <cell r="F5681">
            <v>180.24799999999999</v>
          </cell>
          <cell r="G5681">
            <v>0</v>
          </cell>
          <cell r="H5681">
            <v>0</v>
          </cell>
          <cell r="I5681">
            <v>0</v>
          </cell>
          <cell r="J5681">
            <v>0</v>
          </cell>
          <cell r="K5681">
            <v>0</v>
          </cell>
          <cell r="L5681">
            <v>18</v>
          </cell>
        </row>
        <row r="5682">
          <cell r="A5682" t="str">
            <v>20361.02319</v>
          </cell>
          <cell r="B5682" t="str">
            <v>COMPAS D'INTERIEUR</v>
          </cell>
          <cell r="C5682" t="str">
            <v>DELA 1902 04</v>
          </cell>
          <cell r="D5682" t="str">
            <v>PE</v>
          </cell>
          <cell r="E5682" t="str">
            <v>522.52208</v>
          </cell>
          <cell r="F5682">
            <v>109.7</v>
          </cell>
          <cell r="G5682">
            <v>0</v>
          </cell>
          <cell r="H5682">
            <v>0</v>
          </cell>
          <cell r="I5682">
            <v>0</v>
          </cell>
          <cell r="J5682">
            <v>0</v>
          </cell>
          <cell r="K5682">
            <v>0</v>
          </cell>
          <cell r="L5682">
            <v>0</v>
          </cell>
        </row>
        <row r="5683">
          <cell r="A5683" t="str">
            <v>20361.00670</v>
          </cell>
          <cell r="B5683" t="str">
            <v>CLE A FOURCHE</v>
          </cell>
          <cell r="C5683" t="str">
            <v>45-46</v>
          </cell>
          <cell r="D5683" t="str">
            <v>PE</v>
          </cell>
          <cell r="E5683" t="str">
            <v>522.52208</v>
          </cell>
          <cell r="F5683">
            <v>194</v>
          </cell>
          <cell r="G5683">
            <v>0</v>
          </cell>
          <cell r="H5683">
            <v>0</v>
          </cell>
          <cell r="I5683">
            <v>0</v>
          </cell>
          <cell r="J5683">
            <v>0</v>
          </cell>
          <cell r="K5683">
            <v>0</v>
          </cell>
          <cell r="L5683">
            <v>0</v>
          </cell>
        </row>
        <row r="5684">
          <cell r="A5684" t="str">
            <v>20361.02266</v>
          </cell>
          <cell r="B5684" t="str">
            <v>PINCE A CINTRER DIA:8 MM</v>
          </cell>
          <cell r="C5684" t="str">
            <v>344A.8</v>
          </cell>
          <cell r="D5684" t="str">
            <v>PE</v>
          </cell>
          <cell r="E5684" t="str">
            <v>522.52208</v>
          </cell>
          <cell r="F5684">
            <v>341.9</v>
          </cell>
          <cell r="G5684">
            <v>0</v>
          </cell>
          <cell r="H5684">
            <v>0</v>
          </cell>
          <cell r="I5684">
            <v>0</v>
          </cell>
          <cell r="J5684">
            <v>0</v>
          </cell>
          <cell r="K5684">
            <v>0</v>
          </cell>
          <cell r="L5684">
            <v>0</v>
          </cell>
        </row>
        <row r="5685">
          <cell r="A5685" t="str">
            <v>20361.02335</v>
          </cell>
          <cell r="B5685" t="str">
            <v>VE "PAR PAIRE"</v>
          </cell>
          <cell r="C5685">
            <v>1202</v>
          </cell>
          <cell r="D5685" t="str">
            <v>JE</v>
          </cell>
          <cell r="E5685" t="str">
            <v>522.52208</v>
          </cell>
          <cell r="F5685">
            <v>2359.2959999999998</v>
          </cell>
          <cell r="G5685">
            <v>0</v>
          </cell>
          <cell r="H5685">
            <v>0</v>
          </cell>
          <cell r="I5685">
            <v>0</v>
          </cell>
          <cell r="J5685">
            <v>0</v>
          </cell>
          <cell r="K5685">
            <v>0</v>
          </cell>
          <cell r="L5685">
            <v>0</v>
          </cell>
        </row>
        <row r="5686">
          <cell r="A5686" t="str">
            <v>20361.02330</v>
          </cell>
          <cell r="B5686" t="str">
            <v>GRATOIRS</v>
          </cell>
          <cell r="C5686">
            <v>231</v>
          </cell>
          <cell r="D5686" t="str">
            <v>PE</v>
          </cell>
          <cell r="E5686" t="str">
            <v>522.52208</v>
          </cell>
          <cell r="F5686">
            <v>180.864</v>
          </cell>
          <cell r="G5686">
            <v>0</v>
          </cell>
          <cell r="H5686">
            <v>0</v>
          </cell>
          <cell r="I5686">
            <v>0</v>
          </cell>
          <cell r="J5686">
            <v>0</v>
          </cell>
          <cell r="K5686">
            <v>0</v>
          </cell>
          <cell r="L5686">
            <v>0</v>
          </cell>
        </row>
        <row r="5687">
          <cell r="A5687" t="str">
            <v>20361.00911</v>
          </cell>
          <cell r="B5687" t="str">
            <v>EMBOUT MALE 3/8"</v>
          </cell>
          <cell r="C5687" t="str">
            <v>NBB.105</v>
          </cell>
          <cell r="D5687" t="str">
            <v>PE</v>
          </cell>
          <cell r="E5687" t="str">
            <v>522.52208</v>
          </cell>
          <cell r="F5687">
            <v>100</v>
          </cell>
          <cell r="G5687">
            <v>0</v>
          </cell>
          <cell r="H5687">
            <v>0</v>
          </cell>
          <cell r="I5687">
            <v>0</v>
          </cell>
          <cell r="J5687">
            <v>0</v>
          </cell>
          <cell r="K5687">
            <v>0</v>
          </cell>
          <cell r="L5687">
            <v>0</v>
          </cell>
        </row>
        <row r="5688">
          <cell r="A5688" t="str">
            <v>20361.00917</v>
          </cell>
          <cell r="B5688" t="str">
            <v>EMBOUT MALE 1/4"</v>
          </cell>
          <cell r="C5688" t="str">
            <v>NBB.103</v>
          </cell>
          <cell r="D5688" t="str">
            <v>PE</v>
          </cell>
          <cell r="E5688" t="str">
            <v>522.52208</v>
          </cell>
          <cell r="F5688">
            <v>61</v>
          </cell>
          <cell r="G5688">
            <v>0</v>
          </cell>
          <cell r="H5688">
            <v>0</v>
          </cell>
          <cell r="I5688">
            <v>0</v>
          </cell>
          <cell r="J5688">
            <v>0</v>
          </cell>
          <cell r="K5688">
            <v>0</v>
          </cell>
          <cell r="L5688">
            <v>0</v>
          </cell>
        </row>
        <row r="5689">
          <cell r="A5689" t="str">
            <v>20361.04688</v>
          </cell>
          <cell r="B5689" t="str">
            <v>RALLONGE SPIRALE</v>
          </cell>
          <cell r="C5689" t="str">
            <v>N638</v>
          </cell>
          <cell r="D5689" t="str">
            <v>PE</v>
          </cell>
          <cell r="E5689" t="str">
            <v>522.52208</v>
          </cell>
          <cell r="F5689">
            <v>1391</v>
          </cell>
          <cell r="G5689">
            <v>0</v>
          </cell>
          <cell r="H5689">
            <v>0</v>
          </cell>
          <cell r="I5689">
            <v>0</v>
          </cell>
          <cell r="J5689">
            <v>0</v>
          </cell>
          <cell r="K5689">
            <v>0</v>
          </cell>
          <cell r="L5689">
            <v>0</v>
          </cell>
        </row>
        <row r="5690">
          <cell r="A5690" t="str">
            <v>20361.02400</v>
          </cell>
          <cell r="B5690" t="str">
            <v>PINCE ETAU</v>
          </cell>
          <cell r="C5690">
            <v>500</v>
          </cell>
          <cell r="D5690" t="str">
            <v>PE</v>
          </cell>
          <cell r="E5690" t="str">
            <v>522.52208</v>
          </cell>
          <cell r="F5690">
            <v>444.67200000000003</v>
          </cell>
          <cell r="G5690">
            <v>0</v>
          </cell>
          <cell r="H5690">
            <v>0</v>
          </cell>
          <cell r="I5690">
            <v>0</v>
          </cell>
          <cell r="J5690">
            <v>0</v>
          </cell>
          <cell r="K5690">
            <v>0</v>
          </cell>
          <cell r="L5690">
            <v>0</v>
          </cell>
        </row>
        <row r="5691">
          <cell r="A5691" t="str">
            <v>20361.02339</v>
          </cell>
          <cell r="B5691" t="str">
            <v>POINTEAU PRECIS.-DIAM.2,5</v>
          </cell>
          <cell r="C5691" t="str">
            <v>256.2,5</v>
          </cell>
          <cell r="D5691" t="str">
            <v>JE</v>
          </cell>
          <cell r="E5691" t="str">
            <v>522.52208</v>
          </cell>
          <cell r="F5691">
            <v>34</v>
          </cell>
          <cell r="G5691">
            <v>0</v>
          </cell>
          <cell r="H5691">
            <v>0</v>
          </cell>
          <cell r="I5691">
            <v>0</v>
          </cell>
          <cell r="J5691">
            <v>0</v>
          </cell>
          <cell r="K5691">
            <v>0</v>
          </cell>
          <cell r="L5691">
            <v>0</v>
          </cell>
        </row>
        <row r="5692">
          <cell r="A5692" t="str">
            <v>20361.02340</v>
          </cell>
          <cell r="B5692" t="str">
            <v>POINTEAU PRECIS.-DIAM.6</v>
          </cell>
          <cell r="C5692" t="str">
            <v>256.6</v>
          </cell>
          <cell r="D5692" t="str">
            <v>JE</v>
          </cell>
          <cell r="E5692" t="str">
            <v>522.52208</v>
          </cell>
          <cell r="F5692">
            <v>41</v>
          </cell>
          <cell r="G5692">
            <v>0</v>
          </cell>
          <cell r="H5692">
            <v>0</v>
          </cell>
          <cell r="I5692">
            <v>0</v>
          </cell>
          <cell r="J5692">
            <v>0</v>
          </cell>
          <cell r="K5692">
            <v>0</v>
          </cell>
          <cell r="L5692">
            <v>0</v>
          </cell>
        </row>
        <row r="5693">
          <cell r="A5693" t="str">
            <v>20361.02342</v>
          </cell>
          <cell r="B5693" t="str">
            <v>DOIT MAGNETIQUE</v>
          </cell>
          <cell r="C5693" t="str">
            <v>827.2</v>
          </cell>
          <cell r="D5693" t="str">
            <v>PE</v>
          </cell>
          <cell r="E5693" t="str">
            <v>522.52208</v>
          </cell>
          <cell r="F5693">
            <v>146.304</v>
          </cell>
          <cell r="G5693">
            <v>0</v>
          </cell>
          <cell r="H5693">
            <v>0</v>
          </cell>
          <cell r="I5693">
            <v>0</v>
          </cell>
          <cell r="J5693">
            <v>0</v>
          </cell>
          <cell r="K5693">
            <v>0</v>
          </cell>
          <cell r="L5693">
            <v>0</v>
          </cell>
        </row>
        <row r="5694">
          <cell r="A5694" t="str">
            <v>20361.00922</v>
          </cell>
          <cell r="B5694" t="str">
            <v>MEULE SUR TIDE DIAM 6 MM</v>
          </cell>
          <cell r="C5694" t="str">
            <v>VM.602</v>
          </cell>
          <cell r="D5694" t="str">
            <v>PE</v>
          </cell>
          <cell r="E5694" t="str">
            <v>522.52208</v>
          </cell>
          <cell r="F5694">
            <v>70.56</v>
          </cell>
          <cell r="G5694">
            <v>0</v>
          </cell>
          <cell r="H5694">
            <v>0</v>
          </cell>
          <cell r="I5694">
            <v>0</v>
          </cell>
          <cell r="J5694">
            <v>0</v>
          </cell>
          <cell r="K5694">
            <v>0</v>
          </cell>
          <cell r="L5694">
            <v>0</v>
          </cell>
        </row>
        <row r="5695">
          <cell r="A5695" t="str">
            <v>20361.00926</v>
          </cell>
          <cell r="B5695" t="str">
            <v>CLE POLYGONALE CONTRE-COU</v>
          </cell>
          <cell r="C5695" t="str">
            <v>54A.24</v>
          </cell>
          <cell r="D5695" t="str">
            <v>PE</v>
          </cell>
          <cell r="E5695" t="str">
            <v>522.52208</v>
          </cell>
          <cell r="F5695">
            <v>234</v>
          </cell>
          <cell r="G5695">
            <v>0</v>
          </cell>
          <cell r="H5695">
            <v>0</v>
          </cell>
          <cell r="I5695">
            <v>0</v>
          </cell>
          <cell r="J5695">
            <v>0</v>
          </cell>
          <cell r="K5695">
            <v>0</v>
          </cell>
          <cell r="L5695">
            <v>0</v>
          </cell>
        </row>
        <row r="5696">
          <cell r="A5696" t="str">
            <v>20361.00928</v>
          </cell>
          <cell r="B5696" t="str">
            <v>CLE POLYGONALE CONTRE-COU</v>
          </cell>
          <cell r="C5696" t="str">
            <v>54A.30</v>
          </cell>
          <cell r="D5696" t="str">
            <v>PE</v>
          </cell>
          <cell r="E5696" t="str">
            <v>522.52208</v>
          </cell>
          <cell r="F5696">
            <v>276</v>
          </cell>
          <cell r="G5696">
            <v>0</v>
          </cell>
          <cell r="H5696">
            <v>0</v>
          </cell>
          <cell r="I5696">
            <v>0</v>
          </cell>
          <cell r="J5696">
            <v>0</v>
          </cell>
          <cell r="K5696">
            <v>0</v>
          </cell>
          <cell r="L5696">
            <v>0</v>
          </cell>
        </row>
        <row r="5697">
          <cell r="A5697" t="str">
            <v>20361.00930</v>
          </cell>
          <cell r="B5697" t="str">
            <v>CLE POLYGONALE CONTRE-COU</v>
          </cell>
          <cell r="C5697" t="str">
            <v>54A.36</v>
          </cell>
          <cell r="D5697" t="str">
            <v>PE</v>
          </cell>
          <cell r="E5697" t="str">
            <v>522.52208</v>
          </cell>
          <cell r="F5697">
            <v>358.8</v>
          </cell>
          <cell r="G5697">
            <v>0</v>
          </cell>
          <cell r="H5697">
            <v>0</v>
          </cell>
          <cell r="I5697">
            <v>0</v>
          </cell>
          <cell r="J5697">
            <v>0</v>
          </cell>
          <cell r="K5697">
            <v>0</v>
          </cell>
          <cell r="L5697">
            <v>0</v>
          </cell>
        </row>
        <row r="5698">
          <cell r="A5698" t="str">
            <v>20361.02408</v>
          </cell>
          <cell r="B5698" t="str">
            <v>REGLET INOX 1000</v>
          </cell>
          <cell r="C5698" t="str">
            <v>803.1000M</v>
          </cell>
          <cell r="D5698" t="str">
            <v>PE</v>
          </cell>
          <cell r="E5698" t="str">
            <v>522.52208</v>
          </cell>
          <cell r="F5698">
            <v>385.92</v>
          </cell>
          <cell r="G5698">
            <v>0</v>
          </cell>
          <cell r="H5698">
            <v>0</v>
          </cell>
          <cell r="I5698">
            <v>0</v>
          </cell>
          <cell r="J5698">
            <v>0</v>
          </cell>
          <cell r="K5698">
            <v>0</v>
          </cell>
          <cell r="L5698">
            <v>0</v>
          </cell>
        </row>
        <row r="5699">
          <cell r="A5699" t="str">
            <v>20361.03020</v>
          </cell>
          <cell r="B5699" t="str">
            <v>DOIGT MAGNETIQUE</v>
          </cell>
          <cell r="C5699" t="str">
            <v>827.1</v>
          </cell>
          <cell r="D5699" t="str">
            <v>PE</v>
          </cell>
          <cell r="E5699" t="str">
            <v>522.52208</v>
          </cell>
          <cell r="F5699">
            <v>147.45599999999999</v>
          </cell>
          <cell r="G5699">
            <v>0</v>
          </cell>
          <cell r="H5699">
            <v>0</v>
          </cell>
          <cell r="I5699">
            <v>0</v>
          </cell>
          <cell r="J5699">
            <v>0</v>
          </cell>
          <cell r="K5699">
            <v>0</v>
          </cell>
          <cell r="L5699">
            <v>0</v>
          </cell>
        </row>
        <row r="5700">
          <cell r="A5700" t="str">
            <v>20361.03023</v>
          </cell>
          <cell r="B5700" t="str">
            <v>DOIGT MECA FLEXIB MIROIR</v>
          </cell>
          <cell r="C5700">
            <v>829</v>
          </cell>
          <cell r="D5700" t="str">
            <v>PE</v>
          </cell>
          <cell r="E5700" t="str">
            <v>522.52208</v>
          </cell>
          <cell r="F5700">
            <v>684.28800000000001</v>
          </cell>
          <cell r="G5700">
            <v>0</v>
          </cell>
          <cell r="H5700">
            <v>0</v>
          </cell>
          <cell r="I5700">
            <v>0</v>
          </cell>
          <cell r="J5700">
            <v>0</v>
          </cell>
          <cell r="K5700">
            <v>0</v>
          </cell>
          <cell r="L5700">
            <v>0</v>
          </cell>
        </row>
        <row r="5701">
          <cell r="A5701" t="str">
            <v>20361.03216</v>
          </cell>
          <cell r="B5701" t="str">
            <v>CLE A FOURCHE</v>
          </cell>
          <cell r="C5701" t="str">
            <v>44.12X13</v>
          </cell>
          <cell r="D5701" t="str">
            <v>PE</v>
          </cell>
          <cell r="E5701" t="str">
            <v>522.52208</v>
          </cell>
          <cell r="F5701">
            <v>39.167999999999999</v>
          </cell>
          <cell r="G5701">
            <v>0</v>
          </cell>
          <cell r="H5701">
            <v>0</v>
          </cell>
          <cell r="I5701">
            <v>0</v>
          </cell>
          <cell r="J5701">
            <v>0</v>
          </cell>
          <cell r="K5701">
            <v>0</v>
          </cell>
          <cell r="L5701">
            <v>0</v>
          </cell>
        </row>
        <row r="5702">
          <cell r="A5702" t="str">
            <v>20361.03217</v>
          </cell>
          <cell r="B5702" t="str">
            <v>CLE A FOURCHE</v>
          </cell>
          <cell r="C5702" t="str">
            <v>44.17X19</v>
          </cell>
          <cell r="D5702" t="str">
            <v>PE</v>
          </cell>
          <cell r="E5702" t="str">
            <v>522.52208</v>
          </cell>
          <cell r="F5702">
            <v>58.027999999999999</v>
          </cell>
          <cell r="G5702">
            <v>0</v>
          </cell>
          <cell r="H5702">
            <v>0</v>
          </cell>
          <cell r="I5702">
            <v>0</v>
          </cell>
          <cell r="J5702">
            <v>0</v>
          </cell>
          <cell r="K5702">
            <v>0</v>
          </cell>
          <cell r="L5702">
            <v>0</v>
          </cell>
        </row>
        <row r="5703">
          <cell r="A5703" t="str">
            <v>20361.04726</v>
          </cell>
          <cell r="B5703" t="str">
            <v>EMPORTE-PIECES M16</v>
          </cell>
          <cell r="C5703">
            <v>697469</v>
          </cell>
          <cell r="D5703" t="str">
            <v>PE</v>
          </cell>
          <cell r="E5703" t="str">
            <v>522.52208</v>
          </cell>
          <cell r="F5703">
            <v>1572</v>
          </cell>
          <cell r="G5703">
            <v>0</v>
          </cell>
          <cell r="H5703">
            <v>0</v>
          </cell>
          <cell r="I5703">
            <v>0</v>
          </cell>
          <cell r="J5703">
            <v>0</v>
          </cell>
          <cell r="K5703">
            <v>0</v>
          </cell>
          <cell r="L5703">
            <v>0</v>
          </cell>
        </row>
        <row r="5704">
          <cell r="A5704" t="str">
            <v>20361.04728</v>
          </cell>
          <cell r="B5704" t="str">
            <v>EMPORTE-PIECES M25</v>
          </cell>
          <cell r="C5704">
            <v>697506</v>
          </cell>
          <cell r="D5704" t="str">
            <v>PE</v>
          </cell>
          <cell r="E5704" t="str">
            <v>522.52208</v>
          </cell>
          <cell r="F5704">
            <v>2297</v>
          </cell>
          <cell r="G5704">
            <v>0</v>
          </cell>
          <cell r="H5704">
            <v>0</v>
          </cell>
          <cell r="I5704">
            <v>0</v>
          </cell>
          <cell r="J5704">
            <v>0</v>
          </cell>
          <cell r="K5704">
            <v>0</v>
          </cell>
          <cell r="L5704">
            <v>0</v>
          </cell>
        </row>
        <row r="5705">
          <cell r="A5705" t="str">
            <v>20361.04729</v>
          </cell>
          <cell r="B5705" t="str">
            <v>EMPORTE-PIECES M32</v>
          </cell>
          <cell r="C5705">
            <v>697514</v>
          </cell>
          <cell r="D5705" t="str">
            <v>PE</v>
          </cell>
          <cell r="E5705" t="str">
            <v>522.52208</v>
          </cell>
          <cell r="F5705">
            <v>2544</v>
          </cell>
          <cell r="G5705">
            <v>0</v>
          </cell>
          <cell r="H5705">
            <v>0</v>
          </cell>
          <cell r="I5705">
            <v>0</v>
          </cell>
          <cell r="J5705">
            <v>0</v>
          </cell>
          <cell r="K5705">
            <v>0</v>
          </cell>
          <cell r="L5705">
            <v>0</v>
          </cell>
        </row>
        <row r="5706">
          <cell r="A5706" t="str">
            <v>20361.04540</v>
          </cell>
          <cell r="B5706" t="str">
            <v>TROUSSE DE CLES MALES</v>
          </cell>
          <cell r="C5706" t="str">
            <v>81JL7</v>
          </cell>
          <cell r="D5706" t="str">
            <v>PE</v>
          </cell>
          <cell r="E5706" t="str">
            <v>522.52208</v>
          </cell>
          <cell r="F5706">
            <v>668.16</v>
          </cell>
          <cell r="G5706">
            <v>0</v>
          </cell>
          <cell r="H5706">
            <v>0</v>
          </cell>
          <cell r="I5706">
            <v>0</v>
          </cell>
          <cell r="J5706">
            <v>0</v>
          </cell>
          <cell r="K5706">
            <v>0</v>
          </cell>
          <cell r="L5706">
            <v>0</v>
          </cell>
        </row>
        <row r="5707">
          <cell r="A5707" t="str">
            <v>20361.04533</v>
          </cell>
          <cell r="B5707" t="str">
            <v>COMPOSITION DE 25 FORETS</v>
          </cell>
          <cell r="C5707" t="str">
            <v>222.J25</v>
          </cell>
          <cell r="D5707" t="str">
            <v>PE</v>
          </cell>
          <cell r="E5707" t="str">
            <v>522.52208</v>
          </cell>
          <cell r="F5707">
            <v>1831.68</v>
          </cell>
          <cell r="G5707">
            <v>0</v>
          </cell>
          <cell r="H5707">
            <v>0</v>
          </cell>
          <cell r="I5707">
            <v>0</v>
          </cell>
          <cell r="J5707">
            <v>0</v>
          </cell>
          <cell r="K5707">
            <v>0</v>
          </cell>
          <cell r="L5707">
            <v>0</v>
          </cell>
        </row>
        <row r="5708">
          <cell r="A5708" t="str">
            <v>20361.00378</v>
          </cell>
          <cell r="B5708" t="str">
            <v>CLE MIXTE CONTRE COUDEE</v>
          </cell>
          <cell r="C5708" t="str">
            <v>41.19</v>
          </cell>
          <cell r="D5708" t="str">
            <v>PE</v>
          </cell>
          <cell r="E5708" t="str">
            <v>522.52208</v>
          </cell>
          <cell r="F5708">
            <v>148.608</v>
          </cell>
          <cell r="G5708">
            <v>0</v>
          </cell>
          <cell r="H5708">
            <v>0</v>
          </cell>
          <cell r="I5708">
            <v>0</v>
          </cell>
          <cell r="J5708">
            <v>0</v>
          </cell>
          <cell r="K5708">
            <v>0</v>
          </cell>
          <cell r="L5708">
            <v>0</v>
          </cell>
        </row>
        <row r="5709">
          <cell r="A5709" t="str">
            <v>20361.00380</v>
          </cell>
          <cell r="B5709" t="str">
            <v>CLE MIXTE CONTRE COUDEE</v>
          </cell>
          <cell r="C5709" t="str">
            <v>41.24</v>
          </cell>
          <cell r="D5709" t="str">
            <v>PE</v>
          </cell>
          <cell r="E5709" t="str">
            <v>522.52208</v>
          </cell>
          <cell r="F5709">
            <v>214.27199999999999</v>
          </cell>
          <cell r="G5709">
            <v>0</v>
          </cell>
          <cell r="H5709">
            <v>0</v>
          </cell>
          <cell r="I5709">
            <v>0</v>
          </cell>
          <cell r="J5709">
            <v>0</v>
          </cell>
          <cell r="K5709">
            <v>0</v>
          </cell>
          <cell r="L5709">
            <v>0</v>
          </cell>
        </row>
        <row r="5710">
          <cell r="A5710" t="str">
            <v>20361.00385</v>
          </cell>
          <cell r="B5710" t="str">
            <v>PINCE ETAU</v>
          </cell>
          <cell r="C5710">
            <v>511</v>
          </cell>
          <cell r="D5710" t="str">
            <v>PE</v>
          </cell>
          <cell r="E5710" t="str">
            <v>522.52208</v>
          </cell>
          <cell r="F5710">
            <v>543.74400000000003</v>
          </cell>
          <cell r="G5710">
            <v>0</v>
          </cell>
          <cell r="H5710">
            <v>0</v>
          </cell>
          <cell r="I5710">
            <v>0</v>
          </cell>
          <cell r="J5710">
            <v>0</v>
          </cell>
          <cell r="K5710">
            <v>0</v>
          </cell>
          <cell r="L5710">
            <v>0</v>
          </cell>
        </row>
        <row r="5711">
          <cell r="A5711" t="str">
            <v>20361.00268</v>
          </cell>
          <cell r="B5711" t="str">
            <v>CLE A CHAINE</v>
          </cell>
          <cell r="C5711" t="str">
            <v>136.2</v>
          </cell>
          <cell r="D5711" t="str">
            <v>PE</v>
          </cell>
          <cell r="E5711" t="str">
            <v>522.52208</v>
          </cell>
          <cell r="F5711">
            <v>651.98</v>
          </cell>
          <cell r="G5711">
            <v>0</v>
          </cell>
          <cell r="H5711">
            <v>0</v>
          </cell>
          <cell r="I5711">
            <v>0</v>
          </cell>
          <cell r="J5711">
            <v>0</v>
          </cell>
          <cell r="K5711">
            <v>0</v>
          </cell>
          <cell r="L5711">
            <v>0</v>
          </cell>
        </row>
        <row r="5712">
          <cell r="A5712" t="str">
            <v>20361.00269</v>
          </cell>
          <cell r="B5712" t="str">
            <v>JEU DE BURIN</v>
          </cell>
          <cell r="C5712" t="str">
            <v>263-265 JS 5</v>
          </cell>
          <cell r="D5712" t="str">
            <v>PE</v>
          </cell>
          <cell r="E5712" t="str">
            <v>522.52208</v>
          </cell>
          <cell r="F5712">
            <v>681.87</v>
          </cell>
          <cell r="G5712">
            <v>0</v>
          </cell>
          <cell r="H5712">
            <v>0</v>
          </cell>
          <cell r="I5712">
            <v>0</v>
          </cell>
          <cell r="J5712">
            <v>0</v>
          </cell>
          <cell r="K5712">
            <v>0</v>
          </cell>
          <cell r="L5712">
            <v>0</v>
          </cell>
        </row>
        <row r="5713">
          <cell r="A5713" t="str">
            <v>20361.00377</v>
          </cell>
          <cell r="B5713" t="str">
            <v>CLE MIXTE CONTRE COUDEE</v>
          </cell>
          <cell r="C5713" t="str">
            <v>41.17</v>
          </cell>
          <cell r="D5713" t="str">
            <v>PE</v>
          </cell>
          <cell r="E5713" t="str">
            <v>522.52208</v>
          </cell>
          <cell r="F5713">
            <v>135.93600000000001</v>
          </cell>
          <cell r="G5713">
            <v>0</v>
          </cell>
          <cell r="H5713">
            <v>0</v>
          </cell>
          <cell r="I5713">
            <v>0</v>
          </cell>
          <cell r="J5713">
            <v>0</v>
          </cell>
          <cell r="K5713">
            <v>0</v>
          </cell>
          <cell r="L5713">
            <v>0</v>
          </cell>
        </row>
        <row r="5714">
          <cell r="A5714" t="str">
            <v>20371.00335</v>
          </cell>
          <cell r="B5714" t="str">
            <v>VANNE A PAPILLON</v>
          </cell>
          <cell r="C5714" t="str">
            <v>ISORIA 10 DN200 PN10 CORPS A OREILLES TYPE 2 GABARIT DE RACCORDEMENT PN20 OBTURATEUR INOX TYPE 18-12 POIGNE TYPE SM LONG 530MM</v>
          </cell>
          <cell r="D5714" t="str">
            <v>PE</v>
          </cell>
          <cell r="E5714" t="str">
            <v>515.51511</v>
          </cell>
          <cell r="F5714">
            <v>7510.6</v>
          </cell>
          <cell r="G5714">
            <v>0</v>
          </cell>
          <cell r="H5714">
            <v>0</v>
          </cell>
          <cell r="I5714">
            <v>0</v>
          </cell>
          <cell r="J5714">
            <v>0</v>
          </cell>
          <cell r="K5714">
            <v>0</v>
          </cell>
          <cell r="L5714">
            <v>1</v>
          </cell>
        </row>
        <row r="5715">
          <cell r="A5715" t="str">
            <v>20361.01728</v>
          </cell>
          <cell r="B5715" t="str">
            <v>MASSETTES A EMBOUTS ADAPTABLES</v>
          </cell>
          <cell r="C5715" t="str">
            <v>REF. 207A.40CB</v>
          </cell>
          <cell r="D5715" t="str">
            <v>PE</v>
          </cell>
          <cell r="E5715" t="str">
            <v>522.52208</v>
          </cell>
          <cell r="F5715">
            <v>476</v>
          </cell>
          <cell r="G5715">
            <v>0</v>
          </cell>
          <cell r="H5715">
            <v>0</v>
          </cell>
          <cell r="I5715">
            <v>0</v>
          </cell>
          <cell r="J5715">
            <v>0</v>
          </cell>
          <cell r="K5715">
            <v>0</v>
          </cell>
          <cell r="L5715">
            <v>0</v>
          </cell>
        </row>
        <row r="5716">
          <cell r="A5716" t="str">
            <v>20361.03126</v>
          </cell>
          <cell r="B5716" t="str">
            <v>JEU 3 TARAUDS 227.5X80T3</v>
          </cell>
          <cell r="C5716" t="str">
            <v>227.5X80T3</v>
          </cell>
          <cell r="D5716" t="str">
            <v>PE</v>
          </cell>
          <cell r="E5716" t="str">
            <v>522.52208</v>
          </cell>
          <cell r="F5716">
            <v>254.59200000000001</v>
          </cell>
          <cell r="G5716">
            <v>0</v>
          </cell>
          <cell r="H5716">
            <v>0</v>
          </cell>
          <cell r="I5716">
            <v>0</v>
          </cell>
          <cell r="J5716">
            <v>0</v>
          </cell>
          <cell r="K5716">
            <v>0</v>
          </cell>
          <cell r="L5716">
            <v>0</v>
          </cell>
        </row>
        <row r="5717">
          <cell r="A5717" t="str">
            <v>20361.04740</v>
          </cell>
          <cell r="B5717" t="str">
            <v>OUTIL ROTATIF A DEGAINER ET DENUDER</v>
          </cell>
          <cell r="C5717">
            <v>985957</v>
          </cell>
          <cell r="D5717" t="str">
            <v>PE</v>
          </cell>
          <cell r="E5717" t="str">
            <v>522.52208</v>
          </cell>
          <cell r="F5717">
            <v>365.6</v>
          </cell>
          <cell r="G5717">
            <v>0</v>
          </cell>
          <cell r="H5717">
            <v>0</v>
          </cell>
          <cell r="I5717">
            <v>0</v>
          </cell>
          <cell r="J5717">
            <v>0</v>
          </cell>
          <cell r="K5717">
            <v>0</v>
          </cell>
          <cell r="L5717">
            <v>0</v>
          </cell>
        </row>
        <row r="5718">
          <cell r="A5718" t="str">
            <v>20361.03127</v>
          </cell>
          <cell r="B5718" t="str">
            <v>JEU 3 TARAUDS 227.6X100T3</v>
          </cell>
          <cell r="C5718" t="str">
            <v>227.6X100T3</v>
          </cell>
          <cell r="D5718" t="str">
            <v>PE</v>
          </cell>
          <cell r="E5718" t="str">
            <v>522.52208</v>
          </cell>
          <cell r="F5718">
            <v>258.048</v>
          </cell>
          <cell r="G5718">
            <v>0</v>
          </cell>
          <cell r="H5718">
            <v>0</v>
          </cell>
          <cell r="I5718">
            <v>0</v>
          </cell>
          <cell r="J5718">
            <v>0</v>
          </cell>
          <cell r="K5718">
            <v>0</v>
          </cell>
          <cell r="L5718">
            <v>0</v>
          </cell>
        </row>
        <row r="5719">
          <cell r="A5719" t="str">
            <v>20361.03128</v>
          </cell>
          <cell r="B5719" t="str">
            <v>JEU 3 TARAUDS 227.7X100T3</v>
          </cell>
          <cell r="C5719" t="str">
            <v>227.7X100T3</v>
          </cell>
          <cell r="D5719" t="str">
            <v>PE</v>
          </cell>
          <cell r="E5719" t="str">
            <v>522.52208</v>
          </cell>
          <cell r="F5719">
            <v>270.72000000000003</v>
          </cell>
          <cell r="G5719">
            <v>0</v>
          </cell>
          <cell r="H5719">
            <v>0</v>
          </cell>
          <cell r="I5719">
            <v>0</v>
          </cell>
          <cell r="J5719">
            <v>0</v>
          </cell>
          <cell r="K5719">
            <v>0</v>
          </cell>
          <cell r="L5719">
            <v>0</v>
          </cell>
        </row>
        <row r="5720">
          <cell r="A5720" t="str">
            <v>20361.03129</v>
          </cell>
          <cell r="B5720" t="str">
            <v>JEU 3 TARAUDS 227.8X125T3</v>
          </cell>
          <cell r="C5720" t="str">
            <v>227.8X125T3</v>
          </cell>
          <cell r="D5720" t="str">
            <v>PE</v>
          </cell>
          <cell r="E5720" t="str">
            <v>522.52208</v>
          </cell>
          <cell r="F5720">
            <v>328.32</v>
          </cell>
          <cell r="G5720">
            <v>0</v>
          </cell>
          <cell r="H5720">
            <v>0</v>
          </cell>
          <cell r="I5720">
            <v>0</v>
          </cell>
          <cell r="J5720">
            <v>0</v>
          </cell>
          <cell r="K5720">
            <v>0</v>
          </cell>
          <cell r="L5720">
            <v>0</v>
          </cell>
        </row>
        <row r="5721">
          <cell r="A5721" t="str">
            <v>20361.03130</v>
          </cell>
          <cell r="B5721" t="str">
            <v>JEU 3 TARAUDS 227.9X125T3</v>
          </cell>
          <cell r="C5721" t="str">
            <v>227.9X125T3</v>
          </cell>
          <cell r="D5721" t="str">
            <v>PE</v>
          </cell>
          <cell r="E5721" t="str">
            <v>522.52208</v>
          </cell>
          <cell r="F5721">
            <v>444.67200000000003</v>
          </cell>
          <cell r="G5721">
            <v>0</v>
          </cell>
          <cell r="H5721">
            <v>0</v>
          </cell>
          <cell r="I5721">
            <v>0</v>
          </cell>
          <cell r="J5721">
            <v>0</v>
          </cell>
          <cell r="K5721">
            <v>0</v>
          </cell>
          <cell r="L5721">
            <v>0</v>
          </cell>
        </row>
        <row r="5722">
          <cell r="A5722" t="str">
            <v>20361.03131</v>
          </cell>
          <cell r="B5722" t="str">
            <v>JEU 3 TARAUD 227.10X150T3</v>
          </cell>
          <cell r="C5722" t="str">
            <v>227.10X150T3</v>
          </cell>
          <cell r="D5722" t="str">
            <v>PE</v>
          </cell>
          <cell r="E5722" t="str">
            <v>522.52208</v>
          </cell>
          <cell r="F5722">
            <v>429.69600000000003</v>
          </cell>
          <cell r="G5722">
            <v>0</v>
          </cell>
          <cell r="H5722">
            <v>0</v>
          </cell>
          <cell r="I5722">
            <v>0</v>
          </cell>
          <cell r="J5722">
            <v>0</v>
          </cell>
          <cell r="K5722">
            <v>0</v>
          </cell>
          <cell r="L5722">
            <v>0</v>
          </cell>
        </row>
        <row r="5723">
          <cell r="A5723" t="str">
            <v>20361.03132</v>
          </cell>
          <cell r="B5723" t="str">
            <v>JEU 3 TARAUD 227.12X175T3</v>
          </cell>
          <cell r="C5723" t="str">
            <v>227.12X175T3</v>
          </cell>
          <cell r="D5723" t="str">
            <v>PE</v>
          </cell>
          <cell r="E5723" t="str">
            <v>522.52208</v>
          </cell>
          <cell r="F5723">
            <v>546.048</v>
          </cell>
          <cell r="G5723">
            <v>0</v>
          </cell>
          <cell r="H5723">
            <v>0</v>
          </cell>
          <cell r="I5723">
            <v>0</v>
          </cell>
          <cell r="J5723">
            <v>0</v>
          </cell>
          <cell r="K5723">
            <v>0</v>
          </cell>
          <cell r="L5723">
            <v>0</v>
          </cell>
        </row>
        <row r="5724">
          <cell r="A5724" t="str">
            <v>20361.03133</v>
          </cell>
          <cell r="B5724" t="str">
            <v>JEU 3 TARAUD 227.14X200T3</v>
          </cell>
          <cell r="C5724" t="str">
            <v>227.14X200T3</v>
          </cell>
          <cell r="D5724" t="str">
            <v>PE</v>
          </cell>
          <cell r="E5724" t="str">
            <v>522.52208</v>
          </cell>
          <cell r="F5724">
            <v>725.76</v>
          </cell>
          <cell r="G5724">
            <v>0</v>
          </cell>
          <cell r="H5724">
            <v>0</v>
          </cell>
          <cell r="I5724">
            <v>0</v>
          </cell>
          <cell r="J5724">
            <v>0</v>
          </cell>
          <cell r="K5724">
            <v>0</v>
          </cell>
          <cell r="L5724">
            <v>0</v>
          </cell>
        </row>
        <row r="5725">
          <cell r="A5725" t="str">
            <v>20361.00601</v>
          </cell>
          <cell r="B5725" t="str">
            <v>CLE A PIPE DEBOUCHEE 6 P*</v>
          </cell>
          <cell r="C5725" t="str">
            <v>75.6</v>
          </cell>
          <cell r="D5725" t="str">
            <v>PE</v>
          </cell>
          <cell r="E5725" t="str">
            <v>522.52208</v>
          </cell>
          <cell r="F5725">
            <v>40</v>
          </cell>
          <cell r="G5725">
            <v>0</v>
          </cell>
          <cell r="H5725">
            <v>0</v>
          </cell>
          <cell r="I5725">
            <v>0</v>
          </cell>
          <cell r="J5725">
            <v>0</v>
          </cell>
          <cell r="K5725">
            <v>0</v>
          </cell>
          <cell r="L5725">
            <v>0</v>
          </cell>
        </row>
        <row r="5726">
          <cell r="A5726" t="str">
            <v>20361.00602</v>
          </cell>
          <cell r="B5726" t="str">
            <v>CLE A PIPE DEBOUCHEE 6 P*</v>
          </cell>
          <cell r="C5726" t="str">
            <v>75.7</v>
          </cell>
          <cell r="D5726" t="str">
            <v>PE</v>
          </cell>
          <cell r="E5726" t="str">
            <v>522.52208</v>
          </cell>
          <cell r="F5726">
            <v>42</v>
          </cell>
          <cell r="G5726">
            <v>0</v>
          </cell>
          <cell r="H5726">
            <v>0</v>
          </cell>
          <cell r="I5726">
            <v>0</v>
          </cell>
          <cell r="J5726">
            <v>0</v>
          </cell>
          <cell r="K5726">
            <v>0</v>
          </cell>
          <cell r="L5726">
            <v>0</v>
          </cell>
        </row>
        <row r="5727">
          <cell r="A5727" t="str">
            <v>20361.00603</v>
          </cell>
          <cell r="B5727" t="str">
            <v>CLE A PIPE DEBOUCHEE 6 P.</v>
          </cell>
          <cell r="C5727" t="str">
            <v>75.8</v>
          </cell>
          <cell r="D5727" t="str">
            <v>PE</v>
          </cell>
          <cell r="E5727" t="str">
            <v>522.52208</v>
          </cell>
          <cell r="F5727">
            <v>55</v>
          </cell>
          <cell r="G5727">
            <v>0</v>
          </cell>
          <cell r="H5727">
            <v>0</v>
          </cell>
          <cell r="I5727">
            <v>0</v>
          </cell>
          <cell r="J5727">
            <v>0</v>
          </cell>
          <cell r="K5727">
            <v>0</v>
          </cell>
          <cell r="L5727">
            <v>0</v>
          </cell>
        </row>
        <row r="5728">
          <cell r="A5728" t="str">
            <v>20361.00604</v>
          </cell>
          <cell r="B5728" t="str">
            <v>CLE A PIPE DEBOUCHEE 6 P.</v>
          </cell>
          <cell r="C5728" t="str">
            <v>75.9</v>
          </cell>
          <cell r="D5728" t="str">
            <v>PE</v>
          </cell>
          <cell r="E5728" t="str">
            <v>522.52208</v>
          </cell>
          <cell r="F5728">
            <v>56.98</v>
          </cell>
          <cell r="G5728">
            <v>0</v>
          </cell>
          <cell r="H5728">
            <v>0</v>
          </cell>
          <cell r="I5728">
            <v>0</v>
          </cell>
          <cell r="J5728">
            <v>0</v>
          </cell>
          <cell r="K5728">
            <v>0</v>
          </cell>
          <cell r="L5728">
            <v>0</v>
          </cell>
        </row>
        <row r="5729">
          <cell r="A5729" t="str">
            <v>20361.00605</v>
          </cell>
          <cell r="B5729" t="str">
            <v>CLE A PIPE DEBOUCHEE 6 P.</v>
          </cell>
          <cell r="C5729" t="str">
            <v>75.10</v>
          </cell>
          <cell r="D5729" t="str">
            <v>PE</v>
          </cell>
          <cell r="E5729" t="str">
            <v>522.52208</v>
          </cell>
          <cell r="F5729">
            <v>61</v>
          </cell>
          <cell r="G5729">
            <v>0</v>
          </cell>
          <cell r="H5729">
            <v>0</v>
          </cell>
          <cell r="I5729">
            <v>0</v>
          </cell>
          <cell r="J5729">
            <v>0</v>
          </cell>
          <cell r="K5729">
            <v>0</v>
          </cell>
          <cell r="L5729">
            <v>0</v>
          </cell>
        </row>
        <row r="5730">
          <cell r="A5730" t="str">
            <v>20361.00606</v>
          </cell>
          <cell r="B5730" t="str">
            <v>CLE A PIPE DEBOUCHEE 6 P.</v>
          </cell>
          <cell r="C5730" t="str">
            <v>75.11</v>
          </cell>
          <cell r="D5730" t="str">
            <v>PE</v>
          </cell>
          <cell r="E5730" t="str">
            <v>522.52208</v>
          </cell>
          <cell r="F5730">
            <v>63.98</v>
          </cell>
          <cell r="G5730">
            <v>0</v>
          </cell>
          <cell r="H5730">
            <v>0</v>
          </cell>
          <cell r="I5730">
            <v>0</v>
          </cell>
          <cell r="J5730">
            <v>0</v>
          </cell>
          <cell r="K5730">
            <v>0</v>
          </cell>
          <cell r="L5730">
            <v>0</v>
          </cell>
        </row>
        <row r="5731">
          <cell r="A5731" t="str">
            <v>20361.00607</v>
          </cell>
          <cell r="B5731" t="str">
            <v>CLE A PIPE DEBOUCHEE 6 P.</v>
          </cell>
          <cell r="C5731" t="str">
            <v>75.12</v>
          </cell>
          <cell r="D5731" t="str">
            <v>PE</v>
          </cell>
          <cell r="E5731" t="str">
            <v>522.52208</v>
          </cell>
          <cell r="F5731">
            <v>69</v>
          </cell>
          <cell r="G5731">
            <v>0</v>
          </cell>
          <cell r="H5731">
            <v>0</v>
          </cell>
          <cell r="I5731">
            <v>0</v>
          </cell>
          <cell r="J5731">
            <v>0</v>
          </cell>
          <cell r="K5731">
            <v>0</v>
          </cell>
          <cell r="L5731">
            <v>0</v>
          </cell>
        </row>
        <row r="5732">
          <cell r="A5732" t="str">
            <v>20361.00608</v>
          </cell>
          <cell r="B5732" t="str">
            <v>CLE A PIPE DEBOUCHEE 6 P.</v>
          </cell>
          <cell r="C5732" t="str">
            <v>75.13</v>
          </cell>
          <cell r="D5732" t="str">
            <v>PE</v>
          </cell>
          <cell r="E5732" t="str">
            <v>522.52208</v>
          </cell>
          <cell r="F5732">
            <v>72.664599999999993</v>
          </cell>
          <cell r="G5732">
            <v>0</v>
          </cell>
          <cell r="H5732">
            <v>0</v>
          </cell>
          <cell r="I5732">
            <v>0</v>
          </cell>
          <cell r="J5732">
            <v>0</v>
          </cell>
          <cell r="K5732">
            <v>0</v>
          </cell>
          <cell r="L5732">
            <v>0</v>
          </cell>
        </row>
        <row r="5733">
          <cell r="A5733" t="str">
            <v>20361.00609</v>
          </cell>
          <cell r="B5733" t="str">
            <v>CLE A PIPE DEBOUCHEE 6 P.</v>
          </cell>
          <cell r="C5733" t="str">
            <v>75.14</v>
          </cell>
          <cell r="D5733" t="str">
            <v>PE</v>
          </cell>
          <cell r="E5733" t="str">
            <v>522.52208</v>
          </cell>
          <cell r="F5733">
            <v>87.103999999999999</v>
          </cell>
          <cell r="G5733">
            <v>0</v>
          </cell>
          <cell r="H5733">
            <v>0</v>
          </cell>
          <cell r="I5733">
            <v>0</v>
          </cell>
          <cell r="J5733">
            <v>0</v>
          </cell>
          <cell r="K5733">
            <v>0</v>
          </cell>
          <cell r="L5733">
            <v>0</v>
          </cell>
        </row>
        <row r="5734">
          <cell r="A5734" t="str">
            <v>20361.00611</v>
          </cell>
          <cell r="B5734" t="str">
            <v>CLE A PIPE DEBOUCHEE 6 P.</v>
          </cell>
          <cell r="C5734" t="str">
            <v>75.16</v>
          </cell>
          <cell r="D5734" t="str">
            <v>PE</v>
          </cell>
          <cell r="E5734" t="str">
            <v>522.52208</v>
          </cell>
          <cell r="F5734">
            <v>95</v>
          </cell>
          <cell r="G5734">
            <v>0</v>
          </cell>
          <cell r="H5734">
            <v>0</v>
          </cell>
          <cell r="I5734">
            <v>0</v>
          </cell>
          <cell r="J5734">
            <v>0</v>
          </cell>
          <cell r="K5734">
            <v>0</v>
          </cell>
          <cell r="L5734">
            <v>0</v>
          </cell>
        </row>
        <row r="5735">
          <cell r="A5735" t="str">
            <v>20361.00612</v>
          </cell>
          <cell r="B5735" t="str">
            <v>CLE A PIPE DEBOUCHEE 6 P.</v>
          </cell>
          <cell r="C5735" t="str">
            <v>75.17</v>
          </cell>
          <cell r="D5735" t="str">
            <v>PE</v>
          </cell>
          <cell r="E5735" t="str">
            <v>522.52208</v>
          </cell>
          <cell r="F5735">
            <v>100.9034</v>
          </cell>
          <cell r="G5735">
            <v>0</v>
          </cell>
          <cell r="H5735">
            <v>0</v>
          </cell>
          <cell r="I5735">
            <v>0</v>
          </cell>
          <cell r="J5735">
            <v>0</v>
          </cell>
          <cell r="K5735">
            <v>0</v>
          </cell>
          <cell r="L5735">
            <v>0</v>
          </cell>
        </row>
        <row r="5736">
          <cell r="A5736" t="str">
            <v>20361.02782</v>
          </cell>
          <cell r="B5736" t="str">
            <v>AUGMENTATEUR 1" F-1" 1/2M</v>
          </cell>
          <cell r="C5736" t="str">
            <v>NM.232A</v>
          </cell>
          <cell r="D5736" t="str">
            <v>PE</v>
          </cell>
          <cell r="E5736" t="str">
            <v>522.52208</v>
          </cell>
          <cell r="F5736">
            <v>619</v>
          </cell>
          <cell r="G5736">
            <v>0</v>
          </cell>
          <cell r="H5736">
            <v>0</v>
          </cell>
          <cell r="I5736">
            <v>0</v>
          </cell>
          <cell r="J5736">
            <v>0</v>
          </cell>
          <cell r="K5736">
            <v>0</v>
          </cell>
          <cell r="L5736">
            <v>0</v>
          </cell>
        </row>
        <row r="5737">
          <cell r="A5737" t="str">
            <v>20361.00613</v>
          </cell>
          <cell r="B5737" t="str">
            <v>CLE A PIPE DEBOUCHEE 6 P.</v>
          </cell>
          <cell r="C5737" t="str">
            <v>75.18</v>
          </cell>
          <cell r="D5737" t="str">
            <v>PE</v>
          </cell>
          <cell r="E5737" t="str">
            <v>522.52208</v>
          </cell>
          <cell r="F5737">
            <v>98</v>
          </cell>
          <cell r="G5737">
            <v>0</v>
          </cell>
          <cell r="H5737">
            <v>0</v>
          </cell>
          <cell r="I5737">
            <v>0</v>
          </cell>
          <cell r="J5737">
            <v>0</v>
          </cell>
          <cell r="K5737">
            <v>0</v>
          </cell>
          <cell r="L5737">
            <v>0</v>
          </cell>
        </row>
        <row r="5738">
          <cell r="A5738" t="str">
            <v>20361.00614</v>
          </cell>
          <cell r="B5738" t="str">
            <v>CLE A PIPE DEBOUCHEE 6 P.</v>
          </cell>
          <cell r="C5738" t="str">
            <v>75.19</v>
          </cell>
          <cell r="D5738" t="str">
            <v>PE</v>
          </cell>
          <cell r="E5738" t="str">
            <v>522.52208</v>
          </cell>
          <cell r="F5738">
            <v>126.0185</v>
          </cell>
          <cell r="G5738">
            <v>0</v>
          </cell>
          <cell r="H5738">
            <v>0</v>
          </cell>
          <cell r="I5738">
            <v>0</v>
          </cell>
          <cell r="J5738">
            <v>0</v>
          </cell>
          <cell r="K5738">
            <v>0</v>
          </cell>
          <cell r="L5738">
            <v>0</v>
          </cell>
        </row>
        <row r="5739">
          <cell r="A5739" t="str">
            <v>20361.00615</v>
          </cell>
          <cell r="B5739" t="str">
            <v>CLE A PIPE DEBOUCHEE 6 P*</v>
          </cell>
          <cell r="C5739" t="str">
            <v>75.20</v>
          </cell>
          <cell r="D5739" t="str">
            <v>PE</v>
          </cell>
          <cell r="E5739" t="str">
            <v>522.52208</v>
          </cell>
          <cell r="F5739">
            <v>110</v>
          </cell>
          <cell r="G5739">
            <v>0</v>
          </cell>
          <cell r="H5739">
            <v>0</v>
          </cell>
          <cell r="I5739">
            <v>0</v>
          </cell>
          <cell r="J5739">
            <v>0</v>
          </cell>
          <cell r="K5739">
            <v>0</v>
          </cell>
          <cell r="L5739">
            <v>0</v>
          </cell>
        </row>
        <row r="5740">
          <cell r="A5740" t="str">
            <v>20361.09303</v>
          </cell>
          <cell r="B5740" t="str">
            <v>CLE A FOURCHE</v>
          </cell>
          <cell r="C5740" t="str">
            <v>45.36</v>
          </cell>
          <cell r="D5740" t="str">
            <v>PE</v>
          </cell>
          <cell r="E5740" t="str">
            <v>522.52208</v>
          </cell>
          <cell r="F5740">
            <v>161</v>
          </cell>
          <cell r="G5740">
            <v>0</v>
          </cell>
          <cell r="H5740">
            <v>0</v>
          </cell>
          <cell r="I5740">
            <v>0</v>
          </cell>
          <cell r="J5740">
            <v>0</v>
          </cell>
          <cell r="K5740">
            <v>0</v>
          </cell>
          <cell r="L5740">
            <v>0</v>
          </cell>
        </row>
        <row r="5741">
          <cell r="A5741" t="str">
            <v>20361.00616</v>
          </cell>
          <cell r="B5741" t="str">
            <v>CLE A PIPE DEBOUCHEE 6 P*</v>
          </cell>
          <cell r="C5741" t="str">
            <v>75.21</v>
          </cell>
          <cell r="D5741" t="str">
            <v>PE</v>
          </cell>
          <cell r="E5741" t="str">
            <v>522.52208</v>
          </cell>
          <cell r="F5741">
            <v>128</v>
          </cell>
          <cell r="G5741">
            <v>0</v>
          </cell>
          <cell r="H5741">
            <v>0</v>
          </cell>
          <cell r="I5741">
            <v>0</v>
          </cell>
          <cell r="J5741">
            <v>0</v>
          </cell>
          <cell r="K5741">
            <v>0</v>
          </cell>
          <cell r="L5741">
            <v>0</v>
          </cell>
        </row>
        <row r="5742">
          <cell r="A5742" t="str">
            <v>20361.00617</v>
          </cell>
          <cell r="B5742" t="str">
            <v>CLE A PIPE DEBOUCHEE 6 P.</v>
          </cell>
          <cell r="C5742" t="str">
            <v>75.22</v>
          </cell>
          <cell r="D5742" t="str">
            <v>PE</v>
          </cell>
          <cell r="E5742" t="str">
            <v>522.52208</v>
          </cell>
          <cell r="F5742">
            <v>1.6989000000000001</v>
          </cell>
          <cell r="G5742">
            <v>0</v>
          </cell>
          <cell r="H5742">
            <v>0</v>
          </cell>
          <cell r="I5742">
            <v>0</v>
          </cell>
          <cell r="J5742">
            <v>0</v>
          </cell>
          <cell r="K5742">
            <v>0</v>
          </cell>
          <cell r="L5742">
            <v>0</v>
          </cell>
        </row>
        <row r="5743">
          <cell r="A5743" t="str">
            <v>20361.00678</v>
          </cell>
          <cell r="B5743" t="str">
            <v>CLE POLYGONALE C/C</v>
          </cell>
          <cell r="C5743" t="str">
            <v>55-30X32</v>
          </cell>
          <cell r="D5743" t="str">
            <v>PE</v>
          </cell>
          <cell r="E5743" t="str">
            <v>522.52208</v>
          </cell>
          <cell r="F5743">
            <v>284.00400000000002</v>
          </cell>
          <cell r="G5743">
            <v>0</v>
          </cell>
          <cell r="H5743">
            <v>0</v>
          </cell>
          <cell r="I5743">
            <v>0</v>
          </cell>
          <cell r="J5743">
            <v>0</v>
          </cell>
          <cell r="K5743">
            <v>0</v>
          </cell>
          <cell r="L5743">
            <v>0</v>
          </cell>
        </row>
        <row r="5744">
          <cell r="A5744" t="str">
            <v>20361.00680</v>
          </cell>
          <cell r="B5744" t="str">
            <v>CLE MIXTE C/C</v>
          </cell>
          <cell r="C5744" t="str">
            <v>41.18</v>
          </cell>
          <cell r="D5744" t="str">
            <v>PE</v>
          </cell>
          <cell r="E5744" t="str">
            <v>522.52208</v>
          </cell>
          <cell r="F5744">
            <v>135.93600000000001</v>
          </cell>
          <cell r="G5744">
            <v>0</v>
          </cell>
          <cell r="H5744">
            <v>0</v>
          </cell>
          <cell r="I5744">
            <v>0</v>
          </cell>
          <cell r="J5744">
            <v>0</v>
          </cell>
          <cell r="K5744">
            <v>0</v>
          </cell>
          <cell r="L5744">
            <v>0</v>
          </cell>
        </row>
        <row r="5745">
          <cell r="A5745" t="str">
            <v>20361.04615</v>
          </cell>
          <cell r="B5745" t="str">
            <v>FRAISE CARBURE SUR TIGE 12X25MM</v>
          </cell>
          <cell r="C5745" t="str">
            <v>VFA.1206</v>
          </cell>
          <cell r="D5745" t="str">
            <v>PE</v>
          </cell>
          <cell r="E5745" t="str">
            <v>522.52208</v>
          </cell>
          <cell r="F5745">
            <v>1390.8</v>
          </cell>
          <cell r="G5745">
            <v>0</v>
          </cell>
          <cell r="H5745">
            <v>0</v>
          </cell>
          <cell r="I5745">
            <v>0</v>
          </cell>
          <cell r="J5745">
            <v>0</v>
          </cell>
          <cell r="K5745">
            <v>0</v>
          </cell>
          <cell r="L5745">
            <v>0</v>
          </cell>
        </row>
        <row r="5746">
          <cell r="A5746" t="str">
            <v>20361.00682</v>
          </cell>
          <cell r="B5746" t="str">
            <v>CLE MIXTE C/C</v>
          </cell>
          <cell r="C5746" t="str">
            <v>41.32</v>
          </cell>
          <cell r="D5746" t="str">
            <v>PE</v>
          </cell>
          <cell r="E5746" t="str">
            <v>522.52208</v>
          </cell>
          <cell r="F5746">
            <v>317.952</v>
          </cell>
          <cell r="G5746">
            <v>0</v>
          </cell>
          <cell r="H5746">
            <v>0</v>
          </cell>
          <cell r="I5746">
            <v>0</v>
          </cell>
          <cell r="J5746">
            <v>0</v>
          </cell>
          <cell r="K5746">
            <v>0</v>
          </cell>
          <cell r="L5746">
            <v>0</v>
          </cell>
        </row>
        <row r="5747">
          <cell r="A5747" t="str">
            <v>20361.04768</v>
          </cell>
          <cell r="B5747" t="str">
            <v>DOUILLE 6 PANS</v>
          </cell>
          <cell r="C5747" t="str">
            <v>NM.33LA</v>
          </cell>
          <cell r="D5747" t="str">
            <v>PE</v>
          </cell>
          <cell r="E5747" t="str">
            <v>522.52208</v>
          </cell>
          <cell r="F5747">
            <v>598</v>
          </cell>
          <cell r="G5747">
            <v>0</v>
          </cell>
          <cell r="H5747">
            <v>0</v>
          </cell>
          <cell r="I5747">
            <v>0</v>
          </cell>
          <cell r="J5747">
            <v>0</v>
          </cell>
          <cell r="K5747">
            <v>0</v>
          </cell>
          <cell r="L5747">
            <v>0</v>
          </cell>
        </row>
        <row r="5748">
          <cell r="A5748" t="str">
            <v>20361.01791</v>
          </cell>
          <cell r="B5748" t="str">
            <v>PINCE A SERTIE</v>
          </cell>
          <cell r="C5748">
            <v>985894</v>
          </cell>
          <cell r="D5748" t="str">
            <v>PE</v>
          </cell>
          <cell r="E5748" t="str">
            <v>522.52208</v>
          </cell>
          <cell r="F5748">
            <v>621.5</v>
          </cell>
          <cell r="G5748">
            <v>0</v>
          </cell>
          <cell r="H5748">
            <v>0</v>
          </cell>
          <cell r="I5748">
            <v>0</v>
          </cell>
          <cell r="J5748">
            <v>0</v>
          </cell>
          <cell r="K5748">
            <v>0</v>
          </cell>
          <cell r="L5748">
            <v>0</v>
          </cell>
        </row>
        <row r="5749">
          <cell r="A5749" t="str">
            <v>20361.05050</v>
          </cell>
          <cell r="B5749" t="str">
            <v>PINCE A CINTRER DIA:10 MM</v>
          </cell>
          <cell r="C5749" t="str">
            <v>344A.10</v>
          </cell>
          <cell r="D5749" t="str">
            <v>PE</v>
          </cell>
          <cell r="E5749" t="str">
            <v>522.52208</v>
          </cell>
          <cell r="F5749">
            <v>402.5</v>
          </cell>
          <cell r="G5749">
            <v>0</v>
          </cell>
          <cell r="H5749">
            <v>0</v>
          </cell>
          <cell r="I5749">
            <v>0</v>
          </cell>
          <cell r="J5749">
            <v>0</v>
          </cell>
          <cell r="K5749">
            <v>0</v>
          </cell>
          <cell r="L5749">
            <v>0</v>
          </cell>
        </row>
        <row r="5750">
          <cell r="A5750" t="str">
            <v>20361.05051</v>
          </cell>
          <cell r="B5750" t="str">
            <v>PINCE A CINTRER DIA:12 MM</v>
          </cell>
          <cell r="C5750" t="str">
            <v>344A.12</v>
          </cell>
          <cell r="D5750" t="str">
            <v>PE</v>
          </cell>
          <cell r="E5750" t="str">
            <v>522.52208</v>
          </cell>
          <cell r="F5750">
            <v>435.6</v>
          </cell>
          <cell r="G5750">
            <v>0</v>
          </cell>
          <cell r="H5750">
            <v>0</v>
          </cell>
          <cell r="I5750">
            <v>0</v>
          </cell>
          <cell r="J5750">
            <v>0</v>
          </cell>
          <cell r="K5750">
            <v>0</v>
          </cell>
          <cell r="L5750">
            <v>0</v>
          </cell>
        </row>
        <row r="5751">
          <cell r="A5751" t="str">
            <v>20361.01386</v>
          </cell>
          <cell r="B5751" t="str">
            <v>SACOCHE EN CUIRE</v>
          </cell>
          <cell r="C5751">
            <v>703232</v>
          </cell>
          <cell r="D5751" t="str">
            <v>PE</v>
          </cell>
          <cell r="E5751" t="str">
            <v>522.52208</v>
          </cell>
          <cell r="F5751">
            <v>1125.3</v>
          </cell>
          <cell r="G5751">
            <v>0</v>
          </cell>
          <cell r="H5751">
            <v>0</v>
          </cell>
          <cell r="I5751">
            <v>0</v>
          </cell>
          <cell r="J5751">
            <v>0</v>
          </cell>
          <cell r="K5751">
            <v>0</v>
          </cell>
          <cell r="L5751">
            <v>0</v>
          </cell>
        </row>
        <row r="5752">
          <cell r="A5752" t="str">
            <v>20340.00604</v>
          </cell>
          <cell r="B5752" t="str">
            <v>RELAIS THERMIQUE</v>
          </cell>
          <cell r="C5752" t="str">
            <v>193-EA1CB</v>
          </cell>
          <cell r="D5752" t="str">
            <v>PE</v>
          </cell>
          <cell r="E5752" t="str">
            <v>522.52206</v>
          </cell>
          <cell r="F5752">
            <v>279.36</v>
          </cell>
          <cell r="G5752">
            <v>0</v>
          </cell>
          <cell r="H5752">
            <v>0</v>
          </cell>
          <cell r="I5752">
            <v>0</v>
          </cell>
          <cell r="J5752">
            <v>0</v>
          </cell>
          <cell r="K5752">
            <v>0</v>
          </cell>
          <cell r="L5752">
            <v>1</v>
          </cell>
        </row>
        <row r="5753">
          <cell r="A5753" t="str">
            <v>20340.00605</v>
          </cell>
          <cell r="B5753" t="str">
            <v>RELAIS DEBROCHABLE</v>
          </cell>
          <cell r="C5753" t="str">
            <v>700-HC24A2</v>
          </cell>
          <cell r="D5753" t="str">
            <v>PE</v>
          </cell>
          <cell r="E5753" t="str">
            <v>522.52206</v>
          </cell>
          <cell r="F5753">
            <v>54</v>
          </cell>
          <cell r="G5753">
            <v>0</v>
          </cell>
          <cell r="H5753">
            <v>0</v>
          </cell>
          <cell r="I5753">
            <v>0</v>
          </cell>
          <cell r="J5753">
            <v>0</v>
          </cell>
          <cell r="K5753">
            <v>0</v>
          </cell>
          <cell r="L5753">
            <v>15</v>
          </cell>
        </row>
        <row r="5754">
          <cell r="A5754" t="str">
            <v>20329.00533</v>
          </cell>
          <cell r="B5754" t="str">
            <v>ROULEMENT A ROULEAUX CONI</v>
          </cell>
          <cell r="C5754">
            <v>30304</v>
          </cell>
          <cell r="D5754" t="str">
            <v>PE</v>
          </cell>
          <cell r="E5754" t="str">
            <v>515.51515</v>
          </cell>
          <cell r="F5754">
            <v>9.9440000000000008</v>
          </cell>
          <cell r="G5754">
            <v>0</v>
          </cell>
          <cell r="H5754">
            <v>0</v>
          </cell>
          <cell r="I5754">
            <v>0</v>
          </cell>
          <cell r="J5754">
            <v>0</v>
          </cell>
          <cell r="K5754">
            <v>4</v>
          </cell>
          <cell r="L5754">
            <v>0</v>
          </cell>
        </row>
        <row r="5755">
          <cell r="A5755" t="str">
            <v>20329.00534</v>
          </cell>
          <cell r="B5755" t="str">
            <v>ROULEMENT A ROULEAUX CONI</v>
          </cell>
          <cell r="C5755">
            <v>30305</v>
          </cell>
          <cell r="D5755" t="str">
            <v>PE</v>
          </cell>
          <cell r="E5755" t="str">
            <v>515.51515</v>
          </cell>
          <cell r="F5755">
            <v>12.012</v>
          </cell>
          <cell r="G5755">
            <v>0</v>
          </cell>
          <cell r="H5755">
            <v>0</v>
          </cell>
          <cell r="I5755">
            <v>0</v>
          </cell>
          <cell r="J5755">
            <v>0</v>
          </cell>
          <cell r="K5755">
            <v>4</v>
          </cell>
          <cell r="L5755">
            <v>0</v>
          </cell>
        </row>
        <row r="5756">
          <cell r="A5756" t="str">
            <v>20329.00535</v>
          </cell>
          <cell r="B5756" t="str">
            <v>ROULEMENT A ROULEAUX CONI</v>
          </cell>
          <cell r="C5756">
            <v>30306</v>
          </cell>
          <cell r="D5756" t="str">
            <v>PE</v>
          </cell>
          <cell r="E5756" t="str">
            <v>515.51515</v>
          </cell>
          <cell r="F5756">
            <v>66.94</v>
          </cell>
          <cell r="G5756">
            <v>0</v>
          </cell>
          <cell r="H5756">
            <v>4</v>
          </cell>
          <cell r="I5756">
            <v>0</v>
          </cell>
          <cell r="J5756">
            <v>0</v>
          </cell>
          <cell r="K5756">
            <v>0</v>
          </cell>
          <cell r="L5756">
            <v>0</v>
          </cell>
        </row>
        <row r="5757">
          <cell r="A5757" t="str">
            <v>20329.00536</v>
          </cell>
          <cell r="B5757" t="str">
            <v>ROULEMENT A ROULEAUX CONI</v>
          </cell>
          <cell r="C5757">
            <v>30307</v>
          </cell>
          <cell r="D5757" t="str">
            <v>PE</v>
          </cell>
          <cell r="E5757" t="str">
            <v>515.51515</v>
          </cell>
          <cell r="F5757">
            <v>79.75</v>
          </cell>
          <cell r="G5757">
            <v>0</v>
          </cell>
          <cell r="H5757">
            <v>0</v>
          </cell>
          <cell r="I5757">
            <v>0</v>
          </cell>
          <cell r="J5757">
            <v>0</v>
          </cell>
          <cell r="K5757">
            <v>2</v>
          </cell>
          <cell r="L5757">
            <v>0</v>
          </cell>
        </row>
        <row r="5758">
          <cell r="A5758" t="str">
            <v>20329.00758</v>
          </cell>
          <cell r="B5758" t="str">
            <v>ROULEMENT A ROULEAUX CONI</v>
          </cell>
          <cell r="C5758">
            <v>32030</v>
          </cell>
          <cell r="D5758" t="str">
            <v>PE</v>
          </cell>
          <cell r="E5758" t="str">
            <v>515.51515</v>
          </cell>
          <cell r="F5758">
            <v>1092.79</v>
          </cell>
          <cell r="G5758">
            <v>0</v>
          </cell>
          <cell r="H5758">
            <v>0</v>
          </cell>
          <cell r="I5758">
            <v>0</v>
          </cell>
          <cell r="J5758">
            <v>0</v>
          </cell>
          <cell r="K5758">
            <v>0</v>
          </cell>
          <cell r="L5758">
            <v>4</v>
          </cell>
        </row>
        <row r="5759">
          <cell r="A5759" t="str">
            <v>20345.01965</v>
          </cell>
          <cell r="B5759" t="str">
            <v>CAPTEUR DE PRESSION 0,5BAR</v>
          </cell>
          <cell r="C5759" t="str">
            <v>B 5925 FR PIECE NUMERO 50</v>
          </cell>
          <cell r="D5759" t="str">
            <v>PE</v>
          </cell>
          <cell r="E5759" t="str">
            <v>515.51515</v>
          </cell>
          <cell r="F5759">
            <v>1808.1</v>
          </cell>
          <cell r="G5759">
            <v>0</v>
          </cell>
          <cell r="H5759">
            <v>0</v>
          </cell>
          <cell r="I5759">
            <v>0</v>
          </cell>
          <cell r="J5759">
            <v>0</v>
          </cell>
          <cell r="K5759">
            <v>0</v>
          </cell>
          <cell r="L5759">
            <v>0</v>
          </cell>
        </row>
        <row r="5760">
          <cell r="A5760" t="str">
            <v>20345.01966</v>
          </cell>
          <cell r="B5760" t="str">
            <v>CAPTEUR DE PRESSION 0,8BAR</v>
          </cell>
          <cell r="C5760" t="str">
            <v>B 5925 FR PIECE NUMERO 55</v>
          </cell>
          <cell r="D5760" t="str">
            <v>PE</v>
          </cell>
          <cell r="E5760" t="str">
            <v>515.51515</v>
          </cell>
          <cell r="F5760">
            <v>2039.38</v>
          </cell>
          <cell r="G5760">
            <v>0</v>
          </cell>
          <cell r="H5760">
            <v>0</v>
          </cell>
          <cell r="I5760">
            <v>0</v>
          </cell>
          <cell r="J5760">
            <v>0</v>
          </cell>
          <cell r="K5760">
            <v>0</v>
          </cell>
          <cell r="L5760">
            <v>0</v>
          </cell>
        </row>
        <row r="5761">
          <cell r="A5761" t="str">
            <v>20340.00699</v>
          </cell>
          <cell r="B5761" t="str">
            <v>MODUL ENTREE + BARR COURA</v>
          </cell>
          <cell r="C5761" t="str">
            <v>825 MCM630</v>
          </cell>
          <cell r="D5761" t="str">
            <v>PE</v>
          </cell>
          <cell r="E5761" t="str">
            <v>522.52206</v>
          </cell>
          <cell r="F5761">
            <v>2740</v>
          </cell>
          <cell r="G5761">
            <v>0</v>
          </cell>
          <cell r="H5761">
            <v>0</v>
          </cell>
          <cell r="I5761">
            <v>0</v>
          </cell>
          <cell r="J5761">
            <v>0</v>
          </cell>
          <cell r="K5761">
            <v>0</v>
          </cell>
          <cell r="L5761">
            <v>2</v>
          </cell>
        </row>
        <row r="5762">
          <cell r="A5762" t="str">
            <v>20340.00700</v>
          </cell>
          <cell r="B5762" t="str">
            <v>CABLE DE LIAISON LONG= 2M</v>
          </cell>
          <cell r="C5762" t="str">
            <v>1761 CBL PM02</v>
          </cell>
          <cell r="D5762" t="str">
            <v>PE</v>
          </cell>
          <cell r="E5762" t="str">
            <v>522.52206</v>
          </cell>
          <cell r="F5762">
            <v>580.40909999999997</v>
          </cell>
          <cell r="G5762">
            <v>0</v>
          </cell>
          <cell r="H5762">
            <v>0</v>
          </cell>
          <cell r="I5762">
            <v>0</v>
          </cell>
          <cell r="J5762">
            <v>0</v>
          </cell>
          <cell r="K5762">
            <v>0</v>
          </cell>
          <cell r="L5762">
            <v>22</v>
          </cell>
        </row>
        <row r="5763">
          <cell r="A5763" t="str">
            <v>20361.04884</v>
          </cell>
          <cell r="B5763" t="str">
            <v>DOUILLE IMPACT</v>
          </cell>
          <cell r="C5763" t="str">
            <v>NM.32A</v>
          </cell>
          <cell r="D5763" t="str">
            <v>PE</v>
          </cell>
          <cell r="E5763" t="str">
            <v>522.52208</v>
          </cell>
          <cell r="F5763">
            <v>336</v>
          </cell>
          <cell r="G5763">
            <v>0</v>
          </cell>
          <cell r="H5763">
            <v>0</v>
          </cell>
          <cell r="I5763">
            <v>0</v>
          </cell>
          <cell r="J5763">
            <v>0</v>
          </cell>
          <cell r="K5763">
            <v>0</v>
          </cell>
          <cell r="L5763">
            <v>0</v>
          </cell>
        </row>
        <row r="5764">
          <cell r="A5764" t="str">
            <v>20361.04885</v>
          </cell>
          <cell r="B5764" t="str">
            <v>JAUGE DE FILETAGE</v>
          </cell>
          <cell r="C5764" t="str">
            <v>814.WH</v>
          </cell>
          <cell r="D5764" t="str">
            <v>PE</v>
          </cell>
          <cell r="E5764" t="str">
            <v>522.52208</v>
          </cell>
          <cell r="F5764">
            <v>103.95</v>
          </cell>
          <cell r="G5764">
            <v>0</v>
          </cell>
          <cell r="H5764">
            <v>0</v>
          </cell>
          <cell r="I5764">
            <v>0</v>
          </cell>
          <cell r="J5764">
            <v>0</v>
          </cell>
          <cell r="K5764">
            <v>0</v>
          </cell>
          <cell r="L5764">
            <v>0</v>
          </cell>
        </row>
        <row r="5765">
          <cell r="A5765" t="str">
            <v>20361.04886</v>
          </cell>
          <cell r="B5765" t="str">
            <v>CLE MIXTE GROS EFFORT</v>
          </cell>
          <cell r="C5765" t="str">
            <v>41.50L</v>
          </cell>
          <cell r="D5765" t="str">
            <v>PE</v>
          </cell>
          <cell r="E5765" t="str">
            <v>522.52208</v>
          </cell>
          <cell r="F5765">
            <v>1673</v>
          </cell>
          <cell r="G5765">
            <v>0</v>
          </cell>
          <cell r="H5765">
            <v>0</v>
          </cell>
          <cell r="I5765">
            <v>0</v>
          </cell>
          <cell r="J5765">
            <v>0</v>
          </cell>
          <cell r="K5765">
            <v>0</v>
          </cell>
          <cell r="L5765">
            <v>0</v>
          </cell>
        </row>
        <row r="5766">
          <cell r="A5766" t="str">
            <v>20361.04887</v>
          </cell>
          <cell r="B5766" t="str">
            <v>CLE MIXTE OGV</v>
          </cell>
          <cell r="C5766" t="str">
            <v>440.6</v>
          </cell>
          <cell r="D5766" t="str">
            <v>PE</v>
          </cell>
          <cell r="E5766" t="str">
            <v>522.52208</v>
          </cell>
          <cell r="F5766">
            <v>41</v>
          </cell>
          <cell r="G5766">
            <v>0</v>
          </cell>
          <cell r="H5766">
            <v>0</v>
          </cell>
          <cell r="I5766">
            <v>0</v>
          </cell>
          <cell r="J5766">
            <v>0</v>
          </cell>
          <cell r="K5766">
            <v>0</v>
          </cell>
          <cell r="L5766">
            <v>0</v>
          </cell>
        </row>
        <row r="5767">
          <cell r="A5767" t="str">
            <v>20361.04888</v>
          </cell>
          <cell r="B5767" t="str">
            <v>CLE MIXTE OGV</v>
          </cell>
          <cell r="C5767" t="str">
            <v>440.7</v>
          </cell>
          <cell r="D5767" t="str">
            <v>PE</v>
          </cell>
          <cell r="E5767" t="str">
            <v>522.52208</v>
          </cell>
          <cell r="F5767">
            <v>41</v>
          </cell>
          <cell r="G5767">
            <v>0</v>
          </cell>
          <cell r="H5767">
            <v>0</v>
          </cell>
          <cell r="I5767">
            <v>0</v>
          </cell>
          <cell r="J5767">
            <v>0</v>
          </cell>
          <cell r="K5767">
            <v>0</v>
          </cell>
          <cell r="L5767">
            <v>0</v>
          </cell>
        </row>
        <row r="5768">
          <cell r="A5768" t="str">
            <v>20361.04894</v>
          </cell>
          <cell r="B5768" t="str">
            <v>CLE MIXTE OGV</v>
          </cell>
          <cell r="C5768" t="str">
            <v>440.13</v>
          </cell>
          <cell r="D5768" t="str">
            <v>PE</v>
          </cell>
          <cell r="E5768" t="str">
            <v>522.52208</v>
          </cell>
          <cell r="F5768">
            <v>51</v>
          </cell>
          <cell r="G5768">
            <v>0</v>
          </cell>
          <cell r="H5768">
            <v>0</v>
          </cell>
          <cell r="I5768">
            <v>0</v>
          </cell>
          <cell r="J5768">
            <v>0</v>
          </cell>
          <cell r="K5768">
            <v>0</v>
          </cell>
          <cell r="L5768">
            <v>0</v>
          </cell>
        </row>
        <row r="5769">
          <cell r="A5769" t="str">
            <v>20361.04895</v>
          </cell>
          <cell r="B5769" t="str">
            <v>CLE MIXTE OGV</v>
          </cell>
          <cell r="C5769" t="str">
            <v>440.24</v>
          </cell>
          <cell r="D5769" t="str">
            <v>PE</v>
          </cell>
          <cell r="E5769" t="str">
            <v>522.52208</v>
          </cell>
          <cell r="F5769">
            <v>107</v>
          </cell>
          <cell r="G5769">
            <v>0</v>
          </cell>
          <cell r="H5769">
            <v>0</v>
          </cell>
          <cell r="I5769">
            <v>0</v>
          </cell>
          <cell r="J5769">
            <v>0</v>
          </cell>
          <cell r="K5769">
            <v>0</v>
          </cell>
          <cell r="L5769">
            <v>0</v>
          </cell>
        </row>
        <row r="5770">
          <cell r="A5770" t="str">
            <v>20361.04896</v>
          </cell>
          <cell r="B5770" t="str">
            <v>CLE MIXTE OGV</v>
          </cell>
          <cell r="C5770" t="str">
            <v>440.27</v>
          </cell>
          <cell r="D5770" t="str">
            <v>PE</v>
          </cell>
          <cell r="E5770" t="str">
            <v>522.52208</v>
          </cell>
          <cell r="F5770">
            <v>130</v>
          </cell>
          <cell r="G5770">
            <v>0</v>
          </cell>
          <cell r="H5770">
            <v>0</v>
          </cell>
          <cell r="I5770">
            <v>0</v>
          </cell>
          <cell r="J5770">
            <v>0</v>
          </cell>
          <cell r="K5770">
            <v>0</v>
          </cell>
          <cell r="L5770">
            <v>0</v>
          </cell>
        </row>
        <row r="5771">
          <cell r="A5771" t="str">
            <v>20361.04897</v>
          </cell>
          <cell r="B5771" t="str">
            <v>CLE MIXTE OGV</v>
          </cell>
          <cell r="C5771" t="str">
            <v>440.28</v>
          </cell>
          <cell r="D5771" t="str">
            <v>PE</v>
          </cell>
          <cell r="E5771" t="str">
            <v>522.52208</v>
          </cell>
          <cell r="F5771">
            <v>136</v>
          </cell>
          <cell r="G5771">
            <v>0</v>
          </cell>
          <cell r="H5771">
            <v>0</v>
          </cell>
          <cell r="I5771">
            <v>0</v>
          </cell>
          <cell r="J5771">
            <v>0</v>
          </cell>
          <cell r="K5771">
            <v>0</v>
          </cell>
          <cell r="L5771">
            <v>0</v>
          </cell>
        </row>
        <row r="5772">
          <cell r="A5772" t="str">
            <v>20361.04898</v>
          </cell>
          <cell r="B5772" t="str">
            <v>CLE MIXTE OGV</v>
          </cell>
          <cell r="C5772" t="str">
            <v>440.30</v>
          </cell>
          <cell r="D5772" t="str">
            <v>PE</v>
          </cell>
          <cell r="E5772" t="str">
            <v>522.52208</v>
          </cell>
          <cell r="F5772">
            <v>152.88</v>
          </cell>
          <cell r="G5772">
            <v>0</v>
          </cell>
          <cell r="H5772">
            <v>0</v>
          </cell>
          <cell r="I5772">
            <v>0</v>
          </cell>
          <cell r="J5772">
            <v>0</v>
          </cell>
          <cell r="K5772">
            <v>0</v>
          </cell>
          <cell r="L5772">
            <v>0</v>
          </cell>
        </row>
        <row r="5773">
          <cell r="A5773" t="str">
            <v>20361.04903</v>
          </cell>
          <cell r="B5773" t="str">
            <v>DECOLLEUR</v>
          </cell>
          <cell r="C5773" t="str">
            <v>U.53T5</v>
          </cell>
          <cell r="D5773" t="str">
            <v>PE</v>
          </cell>
          <cell r="E5773" t="str">
            <v>522.52208</v>
          </cell>
          <cell r="F5773">
            <v>6212</v>
          </cell>
          <cell r="G5773">
            <v>0</v>
          </cell>
          <cell r="H5773">
            <v>0</v>
          </cell>
          <cell r="I5773">
            <v>0</v>
          </cell>
          <cell r="J5773">
            <v>0</v>
          </cell>
          <cell r="K5773">
            <v>0</v>
          </cell>
          <cell r="L5773">
            <v>0</v>
          </cell>
        </row>
        <row r="5774">
          <cell r="A5774" t="str">
            <v>20361.04904</v>
          </cell>
          <cell r="B5774" t="str">
            <v>POTENCE TARAUDEE</v>
          </cell>
          <cell r="C5774" t="str">
            <v>U.23K1A</v>
          </cell>
          <cell r="D5774" t="str">
            <v>PE</v>
          </cell>
          <cell r="E5774" t="str">
            <v>522.52208</v>
          </cell>
          <cell r="F5774">
            <v>795</v>
          </cell>
          <cell r="G5774">
            <v>0</v>
          </cell>
          <cell r="H5774">
            <v>0</v>
          </cell>
          <cell r="I5774">
            <v>0</v>
          </cell>
          <cell r="J5774">
            <v>0</v>
          </cell>
          <cell r="K5774">
            <v>0</v>
          </cell>
          <cell r="L5774">
            <v>0</v>
          </cell>
        </row>
        <row r="5775">
          <cell r="A5775" t="str">
            <v>20361.04905</v>
          </cell>
          <cell r="B5775" t="str">
            <v>POTENCE TARAUDEE</v>
          </cell>
          <cell r="C5775" t="str">
            <v>U.53K1</v>
          </cell>
          <cell r="D5775" t="str">
            <v>PE</v>
          </cell>
          <cell r="E5775" t="str">
            <v>522.52208</v>
          </cell>
          <cell r="F5775">
            <v>1124.9000000000001</v>
          </cell>
          <cell r="G5775">
            <v>0</v>
          </cell>
          <cell r="H5775">
            <v>0</v>
          </cell>
          <cell r="I5775">
            <v>0</v>
          </cell>
          <cell r="J5775">
            <v>0</v>
          </cell>
          <cell r="K5775">
            <v>0</v>
          </cell>
          <cell r="L5775">
            <v>0</v>
          </cell>
        </row>
        <row r="5776">
          <cell r="A5776" t="str">
            <v>20361.04906</v>
          </cell>
          <cell r="B5776" t="str">
            <v>POTENCE TARAUDEE</v>
          </cell>
          <cell r="C5776" t="str">
            <v>U.53K2</v>
          </cell>
          <cell r="D5776" t="str">
            <v>PE</v>
          </cell>
          <cell r="E5776" t="str">
            <v>522.52208</v>
          </cell>
          <cell r="F5776">
            <v>1679</v>
          </cell>
          <cell r="G5776">
            <v>0</v>
          </cell>
          <cell r="H5776">
            <v>0</v>
          </cell>
          <cell r="I5776">
            <v>0</v>
          </cell>
          <cell r="J5776">
            <v>0</v>
          </cell>
          <cell r="K5776">
            <v>0</v>
          </cell>
          <cell r="L5776">
            <v>0</v>
          </cell>
        </row>
        <row r="5777">
          <cell r="A5777" t="str">
            <v>20361.04907</v>
          </cell>
          <cell r="B5777" t="str">
            <v>POTENCE TARAUDEE</v>
          </cell>
          <cell r="C5777" t="str">
            <v>U.53K3</v>
          </cell>
          <cell r="D5777" t="str">
            <v>PE</v>
          </cell>
          <cell r="E5777" t="str">
            <v>522.52208</v>
          </cell>
          <cell r="F5777">
            <v>3295</v>
          </cell>
          <cell r="G5777">
            <v>0</v>
          </cell>
          <cell r="H5777">
            <v>0</v>
          </cell>
          <cell r="I5777">
            <v>0</v>
          </cell>
          <cell r="J5777">
            <v>0</v>
          </cell>
          <cell r="K5777">
            <v>0</v>
          </cell>
          <cell r="L5777">
            <v>0</v>
          </cell>
        </row>
        <row r="5778">
          <cell r="A5778" t="str">
            <v>20361.04911</v>
          </cell>
          <cell r="B5778" t="str">
            <v>CLE SERRE TUBE</v>
          </cell>
          <cell r="C5778" t="str">
            <v>134A.14</v>
          </cell>
          <cell r="D5778" t="str">
            <v>PE</v>
          </cell>
          <cell r="E5778" t="str">
            <v>522.52208</v>
          </cell>
          <cell r="F5778">
            <v>475</v>
          </cell>
          <cell r="G5778">
            <v>0</v>
          </cell>
          <cell r="H5778">
            <v>0</v>
          </cell>
          <cell r="I5778">
            <v>0</v>
          </cell>
          <cell r="J5778">
            <v>0</v>
          </cell>
          <cell r="K5778">
            <v>0</v>
          </cell>
          <cell r="L5778">
            <v>0</v>
          </cell>
        </row>
        <row r="5779">
          <cell r="A5779" t="str">
            <v>20361.04912</v>
          </cell>
          <cell r="B5779" t="str">
            <v>METRE RUBAN BOITIER INOX</v>
          </cell>
          <cell r="C5779" t="str">
            <v>897.319</v>
          </cell>
          <cell r="D5779" t="str">
            <v>PE</v>
          </cell>
          <cell r="E5779" t="str">
            <v>522.52208</v>
          </cell>
          <cell r="F5779">
            <v>112</v>
          </cell>
          <cell r="G5779">
            <v>0</v>
          </cell>
          <cell r="H5779">
            <v>0</v>
          </cell>
          <cell r="I5779">
            <v>0</v>
          </cell>
          <cell r="J5779">
            <v>0</v>
          </cell>
          <cell r="K5779">
            <v>0</v>
          </cell>
          <cell r="L5779">
            <v>0</v>
          </cell>
        </row>
        <row r="5780">
          <cell r="A5780" t="str">
            <v>20361.04913</v>
          </cell>
          <cell r="B5780" t="str">
            <v>METRE RUBAN BOITIER INOX</v>
          </cell>
          <cell r="C5780" t="str">
            <v>897.525</v>
          </cell>
          <cell r="D5780" t="str">
            <v>PE</v>
          </cell>
          <cell r="E5780" t="str">
            <v>522.52208</v>
          </cell>
          <cell r="F5780">
            <v>208</v>
          </cell>
          <cell r="G5780">
            <v>0</v>
          </cell>
          <cell r="H5780">
            <v>0</v>
          </cell>
          <cell r="I5780">
            <v>0</v>
          </cell>
          <cell r="J5780">
            <v>0</v>
          </cell>
          <cell r="K5780">
            <v>0</v>
          </cell>
          <cell r="L5780">
            <v>0</v>
          </cell>
        </row>
        <row r="5781">
          <cell r="A5781" t="str">
            <v>20361.04914</v>
          </cell>
          <cell r="B5781" t="str">
            <v>JEU DE CLE POLYGONALES METRIQUES</v>
          </cell>
          <cell r="C5781" t="str">
            <v>55A.P14E</v>
          </cell>
          <cell r="D5781" t="str">
            <v>PE</v>
          </cell>
          <cell r="E5781" t="str">
            <v>522.52208</v>
          </cell>
          <cell r="F5781">
            <v>3298</v>
          </cell>
          <cell r="G5781">
            <v>0</v>
          </cell>
          <cell r="H5781">
            <v>0</v>
          </cell>
          <cell r="I5781">
            <v>0</v>
          </cell>
          <cell r="J5781">
            <v>0</v>
          </cell>
          <cell r="K5781">
            <v>0</v>
          </cell>
          <cell r="L5781">
            <v>0</v>
          </cell>
        </row>
        <row r="5782">
          <cell r="A5782" t="str">
            <v>20361.04915</v>
          </cell>
          <cell r="B5782" t="str">
            <v>COMPOSITION DE DOUILLES 6PANS DE 42A 82</v>
          </cell>
          <cell r="C5782" t="str">
            <v>M.431E</v>
          </cell>
          <cell r="D5782" t="str">
            <v>PE</v>
          </cell>
          <cell r="E5782" t="str">
            <v>522.52208</v>
          </cell>
          <cell r="F5782">
            <v>14702</v>
          </cell>
          <cell r="G5782">
            <v>0</v>
          </cell>
          <cell r="H5782">
            <v>0</v>
          </cell>
          <cell r="I5782">
            <v>0</v>
          </cell>
          <cell r="J5782">
            <v>0</v>
          </cell>
          <cell r="K5782">
            <v>0</v>
          </cell>
          <cell r="L5782">
            <v>0</v>
          </cell>
        </row>
        <row r="5783">
          <cell r="A5783" t="str">
            <v>20361.04916</v>
          </cell>
          <cell r="B5783" t="str">
            <v>CLIQUET 1/2"</v>
          </cell>
          <cell r="C5783" t="str">
            <v>S.143A</v>
          </cell>
          <cell r="D5783" t="str">
            <v>PE</v>
          </cell>
          <cell r="E5783" t="str">
            <v>522.52208</v>
          </cell>
          <cell r="F5783">
            <v>503</v>
          </cell>
          <cell r="G5783">
            <v>0</v>
          </cell>
          <cell r="H5783">
            <v>0</v>
          </cell>
          <cell r="I5783">
            <v>0</v>
          </cell>
          <cell r="J5783">
            <v>0</v>
          </cell>
          <cell r="K5783">
            <v>0</v>
          </cell>
          <cell r="L5783">
            <v>0</v>
          </cell>
        </row>
        <row r="5784">
          <cell r="A5784" t="str">
            <v>20361.04918</v>
          </cell>
          <cell r="B5784" t="str">
            <v>EQUERRE SIMPLE CLASSE 1</v>
          </cell>
          <cell r="C5784" t="str">
            <v>818B.20</v>
          </cell>
          <cell r="D5784" t="str">
            <v>PE</v>
          </cell>
          <cell r="E5784" t="str">
            <v>522.52208</v>
          </cell>
          <cell r="F5784">
            <v>320</v>
          </cell>
          <cell r="G5784">
            <v>0</v>
          </cell>
          <cell r="H5784">
            <v>0</v>
          </cell>
          <cell r="I5784">
            <v>0</v>
          </cell>
          <cell r="J5784">
            <v>0</v>
          </cell>
          <cell r="K5784">
            <v>0</v>
          </cell>
          <cell r="L5784">
            <v>0</v>
          </cell>
        </row>
        <row r="5785">
          <cell r="A5785" t="str">
            <v>20361.04919</v>
          </cell>
          <cell r="B5785" t="str">
            <v>EQUERRE A CHAPEAU A 45°</v>
          </cell>
          <cell r="C5785" t="str">
            <v>DELA 1292.00</v>
          </cell>
          <cell r="D5785" t="str">
            <v>PE</v>
          </cell>
          <cell r="E5785" t="str">
            <v>522.52208</v>
          </cell>
          <cell r="F5785">
            <v>646</v>
          </cell>
          <cell r="G5785">
            <v>0</v>
          </cell>
          <cell r="H5785">
            <v>0</v>
          </cell>
          <cell r="I5785">
            <v>0</v>
          </cell>
          <cell r="J5785">
            <v>0</v>
          </cell>
          <cell r="K5785">
            <v>0</v>
          </cell>
          <cell r="L5785">
            <v>0</v>
          </cell>
        </row>
        <row r="5786">
          <cell r="A5786" t="str">
            <v>20361.04920</v>
          </cell>
          <cell r="B5786" t="str">
            <v>JEU D'OUTILS DE CHOC GAINE</v>
          </cell>
          <cell r="C5786" t="str">
            <v>249.GJ7</v>
          </cell>
          <cell r="D5786" t="str">
            <v>PE</v>
          </cell>
          <cell r="E5786" t="str">
            <v>522.52208</v>
          </cell>
          <cell r="F5786">
            <v>595</v>
          </cell>
          <cell r="G5786">
            <v>0</v>
          </cell>
          <cell r="H5786">
            <v>0</v>
          </cell>
          <cell r="I5786">
            <v>0</v>
          </cell>
          <cell r="J5786">
            <v>0</v>
          </cell>
          <cell r="K5786">
            <v>0</v>
          </cell>
          <cell r="L5786">
            <v>0</v>
          </cell>
        </row>
        <row r="5787">
          <cell r="A5787" t="str">
            <v>20361.04921</v>
          </cell>
          <cell r="B5787" t="str">
            <v>LIME RONDE</v>
          </cell>
          <cell r="C5787" t="str">
            <v>RD.B200</v>
          </cell>
          <cell r="D5787" t="str">
            <v>PE</v>
          </cell>
          <cell r="E5787" t="str">
            <v>522.52208</v>
          </cell>
          <cell r="F5787">
            <v>69</v>
          </cell>
          <cell r="G5787">
            <v>0</v>
          </cell>
          <cell r="H5787">
            <v>0</v>
          </cell>
          <cell r="I5787">
            <v>0</v>
          </cell>
          <cell r="J5787">
            <v>0</v>
          </cell>
          <cell r="K5787">
            <v>0</v>
          </cell>
          <cell r="L5787">
            <v>0</v>
          </cell>
        </row>
        <row r="5788">
          <cell r="A5788" t="str">
            <v>20329.00774</v>
          </cell>
          <cell r="B5788" t="str">
            <v>ROULEMENT A ROULEAUX CONI</v>
          </cell>
          <cell r="C5788" t="str">
            <v>32309B</v>
          </cell>
          <cell r="D5788" t="str">
            <v>PE</v>
          </cell>
          <cell r="E5788" t="str">
            <v>515.51515</v>
          </cell>
          <cell r="F5788">
            <v>147.3133</v>
          </cell>
          <cell r="G5788">
            <v>0</v>
          </cell>
          <cell r="H5788">
            <v>0</v>
          </cell>
          <cell r="I5788">
            <v>0</v>
          </cell>
          <cell r="J5788">
            <v>0</v>
          </cell>
          <cell r="K5788">
            <v>0</v>
          </cell>
          <cell r="L5788">
            <v>6</v>
          </cell>
        </row>
        <row r="5789">
          <cell r="A5789" t="str">
            <v>20361.04922</v>
          </cell>
          <cell r="B5789" t="str">
            <v>LIME DEMI-RONDE</v>
          </cell>
          <cell r="C5789" t="str">
            <v>DRD.MD200</v>
          </cell>
          <cell r="D5789" t="str">
            <v>PE</v>
          </cell>
          <cell r="E5789" t="str">
            <v>522.52208</v>
          </cell>
          <cell r="F5789">
            <v>108</v>
          </cell>
          <cell r="G5789">
            <v>0</v>
          </cell>
          <cell r="H5789">
            <v>0</v>
          </cell>
          <cell r="I5789">
            <v>0</v>
          </cell>
          <cell r="J5789">
            <v>0</v>
          </cell>
          <cell r="K5789">
            <v>0</v>
          </cell>
          <cell r="L5789">
            <v>0</v>
          </cell>
        </row>
        <row r="5790">
          <cell r="A5790" t="str">
            <v>20340.00456</v>
          </cell>
          <cell r="B5790" t="str">
            <v>RELAIS THERMIQUE 1,6A-5A</v>
          </cell>
          <cell r="C5790" t="str">
            <v>193-EA1EB</v>
          </cell>
          <cell r="D5790" t="str">
            <v>PE</v>
          </cell>
          <cell r="E5790" t="str">
            <v>522.52206</v>
          </cell>
          <cell r="F5790">
            <v>279.36</v>
          </cell>
          <cell r="G5790">
            <v>0</v>
          </cell>
          <cell r="H5790">
            <v>0</v>
          </cell>
          <cell r="I5790">
            <v>0</v>
          </cell>
          <cell r="J5790">
            <v>0</v>
          </cell>
          <cell r="K5790">
            <v>0</v>
          </cell>
          <cell r="L5790">
            <v>0</v>
          </cell>
        </row>
        <row r="5791">
          <cell r="A5791" t="str">
            <v>20361.04924</v>
          </cell>
          <cell r="B5791" t="str">
            <v>DECOLLEUR</v>
          </cell>
          <cell r="C5791" t="str">
            <v>U.53T1</v>
          </cell>
          <cell r="D5791" t="str">
            <v>PE</v>
          </cell>
          <cell r="E5791" t="str">
            <v>522.52208</v>
          </cell>
          <cell r="F5791">
            <v>1501.92</v>
          </cell>
          <cell r="G5791">
            <v>0</v>
          </cell>
          <cell r="H5791">
            <v>0</v>
          </cell>
          <cell r="I5791">
            <v>0</v>
          </cell>
          <cell r="J5791">
            <v>0</v>
          </cell>
          <cell r="K5791">
            <v>0</v>
          </cell>
          <cell r="L5791">
            <v>0</v>
          </cell>
        </row>
        <row r="5792">
          <cell r="A5792" t="str">
            <v>20361.04925</v>
          </cell>
          <cell r="B5792" t="str">
            <v>DOUILLE IMPACT 3/4" 6 PANS</v>
          </cell>
          <cell r="C5792" t="str">
            <v>NK.33A</v>
          </cell>
          <cell r="D5792" t="str">
            <v>PE</v>
          </cell>
          <cell r="E5792" t="str">
            <v>522.52208</v>
          </cell>
          <cell r="F5792">
            <v>255</v>
          </cell>
          <cell r="G5792">
            <v>0</v>
          </cell>
          <cell r="H5792">
            <v>0</v>
          </cell>
          <cell r="I5792">
            <v>0</v>
          </cell>
          <cell r="J5792">
            <v>0</v>
          </cell>
          <cell r="K5792">
            <v>0</v>
          </cell>
          <cell r="L5792">
            <v>0</v>
          </cell>
        </row>
        <row r="5793">
          <cell r="A5793" t="str">
            <v>20361.04926</v>
          </cell>
          <cell r="B5793" t="str">
            <v>DOUILLE IMPACT 3/4" 6 PANS</v>
          </cell>
          <cell r="C5793" t="str">
            <v>NK.26A</v>
          </cell>
          <cell r="D5793" t="str">
            <v>PE</v>
          </cell>
          <cell r="E5793" t="str">
            <v>522.52208</v>
          </cell>
          <cell r="F5793">
            <v>217</v>
          </cell>
          <cell r="G5793">
            <v>0</v>
          </cell>
          <cell r="H5793">
            <v>0</v>
          </cell>
          <cell r="I5793">
            <v>0</v>
          </cell>
          <cell r="J5793">
            <v>0</v>
          </cell>
          <cell r="K5793">
            <v>0</v>
          </cell>
          <cell r="L5793">
            <v>0</v>
          </cell>
        </row>
        <row r="5794">
          <cell r="A5794" t="str">
            <v>20340.01408</v>
          </cell>
          <cell r="B5794" t="str">
            <v>DISJONCTEUR TETRAPOLAIRE</v>
          </cell>
          <cell r="C5794" t="str">
            <v xml:space="preserve">1492-SP3C010-N </v>
          </cell>
          <cell r="D5794" t="str">
            <v>PE</v>
          </cell>
          <cell r="E5794" t="str">
            <v>522.52206</v>
          </cell>
          <cell r="F5794">
            <v>345.7765</v>
          </cell>
          <cell r="G5794">
            <v>0</v>
          </cell>
          <cell r="H5794">
            <v>0</v>
          </cell>
          <cell r="I5794">
            <v>0</v>
          </cell>
          <cell r="J5794">
            <v>0</v>
          </cell>
          <cell r="K5794">
            <v>0</v>
          </cell>
          <cell r="L5794">
            <v>17</v>
          </cell>
        </row>
        <row r="5795">
          <cell r="A5795" t="str">
            <v>20329.01060</v>
          </cell>
          <cell r="B5795" t="str">
            <v>ROULEMENT COMPLET</v>
          </cell>
          <cell r="C5795" t="str">
            <v>67787 + 67720 DC</v>
          </cell>
          <cell r="D5795" t="str">
            <v>PE</v>
          </cell>
          <cell r="E5795" t="str">
            <v>515.51515</v>
          </cell>
          <cell r="F5795">
            <v>12213.816999999999</v>
          </cell>
          <cell r="G5795">
            <v>0</v>
          </cell>
          <cell r="H5795">
            <v>0</v>
          </cell>
          <cell r="I5795">
            <v>0</v>
          </cell>
          <cell r="J5795">
            <v>4</v>
          </cell>
          <cell r="K5795">
            <v>0</v>
          </cell>
          <cell r="L5795">
            <v>0</v>
          </cell>
        </row>
        <row r="5796">
          <cell r="A5796" t="str">
            <v>20361.04927</v>
          </cell>
          <cell r="B5796" t="str">
            <v>CLE MALE LONGUE</v>
          </cell>
          <cell r="C5796" t="str">
            <v>83H.9</v>
          </cell>
          <cell r="D5796" t="str">
            <v>PE</v>
          </cell>
          <cell r="E5796" t="str">
            <v>522.52208</v>
          </cell>
          <cell r="F5796">
            <v>27</v>
          </cell>
          <cell r="G5796">
            <v>0</v>
          </cell>
          <cell r="H5796">
            <v>0</v>
          </cell>
          <cell r="I5796">
            <v>0</v>
          </cell>
          <cell r="J5796">
            <v>0</v>
          </cell>
          <cell r="K5796">
            <v>0</v>
          </cell>
          <cell r="L5796">
            <v>0</v>
          </cell>
        </row>
        <row r="5797">
          <cell r="A5797" t="str">
            <v>20361.04928</v>
          </cell>
          <cell r="B5797" t="str">
            <v>CLE MALE LONGUE</v>
          </cell>
          <cell r="C5797" t="str">
            <v>83H.22</v>
          </cell>
          <cell r="D5797" t="str">
            <v>PE</v>
          </cell>
          <cell r="E5797" t="str">
            <v>522.52208</v>
          </cell>
          <cell r="F5797">
            <v>179</v>
          </cell>
          <cell r="G5797">
            <v>0</v>
          </cell>
          <cell r="H5797">
            <v>0</v>
          </cell>
          <cell r="I5797">
            <v>0</v>
          </cell>
          <cell r="J5797">
            <v>0</v>
          </cell>
          <cell r="K5797">
            <v>0</v>
          </cell>
          <cell r="L5797">
            <v>0</v>
          </cell>
        </row>
        <row r="5798">
          <cell r="A5798" t="str">
            <v>20361.04930</v>
          </cell>
          <cell r="B5798" t="str">
            <v>CORDEAU A TRACER</v>
          </cell>
          <cell r="C5798" t="str">
            <v>DELA.3298.15</v>
          </cell>
          <cell r="D5798" t="str">
            <v>PE</v>
          </cell>
          <cell r="E5798" t="str">
            <v>522.52208</v>
          </cell>
          <cell r="F5798">
            <v>84</v>
          </cell>
          <cell r="G5798">
            <v>0</v>
          </cell>
          <cell r="H5798">
            <v>0</v>
          </cell>
          <cell r="I5798">
            <v>0</v>
          </cell>
          <cell r="J5798">
            <v>0</v>
          </cell>
          <cell r="K5798">
            <v>0</v>
          </cell>
          <cell r="L5798">
            <v>0</v>
          </cell>
        </row>
        <row r="5799">
          <cell r="A5799" t="str">
            <v>20340.00151</v>
          </cell>
          <cell r="B5799" t="str">
            <v>SOCLE DE CONNECTION</v>
          </cell>
          <cell r="C5799" t="str">
            <v>700-HN101</v>
          </cell>
          <cell r="D5799" t="str">
            <v>PE</v>
          </cell>
          <cell r="E5799" t="str">
            <v>522.52206</v>
          </cell>
          <cell r="F5799">
            <v>32.482500000000002</v>
          </cell>
          <cell r="G5799">
            <v>0</v>
          </cell>
          <cell r="H5799">
            <v>0</v>
          </cell>
          <cell r="I5799">
            <v>0</v>
          </cell>
          <cell r="J5799">
            <v>0</v>
          </cell>
          <cell r="K5799">
            <v>0</v>
          </cell>
          <cell r="L5799">
            <v>16</v>
          </cell>
        </row>
        <row r="5800">
          <cell r="A5800" t="str">
            <v>20340.00153</v>
          </cell>
          <cell r="B5800" t="str">
            <v>SOCLE POUR RELAI AUXILI</v>
          </cell>
          <cell r="C5800" t="str">
            <v>700-HN203</v>
          </cell>
          <cell r="D5800" t="str">
            <v>PE</v>
          </cell>
          <cell r="E5800" t="str">
            <v>522.52206</v>
          </cell>
          <cell r="F5800">
            <v>37</v>
          </cell>
          <cell r="G5800">
            <v>0</v>
          </cell>
          <cell r="H5800">
            <v>0</v>
          </cell>
          <cell r="I5800">
            <v>0</v>
          </cell>
          <cell r="J5800">
            <v>0</v>
          </cell>
          <cell r="K5800">
            <v>0</v>
          </cell>
          <cell r="L5800">
            <v>13</v>
          </cell>
        </row>
        <row r="5801">
          <cell r="A5801" t="str">
            <v>20329.00539</v>
          </cell>
          <cell r="B5801" t="str">
            <v>ROULEMENT A ROULEAUX CONI</v>
          </cell>
          <cell r="C5801">
            <v>30310</v>
          </cell>
          <cell r="D5801" t="str">
            <v>PE</v>
          </cell>
          <cell r="E5801" t="str">
            <v>515.51515</v>
          </cell>
          <cell r="F5801">
            <v>151.13</v>
          </cell>
          <cell r="G5801">
            <v>0</v>
          </cell>
          <cell r="H5801">
            <v>0</v>
          </cell>
          <cell r="I5801">
            <v>0</v>
          </cell>
          <cell r="J5801">
            <v>0</v>
          </cell>
          <cell r="K5801">
            <v>0</v>
          </cell>
          <cell r="L5801">
            <v>2</v>
          </cell>
        </row>
        <row r="5802">
          <cell r="A5802" t="str">
            <v>20329.00541</v>
          </cell>
          <cell r="B5802" t="str">
            <v>ROULEMENT A ROULEAUX CONI</v>
          </cell>
          <cell r="C5802">
            <v>30312</v>
          </cell>
          <cell r="D5802" t="str">
            <v>PE</v>
          </cell>
          <cell r="E5802" t="str">
            <v>515.51515</v>
          </cell>
          <cell r="F5802">
            <v>260.07600000000002</v>
          </cell>
          <cell r="G5802">
            <v>0</v>
          </cell>
          <cell r="H5802">
            <v>0</v>
          </cell>
          <cell r="I5802">
            <v>0</v>
          </cell>
          <cell r="J5802">
            <v>0</v>
          </cell>
          <cell r="K5802">
            <v>0</v>
          </cell>
          <cell r="L5802">
            <v>2</v>
          </cell>
        </row>
        <row r="5803">
          <cell r="A5803" t="str">
            <v>20329.00558</v>
          </cell>
          <cell r="B5803" t="str">
            <v>ROULEMENT A ROULEAUX CONI</v>
          </cell>
          <cell r="C5803">
            <v>31311</v>
          </cell>
          <cell r="D5803" t="str">
            <v>PE</v>
          </cell>
          <cell r="E5803" t="str">
            <v>515.51515</v>
          </cell>
          <cell r="F5803">
            <v>212.99</v>
          </cell>
          <cell r="G5803">
            <v>0</v>
          </cell>
          <cell r="H5803">
            <v>0</v>
          </cell>
          <cell r="I5803">
            <v>0</v>
          </cell>
          <cell r="J5803">
            <v>0</v>
          </cell>
          <cell r="K5803">
            <v>0</v>
          </cell>
          <cell r="L5803">
            <v>4</v>
          </cell>
        </row>
        <row r="5804">
          <cell r="A5804" t="str">
            <v>20323.07713</v>
          </cell>
          <cell r="B5804" t="str">
            <v>VOYANT LUMINEUX VERT</v>
          </cell>
          <cell r="C5804" t="str">
            <v>XB4 BVM3</v>
          </cell>
          <cell r="D5804" t="str">
            <v>PE</v>
          </cell>
          <cell r="E5804" t="str">
            <v>522.52206</v>
          </cell>
          <cell r="F5804">
            <v>35</v>
          </cell>
          <cell r="G5804">
            <v>0</v>
          </cell>
          <cell r="H5804">
            <v>6</v>
          </cell>
          <cell r="I5804">
            <v>12</v>
          </cell>
          <cell r="J5804">
            <v>0</v>
          </cell>
          <cell r="K5804">
            <v>0</v>
          </cell>
          <cell r="L5804">
            <v>81</v>
          </cell>
        </row>
        <row r="5805">
          <cell r="A5805" t="str">
            <v>20323.07714</v>
          </cell>
          <cell r="B5805" t="str">
            <v>VOYANT LUMINEUX ROUGE</v>
          </cell>
          <cell r="C5805" t="str">
            <v>XB4 BVM4</v>
          </cell>
          <cell r="D5805" t="str">
            <v>PE</v>
          </cell>
          <cell r="E5805" t="str">
            <v>522.52206</v>
          </cell>
          <cell r="F5805">
            <v>35</v>
          </cell>
          <cell r="G5805">
            <v>0</v>
          </cell>
          <cell r="H5805">
            <v>2</v>
          </cell>
          <cell r="I5805">
            <v>14</v>
          </cell>
          <cell r="J5805">
            <v>0</v>
          </cell>
          <cell r="K5805">
            <v>0</v>
          </cell>
          <cell r="L5805">
            <v>67</v>
          </cell>
        </row>
        <row r="5806">
          <cell r="A5806" t="str">
            <v>20323.07716</v>
          </cell>
          <cell r="B5806" t="str">
            <v>VOYANT LUMINEUX BLANC</v>
          </cell>
          <cell r="C5806" t="str">
            <v>XB4 BVM1</v>
          </cell>
          <cell r="D5806" t="str">
            <v>PE</v>
          </cell>
          <cell r="E5806" t="str">
            <v>522.52206</v>
          </cell>
          <cell r="F5806">
            <v>35</v>
          </cell>
          <cell r="G5806">
            <v>0</v>
          </cell>
          <cell r="H5806">
            <v>0</v>
          </cell>
          <cell r="I5806">
            <v>12</v>
          </cell>
          <cell r="J5806">
            <v>0</v>
          </cell>
          <cell r="K5806">
            <v>0</v>
          </cell>
          <cell r="L5806">
            <v>87</v>
          </cell>
        </row>
        <row r="5807">
          <cell r="A5807" t="str">
            <v>20323.07722</v>
          </cell>
          <cell r="B5807" t="str">
            <v>DEMARREUR PROGRESSIF  ALTISTAR 48</v>
          </cell>
          <cell r="C5807" t="str">
            <v>ATS 48C32Y 690V/315KW/COURANT NOMINAL : 320A</v>
          </cell>
          <cell r="D5807" t="str">
            <v>PE</v>
          </cell>
          <cell r="E5807" t="str">
            <v>522.52206</v>
          </cell>
          <cell r="F5807">
            <v>9687</v>
          </cell>
          <cell r="G5807">
            <v>0</v>
          </cell>
          <cell r="H5807">
            <v>0</v>
          </cell>
          <cell r="I5807">
            <v>0</v>
          </cell>
          <cell r="J5807">
            <v>2</v>
          </cell>
          <cell r="K5807">
            <v>0</v>
          </cell>
          <cell r="L5807">
            <v>0</v>
          </cell>
        </row>
        <row r="5808">
          <cell r="A5808" t="str">
            <v>20323.07757</v>
          </cell>
          <cell r="B5808" t="str">
            <v>BOITE COMPLETE 2B I/O</v>
          </cell>
          <cell r="C5808" t="str">
            <v>XAL D215</v>
          </cell>
          <cell r="D5808" t="str">
            <v>PE</v>
          </cell>
          <cell r="E5808" t="str">
            <v>522.52206</v>
          </cell>
          <cell r="F5808">
            <v>128</v>
          </cell>
          <cell r="G5808">
            <v>4</v>
          </cell>
          <cell r="H5808">
            <v>0</v>
          </cell>
          <cell r="I5808">
            <v>0</v>
          </cell>
          <cell r="J5808">
            <v>0</v>
          </cell>
          <cell r="K5808">
            <v>0</v>
          </cell>
          <cell r="L5808">
            <v>16</v>
          </cell>
        </row>
        <row r="5809">
          <cell r="A5809" t="str">
            <v>20323.07758</v>
          </cell>
          <cell r="B5809" t="str">
            <v>BOITE COMPLETE 3B</v>
          </cell>
          <cell r="C5809" t="str">
            <v>XAL D363M</v>
          </cell>
          <cell r="D5809" t="str">
            <v>PE</v>
          </cell>
          <cell r="E5809" t="str">
            <v>522.52206</v>
          </cell>
          <cell r="F5809">
            <v>180</v>
          </cell>
          <cell r="G5809">
            <v>0</v>
          </cell>
          <cell r="H5809">
            <v>0</v>
          </cell>
          <cell r="I5809">
            <v>2</v>
          </cell>
          <cell r="J5809">
            <v>0</v>
          </cell>
          <cell r="K5809">
            <v>0</v>
          </cell>
          <cell r="L5809">
            <v>15</v>
          </cell>
        </row>
        <row r="5810">
          <cell r="A5810" t="str">
            <v>20323.07768</v>
          </cell>
          <cell r="B5810" t="str">
            <v>DEMARREUR ELECTRONIQUE</v>
          </cell>
          <cell r="C5810" t="str">
            <v>ATS 48C41Y</v>
          </cell>
          <cell r="D5810" t="str">
            <v>PE</v>
          </cell>
          <cell r="E5810" t="str">
            <v>522.52206</v>
          </cell>
          <cell r="F5810">
            <v>20825</v>
          </cell>
          <cell r="G5810">
            <v>0</v>
          </cell>
          <cell r="H5810">
            <v>2</v>
          </cell>
          <cell r="I5810">
            <v>0</v>
          </cell>
          <cell r="J5810">
            <v>0</v>
          </cell>
          <cell r="K5810">
            <v>0</v>
          </cell>
          <cell r="L5810">
            <v>0</v>
          </cell>
        </row>
        <row r="5811">
          <cell r="A5811" t="str">
            <v>20323.07769</v>
          </cell>
          <cell r="B5811" t="str">
            <v>DEMARREUR ELECTRONIQUE</v>
          </cell>
          <cell r="C5811" t="str">
            <v>ATS 48D47Y</v>
          </cell>
          <cell r="D5811" t="str">
            <v>PE</v>
          </cell>
          <cell r="E5811" t="str">
            <v>522.52206</v>
          </cell>
          <cell r="F5811">
            <v>3270</v>
          </cell>
          <cell r="G5811">
            <v>0</v>
          </cell>
          <cell r="H5811">
            <v>0</v>
          </cell>
          <cell r="I5811">
            <v>0</v>
          </cell>
          <cell r="J5811">
            <v>0</v>
          </cell>
          <cell r="K5811">
            <v>0</v>
          </cell>
          <cell r="L5811">
            <v>2</v>
          </cell>
        </row>
        <row r="5812">
          <cell r="A5812" t="str">
            <v>20323.03486</v>
          </cell>
          <cell r="B5812" t="str">
            <v>ARRET URGENCE CABL TRACTE</v>
          </cell>
          <cell r="C5812" t="str">
            <v>XY2-CB30</v>
          </cell>
          <cell r="D5812" t="str">
            <v>PE</v>
          </cell>
          <cell r="E5812" t="str">
            <v>522.52206</v>
          </cell>
          <cell r="F5812">
            <v>6386.6880000000001</v>
          </cell>
          <cell r="G5812">
            <v>0</v>
          </cell>
          <cell r="H5812">
            <v>0</v>
          </cell>
          <cell r="I5812">
            <v>0</v>
          </cell>
          <cell r="J5812">
            <v>0</v>
          </cell>
          <cell r="K5812">
            <v>0</v>
          </cell>
          <cell r="L5812">
            <v>0</v>
          </cell>
        </row>
        <row r="5813">
          <cell r="A5813" t="str">
            <v>20329.00522</v>
          </cell>
          <cell r="B5813" t="str">
            <v>ROULEMENT A ROULEAUX CONI</v>
          </cell>
          <cell r="C5813">
            <v>30215</v>
          </cell>
          <cell r="D5813" t="str">
            <v>PE</v>
          </cell>
          <cell r="E5813" t="str">
            <v>515.51515</v>
          </cell>
          <cell r="F5813">
            <v>159.5</v>
          </cell>
          <cell r="G5813">
            <v>0</v>
          </cell>
          <cell r="H5813">
            <v>0</v>
          </cell>
          <cell r="I5813">
            <v>0</v>
          </cell>
          <cell r="J5813">
            <v>0</v>
          </cell>
          <cell r="K5813">
            <v>0</v>
          </cell>
          <cell r="L5813">
            <v>1</v>
          </cell>
        </row>
        <row r="5814">
          <cell r="A5814" t="str">
            <v>20329.00524</v>
          </cell>
          <cell r="B5814" t="str">
            <v>ROULEMENT A ROULEAUX CONI</v>
          </cell>
          <cell r="C5814">
            <v>30217</v>
          </cell>
          <cell r="D5814" t="str">
            <v>PE</v>
          </cell>
          <cell r="E5814" t="str">
            <v>515.51515</v>
          </cell>
          <cell r="F5814">
            <v>257.08999999999997</v>
          </cell>
          <cell r="G5814">
            <v>0</v>
          </cell>
          <cell r="H5814">
            <v>0</v>
          </cell>
          <cell r="I5814">
            <v>0</v>
          </cell>
          <cell r="J5814">
            <v>0</v>
          </cell>
          <cell r="K5814">
            <v>0</v>
          </cell>
          <cell r="L5814">
            <v>1</v>
          </cell>
        </row>
        <row r="5815">
          <cell r="A5815" t="str">
            <v>20329.00738</v>
          </cell>
          <cell r="B5815" t="str">
            <v>ROULEMENT A ROULEAUX CONI</v>
          </cell>
          <cell r="C5815">
            <v>33212</v>
          </cell>
          <cell r="D5815" t="str">
            <v>PE</v>
          </cell>
          <cell r="E5815" t="str">
            <v>515.51515</v>
          </cell>
          <cell r="F5815">
            <v>202.94</v>
          </cell>
          <cell r="G5815">
            <v>0</v>
          </cell>
          <cell r="H5815">
            <v>0</v>
          </cell>
          <cell r="I5815">
            <v>0</v>
          </cell>
          <cell r="J5815">
            <v>0</v>
          </cell>
          <cell r="K5815">
            <v>0</v>
          </cell>
          <cell r="L5815">
            <v>2</v>
          </cell>
        </row>
        <row r="5816">
          <cell r="A5816" t="str">
            <v>20329.00748</v>
          </cell>
          <cell r="B5816" t="str">
            <v>CONE</v>
          </cell>
          <cell r="C5816">
            <v>6580</v>
          </cell>
          <cell r="D5816" t="str">
            <v>PE</v>
          </cell>
          <cell r="E5816" t="str">
            <v>515.51515</v>
          </cell>
          <cell r="F5816">
            <v>639.12</v>
          </cell>
          <cell r="G5816">
            <v>0</v>
          </cell>
          <cell r="H5816">
            <v>0</v>
          </cell>
          <cell r="I5816">
            <v>0</v>
          </cell>
          <cell r="J5816">
            <v>0</v>
          </cell>
          <cell r="K5816">
            <v>0</v>
          </cell>
          <cell r="L5816">
            <v>0</v>
          </cell>
        </row>
        <row r="5817">
          <cell r="A5817" t="str">
            <v>20271.00732</v>
          </cell>
          <cell r="B5817" t="str">
            <v>ACCOUPLEMENTCITROEN</v>
          </cell>
          <cell r="C5817" t="str">
            <v>28TL2 ACCOUPLEMENT</v>
          </cell>
          <cell r="D5817" t="str">
            <v>PE</v>
          </cell>
          <cell r="E5817" t="str">
            <v>515.51515</v>
          </cell>
          <cell r="F5817">
            <v>41512.205000000002</v>
          </cell>
          <cell r="G5817">
            <v>0</v>
          </cell>
          <cell r="H5817">
            <v>0</v>
          </cell>
          <cell r="I5817">
            <v>0</v>
          </cell>
          <cell r="J5817">
            <v>0</v>
          </cell>
          <cell r="K5817">
            <v>0</v>
          </cell>
          <cell r="L5817">
            <v>2</v>
          </cell>
        </row>
        <row r="5818">
          <cell r="A5818" t="str">
            <v>20271.00889</v>
          </cell>
          <cell r="B5818" t="str">
            <v>JEU DE RESSORTS</v>
          </cell>
          <cell r="C5818" t="str">
            <v>70T</v>
          </cell>
          <cell r="D5818" t="str">
            <v>JE</v>
          </cell>
          <cell r="E5818" t="str">
            <v>515.51515</v>
          </cell>
          <cell r="F5818">
            <v>22865.7</v>
          </cell>
          <cell r="G5818">
            <v>0</v>
          </cell>
          <cell r="H5818">
            <v>1</v>
          </cell>
          <cell r="I5818">
            <v>0</v>
          </cell>
          <cell r="J5818">
            <v>0</v>
          </cell>
          <cell r="K5818">
            <v>0</v>
          </cell>
          <cell r="L5818">
            <v>1</v>
          </cell>
        </row>
        <row r="5819">
          <cell r="A5819" t="str">
            <v>20271.00890</v>
          </cell>
          <cell r="B5819" t="str">
            <v>KIT ETANCHEITE VISSERIE</v>
          </cell>
          <cell r="C5819" t="str">
            <v>70T</v>
          </cell>
          <cell r="D5819" t="str">
            <v>PE</v>
          </cell>
          <cell r="E5819" t="str">
            <v>515.51515</v>
          </cell>
          <cell r="F5819">
            <v>1307.472</v>
          </cell>
          <cell r="G5819">
            <v>0</v>
          </cell>
          <cell r="H5819">
            <v>1</v>
          </cell>
          <cell r="I5819">
            <v>0</v>
          </cell>
          <cell r="J5819">
            <v>0</v>
          </cell>
          <cell r="K5819">
            <v>0</v>
          </cell>
          <cell r="L5819">
            <v>1</v>
          </cell>
        </row>
        <row r="5820">
          <cell r="A5820" t="str">
            <v>20271.00891</v>
          </cell>
          <cell r="B5820" t="str">
            <v>JEU DE RESSORTS</v>
          </cell>
          <cell r="C5820" t="str">
            <v>43T</v>
          </cell>
          <cell r="D5820" t="str">
            <v>JE</v>
          </cell>
          <cell r="E5820" t="str">
            <v>515.51515</v>
          </cell>
          <cell r="F5820">
            <v>9338.7900000000009</v>
          </cell>
          <cell r="G5820">
            <v>0</v>
          </cell>
          <cell r="H5820">
            <v>1</v>
          </cell>
          <cell r="I5820">
            <v>0</v>
          </cell>
          <cell r="J5820">
            <v>1</v>
          </cell>
          <cell r="K5820">
            <v>1</v>
          </cell>
          <cell r="L5820">
            <v>1</v>
          </cell>
        </row>
        <row r="5821">
          <cell r="A5821" t="str">
            <v>20271.00857</v>
          </cell>
          <cell r="B5821" t="str">
            <v>ACCOUPLEMENT</v>
          </cell>
          <cell r="C5821" t="str">
            <v>ROTEX 38</v>
          </cell>
          <cell r="D5821" t="str">
            <v>PE</v>
          </cell>
          <cell r="E5821" t="str">
            <v>515.51515</v>
          </cell>
          <cell r="F5821">
            <v>1076.73</v>
          </cell>
          <cell r="G5821">
            <v>0</v>
          </cell>
          <cell r="H5821">
            <v>0</v>
          </cell>
          <cell r="I5821">
            <v>0</v>
          </cell>
          <cell r="J5821">
            <v>0</v>
          </cell>
          <cell r="K5821">
            <v>0</v>
          </cell>
          <cell r="L5821">
            <v>2</v>
          </cell>
        </row>
        <row r="5822">
          <cell r="A5822" t="str">
            <v>20271.00861</v>
          </cell>
          <cell r="B5822" t="str">
            <v>ACCOUPLEMENT ELASTIQUE</v>
          </cell>
          <cell r="C5822" t="str">
            <v>43TL2</v>
          </cell>
          <cell r="D5822" t="str">
            <v>PE</v>
          </cell>
          <cell r="E5822" t="str">
            <v>515.51515</v>
          </cell>
          <cell r="F5822">
            <v>62565.675000000003</v>
          </cell>
          <cell r="G5822">
            <v>0</v>
          </cell>
          <cell r="H5822">
            <v>0</v>
          </cell>
          <cell r="I5822">
            <v>0</v>
          </cell>
          <cell r="J5822">
            <v>1</v>
          </cell>
          <cell r="K5822">
            <v>0</v>
          </cell>
          <cell r="L5822">
            <v>2</v>
          </cell>
        </row>
        <row r="5823">
          <cell r="A5823" t="str">
            <v>20345.00813</v>
          </cell>
          <cell r="B5823" t="str">
            <v>ACCOUPLEMENT FLENDER</v>
          </cell>
          <cell r="C5823" t="str">
            <v>N.EUPEX TYPE ET TAILLE H95-S3=140,PREALISE</v>
          </cell>
          <cell r="D5823" t="str">
            <v>PE</v>
          </cell>
          <cell r="E5823" t="str">
            <v>515.51515</v>
          </cell>
          <cell r="F5823">
            <v>1521</v>
          </cell>
          <cell r="G5823">
            <v>0</v>
          </cell>
          <cell r="H5823">
            <v>2</v>
          </cell>
          <cell r="I5823">
            <v>1</v>
          </cell>
          <cell r="J5823">
            <v>1</v>
          </cell>
          <cell r="K5823">
            <v>0</v>
          </cell>
          <cell r="L5823">
            <v>2</v>
          </cell>
        </row>
        <row r="5824">
          <cell r="A5824" t="str">
            <v>20345.00815</v>
          </cell>
          <cell r="B5824" t="str">
            <v>ACCOUPLEMENT</v>
          </cell>
          <cell r="C5824" t="str">
            <v>N.EUPEX TYPE ET TAILLE H140-S3=140,PREALISE</v>
          </cell>
          <cell r="D5824" t="str">
            <v>PE</v>
          </cell>
          <cell r="E5824" t="str">
            <v>515.51515</v>
          </cell>
          <cell r="F5824">
            <v>3209.585</v>
          </cell>
          <cell r="G5824">
            <v>0</v>
          </cell>
          <cell r="H5824">
            <v>0</v>
          </cell>
          <cell r="I5824">
            <v>0</v>
          </cell>
          <cell r="J5824">
            <v>0</v>
          </cell>
          <cell r="K5824">
            <v>0</v>
          </cell>
          <cell r="L5824">
            <v>2</v>
          </cell>
        </row>
        <row r="5825">
          <cell r="A5825" t="str">
            <v>20345.00816</v>
          </cell>
          <cell r="B5825" t="str">
            <v>ACCOUPLEMENT FLENDER</v>
          </cell>
          <cell r="C5825" t="str">
            <v>N.EUPEX TYPE ET TAILLE H95-S3=100,PREALISE</v>
          </cell>
          <cell r="D5825" t="str">
            <v>PE</v>
          </cell>
          <cell r="E5825" t="str">
            <v>515.51515</v>
          </cell>
          <cell r="F5825">
            <v>1346</v>
          </cell>
          <cell r="G5825">
            <v>0</v>
          </cell>
          <cell r="H5825">
            <v>5</v>
          </cell>
          <cell r="I5825">
            <v>0</v>
          </cell>
          <cell r="J5825">
            <v>0</v>
          </cell>
          <cell r="K5825">
            <v>0</v>
          </cell>
          <cell r="L5825">
            <v>1</v>
          </cell>
        </row>
        <row r="5826">
          <cell r="A5826" t="str">
            <v>20345.00817</v>
          </cell>
          <cell r="B5826" t="str">
            <v>ACCOUPLEMENT COMPLET</v>
          </cell>
          <cell r="C5826" t="str">
            <v>N-EUPEX TYPE H TAILLE:160 S3=140  ALESAGE PIECE 1/PIECE 5 = 65 / 42</v>
          </cell>
          <cell r="D5826" t="str">
            <v>PE</v>
          </cell>
          <cell r="E5826" t="str">
            <v>515.51515</v>
          </cell>
          <cell r="F5826">
            <v>3378</v>
          </cell>
          <cell r="G5826">
            <v>0</v>
          </cell>
          <cell r="H5826">
            <v>1</v>
          </cell>
          <cell r="I5826">
            <v>2</v>
          </cell>
          <cell r="J5826">
            <v>1</v>
          </cell>
          <cell r="K5826">
            <v>1</v>
          </cell>
          <cell r="L5826">
            <v>3</v>
          </cell>
        </row>
        <row r="5827">
          <cell r="A5827" t="str">
            <v>20345.00820</v>
          </cell>
          <cell r="B5827" t="str">
            <v>JEU DE TAMPON EN CAOUTCHO</v>
          </cell>
          <cell r="C5827" t="str">
            <v>N.EUPEX TAILLE A110       (JEU DE 6 PIECES)NOIR ET TRAIT AU MILIEU</v>
          </cell>
          <cell r="D5827" t="str">
            <v>JE</v>
          </cell>
          <cell r="E5827" t="str">
            <v>515.51515</v>
          </cell>
          <cell r="F5827">
            <v>131.5</v>
          </cell>
          <cell r="G5827">
            <v>0</v>
          </cell>
          <cell r="H5827">
            <v>1</v>
          </cell>
          <cell r="I5827">
            <v>0</v>
          </cell>
          <cell r="J5827">
            <v>0</v>
          </cell>
          <cell r="K5827">
            <v>0</v>
          </cell>
          <cell r="L5827">
            <v>2</v>
          </cell>
        </row>
        <row r="5828">
          <cell r="A5828" t="str">
            <v>20345.00821</v>
          </cell>
          <cell r="B5828" t="str">
            <v>JEU DE TAMPON EN CAOUTCHO</v>
          </cell>
          <cell r="C5828" t="str">
            <v>N.EUPEX TAILLE A125       (JEU DE 6 PIECES)NOIR ET TRAIT AU MILIEU</v>
          </cell>
          <cell r="D5828" t="str">
            <v>JE</v>
          </cell>
          <cell r="E5828" t="str">
            <v>515.51515</v>
          </cell>
          <cell r="F5828">
            <v>145</v>
          </cell>
          <cell r="G5828">
            <v>0</v>
          </cell>
          <cell r="H5828">
            <v>1</v>
          </cell>
          <cell r="I5828">
            <v>0</v>
          </cell>
          <cell r="J5828">
            <v>0</v>
          </cell>
          <cell r="K5828">
            <v>0</v>
          </cell>
          <cell r="L5828">
            <v>2</v>
          </cell>
        </row>
        <row r="5829">
          <cell r="A5829" t="str">
            <v>20345.00829</v>
          </cell>
          <cell r="B5829" t="str">
            <v>JEU DE TAMPON EN CAOUTCHO</v>
          </cell>
          <cell r="C5829" t="str">
            <v>N.EUPEX TAILLE A280       (JEU DE 8 PIECES)NOIR ET TRAIT AU MILIEU</v>
          </cell>
          <cell r="D5829" t="str">
            <v>JE</v>
          </cell>
          <cell r="E5829" t="str">
            <v>515.51515</v>
          </cell>
          <cell r="F5829">
            <v>915.5</v>
          </cell>
          <cell r="G5829">
            <v>0</v>
          </cell>
          <cell r="H5829">
            <v>0</v>
          </cell>
          <cell r="I5829">
            <v>0</v>
          </cell>
          <cell r="J5829">
            <v>0</v>
          </cell>
          <cell r="K5829">
            <v>0</v>
          </cell>
          <cell r="L5829">
            <v>2</v>
          </cell>
        </row>
        <row r="5830">
          <cell r="A5830" t="str">
            <v>20345.00831</v>
          </cell>
          <cell r="B5830" t="str">
            <v>JEU DE TAMPON ELASTIQUE</v>
          </cell>
          <cell r="C5830" t="str">
            <v>N.EUPEX TAILLE A350       (JEU DE 9 PIECES)</v>
          </cell>
          <cell r="D5830" t="str">
            <v>JE</v>
          </cell>
          <cell r="E5830" t="str">
            <v>515.51515</v>
          </cell>
          <cell r="F5830">
            <v>865</v>
          </cell>
          <cell r="G5830">
            <v>0</v>
          </cell>
          <cell r="H5830">
            <v>0</v>
          </cell>
          <cell r="I5830">
            <v>0</v>
          </cell>
          <cell r="J5830">
            <v>0</v>
          </cell>
          <cell r="K5830">
            <v>1</v>
          </cell>
          <cell r="L5830">
            <v>2</v>
          </cell>
        </row>
        <row r="5831">
          <cell r="A5831" t="str">
            <v>20345.00833</v>
          </cell>
          <cell r="B5831" t="str">
            <v>JEU DE TAMPON</v>
          </cell>
          <cell r="C5831" t="str">
            <v>N.EUPEX TAILLE A440       (JEU DE 10 PIECES)</v>
          </cell>
          <cell r="D5831" t="str">
            <v>JE</v>
          </cell>
          <cell r="E5831" t="str">
            <v>515.51515</v>
          </cell>
          <cell r="F5831">
            <v>1735.6667</v>
          </cell>
          <cell r="G5831">
            <v>0</v>
          </cell>
          <cell r="H5831">
            <v>1</v>
          </cell>
          <cell r="I5831">
            <v>0</v>
          </cell>
          <cell r="J5831">
            <v>1</v>
          </cell>
          <cell r="K5831">
            <v>1</v>
          </cell>
          <cell r="L5831">
            <v>2</v>
          </cell>
        </row>
        <row r="5832">
          <cell r="A5832" t="str">
            <v>20345.00834</v>
          </cell>
          <cell r="B5832" t="str">
            <v>JEU DE TAMPON EN CAOUTCHO</v>
          </cell>
          <cell r="C5832" t="str">
            <v>N.EUPEX TAILLE A480       (JEU DE 10 PIECES)</v>
          </cell>
          <cell r="D5832" t="str">
            <v>JE</v>
          </cell>
          <cell r="E5832" t="str">
            <v>515.51515</v>
          </cell>
          <cell r="F5832">
            <v>2637.7676999999999</v>
          </cell>
          <cell r="G5832">
            <v>0</v>
          </cell>
          <cell r="H5832">
            <v>0</v>
          </cell>
          <cell r="I5832">
            <v>0</v>
          </cell>
          <cell r="J5832">
            <v>1</v>
          </cell>
          <cell r="K5832">
            <v>1</v>
          </cell>
          <cell r="L5832">
            <v>2</v>
          </cell>
        </row>
        <row r="5833">
          <cell r="A5833" t="str">
            <v>20345.00847</v>
          </cell>
          <cell r="B5833" t="str">
            <v>JEU DE TAMPON EN CAOUTCHOUC</v>
          </cell>
          <cell r="C5833" t="str">
            <v>N.EUPEX TAILLE H110       (JEU DE 6 PIECES)NOIR ET TRAIT AU MILIEU</v>
          </cell>
          <cell r="D5833" t="str">
            <v>JE</v>
          </cell>
          <cell r="E5833" t="str">
            <v>515.51515</v>
          </cell>
          <cell r="F5833">
            <v>76</v>
          </cell>
          <cell r="G5833">
            <v>0</v>
          </cell>
          <cell r="H5833">
            <v>1</v>
          </cell>
          <cell r="I5833">
            <v>0</v>
          </cell>
          <cell r="J5833">
            <v>0</v>
          </cell>
          <cell r="K5833">
            <v>0</v>
          </cell>
          <cell r="L5833">
            <v>3</v>
          </cell>
        </row>
        <row r="5834">
          <cell r="A5834" t="str">
            <v>20345.00848</v>
          </cell>
          <cell r="B5834" t="str">
            <v>JEU DE TAMPON EN CAOUTCHO</v>
          </cell>
          <cell r="C5834" t="str">
            <v>N.EUPEX TAILLE H95        (JEU DE 6 PIECES)NOIR ET TRAIT AU MILIEU</v>
          </cell>
          <cell r="D5834" t="str">
            <v>JE</v>
          </cell>
          <cell r="E5834" t="str">
            <v>515.51515</v>
          </cell>
          <cell r="F5834">
            <v>61.5</v>
          </cell>
          <cell r="G5834">
            <v>0</v>
          </cell>
          <cell r="H5834">
            <v>3</v>
          </cell>
          <cell r="I5834">
            <v>0</v>
          </cell>
          <cell r="J5834">
            <v>0</v>
          </cell>
          <cell r="K5834">
            <v>2</v>
          </cell>
          <cell r="L5834">
            <v>1</v>
          </cell>
        </row>
        <row r="5835">
          <cell r="A5835" t="str">
            <v>20345.00849</v>
          </cell>
          <cell r="B5835" t="str">
            <v>JEU DE TAMPON</v>
          </cell>
          <cell r="C5835" t="str">
            <v>N.EUPEX TAILLE H125       (JEU DE 6 PIECES)NOIR ET TRAIT AU MILIEU</v>
          </cell>
          <cell r="D5835" t="str">
            <v>JE</v>
          </cell>
          <cell r="E5835" t="str">
            <v>515.51515</v>
          </cell>
          <cell r="F5835">
            <v>87</v>
          </cell>
          <cell r="G5835">
            <v>0</v>
          </cell>
          <cell r="H5835">
            <v>0</v>
          </cell>
          <cell r="I5835">
            <v>1</v>
          </cell>
          <cell r="J5835">
            <v>0</v>
          </cell>
          <cell r="K5835">
            <v>0</v>
          </cell>
          <cell r="L5835">
            <v>3</v>
          </cell>
        </row>
        <row r="5836">
          <cell r="A5836" t="str">
            <v>20345.00850</v>
          </cell>
          <cell r="B5836" t="str">
            <v>JEU DE TAMPON</v>
          </cell>
          <cell r="C5836" t="str">
            <v>N.EUPEX TAILLE H160       (JEU DE 7 PIECES)</v>
          </cell>
          <cell r="D5836" t="str">
            <v>JE</v>
          </cell>
          <cell r="E5836" t="str">
            <v>515.51515</v>
          </cell>
          <cell r="F5836">
            <v>256.42860000000002</v>
          </cell>
          <cell r="G5836">
            <v>0</v>
          </cell>
          <cell r="H5836">
            <v>0</v>
          </cell>
          <cell r="I5836">
            <v>1</v>
          </cell>
          <cell r="J5836">
            <v>0</v>
          </cell>
          <cell r="K5836">
            <v>0</v>
          </cell>
          <cell r="L5836">
            <v>4</v>
          </cell>
        </row>
        <row r="5837">
          <cell r="A5837" t="str">
            <v>20340.01126</v>
          </cell>
          <cell r="B5837" t="str">
            <v>BORNIER</v>
          </cell>
          <cell r="C5837" t="str">
            <v>1492-SJ6-10</v>
          </cell>
          <cell r="D5837" t="str">
            <v>PE</v>
          </cell>
          <cell r="E5837" t="str">
            <v>522.52206</v>
          </cell>
          <cell r="F5837">
            <v>34</v>
          </cell>
          <cell r="G5837">
            <v>0</v>
          </cell>
          <cell r="H5837">
            <v>0</v>
          </cell>
          <cell r="I5837">
            <v>0</v>
          </cell>
          <cell r="J5837">
            <v>0</v>
          </cell>
          <cell r="K5837">
            <v>0</v>
          </cell>
          <cell r="L5837">
            <v>15</v>
          </cell>
        </row>
        <row r="5838">
          <cell r="A5838" t="str">
            <v>20340.01127</v>
          </cell>
          <cell r="B5838" t="str">
            <v>RELAIS AUXILIAIRE 3INV 220VCC</v>
          </cell>
          <cell r="C5838" t="str">
            <v>700-HA33Z2-3</v>
          </cell>
          <cell r="D5838" t="str">
            <v>PE</v>
          </cell>
          <cell r="E5838" t="str">
            <v>522.52206</v>
          </cell>
          <cell r="F5838">
            <v>99.621200000000002</v>
          </cell>
          <cell r="G5838">
            <v>0</v>
          </cell>
          <cell r="H5838">
            <v>0</v>
          </cell>
          <cell r="I5838">
            <v>0</v>
          </cell>
          <cell r="J5838">
            <v>0</v>
          </cell>
          <cell r="K5838">
            <v>0</v>
          </cell>
          <cell r="L5838">
            <v>17</v>
          </cell>
        </row>
        <row r="5839">
          <cell r="A5839" t="str">
            <v>20345.00100</v>
          </cell>
          <cell r="B5839" t="str">
            <v>ACCOUPLEMENT RUPEX RWN 800</v>
          </cell>
          <cell r="C5839" t="str">
            <v>RUPEX TYPE RWN TAILLE 800 PREALESE</v>
          </cell>
          <cell r="D5839" t="str">
            <v>PE</v>
          </cell>
          <cell r="E5839" t="str">
            <v>515.51515</v>
          </cell>
          <cell r="F5839">
            <v>100965</v>
          </cell>
          <cell r="G5839">
            <v>0</v>
          </cell>
          <cell r="H5839">
            <v>0</v>
          </cell>
          <cell r="I5839">
            <v>0</v>
          </cell>
          <cell r="J5839">
            <v>0</v>
          </cell>
          <cell r="K5839">
            <v>1</v>
          </cell>
          <cell r="L5839">
            <v>1</v>
          </cell>
        </row>
        <row r="5840">
          <cell r="A5840" t="str">
            <v>20345.01532</v>
          </cell>
          <cell r="B5840" t="str">
            <v>JEU DE TAMPONS P/ACCOUPLEMENT N-EUPEX H 140 M 140</v>
          </cell>
          <cell r="C5840" t="str">
            <v>N-EUPEX H140 M 140 (TAMPON)</v>
          </cell>
          <cell r="D5840" t="str">
            <v>PE</v>
          </cell>
          <cell r="E5840" t="str">
            <v>515.51515</v>
          </cell>
          <cell r="F5840">
            <v>193</v>
          </cell>
          <cell r="G5840">
            <v>0</v>
          </cell>
          <cell r="H5840">
            <v>0</v>
          </cell>
          <cell r="I5840">
            <v>0</v>
          </cell>
          <cell r="J5840">
            <v>0</v>
          </cell>
          <cell r="K5840">
            <v>0</v>
          </cell>
          <cell r="L5840">
            <v>4</v>
          </cell>
        </row>
        <row r="5841">
          <cell r="A5841" t="str">
            <v>20340.01518</v>
          </cell>
          <cell r="B5841" t="str">
            <v>CONTACTEUR 3POLES 250A 250KW 690V 50HZ   1NO-1NF</v>
          </cell>
          <cell r="C5841" t="str">
            <v>100-D250EA11</v>
          </cell>
          <cell r="D5841" t="str">
            <v>PE</v>
          </cell>
          <cell r="E5841" t="str">
            <v>522.52206</v>
          </cell>
          <cell r="F5841">
            <v>4650</v>
          </cell>
          <cell r="G5841">
            <v>0</v>
          </cell>
          <cell r="H5841">
            <v>0</v>
          </cell>
          <cell r="I5841">
            <v>0</v>
          </cell>
          <cell r="J5841">
            <v>0</v>
          </cell>
          <cell r="K5841">
            <v>0</v>
          </cell>
          <cell r="L5841">
            <v>2</v>
          </cell>
        </row>
        <row r="5842">
          <cell r="A5842" t="str">
            <v>20340.01520</v>
          </cell>
          <cell r="B5842" t="str">
            <v>CONTACT AUXILIAIRE  2NO</v>
          </cell>
          <cell r="C5842" t="str">
            <v>100-DS1-20</v>
          </cell>
          <cell r="D5842" t="str">
            <v>PE</v>
          </cell>
          <cell r="E5842" t="str">
            <v>522.52206</v>
          </cell>
          <cell r="F5842">
            <v>155</v>
          </cell>
          <cell r="G5842">
            <v>0</v>
          </cell>
          <cell r="H5842">
            <v>0</v>
          </cell>
          <cell r="I5842">
            <v>0</v>
          </cell>
          <cell r="J5842">
            <v>0</v>
          </cell>
          <cell r="K5842">
            <v>0</v>
          </cell>
          <cell r="L5842">
            <v>15</v>
          </cell>
        </row>
        <row r="5843">
          <cell r="A5843" t="str">
            <v>20340.01522</v>
          </cell>
          <cell r="B5843" t="str">
            <v>RELAI ELECTRONIQUE DE PROTECTION MOTEUR   3,2 a 16A</v>
          </cell>
          <cell r="C5843" t="str">
            <v>193-ED1DB</v>
          </cell>
          <cell r="D5843" t="str">
            <v>PE</v>
          </cell>
          <cell r="E5843" t="str">
            <v>522.52206</v>
          </cell>
          <cell r="F5843">
            <v>260</v>
          </cell>
          <cell r="G5843">
            <v>0</v>
          </cell>
          <cell r="H5843">
            <v>0</v>
          </cell>
          <cell r="I5843">
            <v>0</v>
          </cell>
          <cell r="J5843">
            <v>0</v>
          </cell>
          <cell r="K5843">
            <v>0</v>
          </cell>
          <cell r="L5843">
            <v>5</v>
          </cell>
        </row>
        <row r="5844">
          <cell r="A5844" t="str">
            <v>20340.01171</v>
          </cell>
          <cell r="B5844" t="str">
            <v>CONTACT AUXILAIRE</v>
          </cell>
          <cell r="C5844" t="str">
            <v>100-DS1-11</v>
          </cell>
          <cell r="D5844" t="str">
            <v>PE</v>
          </cell>
          <cell r="E5844" t="str">
            <v>522.52206</v>
          </cell>
          <cell r="F5844">
            <v>162</v>
          </cell>
          <cell r="G5844">
            <v>0</v>
          </cell>
          <cell r="H5844">
            <v>0</v>
          </cell>
          <cell r="I5844">
            <v>0</v>
          </cell>
          <cell r="J5844">
            <v>0</v>
          </cell>
          <cell r="K5844">
            <v>0</v>
          </cell>
          <cell r="L5844">
            <v>15</v>
          </cell>
        </row>
        <row r="5845">
          <cell r="A5845" t="str">
            <v>20340.01176</v>
          </cell>
          <cell r="B5845" t="str">
            <v>MICROLOGIX 1100</v>
          </cell>
          <cell r="C5845" t="str">
            <v>1763-L16BWA</v>
          </cell>
          <cell r="D5845" t="str">
            <v>PE</v>
          </cell>
          <cell r="E5845" t="str">
            <v>522.52206</v>
          </cell>
          <cell r="F5845">
            <v>3800</v>
          </cell>
          <cell r="G5845">
            <v>0</v>
          </cell>
          <cell r="H5845">
            <v>0</v>
          </cell>
          <cell r="I5845">
            <v>0</v>
          </cell>
          <cell r="J5845">
            <v>0</v>
          </cell>
          <cell r="K5845">
            <v>0</v>
          </cell>
          <cell r="L5845">
            <v>1</v>
          </cell>
        </row>
        <row r="5846">
          <cell r="A5846" t="str">
            <v>20340.01551</v>
          </cell>
          <cell r="B5846" t="str">
            <v>RELAIS DE PROTECTION NUMERIQUE</v>
          </cell>
          <cell r="C5846" t="str">
            <v>825-P</v>
          </cell>
          <cell r="D5846" t="str">
            <v>PE</v>
          </cell>
          <cell r="E5846" t="str">
            <v>522.52206</v>
          </cell>
          <cell r="F5846">
            <v>13400</v>
          </cell>
          <cell r="G5846">
            <v>0</v>
          </cell>
          <cell r="H5846">
            <v>0</v>
          </cell>
          <cell r="I5846">
            <v>0</v>
          </cell>
          <cell r="J5846">
            <v>0</v>
          </cell>
          <cell r="K5846">
            <v>0</v>
          </cell>
          <cell r="L5846">
            <v>4</v>
          </cell>
        </row>
        <row r="5847">
          <cell r="A5847" t="str">
            <v>20340.01394</v>
          </cell>
          <cell r="B5847" t="str">
            <v>COMMANDE INTERFACE OPERATEUR ( HIM )</v>
          </cell>
          <cell r="C5847" t="str">
            <v>20-HIM-A3</v>
          </cell>
          <cell r="D5847" t="str">
            <v>U</v>
          </cell>
          <cell r="E5847" t="str">
            <v>522.52206</v>
          </cell>
          <cell r="F5847">
            <v>1666.38</v>
          </cell>
          <cell r="G5847">
            <v>0</v>
          </cell>
          <cell r="H5847">
            <v>0</v>
          </cell>
          <cell r="I5847">
            <v>0</v>
          </cell>
          <cell r="J5847">
            <v>0</v>
          </cell>
          <cell r="K5847">
            <v>0</v>
          </cell>
          <cell r="L5847">
            <v>1</v>
          </cell>
        </row>
        <row r="5848">
          <cell r="A5848" t="str">
            <v>20340.01469</v>
          </cell>
          <cell r="B5848" t="str">
            <v>BLOC DE CONTACTS NO</v>
          </cell>
          <cell r="C5848" t="str">
            <v>800F-X10</v>
          </cell>
          <cell r="D5848" t="str">
            <v>PE</v>
          </cell>
          <cell r="E5848" t="str">
            <v>522.52206</v>
          </cell>
          <cell r="F5848">
            <v>20</v>
          </cell>
          <cell r="G5848">
            <v>0</v>
          </cell>
          <cell r="H5848">
            <v>0</v>
          </cell>
          <cell r="I5848">
            <v>0</v>
          </cell>
          <cell r="J5848">
            <v>0</v>
          </cell>
          <cell r="K5848">
            <v>0</v>
          </cell>
          <cell r="L5848">
            <v>9</v>
          </cell>
        </row>
        <row r="5849">
          <cell r="A5849" t="str">
            <v>20340.01470</v>
          </cell>
          <cell r="B5849" t="str">
            <v>VOYANT VERT</v>
          </cell>
          <cell r="C5849" t="str">
            <v>800F-DOC VERT</v>
          </cell>
          <cell r="D5849" t="str">
            <v>PE</v>
          </cell>
          <cell r="E5849" t="str">
            <v>522.52206</v>
          </cell>
          <cell r="F5849">
            <v>60</v>
          </cell>
          <cell r="G5849">
            <v>0</v>
          </cell>
          <cell r="H5849">
            <v>0</v>
          </cell>
          <cell r="I5849">
            <v>0</v>
          </cell>
          <cell r="J5849">
            <v>0</v>
          </cell>
          <cell r="K5849">
            <v>0</v>
          </cell>
          <cell r="L5849">
            <v>0</v>
          </cell>
        </row>
        <row r="5850">
          <cell r="A5850" t="str">
            <v>20340.01471</v>
          </cell>
          <cell r="B5850" t="str">
            <v>VOYANT JAUNE</v>
          </cell>
          <cell r="C5850" t="str">
            <v>800F-DOC JAUNE</v>
          </cell>
          <cell r="D5850" t="str">
            <v>PE</v>
          </cell>
          <cell r="E5850" t="str">
            <v>522.52206</v>
          </cell>
          <cell r="F5850">
            <v>60</v>
          </cell>
          <cell r="G5850">
            <v>0</v>
          </cell>
          <cell r="H5850">
            <v>0</v>
          </cell>
          <cell r="I5850">
            <v>0</v>
          </cell>
          <cell r="J5850">
            <v>0</v>
          </cell>
          <cell r="K5850">
            <v>0</v>
          </cell>
          <cell r="L5850">
            <v>0</v>
          </cell>
        </row>
        <row r="5851">
          <cell r="A5851" t="str">
            <v>20340.01472</v>
          </cell>
          <cell r="B5851" t="str">
            <v>COMMUTATEUR A 3 POSITIONS</v>
          </cell>
          <cell r="C5851" t="str">
            <v>800FP-SM22PX10/AB</v>
          </cell>
          <cell r="D5851" t="str">
            <v>PE</v>
          </cell>
          <cell r="E5851" t="str">
            <v>522.52206</v>
          </cell>
          <cell r="F5851">
            <v>124.8</v>
          </cell>
          <cell r="G5851">
            <v>0</v>
          </cell>
          <cell r="H5851">
            <v>0</v>
          </cell>
          <cell r="I5851">
            <v>0</v>
          </cell>
          <cell r="J5851">
            <v>0</v>
          </cell>
          <cell r="K5851">
            <v>0</v>
          </cell>
          <cell r="L5851">
            <v>0</v>
          </cell>
        </row>
        <row r="5852">
          <cell r="A5852" t="str">
            <v>20340.00496</v>
          </cell>
          <cell r="B5852" t="str">
            <v>PLAQUE D'EXTREMITE</v>
          </cell>
          <cell r="C5852" t="str">
            <v>1492-EB3</v>
          </cell>
          <cell r="D5852" t="str">
            <v>PE</v>
          </cell>
          <cell r="E5852" t="str">
            <v>522.52206</v>
          </cell>
          <cell r="F5852">
            <v>3</v>
          </cell>
          <cell r="G5852">
            <v>0</v>
          </cell>
          <cell r="H5852">
            <v>0</v>
          </cell>
          <cell r="I5852">
            <v>0</v>
          </cell>
          <cell r="J5852">
            <v>0</v>
          </cell>
          <cell r="K5852">
            <v>0</v>
          </cell>
          <cell r="L5852">
            <v>100</v>
          </cell>
        </row>
        <row r="5853">
          <cell r="A5853" t="str">
            <v>20340.00498</v>
          </cell>
          <cell r="B5853" t="str">
            <v>PORTE CLAVIER GROUPE</v>
          </cell>
          <cell r="C5853" t="str">
            <v>1492-GM35</v>
          </cell>
          <cell r="D5853" t="str">
            <v>PE</v>
          </cell>
          <cell r="E5853" t="str">
            <v>522.52206</v>
          </cell>
          <cell r="F5853">
            <v>15</v>
          </cell>
          <cell r="G5853">
            <v>0</v>
          </cell>
          <cell r="H5853">
            <v>0</v>
          </cell>
          <cell r="I5853">
            <v>0</v>
          </cell>
          <cell r="J5853">
            <v>0</v>
          </cell>
          <cell r="K5853">
            <v>0</v>
          </cell>
          <cell r="L5853">
            <v>15</v>
          </cell>
        </row>
        <row r="5854">
          <cell r="A5854" t="str">
            <v>20345.01154</v>
          </cell>
          <cell r="B5854" t="str">
            <v>ACCOUPLEMENT</v>
          </cell>
          <cell r="C5854" t="str">
            <v>N.EUPEX TAILLE H125 S3=100    ACCOUPLEMENT</v>
          </cell>
          <cell r="D5854" t="str">
            <v>PE</v>
          </cell>
          <cell r="E5854" t="str">
            <v>515.51515</v>
          </cell>
          <cell r="F5854">
            <v>1711.912</v>
          </cell>
          <cell r="G5854">
            <v>0</v>
          </cell>
          <cell r="H5854">
            <v>0</v>
          </cell>
          <cell r="I5854">
            <v>1</v>
          </cell>
          <cell r="J5854">
            <v>0</v>
          </cell>
          <cell r="K5854">
            <v>0</v>
          </cell>
          <cell r="L5854">
            <v>2</v>
          </cell>
        </row>
        <row r="5855">
          <cell r="A5855" t="str">
            <v>20345.01153</v>
          </cell>
          <cell r="B5855" t="str">
            <v>ACCOUPLEMENT</v>
          </cell>
          <cell r="C5855" t="str">
            <v>N.EUPEX TAILLE H110 S3=100    ACCOUPLEMENT</v>
          </cell>
          <cell r="D5855" t="str">
            <v>PE</v>
          </cell>
          <cell r="E5855" t="str">
            <v>515.51515</v>
          </cell>
          <cell r="F5855">
            <v>2072</v>
          </cell>
          <cell r="G5855">
            <v>0</v>
          </cell>
          <cell r="H5855">
            <v>2</v>
          </cell>
          <cell r="I5855">
            <v>0</v>
          </cell>
          <cell r="J5855">
            <v>0</v>
          </cell>
          <cell r="K5855">
            <v>0</v>
          </cell>
          <cell r="L5855">
            <v>1</v>
          </cell>
        </row>
        <row r="5856">
          <cell r="A5856" t="str">
            <v>20325.05102</v>
          </cell>
          <cell r="B5856" t="str">
            <v>ROULEMENT</v>
          </cell>
          <cell r="C5856" t="str">
            <v>6206 2RS</v>
          </cell>
          <cell r="D5856" t="str">
            <v>PE</v>
          </cell>
          <cell r="E5856" t="str">
            <v>515.51515</v>
          </cell>
          <cell r="F5856">
            <v>0</v>
          </cell>
          <cell r="G5856">
            <v>0</v>
          </cell>
          <cell r="H5856">
            <v>0</v>
          </cell>
          <cell r="I5856">
            <v>0</v>
          </cell>
          <cell r="J5856">
            <v>0</v>
          </cell>
          <cell r="K5856">
            <v>0</v>
          </cell>
          <cell r="L5856">
            <v>0</v>
          </cell>
        </row>
        <row r="5857">
          <cell r="A5857" t="str">
            <v>20325.05001</v>
          </cell>
          <cell r="B5857" t="str">
            <v>ROULEMENT</v>
          </cell>
          <cell r="C5857" t="str">
            <v>23052 CCK/W33</v>
          </cell>
          <cell r="D5857" t="str">
            <v>PE</v>
          </cell>
          <cell r="E5857" t="str">
            <v>515.51515</v>
          </cell>
          <cell r="F5857">
            <v>10936.3267</v>
          </cell>
          <cell r="G5857">
            <v>0</v>
          </cell>
          <cell r="H5857">
            <v>1</v>
          </cell>
          <cell r="I5857">
            <v>1</v>
          </cell>
          <cell r="J5857">
            <v>0</v>
          </cell>
          <cell r="K5857">
            <v>1</v>
          </cell>
          <cell r="L5857">
            <v>1</v>
          </cell>
        </row>
        <row r="5858">
          <cell r="A5858" t="str">
            <v>20345.00628</v>
          </cell>
          <cell r="B5858" t="str">
            <v>ACCOUPLEMENT COMPLET</v>
          </cell>
          <cell r="C5858" t="str">
            <v>N.EUPEX TAILLE H 95 LZ 127</v>
          </cell>
          <cell r="D5858" t="str">
            <v>PE</v>
          </cell>
          <cell r="E5858" t="str">
            <v>515.51515</v>
          </cell>
          <cell r="F5858">
            <v>2154.3791000000001</v>
          </cell>
          <cell r="G5858">
            <v>1</v>
          </cell>
          <cell r="H5858">
            <v>0</v>
          </cell>
          <cell r="I5858">
            <v>0</v>
          </cell>
          <cell r="J5858">
            <v>0</v>
          </cell>
          <cell r="K5858">
            <v>0</v>
          </cell>
          <cell r="L5858">
            <v>0</v>
          </cell>
        </row>
        <row r="5859">
          <cell r="A5859" t="str">
            <v>20325.04425</v>
          </cell>
          <cell r="B5859" t="str">
            <v>ROULEMENT 22222EK</v>
          </cell>
          <cell r="C5859" t="str">
            <v>22222EK</v>
          </cell>
          <cell r="D5859" t="str">
            <v>PE</v>
          </cell>
          <cell r="E5859" t="str">
            <v>515.51515</v>
          </cell>
          <cell r="F5859">
            <v>982</v>
          </cell>
          <cell r="G5859">
            <v>0</v>
          </cell>
          <cell r="H5859">
            <v>0</v>
          </cell>
          <cell r="I5859">
            <v>0</v>
          </cell>
          <cell r="J5859">
            <v>0</v>
          </cell>
          <cell r="K5859">
            <v>0</v>
          </cell>
          <cell r="L5859">
            <v>4</v>
          </cell>
        </row>
        <row r="5860">
          <cell r="A5860" t="str">
            <v>20325.04428</v>
          </cell>
          <cell r="B5860" t="str">
            <v>ECROU DE SERRAGE</v>
          </cell>
          <cell r="C5860" t="str">
            <v>HM 52 T</v>
          </cell>
          <cell r="D5860" t="str">
            <v>PE</v>
          </cell>
          <cell r="E5860" t="str">
            <v>515.51515</v>
          </cell>
          <cell r="F5860">
            <v>1773.9259999999999</v>
          </cell>
          <cell r="G5860">
            <v>0</v>
          </cell>
          <cell r="H5860">
            <v>2</v>
          </cell>
          <cell r="I5860">
            <v>0</v>
          </cell>
          <cell r="J5860">
            <v>0</v>
          </cell>
          <cell r="K5860">
            <v>0</v>
          </cell>
          <cell r="L5860">
            <v>0</v>
          </cell>
        </row>
        <row r="5861">
          <cell r="A5861" t="str">
            <v>20345.00725</v>
          </cell>
          <cell r="B5861" t="str">
            <v>TAMPONS EN CAOUTCHOU</v>
          </cell>
          <cell r="C5861" t="str">
            <v>N.EUPEX TAILLE H 225 NOIR</v>
          </cell>
          <cell r="D5861" t="str">
            <v>PE</v>
          </cell>
          <cell r="E5861" t="str">
            <v>515.51515</v>
          </cell>
          <cell r="F5861">
            <v>533.91409999999996</v>
          </cell>
          <cell r="G5861">
            <v>0</v>
          </cell>
          <cell r="H5861">
            <v>0</v>
          </cell>
          <cell r="I5861">
            <v>0</v>
          </cell>
          <cell r="J5861">
            <v>0</v>
          </cell>
          <cell r="K5861">
            <v>0</v>
          </cell>
          <cell r="L5861">
            <v>16</v>
          </cell>
        </row>
        <row r="5862">
          <cell r="A5862" t="str">
            <v>20325.05530</v>
          </cell>
          <cell r="B5862" t="str">
            <v>ROULEMENT A RLX CYLINDRIQUES</v>
          </cell>
          <cell r="C5862" t="str">
            <v>NUP 312E</v>
          </cell>
          <cell r="D5862" t="str">
            <v>PE</v>
          </cell>
          <cell r="E5862" t="str">
            <v>515.51515</v>
          </cell>
          <cell r="F5862">
            <v>273.79000000000002</v>
          </cell>
          <cell r="G5862">
            <v>0</v>
          </cell>
          <cell r="H5862">
            <v>0</v>
          </cell>
          <cell r="I5862">
            <v>0</v>
          </cell>
          <cell r="J5862">
            <v>0</v>
          </cell>
          <cell r="K5862">
            <v>0</v>
          </cell>
          <cell r="L5862">
            <v>2</v>
          </cell>
        </row>
        <row r="5863">
          <cell r="A5863" t="str">
            <v>20325.05531</v>
          </cell>
          <cell r="B5863" t="str">
            <v>ROULEMENT A RLX CYLINDRIQUES</v>
          </cell>
          <cell r="C5863" t="str">
            <v>NJ 222 E</v>
          </cell>
          <cell r="D5863" t="str">
            <v>PE</v>
          </cell>
          <cell r="E5863" t="str">
            <v>515.51515</v>
          </cell>
          <cell r="F5863">
            <v>691.84</v>
          </cell>
          <cell r="G5863">
            <v>0</v>
          </cell>
          <cell r="H5863">
            <v>0</v>
          </cell>
          <cell r="I5863">
            <v>0</v>
          </cell>
          <cell r="J5863">
            <v>0</v>
          </cell>
          <cell r="K5863">
            <v>0</v>
          </cell>
          <cell r="L5863">
            <v>1</v>
          </cell>
        </row>
        <row r="5864">
          <cell r="A5864" t="str">
            <v>20325.05532</v>
          </cell>
          <cell r="B5864" t="str">
            <v>ROULEMENT A RLX CYLINDRIQUES</v>
          </cell>
          <cell r="C5864" t="str">
            <v>NUP 2215 E</v>
          </cell>
          <cell r="D5864" t="str">
            <v>PE</v>
          </cell>
          <cell r="E5864" t="str">
            <v>515.51515</v>
          </cell>
          <cell r="F5864">
            <v>383.85</v>
          </cell>
          <cell r="G5864">
            <v>0</v>
          </cell>
          <cell r="H5864">
            <v>0</v>
          </cell>
          <cell r="I5864">
            <v>0</v>
          </cell>
          <cell r="J5864">
            <v>0</v>
          </cell>
          <cell r="K5864">
            <v>0</v>
          </cell>
          <cell r="L5864">
            <v>2</v>
          </cell>
        </row>
        <row r="5865">
          <cell r="A5865" t="str">
            <v>20345.01658</v>
          </cell>
          <cell r="B5865" t="str">
            <v>ACCOUPLEMENT</v>
          </cell>
          <cell r="C5865" t="str">
            <v>N-EUPEX TAILLE: H110 LZ140</v>
          </cell>
          <cell r="D5865" t="str">
            <v>PE</v>
          </cell>
          <cell r="E5865" t="str">
            <v>515.51515</v>
          </cell>
          <cell r="F5865">
            <v>1707</v>
          </cell>
          <cell r="G5865">
            <v>0</v>
          </cell>
          <cell r="H5865">
            <v>2</v>
          </cell>
          <cell r="I5865">
            <v>1</v>
          </cell>
          <cell r="J5865">
            <v>0</v>
          </cell>
          <cell r="K5865">
            <v>2</v>
          </cell>
          <cell r="L5865">
            <v>1</v>
          </cell>
        </row>
        <row r="5866">
          <cell r="A5866" t="str">
            <v>20329.01155</v>
          </cell>
          <cell r="B5866" t="str">
            <v>ROULEMENT A ROULEAUX CONI</v>
          </cell>
          <cell r="C5866" t="str">
            <v>31311 J2</v>
          </cell>
          <cell r="D5866" t="str">
            <v>PE</v>
          </cell>
          <cell r="E5866" t="str">
            <v>515.51515</v>
          </cell>
          <cell r="F5866">
            <v>192.85</v>
          </cell>
          <cell r="G5866">
            <v>0</v>
          </cell>
          <cell r="H5866">
            <v>0</v>
          </cell>
          <cell r="I5866">
            <v>0</v>
          </cell>
          <cell r="J5866">
            <v>0</v>
          </cell>
          <cell r="K5866">
            <v>2</v>
          </cell>
          <cell r="L5866">
            <v>2</v>
          </cell>
        </row>
        <row r="5867">
          <cell r="A5867" t="str">
            <v>20329.01157</v>
          </cell>
          <cell r="B5867" t="str">
            <v>ROULEMENT A ROULEAUX CONI</v>
          </cell>
          <cell r="C5867">
            <v>31318</v>
          </cell>
          <cell r="D5867" t="str">
            <v>PE</v>
          </cell>
          <cell r="E5867" t="str">
            <v>515.51515</v>
          </cell>
          <cell r="F5867">
            <v>990.59</v>
          </cell>
          <cell r="G5867">
            <v>0</v>
          </cell>
          <cell r="H5867">
            <v>0</v>
          </cell>
          <cell r="I5867">
            <v>0</v>
          </cell>
          <cell r="J5867">
            <v>0</v>
          </cell>
          <cell r="K5867">
            <v>0</v>
          </cell>
          <cell r="L5867">
            <v>4</v>
          </cell>
        </row>
        <row r="5868">
          <cell r="A5868" t="str">
            <v>20329.01180</v>
          </cell>
          <cell r="B5868" t="str">
            <v>ROULEMENT A ROULEAUX CONI</v>
          </cell>
          <cell r="C5868">
            <v>33211</v>
          </cell>
          <cell r="D5868" t="str">
            <v>PE</v>
          </cell>
          <cell r="E5868" t="str">
            <v>515.51515</v>
          </cell>
          <cell r="F5868">
            <v>135.07</v>
          </cell>
          <cell r="G5868">
            <v>0</v>
          </cell>
          <cell r="H5868">
            <v>2</v>
          </cell>
          <cell r="I5868">
            <v>0</v>
          </cell>
          <cell r="J5868">
            <v>0</v>
          </cell>
          <cell r="K5868">
            <v>0</v>
          </cell>
          <cell r="L5868">
            <v>0</v>
          </cell>
        </row>
        <row r="5869">
          <cell r="A5869" t="str">
            <v>20329.00574</v>
          </cell>
          <cell r="B5869" t="str">
            <v>ROULEMENT A ROULEAUX CONI</v>
          </cell>
          <cell r="C5869">
            <v>32215</v>
          </cell>
          <cell r="D5869" t="str">
            <v>PE</v>
          </cell>
          <cell r="E5869" t="str">
            <v>515.51515</v>
          </cell>
          <cell r="F5869">
            <v>210.24</v>
          </cell>
          <cell r="G5869">
            <v>0</v>
          </cell>
          <cell r="H5869">
            <v>0</v>
          </cell>
          <cell r="I5869">
            <v>0</v>
          </cell>
          <cell r="J5869">
            <v>0</v>
          </cell>
          <cell r="K5869">
            <v>0</v>
          </cell>
          <cell r="L5869">
            <v>2</v>
          </cell>
        </row>
        <row r="5870">
          <cell r="A5870" t="str">
            <v>20329.00841</v>
          </cell>
          <cell r="B5870" t="str">
            <v>ROULEMENT A ROULEAUX CONI</v>
          </cell>
          <cell r="C5870" t="str">
            <v>33210A</v>
          </cell>
          <cell r="D5870" t="str">
            <v>PE</v>
          </cell>
          <cell r="E5870" t="str">
            <v>515.51515</v>
          </cell>
          <cell r="F5870">
            <v>137.29</v>
          </cell>
          <cell r="G5870">
            <v>0</v>
          </cell>
          <cell r="H5870">
            <v>0</v>
          </cell>
          <cell r="I5870">
            <v>0</v>
          </cell>
          <cell r="J5870">
            <v>0</v>
          </cell>
          <cell r="K5870">
            <v>1</v>
          </cell>
          <cell r="L5870">
            <v>0</v>
          </cell>
        </row>
        <row r="5871">
          <cell r="A5871" t="str">
            <v>20329.00801</v>
          </cell>
          <cell r="B5871" t="str">
            <v>ROULEMENT A ROULEAUX CONI</v>
          </cell>
          <cell r="C5871" t="str">
            <v>H924010D/H924045+2SPACER</v>
          </cell>
          <cell r="D5871" t="str">
            <v>PE</v>
          </cell>
          <cell r="E5871" t="str">
            <v>515.51515</v>
          </cell>
          <cell r="F5871">
            <v>10726.83</v>
          </cell>
          <cell r="G5871">
            <v>0</v>
          </cell>
          <cell r="H5871">
            <v>1</v>
          </cell>
          <cell r="I5871">
            <v>1</v>
          </cell>
          <cell r="J5871">
            <v>2</v>
          </cell>
          <cell r="K5871">
            <v>1</v>
          </cell>
          <cell r="L5871">
            <v>2</v>
          </cell>
        </row>
        <row r="5872">
          <cell r="A5872" t="str">
            <v>20329.00805</v>
          </cell>
          <cell r="B5872" t="str">
            <v>CUVETTE</v>
          </cell>
          <cell r="C5872" t="str">
            <v>HM813810</v>
          </cell>
          <cell r="D5872" t="str">
            <v>PE</v>
          </cell>
          <cell r="E5872" t="str">
            <v>515.51515</v>
          </cell>
          <cell r="F5872">
            <v>202.631</v>
          </cell>
          <cell r="G5872">
            <v>0</v>
          </cell>
          <cell r="H5872">
            <v>0</v>
          </cell>
          <cell r="I5872">
            <v>0</v>
          </cell>
          <cell r="J5872">
            <v>0</v>
          </cell>
          <cell r="K5872">
            <v>0</v>
          </cell>
          <cell r="L5872">
            <v>0</v>
          </cell>
        </row>
        <row r="5873">
          <cell r="A5873" t="str">
            <v>20329.00185</v>
          </cell>
          <cell r="B5873" t="str">
            <v>ROULEMENT</v>
          </cell>
          <cell r="C5873">
            <v>32034</v>
          </cell>
          <cell r="D5873" t="str">
            <v>PE</v>
          </cell>
          <cell r="E5873" t="str">
            <v>515.51515</v>
          </cell>
          <cell r="F5873">
            <v>2029.0733</v>
          </cell>
          <cell r="G5873">
            <v>0</v>
          </cell>
          <cell r="H5873">
            <v>0</v>
          </cell>
          <cell r="I5873">
            <v>0</v>
          </cell>
          <cell r="J5873">
            <v>0</v>
          </cell>
          <cell r="K5873">
            <v>0</v>
          </cell>
          <cell r="L5873">
            <v>3</v>
          </cell>
        </row>
        <row r="5874">
          <cell r="A5874" t="str">
            <v>20329.00584</v>
          </cell>
          <cell r="B5874" t="str">
            <v>ROULEMENT A ROULEAUX CONI</v>
          </cell>
          <cell r="C5874">
            <v>32307</v>
          </cell>
          <cell r="D5874" t="str">
            <v>PE</v>
          </cell>
          <cell r="E5874" t="str">
            <v>515.51515</v>
          </cell>
          <cell r="F5874">
            <v>107.63</v>
          </cell>
          <cell r="G5874">
            <v>0</v>
          </cell>
          <cell r="H5874">
            <v>0</v>
          </cell>
          <cell r="I5874">
            <v>0</v>
          </cell>
          <cell r="J5874">
            <v>0</v>
          </cell>
          <cell r="K5874">
            <v>1</v>
          </cell>
          <cell r="L5874">
            <v>0</v>
          </cell>
        </row>
        <row r="5875">
          <cell r="A5875" t="str">
            <v>20329.00585</v>
          </cell>
          <cell r="B5875" t="str">
            <v>ROULEMENT A ROULEAUX CONI</v>
          </cell>
          <cell r="C5875">
            <v>32308</v>
          </cell>
          <cell r="D5875" t="str">
            <v>PE</v>
          </cell>
          <cell r="E5875" t="str">
            <v>515.51515</v>
          </cell>
          <cell r="F5875">
            <v>123.8</v>
          </cell>
          <cell r="G5875">
            <v>0</v>
          </cell>
          <cell r="H5875">
            <v>0</v>
          </cell>
          <cell r="I5875">
            <v>0</v>
          </cell>
          <cell r="J5875">
            <v>0</v>
          </cell>
          <cell r="K5875">
            <v>0</v>
          </cell>
          <cell r="L5875">
            <v>4</v>
          </cell>
        </row>
        <row r="5876">
          <cell r="A5876" t="str">
            <v>20329.00587</v>
          </cell>
          <cell r="B5876" t="str">
            <v>ROULEMENT A ROULEAUX CONI</v>
          </cell>
          <cell r="C5876">
            <v>32310</v>
          </cell>
          <cell r="D5876" t="str">
            <v>PE</v>
          </cell>
          <cell r="E5876" t="str">
            <v>515.51515</v>
          </cell>
          <cell r="F5876">
            <v>250.05</v>
          </cell>
          <cell r="G5876">
            <v>0</v>
          </cell>
          <cell r="H5876">
            <v>0</v>
          </cell>
          <cell r="I5876">
            <v>0</v>
          </cell>
          <cell r="J5876">
            <v>0</v>
          </cell>
          <cell r="K5876">
            <v>0</v>
          </cell>
          <cell r="L5876">
            <v>3</v>
          </cell>
        </row>
        <row r="5877">
          <cell r="A5877" t="str">
            <v>20329.00186</v>
          </cell>
          <cell r="B5877" t="str">
            <v>ROULEMENT</v>
          </cell>
          <cell r="C5877">
            <v>32038</v>
          </cell>
          <cell r="D5877" t="str">
            <v>PE</v>
          </cell>
          <cell r="E5877" t="str">
            <v>515.51515</v>
          </cell>
          <cell r="F5877">
            <v>3057.36</v>
          </cell>
          <cell r="G5877">
            <v>0</v>
          </cell>
          <cell r="H5877">
            <v>2</v>
          </cell>
          <cell r="I5877">
            <v>0</v>
          </cell>
          <cell r="J5877">
            <v>0</v>
          </cell>
          <cell r="K5877">
            <v>0</v>
          </cell>
          <cell r="L5877">
            <v>0</v>
          </cell>
        </row>
        <row r="5878">
          <cell r="A5878" t="str">
            <v>20329.00224</v>
          </cell>
          <cell r="B5878" t="str">
            <v>ROULEMENT</v>
          </cell>
          <cell r="C5878" t="str">
            <v>3302 A</v>
          </cell>
          <cell r="D5878" t="str">
            <v>PE</v>
          </cell>
          <cell r="E5878" t="str">
            <v>515.51515</v>
          </cell>
          <cell r="F5878">
            <v>137</v>
          </cell>
          <cell r="G5878">
            <v>0</v>
          </cell>
          <cell r="H5878">
            <v>4</v>
          </cell>
          <cell r="I5878">
            <v>0</v>
          </cell>
          <cell r="J5878">
            <v>0</v>
          </cell>
          <cell r="K5878">
            <v>0</v>
          </cell>
          <cell r="L5878">
            <v>0</v>
          </cell>
        </row>
        <row r="5879">
          <cell r="A5879" t="str">
            <v>20329.00589</v>
          </cell>
          <cell r="B5879" t="str">
            <v>ROULEMENT A ROULEAUX CONI</v>
          </cell>
          <cell r="C5879">
            <v>32312</v>
          </cell>
          <cell r="D5879" t="str">
            <v>PE</v>
          </cell>
          <cell r="E5879" t="str">
            <v>515.51515</v>
          </cell>
          <cell r="F5879">
            <v>272.32</v>
          </cell>
          <cell r="G5879">
            <v>0</v>
          </cell>
          <cell r="H5879">
            <v>0</v>
          </cell>
          <cell r="I5879">
            <v>0</v>
          </cell>
          <cell r="J5879">
            <v>0</v>
          </cell>
          <cell r="K5879">
            <v>0</v>
          </cell>
          <cell r="L5879">
            <v>4</v>
          </cell>
        </row>
        <row r="5880">
          <cell r="A5880" t="str">
            <v>20329.00591</v>
          </cell>
          <cell r="B5880" t="str">
            <v>ROULEMENT A ROULEAUX CONI</v>
          </cell>
          <cell r="C5880">
            <v>32314</v>
          </cell>
          <cell r="D5880" t="str">
            <v>PE</v>
          </cell>
          <cell r="E5880" t="str">
            <v>515.51515</v>
          </cell>
          <cell r="F5880">
            <v>458.09</v>
          </cell>
          <cell r="G5880">
            <v>0</v>
          </cell>
          <cell r="H5880">
            <v>0</v>
          </cell>
          <cell r="I5880">
            <v>0</v>
          </cell>
          <cell r="J5880">
            <v>0</v>
          </cell>
          <cell r="K5880">
            <v>0</v>
          </cell>
          <cell r="L5880">
            <v>1</v>
          </cell>
        </row>
        <row r="5881">
          <cell r="A5881" t="str">
            <v>20329.00592</v>
          </cell>
          <cell r="B5881" t="str">
            <v>ROULEMENT A ROULEAUX CONI</v>
          </cell>
          <cell r="C5881">
            <v>32315</v>
          </cell>
          <cell r="D5881" t="str">
            <v>PE</v>
          </cell>
          <cell r="E5881" t="str">
            <v>515.51515</v>
          </cell>
          <cell r="F5881">
            <v>541.25</v>
          </cell>
          <cell r="G5881">
            <v>2</v>
          </cell>
          <cell r="H5881">
            <v>0</v>
          </cell>
          <cell r="I5881">
            <v>0</v>
          </cell>
          <cell r="J5881">
            <v>0</v>
          </cell>
          <cell r="K5881">
            <v>0</v>
          </cell>
          <cell r="L5881">
            <v>4</v>
          </cell>
        </row>
        <row r="5882">
          <cell r="A5882" t="str">
            <v>20329.00593</v>
          </cell>
          <cell r="B5882" t="str">
            <v>ROULEMENT A ROULEAUX CONI</v>
          </cell>
          <cell r="C5882">
            <v>32316</v>
          </cell>
          <cell r="D5882" t="str">
            <v>PE</v>
          </cell>
          <cell r="E5882" t="str">
            <v>515.51515</v>
          </cell>
          <cell r="F5882">
            <v>933.94669999999996</v>
          </cell>
          <cell r="G5882">
            <v>0</v>
          </cell>
          <cell r="H5882">
            <v>0</v>
          </cell>
          <cell r="I5882">
            <v>0</v>
          </cell>
          <cell r="J5882">
            <v>0</v>
          </cell>
          <cell r="K5882">
            <v>0</v>
          </cell>
          <cell r="L5882">
            <v>9</v>
          </cell>
        </row>
        <row r="5883">
          <cell r="A5883" t="str">
            <v>20329.00594</v>
          </cell>
          <cell r="B5883" t="str">
            <v>ROULEMENT A ROULEAUX CONI</v>
          </cell>
          <cell r="C5883">
            <v>32317</v>
          </cell>
          <cell r="D5883" t="str">
            <v>PE</v>
          </cell>
          <cell r="E5883" t="str">
            <v>515.51515</v>
          </cell>
          <cell r="F5883">
            <v>876.15</v>
          </cell>
          <cell r="G5883">
            <v>0</v>
          </cell>
          <cell r="H5883">
            <v>0</v>
          </cell>
          <cell r="I5883">
            <v>0</v>
          </cell>
          <cell r="J5883">
            <v>0</v>
          </cell>
          <cell r="K5883">
            <v>0</v>
          </cell>
          <cell r="L5883">
            <v>2</v>
          </cell>
        </row>
        <row r="5884">
          <cell r="A5884" t="str">
            <v>20329.00596</v>
          </cell>
          <cell r="B5884" t="str">
            <v>ROULEMENT A ROULEAUX CONI</v>
          </cell>
          <cell r="C5884">
            <v>32319</v>
          </cell>
          <cell r="D5884" t="str">
            <v>PE</v>
          </cell>
          <cell r="E5884" t="str">
            <v>515.51515</v>
          </cell>
          <cell r="F5884">
            <v>827.13</v>
          </cell>
          <cell r="G5884">
            <v>0</v>
          </cell>
          <cell r="H5884">
            <v>0</v>
          </cell>
          <cell r="I5884">
            <v>0</v>
          </cell>
          <cell r="J5884">
            <v>0</v>
          </cell>
          <cell r="K5884">
            <v>0</v>
          </cell>
          <cell r="L5884">
            <v>1</v>
          </cell>
        </row>
        <row r="5885">
          <cell r="A5885" t="str">
            <v>20329.00583</v>
          </cell>
          <cell r="B5885" t="str">
            <v>ROULEMENT A ROULEAUX CONI</v>
          </cell>
          <cell r="C5885">
            <v>32306</v>
          </cell>
          <cell r="D5885" t="str">
            <v>PE</v>
          </cell>
          <cell r="E5885" t="str">
            <v>515.51515</v>
          </cell>
          <cell r="F5885">
            <v>93.04</v>
          </cell>
          <cell r="G5885">
            <v>0</v>
          </cell>
          <cell r="H5885">
            <v>0</v>
          </cell>
          <cell r="I5885">
            <v>0</v>
          </cell>
          <cell r="J5885">
            <v>0</v>
          </cell>
          <cell r="K5885">
            <v>1</v>
          </cell>
          <cell r="L5885">
            <v>0</v>
          </cell>
        </row>
        <row r="5886">
          <cell r="A5886" t="str">
            <v>20329.00578</v>
          </cell>
          <cell r="B5886" t="str">
            <v>ROULEMENT A ROULEAUX  32220CK/W33</v>
          </cell>
          <cell r="C5886">
            <v>32220</v>
          </cell>
          <cell r="D5886" t="str">
            <v>PE</v>
          </cell>
          <cell r="E5886" t="str">
            <v>515.51515</v>
          </cell>
          <cell r="F5886">
            <v>549.84</v>
          </cell>
          <cell r="G5886">
            <v>0</v>
          </cell>
          <cell r="H5886">
            <v>0</v>
          </cell>
          <cell r="I5886">
            <v>0</v>
          </cell>
          <cell r="J5886">
            <v>0</v>
          </cell>
          <cell r="K5886">
            <v>0</v>
          </cell>
          <cell r="L5886">
            <v>2</v>
          </cell>
        </row>
        <row r="5887">
          <cell r="A5887" t="str">
            <v>20325.00083</v>
          </cell>
          <cell r="B5887" t="str">
            <v>ROULEMENT A BILLES</v>
          </cell>
          <cell r="C5887" t="str">
            <v>6307-2Z</v>
          </cell>
          <cell r="D5887" t="str">
            <v>PE</v>
          </cell>
          <cell r="E5887" t="str">
            <v>515.51515</v>
          </cell>
          <cell r="F5887">
            <v>45.86</v>
          </cell>
          <cell r="G5887">
            <v>0</v>
          </cell>
          <cell r="H5887">
            <v>0</v>
          </cell>
          <cell r="I5887">
            <v>0</v>
          </cell>
          <cell r="J5887">
            <v>0</v>
          </cell>
          <cell r="K5887">
            <v>2</v>
          </cell>
          <cell r="L5887">
            <v>0</v>
          </cell>
        </row>
        <row r="5888">
          <cell r="A5888" t="str">
            <v>20329.00086</v>
          </cell>
          <cell r="B5888" t="str">
            <v>ROULEMENT</v>
          </cell>
          <cell r="C5888" t="str">
            <v>H924045+H924010</v>
          </cell>
          <cell r="D5888" t="str">
            <v>PE</v>
          </cell>
          <cell r="E5888" t="str">
            <v>515.51515</v>
          </cell>
          <cell r="F5888">
            <v>4149.2330000000002</v>
          </cell>
          <cell r="G5888">
            <v>0</v>
          </cell>
          <cell r="H5888">
            <v>2</v>
          </cell>
          <cell r="I5888">
            <v>0</v>
          </cell>
          <cell r="J5888">
            <v>0</v>
          </cell>
          <cell r="K5888">
            <v>0</v>
          </cell>
          <cell r="L5888">
            <v>0</v>
          </cell>
        </row>
        <row r="5889">
          <cell r="A5889" t="str">
            <v>20325.01469</v>
          </cell>
          <cell r="B5889" t="str">
            <v xml:space="preserve">PALIER </v>
          </cell>
          <cell r="C5889" t="str">
            <v>SNL 511-609</v>
          </cell>
          <cell r="D5889" t="str">
            <v>PE</v>
          </cell>
          <cell r="E5889" t="str">
            <v>515.51515</v>
          </cell>
          <cell r="F5889">
            <v>312.3</v>
          </cell>
          <cell r="G5889">
            <v>0</v>
          </cell>
          <cell r="H5889">
            <v>0</v>
          </cell>
          <cell r="I5889">
            <v>0</v>
          </cell>
          <cell r="J5889">
            <v>0</v>
          </cell>
          <cell r="K5889">
            <v>0</v>
          </cell>
          <cell r="L5889">
            <v>2</v>
          </cell>
        </row>
        <row r="5890">
          <cell r="A5890" t="str">
            <v>20325.01470</v>
          </cell>
          <cell r="B5890" t="str">
            <v xml:space="preserve">BAGUE D'ARRET </v>
          </cell>
          <cell r="C5890" t="str">
            <v>FRB 4/100</v>
          </cell>
          <cell r="D5890" t="str">
            <v>PE</v>
          </cell>
          <cell r="E5890" t="str">
            <v>515.51515</v>
          </cell>
          <cell r="F5890">
            <v>20.67</v>
          </cell>
          <cell r="G5890">
            <v>0</v>
          </cell>
          <cell r="H5890">
            <v>0</v>
          </cell>
          <cell r="I5890">
            <v>0</v>
          </cell>
          <cell r="J5890">
            <v>0</v>
          </cell>
          <cell r="K5890">
            <v>2</v>
          </cell>
          <cell r="L5890">
            <v>0</v>
          </cell>
        </row>
        <row r="5891">
          <cell r="A5891" t="str">
            <v>20323.07591</v>
          </cell>
          <cell r="B5891" t="str">
            <v>CONTROLEUR P/RESEAU  MODBUS</v>
          </cell>
          <cell r="C5891" t="str">
            <v>LTM R100MFM</v>
          </cell>
          <cell r="D5891" t="str">
            <v>PE</v>
          </cell>
          <cell r="E5891" t="str">
            <v>522.52206</v>
          </cell>
          <cell r="F5891">
            <v>1655</v>
          </cell>
          <cell r="G5891">
            <v>0</v>
          </cell>
          <cell r="H5891">
            <v>1</v>
          </cell>
          <cell r="I5891">
            <v>0</v>
          </cell>
          <cell r="J5891">
            <v>0</v>
          </cell>
          <cell r="K5891">
            <v>0</v>
          </cell>
          <cell r="L5891">
            <v>2</v>
          </cell>
        </row>
        <row r="5892">
          <cell r="A5892" t="str">
            <v>20323.07596</v>
          </cell>
          <cell r="B5892" t="str">
            <v>BOUTON POUSSOIR ROUGE DIAM:22 A IMPULSION AFFLEURANT</v>
          </cell>
          <cell r="C5892" t="str">
            <v>XB5 AA42</v>
          </cell>
          <cell r="D5892" t="str">
            <v>PE</v>
          </cell>
          <cell r="E5892" t="str">
            <v>522.52206</v>
          </cell>
          <cell r="F5892">
            <v>39.700000000000003</v>
          </cell>
          <cell r="G5892">
            <v>0</v>
          </cell>
          <cell r="H5892">
            <v>4</v>
          </cell>
          <cell r="I5892">
            <v>0</v>
          </cell>
          <cell r="J5892">
            <v>2</v>
          </cell>
          <cell r="K5892">
            <v>0</v>
          </cell>
          <cell r="L5892">
            <v>64</v>
          </cell>
        </row>
        <row r="5893">
          <cell r="A5893" t="str">
            <v>20325.01471</v>
          </cell>
          <cell r="B5893" t="str">
            <v xml:space="preserve">JOINT </v>
          </cell>
          <cell r="C5893" t="str">
            <v>TSN 609G</v>
          </cell>
          <cell r="D5893" t="str">
            <v>PE</v>
          </cell>
          <cell r="E5893" t="str">
            <v>515.51515</v>
          </cell>
          <cell r="F5893">
            <v>50</v>
          </cell>
          <cell r="G5893">
            <v>0</v>
          </cell>
          <cell r="H5893">
            <v>0</v>
          </cell>
          <cell r="I5893">
            <v>0</v>
          </cell>
          <cell r="J5893">
            <v>0</v>
          </cell>
          <cell r="K5893">
            <v>2</v>
          </cell>
          <cell r="L5893">
            <v>0</v>
          </cell>
        </row>
        <row r="5894">
          <cell r="A5894" t="str">
            <v>20325.01752</v>
          </cell>
          <cell r="B5894" t="str">
            <v>BUTEE A BILLES</v>
          </cell>
          <cell r="C5894">
            <v>51205</v>
          </cell>
          <cell r="D5894" t="str">
            <v>PE</v>
          </cell>
          <cell r="E5894" t="str">
            <v>515.51515</v>
          </cell>
          <cell r="F5894">
            <v>69.214600000000004</v>
          </cell>
          <cell r="G5894">
            <v>0</v>
          </cell>
          <cell r="H5894">
            <v>0</v>
          </cell>
          <cell r="I5894">
            <v>0</v>
          </cell>
          <cell r="J5894">
            <v>0</v>
          </cell>
          <cell r="K5894">
            <v>0</v>
          </cell>
          <cell r="L5894">
            <v>0</v>
          </cell>
        </row>
        <row r="5895">
          <cell r="A5895" t="str">
            <v>20323.07598</v>
          </cell>
          <cell r="B5895" t="str">
            <v>VOYANT LUMINEUX DIAM:22 ORANGE A DEL INTEGREE 110/120Vac 50HZ</v>
          </cell>
          <cell r="C5895" t="str">
            <v>XB4 BVG5</v>
          </cell>
          <cell r="D5895" t="str">
            <v>PE</v>
          </cell>
          <cell r="E5895" t="str">
            <v>522.52206</v>
          </cell>
          <cell r="F5895">
            <v>33</v>
          </cell>
          <cell r="G5895">
            <v>0</v>
          </cell>
          <cell r="H5895">
            <v>0</v>
          </cell>
          <cell r="I5895">
            <v>1</v>
          </cell>
          <cell r="J5895">
            <v>0</v>
          </cell>
          <cell r="K5895">
            <v>0</v>
          </cell>
          <cell r="L5895">
            <v>99</v>
          </cell>
        </row>
        <row r="5896">
          <cell r="A5896" t="str">
            <v>20323.07599</v>
          </cell>
          <cell r="B5896" t="str">
            <v>VOYANT LUMINEUX DIAM:22 ROUGE A DEL INTEGREE 110/120Vac 50HZ</v>
          </cell>
          <cell r="C5896" t="str">
            <v>XB4 BVG4</v>
          </cell>
          <cell r="D5896" t="str">
            <v>PE</v>
          </cell>
          <cell r="E5896" t="str">
            <v>522.52206</v>
          </cell>
          <cell r="F5896">
            <v>33</v>
          </cell>
          <cell r="G5896">
            <v>0</v>
          </cell>
          <cell r="H5896">
            <v>0</v>
          </cell>
          <cell r="I5896">
            <v>1</v>
          </cell>
          <cell r="J5896">
            <v>0</v>
          </cell>
          <cell r="K5896">
            <v>0</v>
          </cell>
          <cell r="L5896">
            <v>99</v>
          </cell>
        </row>
        <row r="5897">
          <cell r="A5897" t="str">
            <v>20323.07600</v>
          </cell>
          <cell r="B5897" t="str">
            <v>VOYANT LUMINEUX DIAM:22 VERT A DEL INTEGREE 110/120Vac 50HZ</v>
          </cell>
          <cell r="C5897" t="str">
            <v>XB4 BVG3</v>
          </cell>
          <cell r="D5897" t="str">
            <v>PE</v>
          </cell>
          <cell r="E5897" t="str">
            <v>522.52206</v>
          </cell>
          <cell r="F5897">
            <v>33</v>
          </cell>
          <cell r="G5897">
            <v>0</v>
          </cell>
          <cell r="H5897">
            <v>0</v>
          </cell>
          <cell r="I5897">
            <v>1</v>
          </cell>
          <cell r="J5897">
            <v>0</v>
          </cell>
          <cell r="K5897">
            <v>0</v>
          </cell>
          <cell r="L5897">
            <v>99</v>
          </cell>
        </row>
        <row r="5898">
          <cell r="A5898" t="str">
            <v>20325.00854</v>
          </cell>
          <cell r="B5898" t="str">
            <v>ROULEMENT A ROTULE/RLX</v>
          </cell>
          <cell r="C5898" t="str">
            <v>22224 CC/W33</v>
          </cell>
          <cell r="D5898" t="str">
            <v>PE</v>
          </cell>
          <cell r="E5898" t="str">
            <v>515.51515</v>
          </cell>
          <cell r="F5898">
            <v>1364.07</v>
          </cell>
          <cell r="G5898">
            <v>0</v>
          </cell>
          <cell r="H5898">
            <v>1</v>
          </cell>
          <cell r="I5898">
            <v>1</v>
          </cell>
          <cell r="J5898">
            <v>1</v>
          </cell>
          <cell r="K5898">
            <v>0</v>
          </cell>
          <cell r="L5898">
            <v>0</v>
          </cell>
        </row>
        <row r="5899">
          <cell r="A5899" t="str">
            <v>20325.00087</v>
          </cell>
          <cell r="B5899" t="str">
            <v>ROULEMENT A BILLES</v>
          </cell>
          <cell r="C5899">
            <v>6205</v>
          </cell>
          <cell r="D5899" t="str">
            <v>PE</v>
          </cell>
          <cell r="E5899" t="str">
            <v>515.51515</v>
          </cell>
          <cell r="F5899">
            <v>12.713200000000001</v>
          </cell>
          <cell r="G5899">
            <v>0</v>
          </cell>
          <cell r="H5899">
            <v>0</v>
          </cell>
          <cell r="I5899">
            <v>0</v>
          </cell>
          <cell r="J5899">
            <v>0</v>
          </cell>
          <cell r="K5899">
            <v>0</v>
          </cell>
          <cell r="L5899">
            <v>2</v>
          </cell>
        </row>
        <row r="5900">
          <cell r="A5900" t="str">
            <v>20325.00088</v>
          </cell>
          <cell r="B5900" t="str">
            <v>ROULEMENT A BILLES</v>
          </cell>
          <cell r="C5900">
            <v>6207</v>
          </cell>
          <cell r="D5900" t="str">
            <v>PE</v>
          </cell>
          <cell r="E5900" t="str">
            <v>515.51515</v>
          </cell>
          <cell r="F5900">
            <v>30</v>
          </cell>
          <cell r="G5900">
            <v>0</v>
          </cell>
          <cell r="H5900">
            <v>0</v>
          </cell>
          <cell r="I5900">
            <v>0</v>
          </cell>
          <cell r="J5900">
            <v>0</v>
          </cell>
          <cell r="K5900">
            <v>4</v>
          </cell>
          <cell r="L5900">
            <v>0</v>
          </cell>
        </row>
        <row r="5901">
          <cell r="A5901" t="str">
            <v>20325.00300</v>
          </cell>
          <cell r="B5901" t="str">
            <v>ROULEMENT A BILLES</v>
          </cell>
          <cell r="C5901" t="str">
            <v>6312-2Z</v>
          </cell>
          <cell r="D5901" t="str">
            <v>PE</v>
          </cell>
          <cell r="E5901" t="str">
            <v>515.51515</v>
          </cell>
          <cell r="F5901">
            <v>121.95</v>
          </cell>
          <cell r="G5901">
            <v>0</v>
          </cell>
          <cell r="H5901">
            <v>0</v>
          </cell>
          <cell r="I5901">
            <v>0</v>
          </cell>
          <cell r="J5901">
            <v>0</v>
          </cell>
          <cell r="K5901">
            <v>0</v>
          </cell>
          <cell r="L5901">
            <v>2</v>
          </cell>
        </row>
        <row r="5902">
          <cell r="A5902" t="str">
            <v>20329.00838</v>
          </cell>
          <cell r="B5902" t="str">
            <v>ROULEMENT A ROULEAUX CONI</v>
          </cell>
          <cell r="C5902" t="str">
            <v>64450+64700D+X2S 64450</v>
          </cell>
          <cell r="D5902" t="str">
            <v>PE</v>
          </cell>
          <cell r="E5902" t="str">
            <v>515.51515</v>
          </cell>
          <cell r="F5902">
            <v>3004.672</v>
          </cell>
          <cell r="G5902">
            <v>0</v>
          </cell>
          <cell r="H5902">
            <v>0</v>
          </cell>
          <cell r="I5902">
            <v>4</v>
          </cell>
          <cell r="J5902">
            <v>0</v>
          </cell>
          <cell r="K5902">
            <v>0</v>
          </cell>
          <cell r="L5902">
            <v>0</v>
          </cell>
        </row>
        <row r="5903">
          <cell r="A5903" t="str">
            <v>20325.03886</v>
          </cell>
          <cell r="B5903" t="str">
            <v>ROULEMENT A BILLES</v>
          </cell>
          <cell r="C5903" t="str">
            <v>QJ 318 N2MA</v>
          </cell>
          <cell r="D5903" t="str">
            <v>PE</v>
          </cell>
          <cell r="E5903" t="str">
            <v>515.51515</v>
          </cell>
          <cell r="F5903">
            <v>2908.7314999999999</v>
          </cell>
          <cell r="G5903">
            <v>0</v>
          </cell>
          <cell r="H5903">
            <v>1</v>
          </cell>
          <cell r="I5903">
            <v>1</v>
          </cell>
          <cell r="J5903">
            <v>0</v>
          </cell>
          <cell r="K5903">
            <v>0</v>
          </cell>
          <cell r="L5903">
            <v>2</v>
          </cell>
        </row>
        <row r="5904">
          <cell r="A5904" t="str">
            <v>20323.07631</v>
          </cell>
          <cell r="B5904" t="str">
            <v>BOITE PENDANTE 2 BOUTONS + ARRET D'URGENCE</v>
          </cell>
          <cell r="C5904" t="str">
            <v>XAC-A2153</v>
          </cell>
          <cell r="D5904" t="str">
            <v>PE</v>
          </cell>
          <cell r="E5904" t="str">
            <v>522.52206</v>
          </cell>
          <cell r="F5904">
            <v>210</v>
          </cell>
          <cell r="G5904">
            <v>0</v>
          </cell>
          <cell r="H5904">
            <v>0</v>
          </cell>
          <cell r="I5904">
            <v>0</v>
          </cell>
          <cell r="J5904">
            <v>0</v>
          </cell>
          <cell r="K5904">
            <v>0</v>
          </cell>
          <cell r="L5904">
            <v>19</v>
          </cell>
        </row>
        <row r="5905">
          <cell r="A5905" t="str">
            <v>20325.03904</v>
          </cell>
          <cell r="B5905" t="str">
            <v>ROULEMENT A ROTULE S/RLX</v>
          </cell>
          <cell r="C5905" t="str">
            <v>22218 K/C3</v>
          </cell>
          <cell r="D5905" t="str">
            <v>PE</v>
          </cell>
          <cell r="E5905" t="str">
            <v>515.51515</v>
          </cell>
          <cell r="F5905">
            <v>594</v>
          </cell>
          <cell r="G5905">
            <v>0</v>
          </cell>
          <cell r="H5905">
            <v>0</v>
          </cell>
          <cell r="I5905">
            <v>0</v>
          </cell>
          <cell r="J5905">
            <v>0</v>
          </cell>
          <cell r="K5905">
            <v>0</v>
          </cell>
          <cell r="L5905">
            <v>4</v>
          </cell>
        </row>
        <row r="5906">
          <cell r="A5906" t="str">
            <v>20325.00064</v>
          </cell>
          <cell r="B5906" t="str">
            <v>ROULEMENT A ROULEAUX CYLI</v>
          </cell>
          <cell r="C5906" t="str">
            <v>NU 330</v>
          </cell>
          <cell r="D5906" t="str">
            <v>PE</v>
          </cell>
          <cell r="E5906" t="str">
            <v>515.51515</v>
          </cell>
          <cell r="F5906">
            <v>4874.7993999999999</v>
          </cell>
          <cell r="G5906">
            <v>0</v>
          </cell>
          <cell r="H5906">
            <v>0</v>
          </cell>
          <cell r="I5906">
            <v>0</v>
          </cell>
          <cell r="J5906">
            <v>0</v>
          </cell>
          <cell r="K5906">
            <v>0</v>
          </cell>
          <cell r="L5906">
            <v>0</v>
          </cell>
        </row>
        <row r="5907">
          <cell r="A5907" t="str">
            <v>20325.04122</v>
          </cell>
          <cell r="B5907" t="str">
            <v>ROULEMENT ROULEAU CYLIND</v>
          </cell>
          <cell r="C5907" t="str">
            <v>NU 316 ECP</v>
          </cell>
          <cell r="D5907" t="str">
            <v>PE</v>
          </cell>
          <cell r="E5907" t="str">
            <v>515.51515</v>
          </cell>
          <cell r="F5907">
            <v>887.6087</v>
          </cell>
          <cell r="G5907">
            <v>0</v>
          </cell>
          <cell r="H5907">
            <v>0</v>
          </cell>
          <cell r="I5907">
            <v>0</v>
          </cell>
          <cell r="J5907">
            <v>0</v>
          </cell>
          <cell r="K5907">
            <v>0</v>
          </cell>
          <cell r="L5907">
            <v>8</v>
          </cell>
        </row>
        <row r="5908">
          <cell r="A5908" t="str">
            <v>20325.00322</v>
          </cell>
          <cell r="B5908" t="str">
            <v>RONDELLE FREIN POUR ECROU</v>
          </cell>
          <cell r="C5908" t="str">
            <v>MB 20</v>
          </cell>
          <cell r="D5908" t="str">
            <v>PE</v>
          </cell>
          <cell r="E5908" t="str">
            <v>515.51515</v>
          </cell>
          <cell r="F5908">
            <v>7.75</v>
          </cell>
          <cell r="G5908">
            <v>0</v>
          </cell>
          <cell r="H5908">
            <v>0</v>
          </cell>
          <cell r="I5908">
            <v>0</v>
          </cell>
          <cell r="J5908">
            <v>0</v>
          </cell>
          <cell r="K5908">
            <v>0</v>
          </cell>
          <cell r="L5908">
            <v>2</v>
          </cell>
        </row>
        <row r="5909">
          <cell r="A5909" t="str">
            <v>20325.00054</v>
          </cell>
          <cell r="B5909" t="str">
            <v>ROULEMENT A BILLES</v>
          </cell>
          <cell r="C5909">
            <v>3308</v>
          </cell>
          <cell r="D5909" t="str">
            <v>PE</v>
          </cell>
          <cell r="E5909" t="str">
            <v>515.51515</v>
          </cell>
          <cell r="F5909">
            <v>201.57</v>
          </cell>
          <cell r="G5909">
            <v>0</v>
          </cell>
          <cell r="H5909">
            <v>0</v>
          </cell>
          <cell r="I5909">
            <v>0</v>
          </cell>
          <cell r="J5909">
            <v>0</v>
          </cell>
          <cell r="K5909">
            <v>0</v>
          </cell>
          <cell r="L5909">
            <v>4</v>
          </cell>
        </row>
        <row r="5910">
          <cell r="A5910" t="str">
            <v>20325.01803</v>
          </cell>
          <cell r="B5910" t="str">
            <v>ROULEMENT A ROULEAUX CYLI</v>
          </cell>
          <cell r="C5910" t="str">
            <v>NU 2217 E</v>
          </cell>
          <cell r="D5910" t="str">
            <v>PE</v>
          </cell>
          <cell r="E5910" t="str">
            <v>515.51515</v>
          </cell>
          <cell r="F5910">
            <v>886.524</v>
          </cell>
          <cell r="G5910">
            <v>0</v>
          </cell>
          <cell r="H5910">
            <v>5</v>
          </cell>
          <cell r="I5910">
            <v>0</v>
          </cell>
          <cell r="J5910">
            <v>0</v>
          </cell>
          <cell r="K5910">
            <v>0</v>
          </cell>
          <cell r="L5910">
            <v>3</v>
          </cell>
        </row>
        <row r="5911">
          <cell r="A5911" t="str">
            <v>20325.01810</v>
          </cell>
          <cell r="B5911" t="str">
            <v>ROULEMENT A ROULEAUX CYLI</v>
          </cell>
          <cell r="C5911" t="str">
            <v>NU 311/C3</v>
          </cell>
          <cell r="D5911" t="str">
            <v>PE</v>
          </cell>
          <cell r="E5911" t="str">
            <v>515.51515</v>
          </cell>
          <cell r="F5911">
            <v>219.7406</v>
          </cell>
          <cell r="G5911">
            <v>0</v>
          </cell>
          <cell r="H5911">
            <v>4</v>
          </cell>
          <cell r="I5911">
            <v>2</v>
          </cell>
          <cell r="J5911">
            <v>1</v>
          </cell>
          <cell r="K5911">
            <v>5</v>
          </cell>
          <cell r="L5911">
            <v>0</v>
          </cell>
        </row>
        <row r="5912">
          <cell r="A5912" t="str">
            <v>20325.01809</v>
          </cell>
          <cell r="B5912" t="str">
            <v>ROULEMENT A ROULEAUX CYLI</v>
          </cell>
          <cell r="C5912" t="str">
            <v>NU 307/C3</v>
          </cell>
          <cell r="D5912" t="str">
            <v>PE</v>
          </cell>
          <cell r="E5912" t="str">
            <v>515.51515</v>
          </cell>
          <cell r="F5912">
            <v>195.7698</v>
          </cell>
          <cell r="G5912">
            <v>0</v>
          </cell>
          <cell r="H5912">
            <v>0</v>
          </cell>
          <cell r="I5912">
            <v>0</v>
          </cell>
          <cell r="J5912">
            <v>0</v>
          </cell>
          <cell r="K5912">
            <v>4</v>
          </cell>
          <cell r="L5912">
            <v>0</v>
          </cell>
        </row>
        <row r="5913">
          <cell r="A5913" t="str">
            <v>20325.00075</v>
          </cell>
          <cell r="B5913" t="str">
            <v>ROULEMENT A BILLES</v>
          </cell>
          <cell r="C5913">
            <v>6307</v>
          </cell>
          <cell r="D5913" t="str">
            <v>PE</v>
          </cell>
          <cell r="E5913" t="str">
            <v>515.51515</v>
          </cell>
          <cell r="F5913">
            <v>38.25</v>
          </cell>
          <cell r="G5913">
            <v>0</v>
          </cell>
          <cell r="H5913">
            <v>0</v>
          </cell>
          <cell r="I5913">
            <v>0</v>
          </cell>
          <cell r="J5913">
            <v>0</v>
          </cell>
          <cell r="K5913">
            <v>0</v>
          </cell>
          <cell r="L5913">
            <v>1</v>
          </cell>
        </row>
        <row r="5914">
          <cell r="A5914" t="str">
            <v>20325.04127</v>
          </cell>
          <cell r="B5914" t="str">
            <v>ROULEMENT A BILLES</v>
          </cell>
          <cell r="C5914" t="str">
            <v>6210 2ZC3</v>
          </cell>
          <cell r="D5914" t="str">
            <v>PE</v>
          </cell>
          <cell r="E5914" t="str">
            <v>515.51515</v>
          </cell>
          <cell r="F5914">
            <v>88.951599999999999</v>
          </cell>
          <cell r="G5914">
            <v>0</v>
          </cell>
          <cell r="H5914">
            <v>0</v>
          </cell>
          <cell r="I5914">
            <v>0</v>
          </cell>
          <cell r="J5914">
            <v>0</v>
          </cell>
          <cell r="K5914">
            <v>4</v>
          </cell>
          <cell r="L5914">
            <v>0</v>
          </cell>
        </row>
        <row r="5915">
          <cell r="A5915" t="str">
            <v>20325.08358</v>
          </cell>
          <cell r="B5915" t="str">
            <v>ROULEMENT A BILLES</v>
          </cell>
          <cell r="C5915" t="str">
            <v>7310 BECBM</v>
          </cell>
          <cell r="D5915" t="str">
            <v>PE</v>
          </cell>
          <cell r="E5915" t="str">
            <v>515.51515</v>
          </cell>
          <cell r="F5915">
            <v>325.49259999999998</v>
          </cell>
          <cell r="G5915">
            <v>0</v>
          </cell>
          <cell r="H5915">
            <v>2</v>
          </cell>
          <cell r="I5915">
            <v>0</v>
          </cell>
          <cell r="J5915">
            <v>0</v>
          </cell>
          <cell r="K5915">
            <v>0</v>
          </cell>
          <cell r="L5915">
            <v>0</v>
          </cell>
        </row>
        <row r="5916">
          <cell r="A5916" t="str">
            <v>20325.04129</v>
          </cell>
          <cell r="B5916" t="str">
            <v>ROULEMENT A BILLES</v>
          </cell>
          <cell r="C5916" t="str">
            <v>6308 2ZC3</v>
          </cell>
          <cell r="D5916" t="str">
            <v>PE</v>
          </cell>
          <cell r="E5916" t="str">
            <v>515.51515</v>
          </cell>
          <cell r="F5916">
            <v>49.159500000000001</v>
          </cell>
          <cell r="G5916">
            <v>0</v>
          </cell>
          <cell r="H5916">
            <v>2</v>
          </cell>
          <cell r="I5916">
            <v>0</v>
          </cell>
          <cell r="J5916">
            <v>0</v>
          </cell>
          <cell r="K5916">
            <v>0</v>
          </cell>
          <cell r="L5916">
            <v>0</v>
          </cell>
        </row>
        <row r="5917">
          <cell r="A5917" t="str">
            <v>20325.03438</v>
          </cell>
          <cell r="B5917" t="str">
            <v>ECROU DE SERRAGE</v>
          </cell>
          <cell r="C5917" t="str">
            <v>KM 24</v>
          </cell>
          <cell r="D5917" t="str">
            <v>PE</v>
          </cell>
          <cell r="E5917" t="str">
            <v>515.51515</v>
          </cell>
          <cell r="F5917">
            <v>298.31970000000001</v>
          </cell>
          <cell r="G5917">
            <v>0</v>
          </cell>
          <cell r="H5917">
            <v>0</v>
          </cell>
          <cell r="I5917">
            <v>0</v>
          </cell>
          <cell r="J5917">
            <v>0</v>
          </cell>
          <cell r="K5917">
            <v>0</v>
          </cell>
          <cell r="L5917">
            <v>4</v>
          </cell>
        </row>
        <row r="5918">
          <cell r="A5918" t="str">
            <v>20325.04060</v>
          </cell>
          <cell r="B5918" t="str">
            <v>ROULEMENT A BILLES</v>
          </cell>
          <cell r="C5918" t="str">
            <v>6205 2Z/C3</v>
          </cell>
          <cell r="D5918" t="str">
            <v>PE</v>
          </cell>
          <cell r="E5918" t="str">
            <v>515.51515</v>
          </cell>
          <cell r="F5918">
            <v>23.806699999999999</v>
          </cell>
          <cell r="G5918">
            <v>0</v>
          </cell>
          <cell r="H5918">
            <v>0</v>
          </cell>
          <cell r="I5918">
            <v>0</v>
          </cell>
          <cell r="J5918">
            <v>0</v>
          </cell>
          <cell r="K5918">
            <v>4</v>
          </cell>
          <cell r="L5918">
            <v>0</v>
          </cell>
        </row>
        <row r="5919">
          <cell r="A5919" t="str">
            <v>20325.04061</v>
          </cell>
          <cell r="B5919" t="str">
            <v>ROULEMENT A BILLES</v>
          </cell>
          <cell r="C5919" t="str">
            <v>6206 2Z/C3</v>
          </cell>
          <cell r="D5919" t="str">
            <v>PE</v>
          </cell>
          <cell r="E5919" t="str">
            <v>515.51515</v>
          </cell>
          <cell r="F5919">
            <v>34.164400000000001</v>
          </cell>
          <cell r="G5919">
            <v>0</v>
          </cell>
          <cell r="H5919">
            <v>0</v>
          </cell>
          <cell r="I5919">
            <v>0</v>
          </cell>
          <cell r="J5919">
            <v>0</v>
          </cell>
          <cell r="K5919">
            <v>0</v>
          </cell>
          <cell r="L5919">
            <v>0</v>
          </cell>
        </row>
        <row r="5920">
          <cell r="A5920" t="str">
            <v>20325.00774</v>
          </cell>
          <cell r="B5920" t="str">
            <v>RONDELLE FREIN POUR ECROU</v>
          </cell>
          <cell r="C5920" t="str">
            <v>MB 15</v>
          </cell>
          <cell r="D5920" t="str">
            <v>PE</v>
          </cell>
          <cell r="E5920" t="str">
            <v>515.51515</v>
          </cell>
          <cell r="F5920">
            <v>11.0771</v>
          </cell>
          <cell r="G5920">
            <v>0</v>
          </cell>
          <cell r="H5920">
            <v>0</v>
          </cell>
          <cell r="I5920">
            <v>0</v>
          </cell>
          <cell r="J5920">
            <v>0</v>
          </cell>
          <cell r="K5920">
            <v>3</v>
          </cell>
          <cell r="L5920">
            <v>0</v>
          </cell>
        </row>
        <row r="5921">
          <cell r="A5921" t="str">
            <v>20323.07437</v>
          </cell>
          <cell r="B5921" t="str">
            <v>COMMUTATEUR A DEUX POSITIONS</v>
          </cell>
          <cell r="C5921" t="str">
            <v>ZBV-B3</v>
          </cell>
          <cell r="D5921" t="str">
            <v>PE</v>
          </cell>
          <cell r="E5921" t="str">
            <v>522.52206</v>
          </cell>
          <cell r="F5921">
            <v>42.970100000000002</v>
          </cell>
          <cell r="G5921">
            <v>0</v>
          </cell>
          <cell r="H5921">
            <v>0</v>
          </cell>
          <cell r="I5921">
            <v>0</v>
          </cell>
          <cell r="J5921">
            <v>0</v>
          </cell>
          <cell r="K5921">
            <v>0</v>
          </cell>
          <cell r="L5921">
            <v>0</v>
          </cell>
        </row>
        <row r="5922">
          <cell r="A5922" t="str">
            <v>20323.07433</v>
          </cell>
          <cell r="B5922" t="str">
            <v>BOUTON ARRET NC</v>
          </cell>
          <cell r="C5922" t="str">
            <v>ZBE-102</v>
          </cell>
          <cell r="D5922" t="str">
            <v>PE</v>
          </cell>
          <cell r="E5922" t="str">
            <v>522.52206</v>
          </cell>
          <cell r="F5922">
            <v>25.019400000000001</v>
          </cell>
          <cell r="G5922">
            <v>0</v>
          </cell>
          <cell r="H5922">
            <v>0</v>
          </cell>
          <cell r="I5922">
            <v>0</v>
          </cell>
          <cell r="J5922">
            <v>0</v>
          </cell>
          <cell r="K5922">
            <v>0</v>
          </cell>
          <cell r="L5922">
            <v>0</v>
          </cell>
        </row>
        <row r="5923">
          <cell r="A5923" t="str">
            <v>20323.07434</v>
          </cell>
          <cell r="B5923" t="str">
            <v>BOUTON MARCHE NO</v>
          </cell>
          <cell r="C5923" t="str">
            <v>ZBE-101</v>
          </cell>
          <cell r="D5923" t="str">
            <v>PE</v>
          </cell>
          <cell r="E5923" t="str">
            <v>522.52206</v>
          </cell>
          <cell r="F5923">
            <v>25.019400000000001</v>
          </cell>
          <cell r="G5923">
            <v>0</v>
          </cell>
          <cell r="H5923">
            <v>0</v>
          </cell>
          <cell r="I5923">
            <v>0</v>
          </cell>
          <cell r="J5923">
            <v>0</v>
          </cell>
          <cell r="K5923">
            <v>0</v>
          </cell>
          <cell r="L5923">
            <v>0</v>
          </cell>
        </row>
        <row r="5924">
          <cell r="A5924" t="str">
            <v>20323.07435</v>
          </cell>
          <cell r="B5924" t="str">
            <v>VOYANT ROUGE</v>
          </cell>
          <cell r="C5924" t="str">
            <v>ZBV-B4</v>
          </cell>
          <cell r="D5924" t="str">
            <v>PE</v>
          </cell>
          <cell r="E5924" t="str">
            <v>522.52206</v>
          </cell>
          <cell r="F5924">
            <v>42.970100000000002</v>
          </cell>
          <cell r="G5924">
            <v>0</v>
          </cell>
          <cell r="H5924">
            <v>0</v>
          </cell>
          <cell r="I5924">
            <v>0</v>
          </cell>
          <cell r="J5924">
            <v>0</v>
          </cell>
          <cell r="K5924">
            <v>0</v>
          </cell>
          <cell r="L5924">
            <v>0</v>
          </cell>
        </row>
        <row r="5925">
          <cell r="A5925" t="str">
            <v>20323.07436</v>
          </cell>
          <cell r="B5925" t="str">
            <v>VOYANT BLANC</v>
          </cell>
          <cell r="C5925" t="str">
            <v>ZBV-B1</v>
          </cell>
          <cell r="D5925" t="str">
            <v>PE</v>
          </cell>
          <cell r="E5925" t="str">
            <v>522.52206</v>
          </cell>
          <cell r="F5925">
            <v>42.970100000000002</v>
          </cell>
          <cell r="G5925">
            <v>0</v>
          </cell>
          <cell r="H5925">
            <v>0</v>
          </cell>
          <cell r="I5925">
            <v>0</v>
          </cell>
          <cell r="J5925">
            <v>0</v>
          </cell>
          <cell r="K5925">
            <v>0</v>
          </cell>
          <cell r="L5925">
            <v>0</v>
          </cell>
        </row>
        <row r="5926">
          <cell r="A5926" t="str">
            <v>20325.00810</v>
          </cell>
          <cell r="B5926" t="str">
            <v>ROULEMENT A ROULEAUX CYLI</v>
          </cell>
          <cell r="C5926" t="str">
            <v>NUP 313</v>
          </cell>
          <cell r="D5926" t="str">
            <v>PE</v>
          </cell>
          <cell r="E5926" t="str">
            <v>515.51515</v>
          </cell>
          <cell r="F5926">
            <v>669.42</v>
          </cell>
          <cell r="G5926">
            <v>0</v>
          </cell>
          <cell r="H5926">
            <v>0</v>
          </cell>
          <cell r="I5926">
            <v>0</v>
          </cell>
          <cell r="J5926">
            <v>0</v>
          </cell>
          <cell r="K5926">
            <v>5</v>
          </cell>
          <cell r="L5926">
            <v>0</v>
          </cell>
        </row>
        <row r="5927">
          <cell r="A5927" t="str">
            <v>20323.07290</v>
          </cell>
          <cell r="B5927" t="str">
            <v>CONTACTEUR</v>
          </cell>
          <cell r="C5927" t="str">
            <v>LC1-K0601E7</v>
          </cell>
          <cell r="D5927" t="str">
            <v>PE</v>
          </cell>
          <cell r="E5927" t="str">
            <v>522.52206</v>
          </cell>
          <cell r="F5927">
            <v>71.28</v>
          </cell>
          <cell r="G5927">
            <v>0</v>
          </cell>
          <cell r="H5927">
            <v>0</v>
          </cell>
          <cell r="I5927">
            <v>0</v>
          </cell>
          <cell r="J5927">
            <v>0</v>
          </cell>
          <cell r="K5927">
            <v>2</v>
          </cell>
          <cell r="L5927">
            <v>0</v>
          </cell>
        </row>
        <row r="5928">
          <cell r="A5928" t="str">
            <v>20325.00833</v>
          </cell>
          <cell r="B5928" t="str">
            <v>ROULEMENT A ROTULE/RLX 23026CC/W33</v>
          </cell>
          <cell r="C5928" t="str">
            <v>23026 CC/W33</v>
          </cell>
          <cell r="D5928" t="str">
            <v>PE</v>
          </cell>
          <cell r="E5928" t="str">
            <v>515.51515</v>
          </cell>
          <cell r="F5928">
            <v>1205.3399999999999</v>
          </cell>
          <cell r="G5928">
            <v>0</v>
          </cell>
          <cell r="H5928">
            <v>1</v>
          </cell>
          <cell r="I5928">
            <v>0</v>
          </cell>
          <cell r="J5928">
            <v>0</v>
          </cell>
          <cell r="K5928">
            <v>1</v>
          </cell>
          <cell r="L5928">
            <v>1</v>
          </cell>
        </row>
        <row r="5929">
          <cell r="A5929" t="str">
            <v>20325.00003</v>
          </cell>
          <cell r="B5929" t="str">
            <v>ROULEMENT A BILLES</v>
          </cell>
          <cell r="C5929">
            <v>6006</v>
          </cell>
          <cell r="D5929" t="str">
            <v>PE</v>
          </cell>
          <cell r="E5929" t="str">
            <v>515.51515</v>
          </cell>
          <cell r="F5929">
            <v>23.132999999999999</v>
          </cell>
          <cell r="G5929">
            <v>0</v>
          </cell>
          <cell r="H5929">
            <v>0</v>
          </cell>
          <cell r="I5929">
            <v>0</v>
          </cell>
          <cell r="J5929">
            <v>0</v>
          </cell>
          <cell r="K5929">
            <v>2</v>
          </cell>
          <cell r="L5929">
            <v>0</v>
          </cell>
        </row>
        <row r="5930">
          <cell r="A5930" t="str">
            <v>20323.01433</v>
          </cell>
          <cell r="B5930" t="str">
            <v>DEMARREUR ELECTRONIQUE</v>
          </cell>
          <cell r="C5930" t="str">
            <v>ATS 48C 48Y 400V 220KW</v>
          </cell>
          <cell r="D5930" t="str">
            <v>PE</v>
          </cell>
          <cell r="E5930" t="str">
            <v>522.52206</v>
          </cell>
          <cell r="F5930">
            <v>27803.200000000001</v>
          </cell>
          <cell r="G5930">
            <v>0</v>
          </cell>
          <cell r="H5930">
            <v>0</v>
          </cell>
          <cell r="I5930">
            <v>0</v>
          </cell>
          <cell r="J5930">
            <v>1</v>
          </cell>
          <cell r="K5930">
            <v>0</v>
          </cell>
          <cell r="L5930">
            <v>0</v>
          </cell>
        </row>
        <row r="5931">
          <cell r="A5931" t="str">
            <v>20325.03361</v>
          </cell>
          <cell r="B5931" t="str">
            <v>MANCHON DE SERRAGE</v>
          </cell>
          <cell r="C5931" t="str">
            <v>H 316</v>
          </cell>
          <cell r="D5931" t="str">
            <v>PE</v>
          </cell>
          <cell r="E5931" t="str">
            <v>515.51515</v>
          </cell>
          <cell r="F5931">
            <v>235.55779999999999</v>
          </cell>
          <cell r="G5931">
            <v>0</v>
          </cell>
          <cell r="H5931">
            <v>0</v>
          </cell>
          <cell r="I5931">
            <v>0</v>
          </cell>
          <cell r="J5931">
            <v>0</v>
          </cell>
          <cell r="K5931">
            <v>0</v>
          </cell>
          <cell r="L5931">
            <v>4</v>
          </cell>
        </row>
        <row r="5932">
          <cell r="A5932" t="str">
            <v>20325.03447</v>
          </cell>
          <cell r="B5932" t="str">
            <v>ECROU DE SERRAGE</v>
          </cell>
          <cell r="C5932" t="str">
            <v>KM 34</v>
          </cell>
          <cell r="D5932" t="str">
            <v>PE</v>
          </cell>
          <cell r="E5932" t="str">
            <v>515.51515</v>
          </cell>
          <cell r="F5932">
            <v>268.57</v>
          </cell>
          <cell r="G5932">
            <v>0</v>
          </cell>
          <cell r="H5932">
            <v>0</v>
          </cell>
          <cell r="I5932">
            <v>0</v>
          </cell>
          <cell r="J5932">
            <v>0</v>
          </cell>
          <cell r="K5932">
            <v>3</v>
          </cell>
          <cell r="L5932">
            <v>3</v>
          </cell>
        </row>
        <row r="5933">
          <cell r="A5933" t="str">
            <v>20325.03363</v>
          </cell>
          <cell r="B5933" t="str">
            <v>MANCHON DE SERRAGE H318</v>
          </cell>
          <cell r="C5933" t="str">
            <v>H 318</v>
          </cell>
          <cell r="D5933" t="str">
            <v>PE</v>
          </cell>
          <cell r="E5933" t="str">
            <v>515.51515</v>
          </cell>
          <cell r="F5933">
            <v>138.24</v>
          </cell>
          <cell r="G5933">
            <v>0</v>
          </cell>
          <cell r="H5933">
            <v>0</v>
          </cell>
          <cell r="I5933">
            <v>0</v>
          </cell>
          <cell r="J5933">
            <v>0</v>
          </cell>
          <cell r="K5933">
            <v>0</v>
          </cell>
          <cell r="L5933">
            <v>2</v>
          </cell>
        </row>
        <row r="5934">
          <cell r="A5934" t="str">
            <v>20325.03357</v>
          </cell>
          <cell r="B5934" t="str">
            <v>MANCHON DE SERRAGE H311</v>
          </cell>
          <cell r="C5934" t="str">
            <v>H 311</v>
          </cell>
          <cell r="D5934" t="str">
            <v>PE</v>
          </cell>
          <cell r="E5934" t="str">
            <v>515.51515</v>
          </cell>
          <cell r="F5934">
            <v>53.13</v>
          </cell>
          <cell r="G5934">
            <v>0</v>
          </cell>
          <cell r="H5934">
            <v>0</v>
          </cell>
          <cell r="I5934">
            <v>1</v>
          </cell>
          <cell r="J5934">
            <v>0</v>
          </cell>
          <cell r="K5934">
            <v>0</v>
          </cell>
          <cell r="L5934">
            <v>1</v>
          </cell>
        </row>
        <row r="5935">
          <cell r="A5935" t="str">
            <v>20325.03450</v>
          </cell>
          <cell r="B5935" t="str">
            <v>ECROU DE SERRAGE</v>
          </cell>
          <cell r="C5935" t="str">
            <v>KM 40</v>
          </cell>
          <cell r="D5935" t="str">
            <v>PE</v>
          </cell>
          <cell r="E5935" t="str">
            <v>515.51515</v>
          </cell>
          <cell r="F5935">
            <v>1002.852</v>
          </cell>
          <cell r="G5935">
            <v>0</v>
          </cell>
          <cell r="H5935">
            <v>0</v>
          </cell>
          <cell r="I5935">
            <v>0</v>
          </cell>
          <cell r="J5935">
            <v>0</v>
          </cell>
          <cell r="K5935">
            <v>3</v>
          </cell>
          <cell r="L5935">
            <v>0</v>
          </cell>
        </row>
        <row r="5936">
          <cell r="A5936" t="str">
            <v>20325.03763</v>
          </cell>
          <cell r="B5936" t="str">
            <v>ROULEMENT</v>
          </cell>
          <cell r="C5936" t="str">
            <v>6207 2Z C3</v>
          </cell>
          <cell r="D5936" t="str">
            <v>PE</v>
          </cell>
          <cell r="E5936" t="str">
            <v>515.51515</v>
          </cell>
          <cell r="F5936">
            <v>36.810600000000001</v>
          </cell>
          <cell r="G5936">
            <v>0</v>
          </cell>
          <cell r="H5936">
            <v>0</v>
          </cell>
          <cell r="I5936">
            <v>0</v>
          </cell>
          <cell r="J5936">
            <v>0</v>
          </cell>
          <cell r="K5936">
            <v>2</v>
          </cell>
          <cell r="L5936">
            <v>0</v>
          </cell>
        </row>
        <row r="5937">
          <cell r="A5937" t="str">
            <v>20325.00546</v>
          </cell>
          <cell r="B5937" t="str">
            <v>ROULEMENT A BILLES</v>
          </cell>
          <cell r="C5937" t="str">
            <v>7307 B</v>
          </cell>
          <cell r="D5937" t="str">
            <v>PE</v>
          </cell>
          <cell r="E5937" t="str">
            <v>515.51515</v>
          </cell>
          <cell r="F5937">
            <v>90.746700000000004</v>
          </cell>
          <cell r="G5937">
            <v>0</v>
          </cell>
          <cell r="H5937">
            <v>0</v>
          </cell>
          <cell r="I5937">
            <v>0</v>
          </cell>
          <cell r="J5937">
            <v>0</v>
          </cell>
          <cell r="K5937">
            <v>1</v>
          </cell>
          <cell r="L5937">
            <v>5</v>
          </cell>
        </row>
        <row r="5938">
          <cell r="A5938" t="str">
            <v>20325.03365</v>
          </cell>
          <cell r="B5938" t="str">
            <v>MANCHON DE SERRAGE</v>
          </cell>
          <cell r="C5938" t="str">
            <v>H 320</v>
          </cell>
          <cell r="D5938" t="str">
            <v>PE</v>
          </cell>
          <cell r="E5938" t="str">
            <v>515.51515</v>
          </cell>
          <cell r="F5938">
            <v>204.79</v>
          </cell>
          <cell r="G5938">
            <v>0</v>
          </cell>
          <cell r="H5938">
            <v>0</v>
          </cell>
          <cell r="I5938">
            <v>0</v>
          </cell>
          <cell r="J5938">
            <v>2</v>
          </cell>
          <cell r="K5938">
            <v>0</v>
          </cell>
          <cell r="L5938">
            <v>0</v>
          </cell>
        </row>
        <row r="5939">
          <cell r="A5939" t="str">
            <v>20325.03366</v>
          </cell>
          <cell r="B5939" t="str">
            <v>MANCHON DE SERRAGE H322</v>
          </cell>
          <cell r="C5939" t="str">
            <v>H 322</v>
          </cell>
          <cell r="D5939" t="str">
            <v>PE</v>
          </cell>
          <cell r="E5939" t="str">
            <v>515.51515</v>
          </cell>
          <cell r="F5939">
            <v>267.72000000000003</v>
          </cell>
          <cell r="G5939">
            <v>0</v>
          </cell>
          <cell r="H5939">
            <v>0</v>
          </cell>
          <cell r="I5939">
            <v>1</v>
          </cell>
          <cell r="J5939">
            <v>0</v>
          </cell>
          <cell r="K5939">
            <v>0</v>
          </cell>
          <cell r="L5939">
            <v>0</v>
          </cell>
        </row>
        <row r="5940">
          <cell r="A5940" t="str">
            <v>20325.04404</v>
          </cell>
          <cell r="B5940" t="str">
            <v>MANCHON DE SERRAGE</v>
          </cell>
          <cell r="C5940" t="str">
            <v>OH3044H</v>
          </cell>
          <cell r="D5940" t="str">
            <v>PE</v>
          </cell>
          <cell r="E5940" t="str">
            <v>515.51515</v>
          </cell>
          <cell r="F5940">
            <v>2530.83</v>
          </cell>
          <cell r="G5940">
            <v>0</v>
          </cell>
          <cell r="H5940">
            <v>0</v>
          </cell>
          <cell r="I5940">
            <v>0</v>
          </cell>
          <cell r="J5940">
            <v>0</v>
          </cell>
          <cell r="K5940">
            <v>0</v>
          </cell>
          <cell r="L5940">
            <v>4</v>
          </cell>
        </row>
        <row r="5941">
          <cell r="A5941" t="str">
            <v>20325.04506</v>
          </cell>
          <cell r="B5941" t="str">
            <v>PALIER</v>
          </cell>
          <cell r="C5941" t="str">
            <v>SNH 518</v>
          </cell>
          <cell r="D5941" t="str">
            <v>PE</v>
          </cell>
          <cell r="E5941" t="str">
            <v>515.51515</v>
          </cell>
          <cell r="F5941">
            <v>1522.96</v>
          </cell>
          <cell r="G5941">
            <v>0</v>
          </cell>
          <cell r="H5941">
            <v>0</v>
          </cell>
          <cell r="I5941">
            <v>0</v>
          </cell>
          <cell r="J5941">
            <v>0</v>
          </cell>
          <cell r="K5941">
            <v>1</v>
          </cell>
          <cell r="L5941">
            <v>0</v>
          </cell>
        </row>
        <row r="5942">
          <cell r="A5942" t="str">
            <v>20325.03823</v>
          </cell>
          <cell r="B5942" t="str">
            <v>ROULEMENT A BILLES</v>
          </cell>
          <cell r="C5942" t="str">
            <v>6016 C3</v>
          </cell>
          <cell r="D5942" t="str">
            <v>PE</v>
          </cell>
          <cell r="E5942" t="str">
            <v>515.51515</v>
          </cell>
          <cell r="F5942">
            <v>174.52</v>
          </cell>
          <cell r="G5942">
            <v>0</v>
          </cell>
          <cell r="H5942">
            <v>0</v>
          </cell>
          <cell r="I5942">
            <v>0</v>
          </cell>
          <cell r="J5942">
            <v>0</v>
          </cell>
          <cell r="K5942">
            <v>0</v>
          </cell>
          <cell r="L5942">
            <v>2</v>
          </cell>
        </row>
        <row r="5943">
          <cell r="A5943" t="str">
            <v>20325.00951</v>
          </cell>
          <cell r="B5943" t="str">
            <v>ROULEMENT A ROULEAUX CYLI</v>
          </cell>
          <cell r="C5943" t="str">
            <v>NU 311</v>
          </cell>
          <cell r="D5943" t="str">
            <v>PE</v>
          </cell>
          <cell r="E5943" t="str">
            <v>515.51515</v>
          </cell>
          <cell r="F5943">
            <v>357.38099999999997</v>
          </cell>
          <cell r="G5943">
            <v>0</v>
          </cell>
          <cell r="H5943">
            <v>0</v>
          </cell>
          <cell r="I5943">
            <v>0</v>
          </cell>
          <cell r="J5943">
            <v>0</v>
          </cell>
          <cell r="K5943">
            <v>0</v>
          </cell>
          <cell r="L5943">
            <v>0</v>
          </cell>
        </row>
        <row r="5944">
          <cell r="A5944" t="str">
            <v>20325.00557</v>
          </cell>
          <cell r="B5944" t="str">
            <v>ROULEMENT A BILLES</v>
          </cell>
          <cell r="C5944" t="str">
            <v>6312/C3</v>
          </cell>
          <cell r="D5944" t="str">
            <v>PE</v>
          </cell>
          <cell r="E5944" t="str">
            <v>515.51515</v>
          </cell>
          <cell r="F5944">
            <v>190.4898</v>
          </cell>
          <cell r="G5944">
            <v>0</v>
          </cell>
          <cell r="H5944">
            <v>0</v>
          </cell>
          <cell r="I5944">
            <v>0</v>
          </cell>
          <cell r="J5944">
            <v>0</v>
          </cell>
          <cell r="K5944">
            <v>7</v>
          </cell>
          <cell r="L5944">
            <v>0</v>
          </cell>
        </row>
        <row r="5945">
          <cell r="A5945" t="str">
            <v>20325.03464</v>
          </cell>
          <cell r="B5945" t="str">
            <v>RONDELLE FREIN POUR ECROU</v>
          </cell>
          <cell r="C5945" t="str">
            <v>MB 24</v>
          </cell>
          <cell r="D5945" t="str">
            <v>PE</v>
          </cell>
          <cell r="E5945" t="str">
            <v>515.51515</v>
          </cell>
          <cell r="F5945">
            <v>37.576500000000003</v>
          </cell>
          <cell r="G5945">
            <v>0</v>
          </cell>
          <cell r="H5945">
            <v>0</v>
          </cell>
          <cell r="I5945">
            <v>0</v>
          </cell>
          <cell r="J5945">
            <v>0</v>
          </cell>
          <cell r="K5945">
            <v>5</v>
          </cell>
          <cell r="L5945">
            <v>0</v>
          </cell>
        </row>
        <row r="5946">
          <cell r="A5946" t="str">
            <v>20212.01575</v>
          </cell>
          <cell r="B5946" t="str">
            <v>SILENT BLOC</v>
          </cell>
          <cell r="C5946" t="str">
            <v>1613 6752 01</v>
          </cell>
          <cell r="D5946" t="str">
            <v>PE</v>
          </cell>
          <cell r="E5946" t="str">
            <v>515.51504</v>
          </cell>
          <cell r="F5946">
            <v>585.47</v>
          </cell>
          <cell r="G5946">
            <v>0</v>
          </cell>
          <cell r="H5946">
            <v>0</v>
          </cell>
          <cell r="I5946">
            <v>0</v>
          </cell>
          <cell r="J5946">
            <v>0</v>
          </cell>
          <cell r="K5946">
            <v>0</v>
          </cell>
          <cell r="L5946">
            <v>2</v>
          </cell>
        </row>
        <row r="5947">
          <cell r="A5947" t="str">
            <v>20212.01579</v>
          </cell>
          <cell r="B5947" t="str">
            <v>RONDELLE</v>
          </cell>
          <cell r="C5947" t="str">
            <v>0301 2344 00</v>
          </cell>
          <cell r="D5947" t="str">
            <v>PE</v>
          </cell>
          <cell r="E5947" t="str">
            <v>515.51504</v>
          </cell>
          <cell r="F5947">
            <v>4</v>
          </cell>
          <cell r="G5947">
            <v>0</v>
          </cell>
          <cell r="H5947">
            <v>0</v>
          </cell>
          <cell r="I5947">
            <v>0</v>
          </cell>
          <cell r="J5947">
            <v>0</v>
          </cell>
          <cell r="K5947">
            <v>6</v>
          </cell>
          <cell r="L5947">
            <v>6</v>
          </cell>
        </row>
        <row r="5948">
          <cell r="A5948" t="str">
            <v>20325.05609</v>
          </cell>
          <cell r="B5948" t="str">
            <v>ROULEMENT</v>
          </cell>
          <cell r="C5948" t="str">
            <v>22220 E</v>
          </cell>
          <cell r="D5948" t="str">
            <v>PE</v>
          </cell>
          <cell r="E5948" t="str">
            <v>515.51515</v>
          </cell>
          <cell r="F5948">
            <v>743.87</v>
          </cell>
          <cell r="G5948">
            <v>0</v>
          </cell>
          <cell r="H5948">
            <v>0</v>
          </cell>
          <cell r="I5948">
            <v>0</v>
          </cell>
          <cell r="J5948">
            <v>0</v>
          </cell>
          <cell r="K5948">
            <v>0</v>
          </cell>
          <cell r="L5948">
            <v>2</v>
          </cell>
        </row>
        <row r="5949">
          <cell r="A5949" t="str">
            <v>20325.03456</v>
          </cell>
          <cell r="B5949" t="str">
            <v>RONDELLE FREIN POUR ECROU</v>
          </cell>
          <cell r="C5949" t="str">
            <v>MB 5</v>
          </cell>
          <cell r="D5949" t="str">
            <v>PE</v>
          </cell>
          <cell r="E5949" t="str">
            <v>515.51515</v>
          </cell>
          <cell r="F5949">
            <v>3.3573</v>
          </cell>
          <cell r="G5949">
            <v>0</v>
          </cell>
          <cell r="H5949">
            <v>0</v>
          </cell>
          <cell r="I5949">
            <v>0</v>
          </cell>
          <cell r="J5949">
            <v>0</v>
          </cell>
          <cell r="K5949">
            <v>16</v>
          </cell>
          <cell r="L5949">
            <v>0</v>
          </cell>
        </row>
        <row r="5950">
          <cell r="A5950" t="str">
            <v>20325.05602</v>
          </cell>
          <cell r="B5950" t="str">
            <v>ROULEMENT</v>
          </cell>
          <cell r="C5950" t="str">
            <v>22220 EK-C3</v>
          </cell>
          <cell r="D5950" t="str">
            <v>PE</v>
          </cell>
          <cell r="E5950" t="str">
            <v>515.51515</v>
          </cell>
          <cell r="F5950">
            <v>562.38229999999999</v>
          </cell>
          <cell r="G5950">
            <v>0</v>
          </cell>
          <cell r="H5950">
            <v>5</v>
          </cell>
          <cell r="I5950">
            <v>2</v>
          </cell>
          <cell r="J5950">
            <v>2</v>
          </cell>
          <cell r="K5950">
            <v>4</v>
          </cell>
          <cell r="L5950">
            <v>1</v>
          </cell>
        </row>
        <row r="5951">
          <cell r="A5951" t="str">
            <v>20212.01817</v>
          </cell>
          <cell r="B5951" t="str">
            <v>DURITE COMPLETE</v>
          </cell>
          <cell r="C5951" t="str">
            <v>0574 9914 15</v>
          </cell>
          <cell r="D5951" t="str">
            <v>PE</v>
          </cell>
          <cell r="E5951" t="str">
            <v>515.51504</v>
          </cell>
          <cell r="F5951">
            <v>702.07</v>
          </cell>
          <cell r="G5951">
            <v>0</v>
          </cell>
          <cell r="H5951">
            <v>0</v>
          </cell>
          <cell r="I5951">
            <v>0</v>
          </cell>
          <cell r="J5951">
            <v>0</v>
          </cell>
          <cell r="K5951">
            <v>0</v>
          </cell>
          <cell r="L5951">
            <v>1</v>
          </cell>
        </row>
        <row r="5952">
          <cell r="A5952" t="str">
            <v>20212.01820</v>
          </cell>
          <cell r="B5952" t="str">
            <v>JAUGE DE NIVEAU</v>
          </cell>
          <cell r="C5952" t="str">
            <v>1613 9020 00</v>
          </cell>
          <cell r="D5952" t="str">
            <v>PE</v>
          </cell>
          <cell r="E5952" t="str">
            <v>515.51504</v>
          </cell>
          <cell r="F5952">
            <v>702.61009999999999</v>
          </cell>
          <cell r="G5952">
            <v>0</v>
          </cell>
          <cell r="H5952">
            <v>0</v>
          </cell>
          <cell r="I5952">
            <v>0</v>
          </cell>
          <cell r="J5952">
            <v>0</v>
          </cell>
          <cell r="K5952">
            <v>0</v>
          </cell>
          <cell r="L5952">
            <v>2</v>
          </cell>
        </row>
        <row r="5953">
          <cell r="A5953" t="str">
            <v>20212.01822</v>
          </cell>
          <cell r="B5953" t="str">
            <v>JOINT TORIQUE</v>
          </cell>
          <cell r="C5953" t="str">
            <v>0663 2111 23</v>
          </cell>
          <cell r="D5953" t="str">
            <v>PE</v>
          </cell>
          <cell r="E5953" t="str">
            <v>515.51504</v>
          </cell>
          <cell r="F5953">
            <v>229.72800000000001</v>
          </cell>
          <cell r="G5953">
            <v>0</v>
          </cell>
          <cell r="H5953">
            <v>0</v>
          </cell>
          <cell r="I5953">
            <v>0</v>
          </cell>
          <cell r="J5953">
            <v>0</v>
          </cell>
          <cell r="K5953">
            <v>0</v>
          </cell>
          <cell r="L5953">
            <v>1</v>
          </cell>
        </row>
        <row r="5954">
          <cell r="A5954" t="str">
            <v>20212.01834</v>
          </cell>
          <cell r="B5954" t="str">
            <v>BAGUE D'USURE</v>
          </cell>
          <cell r="C5954" t="str">
            <v>1622 0009 00</v>
          </cell>
          <cell r="D5954" t="str">
            <v>PE</v>
          </cell>
          <cell r="E5954" t="str">
            <v>515.51504</v>
          </cell>
          <cell r="F5954">
            <v>550.79</v>
          </cell>
          <cell r="G5954">
            <v>0</v>
          </cell>
          <cell r="H5954">
            <v>0</v>
          </cell>
          <cell r="I5954">
            <v>0</v>
          </cell>
          <cell r="J5954">
            <v>0</v>
          </cell>
          <cell r="K5954">
            <v>0</v>
          </cell>
          <cell r="L5954">
            <v>1</v>
          </cell>
        </row>
        <row r="5955">
          <cell r="A5955" t="str">
            <v>20212.01835</v>
          </cell>
          <cell r="B5955" t="str">
            <v>ARRET D'HUILE</v>
          </cell>
          <cell r="C5955" t="str">
            <v>1616 5742 00</v>
          </cell>
          <cell r="D5955" t="str">
            <v>PE</v>
          </cell>
          <cell r="E5955" t="str">
            <v>515.51504</v>
          </cell>
          <cell r="F5955">
            <v>611.62</v>
          </cell>
          <cell r="G5955">
            <v>0</v>
          </cell>
          <cell r="H5955">
            <v>0</v>
          </cell>
          <cell r="I5955">
            <v>0</v>
          </cell>
          <cell r="J5955">
            <v>0</v>
          </cell>
          <cell r="K5955">
            <v>0</v>
          </cell>
          <cell r="L5955">
            <v>1</v>
          </cell>
        </row>
        <row r="5956">
          <cell r="A5956" t="str">
            <v>20212.01837</v>
          </cell>
          <cell r="B5956" t="str">
            <v>JOINT TORIQUE</v>
          </cell>
          <cell r="C5956" t="str">
            <v>0663 2111 18</v>
          </cell>
          <cell r="D5956" t="str">
            <v>PE</v>
          </cell>
          <cell r="E5956" t="str">
            <v>515.51504</v>
          </cell>
          <cell r="F5956">
            <v>18.1541</v>
          </cell>
          <cell r="G5956">
            <v>0</v>
          </cell>
          <cell r="H5956">
            <v>0</v>
          </cell>
          <cell r="I5956">
            <v>0</v>
          </cell>
          <cell r="J5956">
            <v>0</v>
          </cell>
          <cell r="K5956">
            <v>1</v>
          </cell>
          <cell r="L5956">
            <v>2</v>
          </cell>
        </row>
        <row r="5957">
          <cell r="A5957" t="str">
            <v>20325.03472</v>
          </cell>
          <cell r="B5957" t="str">
            <v>RONDELLE FREIN POUR ECROU</v>
          </cell>
          <cell r="C5957" t="str">
            <v>MB 34</v>
          </cell>
          <cell r="D5957" t="str">
            <v>PE</v>
          </cell>
          <cell r="E5957" t="str">
            <v>515.51515</v>
          </cell>
          <cell r="F5957">
            <v>36.200000000000003</v>
          </cell>
          <cell r="G5957">
            <v>0</v>
          </cell>
          <cell r="H5957">
            <v>0</v>
          </cell>
          <cell r="I5957">
            <v>0</v>
          </cell>
          <cell r="J5957">
            <v>1</v>
          </cell>
          <cell r="K5957">
            <v>2</v>
          </cell>
          <cell r="L5957">
            <v>1</v>
          </cell>
        </row>
        <row r="5958">
          <cell r="A5958" t="str">
            <v>20212.01168</v>
          </cell>
          <cell r="B5958" t="str">
            <v>BOULON</v>
          </cell>
          <cell r="C5958" t="str">
            <v>0211 1363 00</v>
          </cell>
          <cell r="D5958" t="str">
            <v>PE</v>
          </cell>
          <cell r="E5958" t="str">
            <v>515.51504</v>
          </cell>
          <cell r="F5958">
            <v>4.9320000000000004</v>
          </cell>
          <cell r="G5958">
            <v>0</v>
          </cell>
          <cell r="H5958">
            <v>0</v>
          </cell>
          <cell r="I5958">
            <v>0</v>
          </cell>
          <cell r="J5958">
            <v>0</v>
          </cell>
          <cell r="K5958">
            <v>8</v>
          </cell>
          <cell r="L5958">
            <v>8</v>
          </cell>
        </row>
        <row r="5959">
          <cell r="A5959" t="str">
            <v>20325.03620</v>
          </cell>
          <cell r="B5959" t="str">
            <v>RLT INA A RLX</v>
          </cell>
          <cell r="C5959" t="str">
            <v>SL 192328/C3</v>
          </cell>
          <cell r="D5959" t="str">
            <v>PE</v>
          </cell>
          <cell r="E5959" t="str">
            <v>515.51515</v>
          </cell>
          <cell r="F5959">
            <v>16660.64</v>
          </cell>
          <cell r="G5959">
            <v>0</v>
          </cell>
          <cell r="H5959">
            <v>0</v>
          </cell>
          <cell r="I5959">
            <v>0</v>
          </cell>
          <cell r="J5959">
            <v>0</v>
          </cell>
          <cell r="K5959">
            <v>0</v>
          </cell>
          <cell r="L5959">
            <v>2</v>
          </cell>
        </row>
        <row r="5960">
          <cell r="A5960" t="str">
            <v>20212.01405</v>
          </cell>
          <cell r="B5960" t="str">
            <v>SILENT BLOC</v>
          </cell>
          <cell r="C5960">
            <v>1619531801</v>
          </cell>
          <cell r="D5960" t="str">
            <v>PE</v>
          </cell>
          <cell r="E5960" t="str">
            <v>515.51504</v>
          </cell>
          <cell r="F5960">
            <v>1241.1275000000001</v>
          </cell>
          <cell r="G5960">
            <v>0</v>
          </cell>
          <cell r="H5960">
            <v>0</v>
          </cell>
          <cell r="I5960">
            <v>0</v>
          </cell>
          <cell r="J5960">
            <v>0</v>
          </cell>
          <cell r="K5960">
            <v>0</v>
          </cell>
          <cell r="L5960">
            <v>1</v>
          </cell>
        </row>
        <row r="5961">
          <cell r="A5961" t="str">
            <v>20325.03624</v>
          </cell>
          <cell r="B5961" t="str">
            <v>RLT A ROT /RLX</v>
          </cell>
          <cell r="C5961" t="str">
            <v>22211 EK TN9/C3</v>
          </cell>
          <cell r="D5961" t="str">
            <v>PE</v>
          </cell>
          <cell r="E5961" t="str">
            <v>515.51515</v>
          </cell>
          <cell r="F5961">
            <v>254.5</v>
          </cell>
          <cell r="G5961">
            <v>0</v>
          </cell>
          <cell r="H5961">
            <v>0</v>
          </cell>
          <cell r="I5961">
            <v>0</v>
          </cell>
          <cell r="J5961">
            <v>0</v>
          </cell>
          <cell r="K5961">
            <v>0</v>
          </cell>
          <cell r="L5961">
            <v>2</v>
          </cell>
        </row>
        <row r="5962">
          <cell r="A5962" t="str">
            <v>20325.03475</v>
          </cell>
          <cell r="B5962" t="str">
            <v>RONDELLE FREIN POUR ECROU</v>
          </cell>
          <cell r="C5962" t="str">
            <v>MB 40</v>
          </cell>
          <cell r="D5962" t="str">
            <v>PE</v>
          </cell>
          <cell r="E5962" t="str">
            <v>515.51515</v>
          </cell>
          <cell r="F5962">
            <v>73.034999999999997</v>
          </cell>
          <cell r="G5962">
            <v>0</v>
          </cell>
          <cell r="H5962">
            <v>1</v>
          </cell>
          <cell r="I5962">
            <v>1</v>
          </cell>
          <cell r="J5962">
            <v>1</v>
          </cell>
          <cell r="K5962">
            <v>1</v>
          </cell>
          <cell r="L5962">
            <v>0</v>
          </cell>
        </row>
        <row r="5963">
          <cell r="A5963" t="str">
            <v>20325.03476</v>
          </cell>
          <cell r="B5963" t="str">
            <v>RONDELLE FREIN POUR ECROU</v>
          </cell>
          <cell r="C5963" t="str">
            <v>MB 44</v>
          </cell>
          <cell r="D5963" t="str">
            <v>PE</v>
          </cell>
          <cell r="E5963" t="str">
            <v>515.51515</v>
          </cell>
          <cell r="F5963">
            <v>79.815100000000001</v>
          </cell>
          <cell r="G5963">
            <v>0</v>
          </cell>
          <cell r="H5963">
            <v>2</v>
          </cell>
          <cell r="I5963">
            <v>0</v>
          </cell>
          <cell r="J5963">
            <v>0</v>
          </cell>
          <cell r="K5963">
            <v>4</v>
          </cell>
          <cell r="L5963">
            <v>0</v>
          </cell>
        </row>
        <row r="5964">
          <cell r="A5964" t="str">
            <v>20325.03478</v>
          </cell>
          <cell r="B5964" t="str">
            <v>RONDELLE FREIN POUR ECROU</v>
          </cell>
          <cell r="C5964" t="str">
            <v>MB 56</v>
          </cell>
          <cell r="D5964" t="str">
            <v>PE</v>
          </cell>
          <cell r="E5964" t="str">
            <v>515.51515</v>
          </cell>
          <cell r="F5964">
            <v>564.55499999999995</v>
          </cell>
          <cell r="G5964">
            <v>0</v>
          </cell>
          <cell r="H5964">
            <v>1</v>
          </cell>
          <cell r="I5964">
            <v>1</v>
          </cell>
          <cell r="J5964">
            <v>1</v>
          </cell>
          <cell r="K5964">
            <v>2</v>
          </cell>
          <cell r="L5964">
            <v>2</v>
          </cell>
        </row>
        <row r="5965">
          <cell r="A5965" t="str">
            <v>20212.01454</v>
          </cell>
          <cell r="B5965" t="str">
            <v>JOINT TORIQUE</v>
          </cell>
          <cell r="C5965" t="str">
            <v>0663 2106 16</v>
          </cell>
          <cell r="D5965" t="str">
            <v>PE</v>
          </cell>
          <cell r="E5965" t="str">
            <v>515.51504</v>
          </cell>
          <cell r="F5965">
            <v>40.659999999999997</v>
          </cell>
          <cell r="G5965">
            <v>0</v>
          </cell>
          <cell r="H5965">
            <v>0</v>
          </cell>
          <cell r="I5965">
            <v>0</v>
          </cell>
          <cell r="J5965">
            <v>0</v>
          </cell>
          <cell r="K5965">
            <v>2</v>
          </cell>
          <cell r="L5965">
            <v>2</v>
          </cell>
        </row>
        <row r="5966">
          <cell r="A5966" t="str">
            <v>20325.00750</v>
          </cell>
          <cell r="B5966" t="str">
            <v>ROULEMENT A ROTULE/RLX</v>
          </cell>
          <cell r="C5966" t="str">
            <v>23122 CCK/W33</v>
          </cell>
          <cell r="D5966" t="str">
            <v>PE</v>
          </cell>
          <cell r="E5966" t="str">
            <v>515.51515</v>
          </cell>
          <cell r="F5966">
            <v>840.81</v>
          </cell>
          <cell r="G5966">
            <v>0</v>
          </cell>
          <cell r="H5966">
            <v>0</v>
          </cell>
          <cell r="I5966">
            <v>0</v>
          </cell>
          <cell r="J5966">
            <v>0</v>
          </cell>
          <cell r="K5966">
            <v>1</v>
          </cell>
          <cell r="L5966">
            <v>1</v>
          </cell>
        </row>
        <row r="5967">
          <cell r="A5967" t="str">
            <v>20323.07410</v>
          </cell>
          <cell r="B5967" t="str">
            <v>DETECTEUR DE PROXIMITE INDUCTIF</v>
          </cell>
          <cell r="C5967" t="str">
            <v>XS6-18B1MAL2</v>
          </cell>
          <cell r="D5967" t="str">
            <v>PE</v>
          </cell>
          <cell r="E5967" t="str">
            <v>522.52206</v>
          </cell>
          <cell r="F5967">
            <v>418.2</v>
          </cell>
          <cell r="G5967">
            <v>0</v>
          </cell>
          <cell r="H5967">
            <v>0</v>
          </cell>
          <cell r="I5967">
            <v>0</v>
          </cell>
          <cell r="J5967">
            <v>0</v>
          </cell>
          <cell r="K5967">
            <v>1</v>
          </cell>
          <cell r="L5967">
            <v>0</v>
          </cell>
        </row>
        <row r="5968">
          <cell r="A5968" t="str">
            <v>20323.07411</v>
          </cell>
          <cell r="B5968" t="str">
            <v>DETECTEUR 10A58V-60MM-OF</v>
          </cell>
          <cell r="C5968" t="str">
            <v>XSD-C607319</v>
          </cell>
          <cell r="D5968" t="str">
            <v>PE</v>
          </cell>
          <cell r="E5968" t="str">
            <v>522.52206</v>
          </cell>
          <cell r="F5968">
            <v>1948.6803</v>
          </cell>
          <cell r="G5968">
            <v>0</v>
          </cell>
          <cell r="H5968">
            <v>0</v>
          </cell>
          <cell r="I5968">
            <v>0</v>
          </cell>
          <cell r="J5968">
            <v>0</v>
          </cell>
          <cell r="K5968">
            <v>0</v>
          </cell>
          <cell r="L5968">
            <v>3</v>
          </cell>
        </row>
        <row r="5969">
          <cell r="A5969" t="str">
            <v>20323.07412</v>
          </cell>
          <cell r="B5969" t="str">
            <v>DETECTEUR</v>
          </cell>
          <cell r="C5969" t="str">
            <v>XCK-MR54D1</v>
          </cell>
          <cell r="D5969" t="str">
            <v>PE</v>
          </cell>
          <cell r="E5969" t="str">
            <v>522.52206</v>
          </cell>
          <cell r="F5969">
            <v>2018.0477000000001</v>
          </cell>
          <cell r="G5969">
            <v>0</v>
          </cell>
          <cell r="H5969">
            <v>0</v>
          </cell>
          <cell r="I5969">
            <v>0</v>
          </cell>
          <cell r="J5969">
            <v>0</v>
          </cell>
          <cell r="K5969">
            <v>0</v>
          </cell>
          <cell r="L5969">
            <v>1</v>
          </cell>
        </row>
        <row r="5970">
          <cell r="A5970" t="str">
            <v>20323.07413</v>
          </cell>
          <cell r="B5970" t="str">
            <v>DISJONCTEUR 2,5-4A</v>
          </cell>
          <cell r="C5970" t="str">
            <v>GV2-ME08</v>
          </cell>
          <cell r="D5970" t="str">
            <v>PE</v>
          </cell>
          <cell r="E5970" t="str">
            <v>522.52206</v>
          </cell>
          <cell r="F5970">
            <v>408.64819999999997</v>
          </cell>
          <cell r="G5970">
            <v>0</v>
          </cell>
          <cell r="H5970">
            <v>0</v>
          </cell>
          <cell r="I5970">
            <v>0</v>
          </cell>
          <cell r="J5970">
            <v>0</v>
          </cell>
          <cell r="K5970">
            <v>0</v>
          </cell>
          <cell r="L5970">
            <v>0</v>
          </cell>
        </row>
        <row r="5971">
          <cell r="A5971" t="str">
            <v>20323.07414</v>
          </cell>
          <cell r="B5971" t="str">
            <v>DISJONCTEUR 1,6-2,5A</v>
          </cell>
          <cell r="C5971" t="str">
            <v>GV2-ME07</v>
          </cell>
          <cell r="D5971" t="str">
            <v>PE</v>
          </cell>
          <cell r="E5971" t="str">
            <v>522.52206</v>
          </cell>
          <cell r="F5971">
            <v>359.46499999999997</v>
          </cell>
          <cell r="G5971">
            <v>0</v>
          </cell>
          <cell r="H5971">
            <v>0</v>
          </cell>
          <cell r="I5971">
            <v>0</v>
          </cell>
          <cell r="J5971">
            <v>0</v>
          </cell>
          <cell r="K5971">
            <v>0</v>
          </cell>
          <cell r="L5971">
            <v>0</v>
          </cell>
        </row>
        <row r="5972">
          <cell r="A5972" t="str">
            <v>20323.07408</v>
          </cell>
          <cell r="B5972" t="str">
            <v>DEPORT BANDE</v>
          </cell>
          <cell r="C5972" t="str">
            <v>XCR-T315</v>
          </cell>
          <cell r="D5972" t="str">
            <v>PE</v>
          </cell>
          <cell r="E5972" t="str">
            <v>522.52206</v>
          </cell>
          <cell r="F5972">
            <v>5744.4</v>
          </cell>
          <cell r="G5972">
            <v>0</v>
          </cell>
          <cell r="H5972">
            <v>0</v>
          </cell>
          <cell r="I5972">
            <v>0</v>
          </cell>
          <cell r="J5972">
            <v>0</v>
          </cell>
          <cell r="K5972">
            <v>0</v>
          </cell>
          <cell r="L5972">
            <v>3</v>
          </cell>
        </row>
        <row r="5973">
          <cell r="A5973" t="str">
            <v>20323.07409</v>
          </cell>
          <cell r="B5973" t="str">
            <v>DETECTEUR</v>
          </cell>
          <cell r="C5973" t="str">
            <v>XS7-C40PC440</v>
          </cell>
          <cell r="D5973" t="str">
            <v>PE</v>
          </cell>
          <cell r="E5973" t="str">
            <v>522.52206</v>
          </cell>
          <cell r="F5973">
            <v>586.79999999999995</v>
          </cell>
          <cell r="G5973">
            <v>0</v>
          </cell>
          <cell r="H5973">
            <v>0</v>
          </cell>
          <cell r="I5973">
            <v>0</v>
          </cell>
          <cell r="J5973">
            <v>0</v>
          </cell>
          <cell r="K5973">
            <v>17</v>
          </cell>
          <cell r="L5973">
            <v>0</v>
          </cell>
        </row>
        <row r="5974">
          <cell r="A5974" t="str">
            <v>20325.03650</v>
          </cell>
          <cell r="B5974" t="str">
            <v>RLT A BILLES</v>
          </cell>
          <cell r="C5974" t="str">
            <v>6313 Z C3</v>
          </cell>
          <cell r="D5974" t="str">
            <v>PE</v>
          </cell>
          <cell r="E5974" t="str">
            <v>515.51515</v>
          </cell>
          <cell r="F5974">
            <v>286.64</v>
          </cell>
          <cell r="G5974">
            <v>0</v>
          </cell>
          <cell r="H5974">
            <v>0</v>
          </cell>
          <cell r="I5974">
            <v>0</v>
          </cell>
          <cell r="J5974">
            <v>0</v>
          </cell>
          <cell r="K5974">
            <v>0</v>
          </cell>
          <cell r="L5974">
            <v>2</v>
          </cell>
        </row>
        <row r="5975">
          <cell r="A5975" t="str">
            <v>20212.01491</v>
          </cell>
          <cell r="B5975" t="str">
            <v>JOINT TORIQUE</v>
          </cell>
          <cell r="C5975" t="str">
            <v>0663 3133 00</v>
          </cell>
          <cell r="D5975" t="str">
            <v>PE</v>
          </cell>
          <cell r="E5975" t="str">
            <v>515.51504</v>
          </cell>
          <cell r="F5975">
            <v>11.96</v>
          </cell>
          <cell r="G5975">
            <v>0</v>
          </cell>
          <cell r="H5975">
            <v>0</v>
          </cell>
          <cell r="I5975">
            <v>0</v>
          </cell>
          <cell r="J5975">
            <v>0</v>
          </cell>
          <cell r="K5975">
            <v>0</v>
          </cell>
          <cell r="L5975">
            <v>2</v>
          </cell>
        </row>
        <row r="5976">
          <cell r="A5976" t="str">
            <v>20325.08036</v>
          </cell>
          <cell r="B5976" t="str">
            <v>JOINT A DEUX LEVRES</v>
          </cell>
          <cell r="C5976" t="str">
            <v>TSN 528 G</v>
          </cell>
          <cell r="D5976" t="str">
            <v>PE</v>
          </cell>
          <cell r="E5976" t="str">
            <v>515.51515</v>
          </cell>
          <cell r="F5976">
            <v>156</v>
          </cell>
          <cell r="G5976">
            <v>0</v>
          </cell>
          <cell r="H5976">
            <v>0</v>
          </cell>
          <cell r="I5976">
            <v>0</v>
          </cell>
          <cell r="J5976">
            <v>0</v>
          </cell>
          <cell r="K5976">
            <v>0</v>
          </cell>
          <cell r="L5976">
            <v>4</v>
          </cell>
        </row>
        <row r="5977">
          <cell r="A5977" t="str">
            <v>20325.08032</v>
          </cell>
          <cell r="B5977" t="str">
            <v>JOINT A DEUX LEVRES</v>
          </cell>
          <cell r="C5977" t="str">
            <v>TSN 520 G</v>
          </cell>
          <cell r="D5977" t="str">
            <v>PE</v>
          </cell>
          <cell r="E5977" t="str">
            <v>515.51515</v>
          </cell>
          <cell r="F5977">
            <v>68.783299999999997</v>
          </cell>
          <cell r="G5977">
            <v>0</v>
          </cell>
          <cell r="H5977">
            <v>0</v>
          </cell>
          <cell r="I5977">
            <v>2</v>
          </cell>
          <cell r="J5977">
            <v>0</v>
          </cell>
          <cell r="K5977">
            <v>0</v>
          </cell>
          <cell r="L5977">
            <v>4</v>
          </cell>
        </row>
        <row r="5978">
          <cell r="A5978" t="str">
            <v>20325.08033</v>
          </cell>
          <cell r="B5978" t="str">
            <v>JOINT A DEUX LEVRES</v>
          </cell>
          <cell r="C5978" t="str">
            <v>TSN 522 G</v>
          </cell>
          <cell r="D5978" t="str">
            <v>PE</v>
          </cell>
          <cell r="E5978" t="str">
            <v>515.51515</v>
          </cell>
          <cell r="F5978">
            <v>118</v>
          </cell>
          <cell r="G5978">
            <v>0</v>
          </cell>
          <cell r="H5978">
            <v>0</v>
          </cell>
          <cell r="I5978">
            <v>0</v>
          </cell>
          <cell r="J5978">
            <v>0</v>
          </cell>
          <cell r="K5978">
            <v>0</v>
          </cell>
          <cell r="L5978">
            <v>2</v>
          </cell>
        </row>
        <row r="5979">
          <cell r="A5979" t="str">
            <v>20323.07419</v>
          </cell>
          <cell r="B5979" t="str">
            <v>COMMUTATEUR</v>
          </cell>
          <cell r="C5979" t="str">
            <v>ZB4-BG6+ZBE-101</v>
          </cell>
          <cell r="D5979" t="str">
            <v>PE</v>
          </cell>
          <cell r="E5979" t="str">
            <v>522.52206</v>
          </cell>
          <cell r="F5979">
            <v>223.2012</v>
          </cell>
          <cell r="G5979">
            <v>0</v>
          </cell>
          <cell r="H5979">
            <v>0</v>
          </cell>
          <cell r="I5979">
            <v>0</v>
          </cell>
          <cell r="J5979">
            <v>0</v>
          </cell>
          <cell r="K5979">
            <v>0</v>
          </cell>
          <cell r="L5979">
            <v>0</v>
          </cell>
        </row>
        <row r="5980">
          <cell r="A5980" t="str">
            <v>20323.07420</v>
          </cell>
          <cell r="B5980" t="str">
            <v>CONTACTEUR 4 POLES</v>
          </cell>
          <cell r="C5980" t="str">
            <v>LC1-DT25</v>
          </cell>
          <cell r="D5980" t="str">
            <v>PE</v>
          </cell>
          <cell r="E5980" t="str">
            <v>522.52206</v>
          </cell>
          <cell r="F5980">
            <v>211.2</v>
          </cell>
          <cell r="G5980">
            <v>0</v>
          </cell>
          <cell r="H5980">
            <v>0</v>
          </cell>
          <cell r="I5980">
            <v>0</v>
          </cell>
          <cell r="J5980">
            <v>0</v>
          </cell>
          <cell r="K5980">
            <v>0</v>
          </cell>
          <cell r="L5980">
            <v>0</v>
          </cell>
        </row>
        <row r="5981">
          <cell r="A5981" t="str">
            <v>20323.07421</v>
          </cell>
          <cell r="B5981" t="str">
            <v>DETECTEUR INDUCTIF NO</v>
          </cell>
          <cell r="C5981" t="str">
            <v>XS6-12B1PAL2</v>
          </cell>
          <cell r="D5981" t="str">
            <v>PE</v>
          </cell>
          <cell r="E5981" t="str">
            <v>522.52206</v>
          </cell>
          <cell r="F5981">
            <v>267.60000000000002</v>
          </cell>
          <cell r="G5981">
            <v>0</v>
          </cell>
          <cell r="H5981">
            <v>0</v>
          </cell>
          <cell r="I5981">
            <v>0</v>
          </cell>
          <cell r="J5981">
            <v>0</v>
          </cell>
          <cell r="K5981">
            <v>0</v>
          </cell>
          <cell r="L5981">
            <v>0</v>
          </cell>
        </row>
        <row r="5982">
          <cell r="A5982" t="str">
            <v>20323.07423</v>
          </cell>
          <cell r="B5982" t="str">
            <v>DISJONCTEUR 3 POLES 17-23A</v>
          </cell>
          <cell r="C5982" t="str">
            <v>GV2-ME21</v>
          </cell>
          <cell r="D5982" t="str">
            <v>PE</v>
          </cell>
          <cell r="E5982" t="str">
            <v>522.52206</v>
          </cell>
          <cell r="F5982">
            <v>519.57150000000001</v>
          </cell>
          <cell r="G5982">
            <v>0</v>
          </cell>
          <cell r="H5982">
            <v>0</v>
          </cell>
          <cell r="I5982">
            <v>0</v>
          </cell>
          <cell r="J5982">
            <v>0</v>
          </cell>
          <cell r="K5982">
            <v>0</v>
          </cell>
          <cell r="L5982">
            <v>0</v>
          </cell>
        </row>
        <row r="5983">
          <cell r="A5983" t="str">
            <v>20323.07415</v>
          </cell>
          <cell r="B5983" t="str">
            <v>DEMARREUR ELECTRONIQUE ALTISTART 48  208-690V</v>
          </cell>
          <cell r="C5983" t="str">
            <v>ATS-48C21Y</v>
          </cell>
          <cell r="D5983" t="str">
            <v>PE</v>
          </cell>
          <cell r="E5983" t="str">
            <v>522.52206</v>
          </cell>
          <cell r="F5983">
            <v>18517.379799999999</v>
          </cell>
          <cell r="G5983">
            <v>0</v>
          </cell>
          <cell r="H5983">
            <v>0</v>
          </cell>
          <cell r="I5983">
            <v>0</v>
          </cell>
          <cell r="J5983">
            <v>0</v>
          </cell>
          <cell r="K5983">
            <v>0</v>
          </cell>
          <cell r="L5983">
            <v>0</v>
          </cell>
        </row>
        <row r="5984">
          <cell r="A5984" t="str">
            <v>20323.07416</v>
          </cell>
          <cell r="B5984" t="str">
            <v>CONTACTEUR 4 POLES 220V</v>
          </cell>
          <cell r="C5984" t="str">
            <v>LC1-DT25M7</v>
          </cell>
          <cell r="D5984" t="str">
            <v>PE</v>
          </cell>
          <cell r="E5984" t="str">
            <v>522.52206</v>
          </cell>
          <cell r="F5984">
            <v>211.2</v>
          </cell>
          <cell r="G5984">
            <v>0</v>
          </cell>
          <cell r="H5984">
            <v>0</v>
          </cell>
          <cell r="I5984">
            <v>0</v>
          </cell>
          <cell r="J5984">
            <v>0</v>
          </cell>
          <cell r="K5984">
            <v>0</v>
          </cell>
          <cell r="L5984">
            <v>0</v>
          </cell>
        </row>
        <row r="5985">
          <cell r="A5985" t="str">
            <v>20323.07417</v>
          </cell>
          <cell r="B5985" t="str">
            <v>TRANSFORMATEUR DE SECURITE 230-400/24V 63VA</v>
          </cell>
          <cell r="C5985" t="str">
            <v>ABL-6TS06B</v>
          </cell>
          <cell r="D5985" t="str">
            <v>PE</v>
          </cell>
          <cell r="E5985" t="str">
            <v>522.52206</v>
          </cell>
          <cell r="F5985">
            <v>291.60000000000002</v>
          </cell>
          <cell r="G5985">
            <v>0</v>
          </cell>
          <cell r="H5985">
            <v>0</v>
          </cell>
          <cell r="I5985">
            <v>0</v>
          </cell>
          <cell r="J5985">
            <v>0</v>
          </cell>
          <cell r="K5985">
            <v>0</v>
          </cell>
          <cell r="L5985">
            <v>0</v>
          </cell>
        </row>
        <row r="5986">
          <cell r="A5986" t="str">
            <v>20323.07418</v>
          </cell>
          <cell r="B5986" t="str">
            <v>POUSSOIR</v>
          </cell>
          <cell r="C5986" t="str">
            <v>ZB4-BA2+ZBE-101</v>
          </cell>
          <cell r="D5986" t="str">
            <v>PE</v>
          </cell>
          <cell r="E5986" t="str">
            <v>522.52206</v>
          </cell>
          <cell r="F5986">
            <v>56.440899999999999</v>
          </cell>
          <cell r="G5986">
            <v>0</v>
          </cell>
          <cell r="H5986">
            <v>0</v>
          </cell>
          <cell r="I5986">
            <v>0</v>
          </cell>
          <cell r="J5986">
            <v>0</v>
          </cell>
          <cell r="K5986">
            <v>0</v>
          </cell>
          <cell r="L5986">
            <v>0</v>
          </cell>
        </row>
        <row r="5987">
          <cell r="A5987" t="str">
            <v>20325.03504</v>
          </cell>
          <cell r="B5987" t="str">
            <v>ROULEMENT A BILLES</v>
          </cell>
          <cell r="C5987" t="str">
            <v>7311 BECBP</v>
          </cell>
          <cell r="D5987" t="str">
            <v>PE</v>
          </cell>
          <cell r="E5987" t="str">
            <v>515.51515</v>
          </cell>
          <cell r="F5987">
            <v>220.26499999999999</v>
          </cell>
          <cell r="G5987">
            <v>0</v>
          </cell>
          <cell r="H5987">
            <v>2</v>
          </cell>
          <cell r="I5987">
            <v>8</v>
          </cell>
          <cell r="J5987">
            <v>4</v>
          </cell>
          <cell r="K5987">
            <v>8</v>
          </cell>
          <cell r="L5987">
            <v>0</v>
          </cell>
        </row>
        <row r="5988">
          <cell r="A5988" t="str">
            <v>20325.03505</v>
          </cell>
          <cell r="B5988" t="str">
            <v>ROULEMENT A BILLES</v>
          </cell>
          <cell r="C5988" t="str">
            <v>7309 BECBM</v>
          </cell>
          <cell r="D5988" t="str">
            <v>PE</v>
          </cell>
          <cell r="E5988" t="str">
            <v>515.51515</v>
          </cell>
          <cell r="F5988">
            <v>252.38399999999999</v>
          </cell>
          <cell r="G5988">
            <v>0</v>
          </cell>
          <cell r="H5988">
            <v>0</v>
          </cell>
          <cell r="I5988">
            <v>0</v>
          </cell>
          <cell r="J5988">
            <v>0</v>
          </cell>
          <cell r="K5988">
            <v>2</v>
          </cell>
          <cell r="L5988">
            <v>0</v>
          </cell>
        </row>
        <row r="5989">
          <cell r="A5989" t="str">
            <v>20325.03506</v>
          </cell>
          <cell r="B5989" t="str">
            <v>ROULEMENT A BILLES</v>
          </cell>
          <cell r="C5989" t="str">
            <v>7310 BECBP</v>
          </cell>
          <cell r="D5989" t="str">
            <v>PE</v>
          </cell>
          <cell r="E5989" t="str">
            <v>515.51515</v>
          </cell>
          <cell r="F5989">
            <v>168.39080000000001</v>
          </cell>
          <cell r="G5989">
            <v>0</v>
          </cell>
          <cell r="H5989">
            <v>8</v>
          </cell>
          <cell r="I5989">
            <v>0</v>
          </cell>
          <cell r="J5989">
            <v>0</v>
          </cell>
          <cell r="K5989">
            <v>6</v>
          </cell>
          <cell r="L5989">
            <v>4</v>
          </cell>
        </row>
        <row r="5990">
          <cell r="A5990" t="str">
            <v>20212.00768</v>
          </cell>
          <cell r="B5990" t="str">
            <v>AMORTISSEUR</v>
          </cell>
          <cell r="C5990" t="str">
            <v>1020 5072 00</v>
          </cell>
          <cell r="D5990" t="str">
            <v>PE</v>
          </cell>
          <cell r="E5990" t="str">
            <v>515.51504</v>
          </cell>
          <cell r="F5990">
            <v>1524.56</v>
          </cell>
          <cell r="G5990">
            <v>0</v>
          </cell>
          <cell r="H5990">
            <v>0</v>
          </cell>
          <cell r="I5990">
            <v>0</v>
          </cell>
          <cell r="J5990">
            <v>0</v>
          </cell>
          <cell r="K5990">
            <v>0</v>
          </cell>
          <cell r="L5990">
            <v>2</v>
          </cell>
        </row>
        <row r="5991">
          <cell r="A5991" t="str">
            <v>20325.03508</v>
          </cell>
          <cell r="B5991" t="str">
            <v>ROULEMENT A BILLES</v>
          </cell>
          <cell r="C5991" t="str">
            <v>7322 BECBM</v>
          </cell>
          <cell r="D5991" t="str">
            <v>PE</v>
          </cell>
          <cell r="E5991" t="str">
            <v>515.51515</v>
          </cell>
          <cell r="F5991">
            <v>3799.38</v>
          </cell>
          <cell r="G5991">
            <v>0</v>
          </cell>
          <cell r="H5991">
            <v>0</v>
          </cell>
          <cell r="I5991">
            <v>0</v>
          </cell>
          <cell r="J5991">
            <v>0</v>
          </cell>
          <cell r="K5991">
            <v>8</v>
          </cell>
          <cell r="L5991">
            <v>0</v>
          </cell>
        </row>
        <row r="5992">
          <cell r="A5992" t="str">
            <v>20325.00773</v>
          </cell>
          <cell r="B5992" t="str">
            <v>ECROU DE SERRAGE</v>
          </cell>
          <cell r="C5992" t="str">
            <v>KM 15</v>
          </cell>
          <cell r="D5992" t="str">
            <v>PE</v>
          </cell>
          <cell r="E5992" t="str">
            <v>515.51515</v>
          </cell>
          <cell r="F5992">
            <v>82.451999999999998</v>
          </cell>
          <cell r="G5992">
            <v>0</v>
          </cell>
          <cell r="H5992">
            <v>0</v>
          </cell>
          <cell r="I5992">
            <v>0</v>
          </cell>
          <cell r="J5992">
            <v>0</v>
          </cell>
          <cell r="K5992">
            <v>4</v>
          </cell>
          <cell r="L5992">
            <v>0</v>
          </cell>
        </row>
        <row r="5993">
          <cell r="A5993" t="str">
            <v>20323.07424</v>
          </cell>
          <cell r="B5993" t="str">
            <v>VOYANT LUMINEUX BLANC</v>
          </cell>
          <cell r="C5993" t="str">
            <v>XB4-BV61</v>
          </cell>
          <cell r="D5993" t="str">
            <v>PE</v>
          </cell>
          <cell r="E5993" t="str">
            <v>522.52206</v>
          </cell>
          <cell r="F5993">
            <v>32.717599999999997</v>
          </cell>
          <cell r="G5993">
            <v>0</v>
          </cell>
          <cell r="H5993">
            <v>0</v>
          </cell>
          <cell r="I5993">
            <v>0</v>
          </cell>
          <cell r="J5993">
            <v>0</v>
          </cell>
          <cell r="K5993">
            <v>0</v>
          </cell>
          <cell r="L5993">
            <v>0</v>
          </cell>
        </row>
        <row r="5994">
          <cell r="A5994" t="str">
            <v>20323.07425</v>
          </cell>
          <cell r="B5994" t="str">
            <v>VOYANT LUMINEUX ROUGE</v>
          </cell>
          <cell r="C5994" t="str">
            <v>XB4-BV64</v>
          </cell>
          <cell r="D5994" t="str">
            <v>PE</v>
          </cell>
          <cell r="E5994" t="str">
            <v>522.52206</v>
          </cell>
          <cell r="F5994">
            <v>32.717599999999997</v>
          </cell>
          <cell r="G5994">
            <v>0</v>
          </cell>
          <cell r="H5994">
            <v>0</v>
          </cell>
          <cell r="I5994">
            <v>0</v>
          </cell>
          <cell r="J5994">
            <v>0</v>
          </cell>
          <cell r="K5994">
            <v>0</v>
          </cell>
          <cell r="L5994">
            <v>0</v>
          </cell>
        </row>
        <row r="5995">
          <cell r="A5995" t="str">
            <v>20323.07426</v>
          </cell>
          <cell r="B5995" t="str">
            <v>VOYANT LUMINEUX VERT</v>
          </cell>
          <cell r="C5995" t="str">
            <v>XB4-BV63</v>
          </cell>
          <cell r="D5995" t="str">
            <v>PE</v>
          </cell>
          <cell r="E5995" t="str">
            <v>522.52206</v>
          </cell>
          <cell r="F5995">
            <v>32.717599999999997</v>
          </cell>
          <cell r="G5995">
            <v>0</v>
          </cell>
          <cell r="H5995">
            <v>0</v>
          </cell>
          <cell r="I5995">
            <v>0</v>
          </cell>
          <cell r="J5995">
            <v>0</v>
          </cell>
          <cell r="K5995">
            <v>0</v>
          </cell>
          <cell r="L5995">
            <v>0</v>
          </cell>
        </row>
        <row r="5996">
          <cell r="A5996" t="str">
            <v>20323.07427</v>
          </cell>
          <cell r="B5996" t="str">
            <v>BOITE DE COMMANDE TREUIL</v>
          </cell>
          <cell r="C5996" t="str">
            <v>XAC-A2113</v>
          </cell>
          <cell r="D5996" t="str">
            <v>PE</v>
          </cell>
          <cell r="E5996" t="str">
            <v>522.52206</v>
          </cell>
          <cell r="F5996">
            <v>450.49</v>
          </cell>
          <cell r="G5996">
            <v>0</v>
          </cell>
          <cell r="H5996">
            <v>0</v>
          </cell>
          <cell r="I5996">
            <v>0</v>
          </cell>
          <cell r="J5996">
            <v>0</v>
          </cell>
          <cell r="K5996">
            <v>1</v>
          </cell>
          <cell r="L5996">
            <v>0</v>
          </cell>
        </row>
        <row r="5997">
          <cell r="A5997" t="str">
            <v>20323.07428</v>
          </cell>
          <cell r="B5997" t="str">
            <v>BOITE A BOUTON POUR PALAN</v>
          </cell>
          <cell r="C5997" t="str">
            <v>XAC-A4913</v>
          </cell>
          <cell r="D5997" t="str">
            <v>PE</v>
          </cell>
          <cell r="E5997" t="str">
            <v>522.52206</v>
          </cell>
          <cell r="F5997">
            <v>1062.1315</v>
          </cell>
          <cell r="G5997">
            <v>0</v>
          </cell>
          <cell r="H5997">
            <v>0</v>
          </cell>
          <cell r="I5997">
            <v>0</v>
          </cell>
          <cell r="J5997">
            <v>0</v>
          </cell>
          <cell r="K5997">
            <v>0</v>
          </cell>
          <cell r="L5997">
            <v>0</v>
          </cell>
        </row>
        <row r="5998">
          <cell r="A5998" t="str">
            <v>20323.07429</v>
          </cell>
          <cell r="B5998" t="str">
            <v>CONTACTEUR 3 POLES</v>
          </cell>
          <cell r="C5998" t="str">
            <v>LC1-K0910P7</v>
          </cell>
          <cell r="D5998" t="str">
            <v>PE</v>
          </cell>
          <cell r="E5998" t="str">
            <v>522.52206</v>
          </cell>
          <cell r="F5998">
            <v>75.889200000000002</v>
          </cell>
          <cell r="G5998">
            <v>0</v>
          </cell>
          <cell r="H5998">
            <v>0</v>
          </cell>
          <cell r="I5998">
            <v>0</v>
          </cell>
          <cell r="J5998">
            <v>0</v>
          </cell>
          <cell r="K5998">
            <v>0</v>
          </cell>
          <cell r="L5998">
            <v>0</v>
          </cell>
        </row>
        <row r="5999">
          <cell r="A5999" t="str">
            <v>20323.07430</v>
          </cell>
          <cell r="B5999" t="str">
            <v>BLOC DE CONTACT</v>
          </cell>
          <cell r="C5999" t="str">
            <v>LA1-KN11</v>
          </cell>
          <cell r="D5999" t="str">
            <v>PE</v>
          </cell>
          <cell r="E5999" t="str">
            <v>522.52206</v>
          </cell>
          <cell r="F5999">
            <v>52.545400000000001</v>
          </cell>
          <cell r="G5999">
            <v>0</v>
          </cell>
          <cell r="H5999">
            <v>0</v>
          </cell>
          <cell r="I5999">
            <v>0</v>
          </cell>
          <cell r="J5999">
            <v>0</v>
          </cell>
          <cell r="K5999">
            <v>0</v>
          </cell>
          <cell r="L5999">
            <v>0</v>
          </cell>
        </row>
        <row r="6000">
          <cell r="A6000" t="str">
            <v>20323.07431</v>
          </cell>
          <cell r="B6000" t="str">
            <v>CONTACTEUR 3 POLES</v>
          </cell>
          <cell r="C6000" t="str">
            <v>GV2-G354</v>
          </cell>
          <cell r="D6000" t="str">
            <v>PE</v>
          </cell>
          <cell r="E6000" t="str">
            <v>522.52206</v>
          </cell>
          <cell r="F6000">
            <v>83.480800000000002</v>
          </cell>
          <cell r="G6000">
            <v>0</v>
          </cell>
          <cell r="H6000">
            <v>0</v>
          </cell>
          <cell r="I6000">
            <v>0</v>
          </cell>
          <cell r="J6000">
            <v>0</v>
          </cell>
          <cell r="K6000">
            <v>0</v>
          </cell>
          <cell r="L6000">
            <v>0</v>
          </cell>
        </row>
        <row r="6001">
          <cell r="A6001" t="str">
            <v>20323.07432</v>
          </cell>
          <cell r="B6001" t="str">
            <v>CONTACTEUR 3 POLES</v>
          </cell>
          <cell r="C6001" t="str">
            <v>GV2-LE08</v>
          </cell>
          <cell r="D6001" t="str">
            <v>PE</v>
          </cell>
          <cell r="E6001" t="str">
            <v>522.52206</v>
          </cell>
          <cell r="F6001">
            <v>429.08170000000001</v>
          </cell>
          <cell r="G6001">
            <v>0</v>
          </cell>
          <cell r="H6001">
            <v>0</v>
          </cell>
          <cell r="I6001">
            <v>0</v>
          </cell>
          <cell r="J6001">
            <v>0</v>
          </cell>
          <cell r="K6001">
            <v>0</v>
          </cell>
          <cell r="L6001">
            <v>0</v>
          </cell>
        </row>
        <row r="6002">
          <cell r="A6002" t="str">
            <v>20212.00807</v>
          </cell>
          <cell r="B6002" t="str">
            <v>ELEMENT BP</v>
          </cell>
          <cell r="C6002" t="str">
            <v>1616 7186 87</v>
          </cell>
          <cell r="D6002" t="str">
            <v>PE</v>
          </cell>
          <cell r="E6002" t="str">
            <v>515.51504</v>
          </cell>
          <cell r="F6002">
            <v>278310.72249999997</v>
          </cell>
          <cell r="G6002">
            <v>0</v>
          </cell>
          <cell r="H6002">
            <v>0</v>
          </cell>
          <cell r="I6002">
            <v>0</v>
          </cell>
          <cell r="J6002">
            <v>0</v>
          </cell>
          <cell r="K6002">
            <v>0</v>
          </cell>
          <cell r="L6002">
            <v>2</v>
          </cell>
        </row>
        <row r="6003">
          <cell r="A6003" t="str">
            <v>20212.00808</v>
          </cell>
          <cell r="B6003" t="str">
            <v>TAMPON</v>
          </cell>
          <cell r="C6003" t="str">
            <v>1606 7381 00</v>
          </cell>
          <cell r="D6003" t="str">
            <v>PE</v>
          </cell>
          <cell r="E6003" t="str">
            <v>515.51504</v>
          </cell>
          <cell r="F6003">
            <v>1334.3</v>
          </cell>
          <cell r="G6003">
            <v>0</v>
          </cell>
          <cell r="H6003">
            <v>0</v>
          </cell>
          <cell r="I6003">
            <v>0</v>
          </cell>
          <cell r="J6003">
            <v>0</v>
          </cell>
          <cell r="K6003">
            <v>0</v>
          </cell>
          <cell r="L6003">
            <v>16</v>
          </cell>
        </row>
        <row r="6004">
          <cell r="A6004" t="str">
            <v>20212.00809</v>
          </cell>
          <cell r="B6004" t="str">
            <v>PURGEUR</v>
          </cell>
          <cell r="C6004" t="str">
            <v>8102 0436 20</v>
          </cell>
          <cell r="D6004" t="str">
            <v>PE</v>
          </cell>
          <cell r="E6004" t="str">
            <v>515.51504</v>
          </cell>
          <cell r="F6004">
            <v>2260.8000000000002</v>
          </cell>
          <cell r="G6004">
            <v>0</v>
          </cell>
          <cell r="H6004">
            <v>0</v>
          </cell>
          <cell r="I6004">
            <v>0</v>
          </cell>
          <cell r="J6004">
            <v>0</v>
          </cell>
          <cell r="K6004">
            <v>0</v>
          </cell>
          <cell r="L6004">
            <v>1</v>
          </cell>
        </row>
        <row r="6005">
          <cell r="A6005" t="str">
            <v>20212.00999</v>
          </cell>
          <cell r="B6005" t="str">
            <v>SUPPORT DE FILTRE</v>
          </cell>
          <cell r="C6005" t="str">
            <v>1621 5387 00</v>
          </cell>
          <cell r="D6005" t="str">
            <v>PE</v>
          </cell>
          <cell r="E6005" t="str">
            <v>515.51504</v>
          </cell>
          <cell r="F6005">
            <v>9736.8349999999991</v>
          </cell>
          <cell r="G6005">
            <v>0</v>
          </cell>
          <cell r="H6005">
            <v>0</v>
          </cell>
          <cell r="I6005">
            <v>0</v>
          </cell>
          <cell r="J6005">
            <v>0</v>
          </cell>
          <cell r="K6005">
            <v>0</v>
          </cell>
          <cell r="L6005">
            <v>1</v>
          </cell>
        </row>
        <row r="6006">
          <cell r="A6006" t="str">
            <v>20325.03516</v>
          </cell>
          <cell r="B6006" t="str">
            <v>ROULEMENT A ROULEAUX CYLI</v>
          </cell>
          <cell r="C6006" t="str">
            <v>NU 310 E</v>
          </cell>
          <cell r="D6006" t="str">
            <v>PE</v>
          </cell>
          <cell r="E6006" t="str">
            <v>515.51515</v>
          </cell>
          <cell r="F6006">
            <v>205.38</v>
          </cell>
          <cell r="G6006">
            <v>0</v>
          </cell>
          <cell r="H6006">
            <v>0</v>
          </cell>
          <cell r="I6006">
            <v>0</v>
          </cell>
          <cell r="J6006">
            <v>0</v>
          </cell>
          <cell r="K6006">
            <v>0</v>
          </cell>
          <cell r="L6006">
            <v>2</v>
          </cell>
        </row>
        <row r="6007">
          <cell r="A6007" t="str">
            <v>20325.00801</v>
          </cell>
          <cell r="B6007" t="str">
            <v>BAGUE D'ARRET</v>
          </cell>
          <cell r="C6007" t="str">
            <v>FRB 12,5/130</v>
          </cell>
          <cell r="D6007" t="str">
            <v>PE</v>
          </cell>
          <cell r="E6007" t="str">
            <v>515.51515</v>
          </cell>
          <cell r="F6007">
            <v>30.893599999999999</v>
          </cell>
          <cell r="G6007">
            <v>0</v>
          </cell>
          <cell r="H6007">
            <v>0</v>
          </cell>
          <cell r="I6007">
            <v>0</v>
          </cell>
          <cell r="J6007">
            <v>0</v>
          </cell>
          <cell r="K6007">
            <v>2</v>
          </cell>
          <cell r="L6007">
            <v>0</v>
          </cell>
        </row>
        <row r="6008">
          <cell r="A6008" t="str">
            <v>20325.00802</v>
          </cell>
          <cell r="B6008" t="str">
            <v>BAGUE D'ARRET</v>
          </cell>
          <cell r="C6008" t="str">
            <v>FRB 12,5/160</v>
          </cell>
          <cell r="D6008" t="str">
            <v>PE</v>
          </cell>
          <cell r="E6008" t="str">
            <v>515.51515</v>
          </cell>
          <cell r="F6008">
            <v>18.628799999999998</v>
          </cell>
          <cell r="G6008">
            <v>0</v>
          </cell>
          <cell r="H6008">
            <v>0</v>
          </cell>
          <cell r="I6008">
            <v>0</v>
          </cell>
          <cell r="J6008">
            <v>0</v>
          </cell>
          <cell r="K6008">
            <v>2</v>
          </cell>
          <cell r="L6008">
            <v>0</v>
          </cell>
        </row>
        <row r="6009">
          <cell r="A6009" t="str">
            <v>20325.04705</v>
          </cell>
          <cell r="B6009" t="str">
            <v>ROULEMENT</v>
          </cell>
          <cell r="C6009" t="str">
            <v>SL192317</v>
          </cell>
          <cell r="D6009" t="str">
            <v>PE</v>
          </cell>
          <cell r="E6009" t="str">
            <v>515.51515</v>
          </cell>
          <cell r="F6009">
            <v>3409.0859999999998</v>
          </cell>
          <cell r="G6009">
            <v>0</v>
          </cell>
          <cell r="H6009">
            <v>0</v>
          </cell>
          <cell r="I6009">
            <v>0</v>
          </cell>
          <cell r="J6009">
            <v>0</v>
          </cell>
          <cell r="K6009">
            <v>0</v>
          </cell>
          <cell r="L6009">
            <v>3</v>
          </cell>
        </row>
        <row r="6010">
          <cell r="A6010" t="str">
            <v>20325.00819</v>
          </cell>
          <cell r="B6010" t="str">
            <v>JEU 2JOINTS V-RING+RONDEL</v>
          </cell>
          <cell r="C6010" t="str">
            <v>TSNA 520 A</v>
          </cell>
          <cell r="D6010" t="str">
            <v>PE</v>
          </cell>
          <cell r="E6010" t="str">
            <v>515.51515</v>
          </cell>
          <cell r="F6010">
            <v>97.448999999999998</v>
          </cell>
          <cell r="G6010">
            <v>0</v>
          </cell>
          <cell r="H6010">
            <v>0</v>
          </cell>
          <cell r="I6010">
            <v>0</v>
          </cell>
          <cell r="J6010">
            <v>4</v>
          </cell>
          <cell r="K6010">
            <v>0</v>
          </cell>
          <cell r="L6010">
            <v>0</v>
          </cell>
        </row>
        <row r="6011">
          <cell r="A6011" t="str">
            <v>20325.00803</v>
          </cell>
          <cell r="B6011" t="str">
            <v>BAGUE D'ARRET</v>
          </cell>
          <cell r="C6011" t="str">
            <v>FRB 13,5/200</v>
          </cell>
          <cell r="D6011" t="str">
            <v>PE</v>
          </cell>
          <cell r="E6011" t="str">
            <v>515.51515</v>
          </cell>
          <cell r="F6011">
            <v>76.2</v>
          </cell>
          <cell r="G6011">
            <v>0</v>
          </cell>
          <cell r="H6011">
            <v>0</v>
          </cell>
          <cell r="I6011">
            <v>0</v>
          </cell>
          <cell r="J6011">
            <v>0</v>
          </cell>
          <cell r="K6011">
            <v>0</v>
          </cell>
          <cell r="L6011">
            <v>2</v>
          </cell>
        </row>
        <row r="6012">
          <cell r="A6012" t="str">
            <v>20325.03318</v>
          </cell>
          <cell r="B6012" t="str">
            <v>PALIER SNH 518</v>
          </cell>
          <cell r="C6012" t="str">
            <v>SN 518</v>
          </cell>
          <cell r="D6012" t="str">
            <v>PE</v>
          </cell>
          <cell r="E6012" t="str">
            <v>515.51515</v>
          </cell>
          <cell r="F6012">
            <v>589.04999999999995</v>
          </cell>
          <cell r="G6012">
            <v>0</v>
          </cell>
          <cell r="H6012">
            <v>0</v>
          </cell>
          <cell r="I6012">
            <v>0</v>
          </cell>
          <cell r="J6012">
            <v>0</v>
          </cell>
          <cell r="K6012">
            <v>1</v>
          </cell>
          <cell r="L6012">
            <v>0</v>
          </cell>
        </row>
        <row r="6013">
          <cell r="A6013" t="str">
            <v>20325.04736</v>
          </cell>
          <cell r="B6013" t="str">
            <v>ROULEMENT A ROULEAUX CYLINDRIQUES</v>
          </cell>
          <cell r="C6013" t="str">
            <v>NU 212 E . TVP2 . C3</v>
          </cell>
          <cell r="D6013" t="str">
            <v>PE</v>
          </cell>
          <cell r="E6013" t="str">
            <v>515.51515</v>
          </cell>
          <cell r="F6013">
            <v>166.14</v>
          </cell>
          <cell r="G6013">
            <v>0</v>
          </cell>
          <cell r="H6013">
            <v>0</v>
          </cell>
          <cell r="I6013">
            <v>4</v>
          </cell>
          <cell r="J6013">
            <v>0</v>
          </cell>
          <cell r="K6013">
            <v>0</v>
          </cell>
          <cell r="L6013">
            <v>2</v>
          </cell>
        </row>
        <row r="6014">
          <cell r="A6014" t="str">
            <v>20325.04737</v>
          </cell>
          <cell r="B6014" t="str">
            <v>ROULEMENT A ROULEAUX CYLINDRIQUES</v>
          </cell>
          <cell r="C6014" t="str">
            <v>NU 308 E . M1 . C3</v>
          </cell>
          <cell r="D6014" t="str">
            <v>PE</v>
          </cell>
          <cell r="E6014" t="str">
            <v>515.51515</v>
          </cell>
          <cell r="F6014">
            <v>141.51</v>
          </cell>
          <cell r="G6014">
            <v>0</v>
          </cell>
          <cell r="H6014">
            <v>0</v>
          </cell>
          <cell r="I6014">
            <v>0</v>
          </cell>
          <cell r="J6014">
            <v>0</v>
          </cell>
          <cell r="K6014">
            <v>1</v>
          </cell>
          <cell r="L6014">
            <v>3</v>
          </cell>
        </row>
        <row r="6015">
          <cell r="A6015" t="str">
            <v>20325.03197</v>
          </cell>
          <cell r="B6015" t="str">
            <v>ROULEMENT A ROTULE/BILLES</v>
          </cell>
          <cell r="C6015">
            <v>2318</v>
          </cell>
          <cell r="D6015" t="str">
            <v>PE</v>
          </cell>
          <cell r="E6015" t="str">
            <v>515.51515</v>
          </cell>
          <cell r="F6015">
            <v>3088.6329000000001</v>
          </cell>
          <cell r="G6015">
            <v>0</v>
          </cell>
          <cell r="H6015">
            <v>0</v>
          </cell>
          <cell r="I6015">
            <v>0</v>
          </cell>
          <cell r="J6015">
            <v>0</v>
          </cell>
          <cell r="K6015">
            <v>4</v>
          </cell>
          <cell r="L6015">
            <v>0</v>
          </cell>
        </row>
        <row r="6016">
          <cell r="A6016" t="str">
            <v>20325.08375</v>
          </cell>
          <cell r="B6016" t="str">
            <v>ROULEMENT A ROULEAUX</v>
          </cell>
          <cell r="C6016" t="str">
            <v>NUP 317 ECJ</v>
          </cell>
          <cell r="D6016" t="str">
            <v>PE</v>
          </cell>
          <cell r="E6016" t="str">
            <v>515.51515</v>
          </cell>
          <cell r="F6016">
            <v>1216.7339999999999</v>
          </cell>
          <cell r="G6016">
            <v>0</v>
          </cell>
          <cell r="H6016">
            <v>2</v>
          </cell>
          <cell r="I6016">
            <v>0</v>
          </cell>
          <cell r="J6016">
            <v>0</v>
          </cell>
          <cell r="K6016">
            <v>0</v>
          </cell>
          <cell r="L6016">
            <v>0</v>
          </cell>
        </row>
        <row r="6017">
          <cell r="A6017" t="str">
            <v>20325.04755</v>
          </cell>
          <cell r="B6017" t="str">
            <v>MANCHON DE DEMONTAGE</v>
          </cell>
          <cell r="C6017" t="str">
            <v>AOH 24152</v>
          </cell>
          <cell r="D6017" t="str">
            <v>PE</v>
          </cell>
          <cell r="E6017" t="str">
            <v>515.51515</v>
          </cell>
          <cell r="F6017">
            <v>7105</v>
          </cell>
          <cell r="G6017">
            <v>0</v>
          </cell>
          <cell r="H6017">
            <v>0</v>
          </cell>
          <cell r="I6017">
            <v>0</v>
          </cell>
          <cell r="J6017">
            <v>1</v>
          </cell>
          <cell r="K6017">
            <v>1</v>
          </cell>
          <cell r="L6017">
            <v>1</v>
          </cell>
        </row>
        <row r="6018">
          <cell r="A6018" t="str">
            <v>20325.04949</v>
          </cell>
          <cell r="B6018" t="str">
            <v>ROULEMENT</v>
          </cell>
          <cell r="C6018">
            <v>6248</v>
          </cell>
          <cell r="D6018" t="str">
            <v>PE</v>
          </cell>
          <cell r="E6018" t="str">
            <v>515.51515</v>
          </cell>
          <cell r="F6018">
            <v>11960.05</v>
          </cell>
          <cell r="G6018">
            <v>2</v>
          </cell>
          <cell r="H6018">
            <v>0</v>
          </cell>
          <cell r="I6018">
            <v>0</v>
          </cell>
          <cell r="J6018">
            <v>0</v>
          </cell>
          <cell r="K6018">
            <v>0</v>
          </cell>
          <cell r="L6018">
            <v>0</v>
          </cell>
        </row>
        <row r="6019">
          <cell r="A6019" t="str">
            <v>20325.04739</v>
          </cell>
          <cell r="B6019" t="str">
            <v>ROULEMENT A BILLES</v>
          </cell>
          <cell r="C6019" t="str">
            <v>7326 B . MP . UA</v>
          </cell>
          <cell r="D6019" t="str">
            <v>PE</v>
          </cell>
          <cell r="E6019" t="str">
            <v>515.51515</v>
          </cell>
          <cell r="F6019">
            <v>3278.1837999999998</v>
          </cell>
          <cell r="G6019">
            <v>0</v>
          </cell>
          <cell r="H6019">
            <v>0</v>
          </cell>
          <cell r="I6019">
            <v>6</v>
          </cell>
          <cell r="J6019">
            <v>0</v>
          </cell>
          <cell r="K6019">
            <v>0</v>
          </cell>
          <cell r="L6019">
            <v>2</v>
          </cell>
        </row>
        <row r="6020">
          <cell r="A6020" t="str">
            <v>20325.00259</v>
          </cell>
          <cell r="B6020" t="str">
            <v>ROULEMENT A ROTULE SUR BILLES</v>
          </cell>
          <cell r="C6020" t="str">
            <v>2201 ETN9</v>
          </cell>
          <cell r="D6020" t="str">
            <v>PE</v>
          </cell>
          <cell r="E6020" t="str">
            <v>515.51515</v>
          </cell>
          <cell r="F6020">
            <v>67</v>
          </cell>
          <cell r="G6020">
            <v>0</v>
          </cell>
          <cell r="H6020">
            <v>0</v>
          </cell>
          <cell r="I6020">
            <v>0</v>
          </cell>
          <cell r="J6020">
            <v>0</v>
          </cell>
          <cell r="K6020">
            <v>2</v>
          </cell>
          <cell r="L6020">
            <v>0</v>
          </cell>
        </row>
        <row r="6021">
          <cell r="A6021" t="str">
            <v>20323.07459</v>
          </cell>
          <cell r="B6021" t="str">
            <v>ARRET D'URGENCE  DIAM:40MM</v>
          </cell>
          <cell r="C6021" t="str">
            <v>XB5-AS542</v>
          </cell>
          <cell r="D6021" t="str">
            <v>PE</v>
          </cell>
          <cell r="E6021" t="str">
            <v>522.52206</v>
          </cell>
          <cell r="F6021">
            <v>78</v>
          </cell>
          <cell r="G6021">
            <v>0</v>
          </cell>
          <cell r="H6021">
            <v>0</v>
          </cell>
          <cell r="I6021">
            <v>0</v>
          </cell>
          <cell r="J6021">
            <v>0</v>
          </cell>
          <cell r="K6021">
            <v>0</v>
          </cell>
          <cell r="L6021">
            <v>20</v>
          </cell>
        </row>
        <row r="6022">
          <cell r="A6022" t="str">
            <v>20323.07460</v>
          </cell>
          <cell r="B6022" t="str">
            <v>BOITE 2 BOUTONS A IMPULSION MARCHE/ARRET</v>
          </cell>
          <cell r="C6022" t="str">
            <v>XAL-D224</v>
          </cell>
          <cell r="D6022" t="str">
            <v>PE</v>
          </cell>
          <cell r="E6022" t="str">
            <v>522.52206</v>
          </cell>
          <cell r="F6022">
            <v>128</v>
          </cell>
          <cell r="G6022">
            <v>0</v>
          </cell>
          <cell r="H6022">
            <v>0</v>
          </cell>
          <cell r="I6022">
            <v>0</v>
          </cell>
          <cell r="J6022">
            <v>0</v>
          </cell>
          <cell r="K6022">
            <v>0</v>
          </cell>
          <cell r="L6022">
            <v>20</v>
          </cell>
        </row>
        <row r="6023">
          <cell r="A6023" t="str">
            <v>20325.00947</v>
          </cell>
          <cell r="B6023" t="str">
            <v>ROULEMENT A ROULEAUX CYLI</v>
          </cell>
          <cell r="C6023" t="str">
            <v>NU 307</v>
          </cell>
          <cell r="D6023" t="str">
            <v>PE</v>
          </cell>
          <cell r="E6023" t="str">
            <v>515.51515</v>
          </cell>
          <cell r="F6023">
            <v>216.35249999999999</v>
          </cell>
          <cell r="G6023">
            <v>0</v>
          </cell>
          <cell r="H6023">
            <v>0</v>
          </cell>
          <cell r="I6023">
            <v>0</v>
          </cell>
          <cell r="J6023">
            <v>0</v>
          </cell>
          <cell r="K6023">
            <v>0</v>
          </cell>
          <cell r="L6023">
            <v>3</v>
          </cell>
        </row>
        <row r="6024">
          <cell r="A6024" t="str">
            <v>20325.01012</v>
          </cell>
          <cell r="B6024" t="str">
            <v>ROULEMENT A BILLES</v>
          </cell>
          <cell r="C6024" t="str">
            <v>7312 B</v>
          </cell>
          <cell r="D6024" t="str">
            <v>PE</v>
          </cell>
          <cell r="E6024" t="str">
            <v>515.51515</v>
          </cell>
          <cell r="F6024">
            <v>255.08949999999999</v>
          </cell>
          <cell r="G6024">
            <v>0</v>
          </cell>
          <cell r="H6024">
            <v>2</v>
          </cell>
          <cell r="I6024">
            <v>0</v>
          </cell>
          <cell r="J6024">
            <v>0</v>
          </cell>
          <cell r="K6024">
            <v>2</v>
          </cell>
          <cell r="L6024">
            <v>0</v>
          </cell>
        </row>
        <row r="6025">
          <cell r="A6025" t="str">
            <v>20325.01735</v>
          </cell>
          <cell r="B6025" t="str">
            <v>ROULEMENT A BILLES</v>
          </cell>
          <cell r="C6025" t="str">
            <v>6007-2RS1</v>
          </cell>
          <cell r="D6025" t="str">
            <v>PE</v>
          </cell>
          <cell r="E6025" t="str">
            <v>515.51515</v>
          </cell>
          <cell r="F6025">
            <v>26.97</v>
          </cell>
          <cell r="G6025">
            <v>0</v>
          </cell>
          <cell r="H6025">
            <v>0</v>
          </cell>
          <cell r="I6025">
            <v>180</v>
          </cell>
          <cell r="J6025">
            <v>0</v>
          </cell>
          <cell r="K6025">
            <v>0</v>
          </cell>
          <cell r="L6025">
            <v>0</v>
          </cell>
        </row>
        <row r="6026">
          <cell r="A6026" t="str">
            <v>20325.02126</v>
          </cell>
          <cell r="B6026" t="str">
            <v>BAGUE D'ARRET</v>
          </cell>
          <cell r="C6026" t="str">
            <v>FRB 9,5/100 P</v>
          </cell>
          <cell r="D6026" t="str">
            <v>PE</v>
          </cell>
          <cell r="E6026" t="str">
            <v>515.51515</v>
          </cell>
          <cell r="F6026">
            <v>10.798</v>
          </cell>
          <cell r="G6026">
            <v>0</v>
          </cell>
          <cell r="H6026">
            <v>0</v>
          </cell>
          <cell r="I6026">
            <v>0</v>
          </cell>
          <cell r="J6026">
            <v>0</v>
          </cell>
          <cell r="K6026">
            <v>0</v>
          </cell>
          <cell r="L6026">
            <v>4</v>
          </cell>
        </row>
        <row r="6027">
          <cell r="A6027" t="str">
            <v>20325.02172</v>
          </cell>
          <cell r="B6027" t="str">
            <v>RONDELLE FREIN</v>
          </cell>
          <cell r="C6027" t="str">
            <v>MB 52</v>
          </cell>
          <cell r="D6027" t="str">
            <v>PE</v>
          </cell>
          <cell r="E6027" t="str">
            <v>515.51515</v>
          </cell>
          <cell r="F6027">
            <v>158.0975</v>
          </cell>
          <cell r="G6027">
            <v>0</v>
          </cell>
          <cell r="H6027">
            <v>0</v>
          </cell>
          <cell r="I6027">
            <v>0</v>
          </cell>
          <cell r="J6027">
            <v>0</v>
          </cell>
          <cell r="K6027">
            <v>1</v>
          </cell>
          <cell r="L6027">
            <v>3</v>
          </cell>
        </row>
        <row r="6028">
          <cell r="A6028" t="str">
            <v>20325.01738</v>
          </cell>
          <cell r="B6028" t="str">
            <v>ROULEMENT A BILLES</v>
          </cell>
          <cell r="C6028" t="str">
            <v>6205-Z/C3</v>
          </cell>
          <cell r="D6028" t="str">
            <v>PE</v>
          </cell>
          <cell r="E6028" t="str">
            <v>515.51515</v>
          </cell>
          <cell r="F6028">
            <v>32.200000000000003</v>
          </cell>
          <cell r="G6028">
            <v>0</v>
          </cell>
          <cell r="H6028">
            <v>0</v>
          </cell>
          <cell r="I6028">
            <v>0</v>
          </cell>
          <cell r="J6028">
            <v>0</v>
          </cell>
          <cell r="K6028">
            <v>2</v>
          </cell>
          <cell r="L6028">
            <v>0</v>
          </cell>
        </row>
        <row r="6029">
          <cell r="A6029" t="str">
            <v>20325.08096</v>
          </cell>
          <cell r="B6029" t="str">
            <v>MANCHON DE SERRAGE</v>
          </cell>
          <cell r="C6029" t="str">
            <v>OH 3056H</v>
          </cell>
          <cell r="D6029" t="str">
            <v>PE</v>
          </cell>
          <cell r="E6029" t="str">
            <v>515.51515</v>
          </cell>
          <cell r="F6029">
            <v>4268.51</v>
          </cell>
          <cell r="G6029">
            <v>0</v>
          </cell>
          <cell r="H6029">
            <v>0</v>
          </cell>
          <cell r="I6029">
            <v>0</v>
          </cell>
          <cell r="J6029">
            <v>1</v>
          </cell>
          <cell r="K6029">
            <v>0</v>
          </cell>
          <cell r="L6029">
            <v>1</v>
          </cell>
        </row>
        <row r="6030">
          <cell r="A6030" t="str">
            <v>20325.08097</v>
          </cell>
          <cell r="B6030" t="str">
            <v>ECROU A ENCROCH</v>
          </cell>
          <cell r="C6030" t="str">
            <v>HML 52T</v>
          </cell>
          <cell r="D6030" t="str">
            <v>PE</v>
          </cell>
          <cell r="E6030" t="str">
            <v>515.51515</v>
          </cell>
          <cell r="F6030">
            <v>2661.8</v>
          </cell>
          <cell r="G6030">
            <v>0</v>
          </cell>
          <cell r="H6030">
            <v>0</v>
          </cell>
          <cell r="I6030">
            <v>0</v>
          </cell>
          <cell r="J6030">
            <v>0</v>
          </cell>
          <cell r="K6030">
            <v>1</v>
          </cell>
          <cell r="L6030">
            <v>3</v>
          </cell>
        </row>
        <row r="6031">
          <cell r="A6031" t="str">
            <v>20325.08098</v>
          </cell>
          <cell r="B6031" t="str">
            <v>ECROU A SERRAGE</v>
          </cell>
          <cell r="C6031" t="str">
            <v>KML 24</v>
          </cell>
          <cell r="D6031" t="str">
            <v>PE</v>
          </cell>
          <cell r="E6031" t="str">
            <v>515.51515</v>
          </cell>
          <cell r="F6031">
            <v>271.70339999999999</v>
          </cell>
          <cell r="G6031">
            <v>0</v>
          </cell>
          <cell r="H6031">
            <v>0</v>
          </cell>
          <cell r="I6031">
            <v>0</v>
          </cell>
          <cell r="J6031">
            <v>0</v>
          </cell>
          <cell r="K6031">
            <v>0</v>
          </cell>
          <cell r="L6031">
            <v>1</v>
          </cell>
        </row>
        <row r="6032">
          <cell r="A6032" t="str">
            <v>20325.08099</v>
          </cell>
          <cell r="B6032" t="str">
            <v>RONDELLE FREIN</v>
          </cell>
          <cell r="C6032" t="str">
            <v>MBL 24</v>
          </cell>
          <cell r="D6032" t="str">
            <v>PE</v>
          </cell>
          <cell r="E6032" t="str">
            <v>515.51515</v>
          </cell>
          <cell r="F6032">
            <v>99.302199999999999</v>
          </cell>
          <cell r="G6032">
            <v>0</v>
          </cell>
          <cell r="H6032">
            <v>0</v>
          </cell>
          <cell r="I6032">
            <v>0</v>
          </cell>
          <cell r="J6032">
            <v>0</v>
          </cell>
          <cell r="K6032">
            <v>1</v>
          </cell>
          <cell r="L6032">
            <v>0</v>
          </cell>
        </row>
        <row r="6033">
          <cell r="A6033" t="str">
            <v>20329.03000</v>
          </cell>
          <cell r="B6033" t="str">
            <v>ROULMENT A RLX CONIQUES</v>
          </cell>
          <cell r="C6033" t="str">
            <v>32314A</v>
          </cell>
          <cell r="D6033" t="str">
            <v>PE</v>
          </cell>
          <cell r="E6033" t="str">
            <v>515.51515</v>
          </cell>
          <cell r="F6033">
            <v>431.83</v>
          </cell>
          <cell r="G6033">
            <v>0</v>
          </cell>
          <cell r="H6033">
            <v>0</v>
          </cell>
          <cell r="I6033">
            <v>0</v>
          </cell>
          <cell r="J6033">
            <v>0</v>
          </cell>
          <cell r="K6033">
            <v>0</v>
          </cell>
          <cell r="L6033">
            <v>2</v>
          </cell>
        </row>
        <row r="6034">
          <cell r="A6034" t="str">
            <v>20329.04000</v>
          </cell>
          <cell r="B6034" t="str">
            <v>CONE</v>
          </cell>
          <cell r="C6034" t="str">
            <v>399A</v>
          </cell>
          <cell r="D6034" t="str">
            <v>PE</v>
          </cell>
          <cell r="E6034" t="str">
            <v>515.51515</v>
          </cell>
          <cell r="F6034">
            <v>347</v>
          </cell>
          <cell r="G6034">
            <v>0</v>
          </cell>
          <cell r="H6034">
            <v>0</v>
          </cell>
          <cell r="I6034">
            <v>0</v>
          </cell>
          <cell r="J6034">
            <v>0</v>
          </cell>
          <cell r="K6034">
            <v>0</v>
          </cell>
          <cell r="L6034">
            <v>2</v>
          </cell>
        </row>
        <row r="6035">
          <cell r="A6035" t="str">
            <v>20325.08100</v>
          </cell>
          <cell r="B6035" t="str">
            <v>ECROU DE SERRAGE</v>
          </cell>
          <cell r="C6035" t="str">
            <v>KML 34</v>
          </cell>
          <cell r="D6035" t="str">
            <v>PE</v>
          </cell>
          <cell r="E6035" t="str">
            <v>515.51515</v>
          </cell>
          <cell r="F6035">
            <v>433.8707</v>
          </cell>
          <cell r="G6035">
            <v>0</v>
          </cell>
          <cell r="H6035">
            <v>0</v>
          </cell>
          <cell r="I6035">
            <v>0</v>
          </cell>
          <cell r="J6035">
            <v>0</v>
          </cell>
          <cell r="K6035">
            <v>0</v>
          </cell>
          <cell r="L6035">
            <v>1</v>
          </cell>
        </row>
        <row r="6036">
          <cell r="A6036" t="str">
            <v>20325.08101</v>
          </cell>
          <cell r="B6036" t="str">
            <v>RONDELLE FREIN</v>
          </cell>
          <cell r="C6036" t="str">
            <v>MBL 34</v>
          </cell>
          <cell r="D6036" t="str">
            <v>PE</v>
          </cell>
          <cell r="E6036" t="str">
            <v>515.51515</v>
          </cell>
          <cell r="F6036">
            <v>124.71810000000001</v>
          </cell>
          <cell r="G6036">
            <v>0</v>
          </cell>
          <cell r="H6036">
            <v>0</v>
          </cell>
          <cell r="I6036">
            <v>0</v>
          </cell>
          <cell r="J6036">
            <v>0</v>
          </cell>
          <cell r="K6036">
            <v>1</v>
          </cell>
          <cell r="L6036">
            <v>0</v>
          </cell>
        </row>
        <row r="6037">
          <cell r="A6037" t="str">
            <v>20325.00258</v>
          </cell>
          <cell r="B6037" t="str">
            <v>ROULEMENT A BILLES</v>
          </cell>
          <cell r="C6037" t="str">
            <v>6306-2RS1</v>
          </cell>
          <cell r="D6037" t="str">
            <v>PE</v>
          </cell>
          <cell r="E6037" t="str">
            <v>515.51515</v>
          </cell>
          <cell r="F6037">
            <v>61.689900000000002</v>
          </cell>
          <cell r="G6037">
            <v>0</v>
          </cell>
          <cell r="H6037">
            <v>0</v>
          </cell>
          <cell r="I6037">
            <v>0</v>
          </cell>
          <cell r="J6037">
            <v>0</v>
          </cell>
          <cell r="K6037">
            <v>0</v>
          </cell>
          <cell r="L6037">
            <v>7</v>
          </cell>
        </row>
        <row r="6038">
          <cell r="A6038" t="str">
            <v>20329.04001</v>
          </cell>
          <cell r="B6038" t="str">
            <v>CONE</v>
          </cell>
          <cell r="C6038" t="str">
            <v>HM813849</v>
          </cell>
          <cell r="D6038" t="str">
            <v>PE</v>
          </cell>
          <cell r="E6038" t="str">
            <v>515.51515</v>
          </cell>
          <cell r="F6038">
            <v>507</v>
          </cell>
          <cell r="G6038">
            <v>0</v>
          </cell>
          <cell r="H6038">
            <v>0</v>
          </cell>
          <cell r="I6038">
            <v>0</v>
          </cell>
          <cell r="J6038">
            <v>0</v>
          </cell>
          <cell r="K6038">
            <v>0</v>
          </cell>
          <cell r="L6038">
            <v>0</v>
          </cell>
        </row>
        <row r="6039">
          <cell r="A6039" t="str">
            <v>20329.00138</v>
          </cell>
          <cell r="B6039" t="str">
            <v>ROULEMENT A ROULEAUX CONIQUES</v>
          </cell>
          <cell r="C6039">
            <v>30228</v>
          </cell>
          <cell r="D6039" t="str">
            <v>PE</v>
          </cell>
          <cell r="E6039" t="str">
            <v>515.51515</v>
          </cell>
          <cell r="F6039">
            <v>1550.81</v>
          </cell>
          <cell r="G6039">
            <v>0</v>
          </cell>
          <cell r="H6039">
            <v>0</v>
          </cell>
          <cell r="I6039">
            <v>0</v>
          </cell>
          <cell r="J6039">
            <v>0</v>
          </cell>
          <cell r="K6039">
            <v>0</v>
          </cell>
          <cell r="L6039">
            <v>2</v>
          </cell>
        </row>
        <row r="6040">
          <cell r="A6040" t="str">
            <v>20325.00652</v>
          </cell>
          <cell r="B6040" t="str">
            <v>ROULEMENT A BILLES</v>
          </cell>
          <cell r="C6040">
            <v>7311</v>
          </cell>
          <cell r="D6040" t="str">
            <v>PE</v>
          </cell>
          <cell r="E6040" t="str">
            <v>515.51515</v>
          </cell>
          <cell r="F6040">
            <v>275.55009999999999</v>
          </cell>
          <cell r="G6040">
            <v>0</v>
          </cell>
          <cell r="H6040">
            <v>0</v>
          </cell>
          <cell r="I6040">
            <v>0</v>
          </cell>
          <cell r="J6040">
            <v>0</v>
          </cell>
          <cell r="K6040">
            <v>0</v>
          </cell>
          <cell r="L6040">
            <v>0</v>
          </cell>
        </row>
        <row r="6041">
          <cell r="A6041" t="str">
            <v>20325.00655</v>
          </cell>
          <cell r="B6041" t="str">
            <v>ROULEMENT A BILLES</v>
          </cell>
          <cell r="C6041">
            <v>7309</v>
          </cell>
          <cell r="D6041" t="str">
            <v>PE</v>
          </cell>
          <cell r="E6041" t="str">
            <v>515.51515</v>
          </cell>
          <cell r="F6041">
            <v>141.27000000000001</v>
          </cell>
          <cell r="G6041">
            <v>0</v>
          </cell>
          <cell r="H6041">
            <v>0</v>
          </cell>
          <cell r="I6041">
            <v>2</v>
          </cell>
          <cell r="J6041">
            <v>0</v>
          </cell>
          <cell r="K6041">
            <v>0</v>
          </cell>
          <cell r="L6041">
            <v>2</v>
          </cell>
        </row>
        <row r="6042">
          <cell r="A6042" t="str">
            <v>20329.01284</v>
          </cell>
          <cell r="B6042" t="str">
            <v>ROULEMENT</v>
          </cell>
          <cell r="C6042">
            <v>33215</v>
          </cell>
          <cell r="D6042" t="str">
            <v>PE</v>
          </cell>
          <cell r="E6042" t="str">
            <v>515.51515</v>
          </cell>
          <cell r="F6042">
            <v>209.95779999999999</v>
          </cell>
          <cell r="G6042">
            <v>0</v>
          </cell>
          <cell r="H6042">
            <v>2</v>
          </cell>
          <cell r="I6042">
            <v>0</v>
          </cell>
          <cell r="J6042">
            <v>0</v>
          </cell>
          <cell r="K6042">
            <v>0</v>
          </cell>
          <cell r="L6042">
            <v>0</v>
          </cell>
        </row>
        <row r="6043">
          <cell r="A6043" t="str">
            <v>20325.04589</v>
          </cell>
          <cell r="B6043" t="str">
            <v>ROULEMENT</v>
          </cell>
          <cell r="C6043" t="str">
            <v>6048 M</v>
          </cell>
          <cell r="D6043" t="str">
            <v>PE</v>
          </cell>
          <cell r="E6043" t="str">
            <v>515.51515</v>
          </cell>
          <cell r="F6043">
            <v>5274.35</v>
          </cell>
          <cell r="G6043">
            <v>0</v>
          </cell>
          <cell r="H6043">
            <v>0</v>
          </cell>
          <cell r="I6043">
            <v>0</v>
          </cell>
          <cell r="J6043">
            <v>0</v>
          </cell>
          <cell r="K6043">
            <v>0</v>
          </cell>
          <cell r="L6043">
            <v>1</v>
          </cell>
        </row>
        <row r="6044">
          <cell r="A6044" t="str">
            <v>20325.07212</v>
          </cell>
          <cell r="B6044" t="str">
            <v>ROULEMENT ROTULE/ROULEAUX</v>
          </cell>
          <cell r="C6044">
            <v>23124</v>
          </cell>
          <cell r="D6044" t="str">
            <v>PE</v>
          </cell>
          <cell r="E6044" t="str">
            <v>515.51515</v>
          </cell>
          <cell r="F6044">
            <v>1364.07</v>
          </cell>
          <cell r="G6044">
            <v>0</v>
          </cell>
          <cell r="H6044">
            <v>0</v>
          </cell>
          <cell r="I6044">
            <v>0</v>
          </cell>
          <cell r="J6044">
            <v>0</v>
          </cell>
          <cell r="K6044">
            <v>0</v>
          </cell>
          <cell r="L6044">
            <v>1</v>
          </cell>
        </row>
        <row r="6045">
          <cell r="A6045" t="str">
            <v>20325.01543</v>
          </cell>
          <cell r="B6045" t="str">
            <v>ROULEMENT A BILLES</v>
          </cell>
          <cell r="C6045" t="str">
            <v>6307/C3</v>
          </cell>
          <cell r="D6045" t="str">
            <v>PE</v>
          </cell>
          <cell r="E6045" t="str">
            <v>515.51515</v>
          </cell>
          <cell r="F6045">
            <v>62.719200000000001</v>
          </cell>
          <cell r="G6045">
            <v>0</v>
          </cell>
          <cell r="H6045">
            <v>0</v>
          </cell>
          <cell r="I6045">
            <v>2</v>
          </cell>
          <cell r="J6045">
            <v>0</v>
          </cell>
          <cell r="K6045">
            <v>1</v>
          </cell>
          <cell r="L6045">
            <v>5</v>
          </cell>
        </row>
        <row r="6046">
          <cell r="A6046" t="str">
            <v>20325.01548</v>
          </cell>
          <cell r="B6046" t="str">
            <v>ROULEMENT A BILLES</v>
          </cell>
          <cell r="C6046" t="str">
            <v>6311/C3</v>
          </cell>
          <cell r="D6046" t="str">
            <v>PE</v>
          </cell>
          <cell r="E6046" t="str">
            <v>515.51515</v>
          </cell>
          <cell r="F6046">
            <v>138.63</v>
          </cell>
          <cell r="G6046">
            <v>0</v>
          </cell>
          <cell r="H6046">
            <v>0</v>
          </cell>
          <cell r="I6046">
            <v>0</v>
          </cell>
          <cell r="J6046">
            <v>0</v>
          </cell>
          <cell r="K6046">
            <v>0</v>
          </cell>
          <cell r="L6046">
            <v>4</v>
          </cell>
        </row>
        <row r="6047">
          <cell r="A6047" t="str">
            <v>20325.00249</v>
          </cell>
          <cell r="B6047" t="str">
            <v>ROULEMENT A BILLES</v>
          </cell>
          <cell r="C6047" t="str">
            <v>6306/C3</v>
          </cell>
          <cell r="D6047" t="str">
            <v>PE</v>
          </cell>
          <cell r="E6047" t="str">
            <v>515.51515</v>
          </cell>
          <cell r="F6047">
            <v>56.838900000000002</v>
          </cell>
          <cell r="G6047">
            <v>0</v>
          </cell>
          <cell r="H6047">
            <v>0</v>
          </cell>
          <cell r="I6047">
            <v>0</v>
          </cell>
          <cell r="J6047">
            <v>0</v>
          </cell>
          <cell r="K6047">
            <v>0</v>
          </cell>
          <cell r="L6047">
            <v>5</v>
          </cell>
        </row>
        <row r="6048">
          <cell r="A6048" t="str">
            <v>20325.00333</v>
          </cell>
          <cell r="B6048" t="str">
            <v>ROULEMENT A ROULEAUX CYLI</v>
          </cell>
          <cell r="C6048" t="str">
            <v>NU 2240 E/C3</v>
          </cell>
          <cell r="D6048" t="str">
            <v>PE</v>
          </cell>
          <cell r="E6048" t="str">
            <v>515.51515</v>
          </cell>
          <cell r="F6048">
            <v>20727.07</v>
          </cell>
          <cell r="G6048">
            <v>0</v>
          </cell>
          <cell r="H6048">
            <v>0</v>
          </cell>
          <cell r="I6048">
            <v>1</v>
          </cell>
          <cell r="J6048">
            <v>0</v>
          </cell>
          <cell r="K6048">
            <v>0</v>
          </cell>
          <cell r="L6048">
            <v>2</v>
          </cell>
        </row>
        <row r="6049">
          <cell r="A6049" t="str">
            <v>20325.01132</v>
          </cell>
          <cell r="B6049" t="str">
            <v>ROULEMENT A ROTULE/RLX</v>
          </cell>
          <cell r="C6049" t="str">
            <v>23224 CC/W33</v>
          </cell>
          <cell r="D6049" t="str">
            <v>PE</v>
          </cell>
          <cell r="E6049" t="str">
            <v>515.51515</v>
          </cell>
          <cell r="F6049">
            <v>1765.4185</v>
          </cell>
          <cell r="G6049">
            <v>0</v>
          </cell>
          <cell r="H6049">
            <v>2</v>
          </cell>
          <cell r="I6049">
            <v>2</v>
          </cell>
          <cell r="J6049">
            <v>0</v>
          </cell>
          <cell r="K6049">
            <v>0</v>
          </cell>
          <cell r="L6049">
            <v>0</v>
          </cell>
        </row>
        <row r="6050">
          <cell r="A6050" t="str">
            <v>20323.06940</v>
          </cell>
          <cell r="B6050" t="str">
            <v>DISJONCT MOT 3P 13 A 18A</v>
          </cell>
          <cell r="C6050" t="str">
            <v>GV2-ME20</v>
          </cell>
          <cell r="D6050" t="str">
            <v>PE</v>
          </cell>
          <cell r="E6050" t="str">
            <v>522.52206</v>
          </cell>
          <cell r="F6050">
            <v>481.03289999999998</v>
          </cell>
          <cell r="G6050">
            <v>0</v>
          </cell>
          <cell r="H6050">
            <v>0</v>
          </cell>
          <cell r="I6050">
            <v>0</v>
          </cell>
          <cell r="J6050">
            <v>0</v>
          </cell>
          <cell r="K6050">
            <v>0</v>
          </cell>
          <cell r="L6050">
            <v>0</v>
          </cell>
        </row>
        <row r="6051">
          <cell r="A6051" t="str">
            <v>20323.06945</v>
          </cell>
          <cell r="B6051" t="str">
            <v>DISJONCT MOT 3P 0,63 A 1A</v>
          </cell>
          <cell r="C6051" t="str">
            <v>GV2-ME05</v>
          </cell>
          <cell r="D6051" t="str">
            <v>PE</v>
          </cell>
          <cell r="E6051" t="str">
            <v>522.52206</v>
          </cell>
          <cell r="F6051">
            <v>362.5299</v>
          </cell>
          <cell r="G6051">
            <v>0</v>
          </cell>
          <cell r="H6051">
            <v>0</v>
          </cell>
          <cell r="I6051">
            <v>0</v>
          </cell>
          <cell r="J6051">
            <v>0</v>
          </cell>
          <cell r="K6051">
            <v>2</v>
          </cell>
          <cell r="L6051">
            <v>0</v>
          </cell>
        </row>
        <row r="6052">
          <cell r="A6052" t="str">
            <v>20323.06946</v>
          </cell>
          <cell r="B6052" t="str">
            <v>DISJONCT MOT 3P 1 A 1,6A</v>
          </cell>
          <cell r="C6052" t="str">
            <v>GV2-ME06</v>
          </cell>
          <cell r="D6052" t="str">
            <v>PE</v>
          </cell>
          <cell r="E6052" t="str">
            <v>522.52206</v>
          </cell>
          <cell r="F6052">
            <v>356.4</v>
          </cell>
          <cell r="G6052">
            <v>0</v>
          </cell>
          <cell r="H6052">
            <v>0</v>
          </cell>
          <cell r="I6052">
            <v>0</v>
          </cell>
          <cell r="J6052">
            <v>0</v>
          </cell>
          <cell r="K6052">
            <v>0</v>
          </cell>
          <cell r="L6052">
            <v>0</v>
          </cell>
        </row>
        <row r="6053">
          <cell r="A6053" t="str">
            <v>20323.06947</v>
          </cell>
          <cell r="B6053" t="str">
            <v>DISJONCT MOT 3P 4 A 6A</v>
          </cell>
          <cell r="C6053" t="str">
            <v>GV2-ME10</v>
          </cell>
          <cell r="D6053" t="str">
            <v>PE</v>
          </cell>
          <cell r="E6053" t="str">
            <v>522.52206</v>
          </cell>
          <cell r="F6053">
            <v>408.64819999999997</v>
          </cell>
          <cell r="G6053">
            <v>0</v>
          </cell>
          <cell r="H6053">
            <v>0</v>
          </cell>
          <cell r="I6053">
            <v>0</v>
          </cell>
          <cell r="J6053">
            <v>0</v>
          </cell>
          <cell r="K6053">
            <v>0</v>
          </cell>
          <cell r="L6053">
            <v>0</v>
          </cell>
        </row>
        <row r="6054">
          <cell r="A6054" t="str">
            <v>20325.00346</v>
          </cell>
          <cell r="B6054" t="str">
            <v>ECROU DE SERRAGE</v>
          </cell>
          <cell r="C6054" t="str">
            <v>KM 9</v>
          </cell>
          <cell r="D6054" t="str">
            <v>PE</v>
          </cell>
          <cell r="E6054" t="str">
            <v>515.51515</v>
          </cell>
          <cell r="F6054">
            <v>35.993899999999996</v>
          </cell>
          <cell r="G6054">
            <v>0</v>
          </cell>
          <cell r="H6054">
            <v>0</v>
          </cell>
          <cell r="I6054">
            <v>0</v>
          </cell>
          <cell r="J6054">
            <v>0</v>
          </cell>
          <cell r="K6054">
            <v>6</v>
          </cell>
          <cell r="L6054">
            <v>0</v>
          </cell>
        </row>
        <row r="6055">
          <cell r="A6055" t="str">
            <v>20325.00347</v>
          </cell>
          <cell r="B6055" t="str">
            <v>RONDELLE FREIN POUR ECROU</v>
          </cell>
          <cell r="C6055" t="str">
            <v>MB 9</v>
          </cell>
          <cell r="D6055" t="str">
            <v>PE</v>
          </cell>
          <cell r="E6055" t="str">
            <v>515.51515</v>
          </cell>
          <cell r="F6055">
            <v>4.6284999999999998</v>
          </cell>
          <cell r="G6055">
            <v>0</v>
          </cell>
          <cell r="H6055">
            <v>0</v>
          </cell>
          <cell r="I6055">
            <v>0</v>
          </cell>
          <cell r="J6055">
            <v>0</v>
          </cell>
          <cell r="K6055">
            <v>6</v>
          </cell>
          <cell r="L6055">
            <v>0</v>
          </cell>
        </row>
        <row r="6056">
          <cell r="A6056" t="str">
            <v>20325.00477</v>
          </cell>
          <cell r="B6056" t="str">
            <v>ROULEMENT A BILLES</v>
          </cell>
          <cell r="C6056" t="str">
            <v>7311 B</v>
          </cell>
          <cell r="D6056" t="str">
            <v>PE</v>
          </cell>
          <cell r="E6056" t="str">
            <v>515.51515</v>
          </cell>
          <cell r="F6056">
            <v>223.685</v>
          </cell>
          <cell r="G6056">
            <v>0</v>
          </cell>
          <cell r="H6056">
            <v>2</v>
          </cell>
          <cell r="I6056">
            <v>4</v>
          </cell>
          <cell r="J6056">
            <v>0</v>
          </cell>
          <cell r="K6056">
            <v>8</v>
          </cell>
          <cell r="L6056">
            <v>0</v>
          </cell>
        </row>
        <row r="6057">
          <cell r="A6057" t="str">
            <v>20325.01151</v>
          </cell>
          <cell r="B6057" t="str">
            <v>ROULEMENT A BILLES</v>
          </cell>
          <cell r="C6057" t="str">
            <v>6213/C3</v>
          </cell>
          <cell r="D6057" t="str">
            <v>PE</v>
          </cell>
          <cell r="E6057" t="str">
            <v>515.51515</v>
          </cell>
          <cell r="F6057">
            <v>206.43119999999999</v>
          </cell>
          <cell r="G6057">
            <v>0</v>
          </cell>
          <cell r="H6057">
            <v>0</v>
          </cell>
          <cell r="I6057">
            <v>0</v>
          </cell>
          <cell r="J6057">
            <v>0</v>
          </cell>
          <cell r="K6057">
            <v>0</v>
          </cell>
          <cell r="L6057">
            <v>4</v>
          </cell>
        </row>
        <row r="6058">
          <cell r="A6058" t="str">
            <v>20325.01149</v>
          </cell>
          <cell r="B6058" t="str">
            <v>ROULEMENT A BILLES</v>
          </cell>
          <cell r="C6058" t="str">
            <v>6210/C3</v>
          </cell>
          <cell r="D6058" t="str">
            <v>PE</v>
          </cell>
          <cell r="E6058" t="str">
            <v>515.51515</v>
          </cell>
          <cell r="F6058">
            <v>77.507300000000001</v>
          </cell>
          <cell r="G6058">
            <v>0</v>
          </cell>
          <cell r="H6058">
            <v>0</v>
          </cell>
          <cell r="I6058">
            <v>0</v>
          </cell>
          <cell r="J6058">
            <v>0</v>
          </cell>
          <cell r="K6058">
            <v>9</v>
          </cell>
          <cell r="L6058">
            <v>0</v>
          </cell>
        </row>
        <row r="6059">
          <cell r="A6059" t="str">
            <v>20325.01150</v>
          </cell>
          <cell r="B6059" t="str">
            <v>ROULEMENT A BILLES</v>
          </cell>
          <cell r="C6059" t="str">
            <v>6212/C3</v>
          </cell>
          <cell r="D6059" t="str">
            <v>PE</v>
          </cell>
          <cell r="E6059" t="str">
            <v>515.51515</v>
          </cell>
          <cell r="F6059">
            <v>111.438</v>
          </cell>
          <cell r="G6059">
            <v>0</v>
          </cell>
          <cell r="H6059">
            <v>0</v>
          </cell>
          <cell r="I6059">
            <v>0</v>
          </cell>
          <cell r="J6059">
            <v>0</v>
          </cell>
          <cell r="K6059">
            <v>4</v>
          </cell>
          <cell r="L6059">
            <v>0</v>
          </cell>
        </row>
        <row r="6060">
          <cell r="A6060" t="str">
            <v>20325.00489</v>
          </cell>
          <cell r="B6060" t="str">
            <v>ROULEMENT A ROTULE/RLX</v>
          </cell>
          <cell r="C6060" t="str">
            <v>22214 CC/C3</v>
          </cell>
          <cell r="D6060" t="str">
            <v>PE</v>
          </cell>
          <cell r="E6060" t="str">
            <v>515.51515</v>
          </cell>
          <cell r="F6060">
            <v>392.22149999999999</v>
          </cell>
          <cell r="G6060">
            <v>0</v>
          </cell>
          <cell r="H6060">
            <v>2</v>
          </cell>
          <cell r="I6060">
            <v>0</v>
          </cell>
          <cell r="J6060">
            <v>0</v>
          </cell>
          <cell r="K6060">
            <v>0</v>
          </cell>
          <cell r="L6060">
            <v>0</v>
          </cell>
        </row>
        <row r="6061">
          <cell r="A6061" t="str">
            <v>20325.00501</v>
          </cell>
          <cell r="B6061" t="str">
            <v>ROULEMENT A ROTULE/RLX</v>
          </cell>
          <cell r="C6061" t="str">
            <v>23056 CCK/W33</v>
          </cell>
          <cell r="D6061" t="str">
            <v>PE</v>
          </cell>
          <cell r="E6061" t="str">
            <v>515.51515</v>
          </cell>
          <cell r="F6061">
            <v>10496.96</v>
          </cell>
          <cell r="G6061">
            <v>0</v>
          </cell>
          <cell r="H6061">
            <v>1</v>
          </cell>
          <cell r="I6061">
            <v>0</v>
          </cell>
          <cell r="J6061">
            <v>1</v>
          </cell>
          <cell r="K6061">
            <v>1</v>
          </cell>
          <cell r="L6061">
            <v>1</v>
          </cell>
        </row>
        <row r="6062">
          <cell r="A6062" t="str">
            <v>20325.05406</v>
          </cell>
          <cell r="B6062" t="str">
            <v>RLT.A ROULEAUX NUP2212</v>
          </cell>
          <cell r="C6062" t="str">
            <v>NUP 2212</v>
          </cell>
          <cell r="D6062" t="str">
            <v>PE</v>
          </cell>
          <cell r="E6062" t="str">
            <v>515.51515</v>
          </cell>
          <cell r="F6062">
            <v>264.87</v>
          </cell>
          <cell r="G6062">
            <v>0</v>
          </cell>
          <cell r="H6062">
            <v>0</v>
          </cell>
          <cell r="I6062">
            <v>0</v>
          </cell>
          <cell r="J6062">
            <v>0</v>
          </cell>
          <cell r="K6062">
            <v>0</v>
          </cell>
          <cell r="L6062">
            <v>1</v>
          </cell>
        </row>
        <row r="6063">
          <cell r="A6063" t="str">
            <v>20325.05407</v>
          </cell>
          <cell r="B6063" t="str">
            <v>RLT.A ROULEAUX NUP2220 E</v>
          </cell>
          <cell r="C6063" t="str">
            <v>NUP 2220 E</v>
          </cell>
          <cell r="D6063" t="str">
            <v>PE</v>
          </cell>
          <cell r="E6063" t="str">
            <v>515.51515</v>
          </cell>
          <cell r="F6063">
            <v>1946.5172</v>
          </cell>
          <cell r="G6063">
            <v>0</v>
          </cell>
          <cell r="H6063">
            <v>0</v>
          </cell>
          <cell r="I6063">
            <v>0</v>
          </cell>
          <cell r="J6063">
            <v>0</v>
          </cell>
          <cell r="K6063">
            <v>0</v>
          </cell>
          <cell r="L6063">
            <v>2</v>
          </cell>
        </row>
        <row r="6064">
          <cell r="A6064" t="str">
            <v>20323.07494</v>
          </cell>
          <cell r="B6064" t="str">
            <v>RELAIS AUXILLIAIRE</v>
          </cell>
          <cell r="C6064" t="str">
            <v>RXL-4A06B1BD</v>
          </cell>
          <cell r="D6064" t="str">
            <v>PE</v>
          </cell>
          <cell r="E6064" t="str">
            <v>522.52206</v>
          </cell>
          <cell r="F6064">
            <v>49.896000000000001</v>
          </cell>
          <cell r="G6064">
            <v>0</v>
          </cell>
          <cell r="H6064">
            <v>0</v>
          </cell>
          <cell r="I6064">
            <v>0</v>
          </cell>
          <cell r="J6064">
            <v>0</v>
          </cell>
          <cell r="K6064">
            <v>1</v>
          </cell>
          <cell r="L6064">
            <v>0</v>
          </cell>
        </row>
        <row r="6065">
          <cell r="A6065" t="str">
            <v>20323.07495</v>
          </cell>
          <cell r="B6065" t="str">
            <v>RELAIS</v>
          </cell>
          <cell r="C6065" t="str">
            <v>RUN-31A21</v>
          </cell>
          <cell r="D6065" t="str">
            <v>PE</v>
          </cell>
          <cell r="E6065" t="str">
            <v>522.52206</v>
          </cell>
          <cell r="F6065">
            <v>409.86</v>
          </cell>
          <cell r="G6065">
            <v>0</v>
          </cell>
          <cell r="H6065">
            <v>0</v>
          </cell>
          <cell r="I6065">
            <v>0</v>
          </cell>
          <cell r="J6065">
            <v>0</v>
          </cell>
          <cell r="K6065">
            <v>0</v>
          </cell>
          <cell r="L6065">
            <v>2</v>
          </cell>
        </row>
        <row r="6066">
          <cell r="A6066" t="str">
            <v>20324.00978</v>
          </cell>
          <cell r="B6066" t="str">
            <v>SERVO-MOTEUR</v>
          </cell>
          <cell r="C6066" t="str">
            <v>SMR-41241 NUMERO D'IDENTIFICATION 9 186895 0</v>
          </cell>
          <cell r="D6066" t="str">
            <v>PE</v>
          </cell>
          <cell r="E6066" t="str">
            <v>515.51515</v>
          </cell>
          <cell r="F6066">
            <v>237665</v>
          </cell>
          <cell r="G6066">
            <v>0</v>
          </cell>
          <cell r="H6066">
            <v>0</v>
          </cell>
          <cell r="I6066">
            <v>0</v>
          </cell>
          <cell r="J6066">
            <v>0</v>
          </cell>
          <cell r="K6066">
            <v>0</v>
          </cell>
          <cell r="L6066">
            <v>1</v>
          </cell>
        </row>
        <row r="6067">
          <cell r="A6067" t="str">
            <v>20324.00979</v>
          </cell>
          <cell r="B6067" t="str">
            <v>AIMENT DE REGULATION E1</v>
          </cell>
          <cell r="C6067">
            <v>220.0000160001</v>
          </cell>
          <cell r="D6067" t="str">
            <v>PE</v>
          </cell>
          <cell r="E6067" t="str">
            <v>515.51515</v>
          </cell>
          <cell r="F6067">
            <v>102199</v>
          </cell>
          <cell r="G6067">
            <v>0</v>
          </cell>
          <cell r="H6067">
            <v>0</v>
          </cell>
          <cell r="I6067">
            <v>0</v>
          </cell>
          <cell r="J6067">
            <v>0</v>
          </cell>
          <cell r="K6067">
            <v>0</v>
          </cell>
          <cell r="L6067">
            <v>1</v>
          </cell>
        </row>
        <row r="6068">
          <cell r="A6068" t="str">
            <v>20324.00980</v>
          </cell>
          <cell r="B6068" t="str">
            <v>COMMANDE DE PILOTE HYDRAULIQUE E2</v>
          </cell>
          <cell r="C6068">
            <v>220.00001600019999</v>
          </cell>
          <cell r="D6068" t="str">
            <v>PE</v>
          </cell>
          <cell r="E6068" t="str">
            <v>515.51515</v>
          </cell>
          <cell r="F6068">
            <v>44893</v>
          </cell>
          <cell r="G6068">
            <v>0</v>
          </cell>
          <cell r="H6068">
            <v>0</v>
          </cell>
          <cell r="I6068">
            <v>0</v>
          </cell>
          <cell r="J6068">
            <v>0</v>
          </cell>
          <cell r="K6068">
            <v>0</v>
          </cell>
          <cell r="L6068">
            <v>1</v>
          </cell>
        </row>
        <row r="6069">
          <cell r="A6069" t="str">
            <v>20324.00981</v>
          </cell>
          <cell r="B6069" t="str">
            <v>JEU DE JOINTS D'ETANCHEITE E4</v>
          </cell>
          <cell r="C6069">
            <v>220.0000160004</v>
          </cell>
          <cell r="D6069" t="str">
            <v>PE</v>
          </cell>
          <cell r="E6069" t="str">
            <v>515.51515</v>
          </cell>
          <cell r="F6069">
            <v>8371</v>
          </cell>
          <cell r="G6069">
            <v>0</v>
          </cell>
          <cell r="H6069">
            <v>0</v>
          </cell>
          <cell r="I6069">
            <v>0</v>
          </cell>
          <cell r="J6069">
            <v>0</v>
          </cell>
          <cell r="K6069">
            <v>0</v>
          </cell>
          <cell r="L6069">
            <v>2</v>
          </cell>
        </row>
        <row r="6070">
          <cell r="A6070" t="str">
            <v>20323.07505</v>
          </cell>
          <cell r="B6070" t="str">
            <v>ARRET URGENCE</v>
          </cell>
          <cell r="C6070" t="str">
            <v>XB4-BS8445</v>
          </cell>
          <cell r="D6070" t="str">
            <v>PE</v>
          </cell>
          <cell r="E6070" t="str">
            <v>522.52206</v>
          </cell>
          <cell r="F6070">
            <v>145</v>
          </cell>
          <cell r="G6070">
            <v>0</v>
          </cell>
          <cell r="H6070">
            <v>20</v>
          </cell>
          <cell r="I6070">
            <v>0</v>
          </cell>
          <cell r="J6070">
            <v>0</v>
          </cell>
          <cell r="K6070">
            <v>0</v>
          </cell>
          <cell r="L6070">
            <v>30</v>
          </cell>
        </row>
        <row r="6071">
          <cell r="A6071" t="str">
            <v>20323.07539</v>
          </cell>
          <cell r="B6071" t="str">
            <v>DEMARREUR PROGRESSIF  ALTISTAR 48  208/690V</v>
          </cell>
          <cell r="C6071" t="str">
            <v>ATS 48C17Y</v>
          </cell>
          <cell r="D6071" t="str">
            <v>PE</v>
          </cell>
          <cell r="E6071" t="str">
            <v>522.52206</v>
          </cell>
          <cell r="F6071">
            <v>6035</v>
          </cell>
          <cell r="G6071">
            <v>0</v>
          </cell>
          <cell r="H6071">
            <v>0</v>
          </cell>
          <cell r="I6071">
            <v>0</v>
          </cell>
          <cell r="J6071">
            <v>0</v>
          </cell>
          <cell r="K6071">
            <v>0</v>
          </cell>
          <cell r="L6071">
            <v>2</v>
          </cell>
        </row>
        <row r="6072">
          <cell r="A6072" t="str">
            <v>20323.07540</v>
          </cell>
          <cell r="B6072" t="str">
            <v>DEMARREUR PROGRESSIF  ALTISTAR 48  208/690V</v>
          </cell>
          <cell r="C6072" t="str">
            <v>ATS 48C25Y</v>
          </cell>
          <cell r="D6072" t="str">
            <v>PE</v>
          </cell>
          <cell r="E6072" t="str">
            <v>522.52206</v>
          </cell>
          <cell r="F6072">
            <v>9346</v>
          </cell>
          <cell r="G6072">
            <v>0</v>
          </cell>
          <cell r="H6072">
            <v>0</v>
          </cell>
          <cell r="I6072">
            <v>1</v>
          </cell>
          <cell r="J6072">
            <v>1</v>
          </cell>
          <cell r="K6072">
            <v>0</v>
          </cell>
          <cell r="L6072">
            <v>0</v>
          </cell>
        </row>
        <row r="6073">
          <cell r="A6073" t="str">
            <v>20323.08138</v>
          </cell>
          <cell r="B6073" t="str">
            <v>DISJONCTEUR 4P- 125A</v>
          </cell>
          <cell r="C6073" t="str">
            <v>A9N18355</v>
          </cell>
          <cell r="D6073" t="str">
            <v>PE</v>
          </cell>
          <cell r="E6073" t="str">
            <v>522.52206</v>
          </cell>
          <cell r="F6073">
            <v>1700</v>
          </cell>
          <cell r="G6073">
            <v>3</v>
          </cell>
          <cell r="H6073">
            <v>0</v>
          </cell>
          <cell r="I6073">
            <v>0</v>
          </cell>
          <cell r="J6073">
            <v>0</v>
          </cell>
          <cell r="K6073">
            <v>0</v>
          </cell>
          <cell r="L6073">
            <v>4</v>
          </cell>
        </row>
        <row r="6074">
          <cell r="A6074" t="str">
            <v>20325.01569</v>
          </cell>
          <cell r="B6074" t="str">
            <v>ROULEMENT A BILLES</v>
          </cell>
          <cell r="C6074" t="str">
            <v>7310 B</v>
          </cell>
          <cell r="D6074" t="str">
            <v>PE</v>
          </cell>
          <cell r="E6074" t="str">
            <v>515.51515</v>
          </cell>
          <cell r="F6074">
            <v>123.0273</v>
          </cell>
          <cell r="G6074">
            <v>0</v>
          </cell>
          <cell r="H6074">
            <v>0</v>
          </cell>
          <cell r="I6074">
            <v>4</v>
          </cell>
          <cell r="J6074">
            <v>0</v>
          </cell>
          <cell r="K6074">
            <v>0</v>
          </cell>
          <cell r="L6074">
            <v>0</v>
          </cell>
        </row>
        <row r="6075">
          <cell r="A6075" t="str">
            <v>20325.01575</v>
          </cell>
          <cell r="B6075" t="str">
            <v>ROULEMENT A ROULEAUX CYLI</v>
          </cell>
          <cell r="C6075" t="str">
            <v>NU 212 E</v>
          </cell>
          <cell r="D6075" t="str">
            <v>PE</v>
          </cell>
          <cell r="E6075" t="str">
            <v>515.51515</v>
          </cell>
          <cell r="F6075">
            <v>530.84900000000005</v>
          </cell>
          <cell r="G6075">
            <v>0</v>
          </cell>
          <cell r="H6075">
            <v>0</v>
          </cell>
          <cell r="I6075">
            <v>0</v>
          </cell>
          <cell r="J6075">
            <v>0</v>
          </cell>
          <cell r="K6075">
            <v>0</v>
          </cell>
          <cell r="L6075">
            <v>0</v>
          </cell>
        </row>
        <row r="6076">
          <cell r="A6076" t="str">
            <v>20325.01633</v>
          </cell>
          <cell r="B6076" t="str">
            <v>ROULEMENT A BILLES</v>
          </cell>
          <cell r="C6076">
            <v>3302</v>
          </cell>
          <cell r="D6076" t="str">
            <v>PE</v>
          </cell>
          <cell r="E6076" t="str">
            <v>515.51515</v>
          </cell>
          <cell r="F6076">
            <v>59.4</v>
          </cell>
          <cell r="G6076">
            <v>0</v>
          </cell>
          <cell r="H6076">
            <v>0</v>
          </cell>
          <cell r="I6076">
            <v>0</v>
          </cell>
          <cell r="J6076">
            <v>0</v>
          </cell>
          <cell r="K6076">
            <v>1</v>
          </cell>
          <cell r="L6076">
            <v>0</v>
          </cell>
        </row>
        <row r="6077">
          <cell r="A6077" t="str">
            <v>20325.02990</v>
          </cell>
          <cell r="B6077" t="str">
            <v>ROULEMENT A BILLES</v>
          </cell>
          <cell r="C6077" t="str">
            <v>6209-Z</v>
          </cell>
          <cell r="D6077" t="str">
            <v>PE</v>
          </cell>
          <cell r="E6077" t="str">
            <v>515.51515</v>
          </cell>
          <cell r="F6077">
            <v>82.684799999999996</v>
          </cell>
          <cell r="G6077">
            <v>0</v>
          </cell>
          <cell r="H6077">
            <v>0</v>
          </cell>
          <cell r="I6077">
            <v>0</v>
          </cell>
          <cell r="J6077">
            <v>0</v>
          </cell>
          <cell r="K6077">
            <v>2</v>
          </cell>
          <cell r="L6077">
            <v>0</v>
          </cell>
        </row>
        <row r="6078">
          <cell r="A6078" t="str">
            <v>20325.00312</v>
          </cell>
          <cell r="B6078" t="str">
            <v>ROULEMENT A ROULEAUX CYLI</v>
          </cell>
          <cell r="C6078" t="str">
            <v>NU 212</v>
          </cell>
          <cell r="D6078" t="str">
            <v>PE</v>
          </cell>
          <cell r="E6078" t="str">
            <v>515.51515</v>
          </cell>
          <cell r="F6078">
            <v>347.62299999999999</v>
          </cell>
          <cell r="G6078">
            <v>0</v>
          </cell>
          <cell r="H6078">
            <v>0</v>
          </cell>
          <cell r="I6078">
            <v>1</v>
          </cell>
          <cell r="J6078">
            <v>0</v>
          </cell>
          <cell r="K6078">
            <v>1</v>
          </cell>
          <cell r="L6078">
            <v>0</v>
          </cell>
        </row>
        <row r="6079">
          <cell r="A6079" t="str">
            <v>20323.07660</v>
          </cell>
          <cell r="B6079" t="str">
            <v>ARRET D'URGENCE Ø40 AVEC VERROUILLAGE</v>
          </cell>
          <cell r="C6079" t="str">
            <v>XB5-AS8445</v>
          </cell>
          <cell r="D6079" t="str">
            <v>PE</v>
          </cell>
          <cell r="E6079" t="str">
            <v>522.52206</v>
          </cell>
          <cell r="F6079">
            <v>100</v>
          </cell>
          <cell r="G6079">
            <v>0</v>
          </cell>
          <cell r="H6079">
            <v>32</v>
          </cell>
          <cell r="I6079">
            <v>2</v>
          </cell>
          <cell r="J6079">
            <v>2</v>
          </cell>
          <cell r="K6079">
            <v>6</v>
          </cell>
          <cell r="L6079">
            <v>7</v>
          </cell>
        </row>
        <row r="6080">
          <cell r="A6080" t="str">
            <v>20325.01614</v>
          </cell>
          <cell r="B6080" t="str">
            <v>ROULEMENT A BILLES</v>
          </cell>
          <cell r="C6080" t="str">
            <v>6006-RS1</v>
          </cell>
          <cell r="D6080" t="str">
            <v>PE</v>
          </cell>
          <cell r="E6080" t="str">
            <v>515.51515</v>
          </cell>
          <cell r="F6080">
            <v>47.351999999999997</v>
          </cell>
          <cell r="G6080">
            <v>0</v>
          </cell>
          <cell r="H6080">
            <v>0</v>
          </cell>
          <cell r="I6080">
            <v>0</v>
          </cell>
          <cell r="J6080">
            <v>0</v>
          </cell>
          <cell r="K6080">
            <v>0</v>
          </cell>
          <cell r="L6080">
            <v>8</v>
          </cell>
        </row>
        <row r="6081">
          <cell r="A6081" t="str">
            <v>20323.07662</v>
          </cell>
          <cell r="B6081" t="str">
            <v>BOUTON VERT PLASTIQUE</v>
          </cell>
          <cell r="C6081" t="str">
            <v>XB5 AA31</v>
          </cell>
          <cell r="D6081" t="str">
            <v>PE</v>
          </cell>
          <cell r="E6081" t="str">
            <v>522.52206</v>
          </cell>
          <cell r="F6081">
            <v>39.700000000000003</v>
          </cell>
          <cell r="G6081">
            <v>0</v>
          </cell>
          <cell r="H6081">
            <v>11</v>
          </cell>
          <cell r="I6081">
            <v>4</v>
          </cell>
          <cell r="J6081">
            <v>2</v>
          </cell>
          <cell r="K6081">
            <v>5</v>
          </cell>
          <cell r="L6081">
            <v>46</v>
          </cell>
        </row>
        <row r="6082">
          <cell r="A6082" t="str">
            <v>20323.07663</v>
          </cell>
          <cell r="B6082" t="str">
            <v>BOUTON ROUGE PLASTIQUE</v>
          </cell>
          <cell r="C6082" t="str">
            <v>XB5 AA42</v>
          </cell>
          <cell r="D6082" t="str">
            <v>PE</v>
          </cell>
          <cell r="E6082" t="str">
            <v>522.52206</v>
          </cell>
          <cell r="F6082">
            <v>39.700000000000003</v>
          </cell>
          <cell r="G6082">
            <v>0</v>
          </cell>
          <cell r="H6082">
            <v>2</v>
          </cell>
          <cell r="I6082">
            <v>0</v>
          </cell>
          <cell r="J6082">
            <v>0</v>
          </cell>
          <cell r="K6082">
            <v>0</v>
          </cell>
          <cell r="L6082">
            <v>58</v>
          </cell>
        </row>
        <row r="6083">
          <cell r="A6083" t="str">
            <v>20323.07664</v>
          </cell>
          <cell r="B6083" t="str">
            <v>BLOC CONTACT</v>
          </cell>
          <cell r="C6083" t="str">
            <v>ZB5 AZ102</v>
          </cell>
          <cell r="D6083" t="str">
            <v>PE</v>
          </cell>
          <cell r="E6083" t="str">
            <v>522.52206</v>
          </cell>
          <cell r="F6083">
            <v>18.8</v>
          </cell>
          <cell r="G6083">
            <v>0</v>
          </cell>
          <cell r="H6083">
            <v>0</v>
          </cell>
          <cell r="I6083">
            <v>0</v>
          </cell>
          <cell r="J6083">
            <v>0</v>
          </cell>
          <cell r="K6083">
            <v>0</v>
          </cell>
          <cell r="L6083">
            <v>100</v>
          </cell>
        </row>
        <row r="6084">
          <cell r="A6084" t="str">
            <v>20323.07665</v>
          </cell>
          <cell r="B6084" t="str">
            <v>BLOC CONTACT</v>
          </cell>
          <cell r="C6084" t="str">
            <v>ZB5 AZ101</v>
          </cell>
          <cell r="D6084" t="str">
            <v>PE</v>
          </cell>
          <cell r="E6084" t="str">
            <v>522.52206</v>
          </cell>
          <cell r="F6084">
            <v>18.8</v>
          </cell>
          <cell r="G6084">
            <v>0</v>
          </cell>
          <cell r="H6084">
            <v>3</v>
          </cell>
          <cell r="I6084">
            <v>0</v>
          </cell>
          <cell r="J6084">
            <v>0</v>
          </cell>
          <cell r="K6084">
            <v>0</v>
          </cell>
          <cell r="L6084">
            <v>46</v>
          </cell>
        </row>
        <row r="6085">
          <cell r="A6085" t="str">
            <v>20325.03003</v>
          </cell>
          <cell r="B6085" t="str">
            <v>ROULEMENT A BILLES</v>
          </cell>
          <cell r="C6085">
            <v>6315</v>
          </cell>
          <cell r="D6085" t="str">
            <v>PE</v>
          </cell>
          <cell r="E6085" t="str">
            <v>515.51515</v>
          </cell>
          <cell r="F6085">
            <v>345.68</v>
          </cell>
          <cell r="G6085">
            <v>0</v>
          </cell>
          <cell r="H6085">
            <v>0</v>
          </cell>
          <cell r="I6085">
            <v>0</v>
          </cell>
          <cell r="J6085">
            <v>0</v>
          </cell>
          <cell r="K6085">
            <v>0</v>
          </cell>
          <cell r="L6085">
            <v>8</v>
          </cell>
        </row>
        <row r="6086">
          <cell r="A6086" t="str">
            <v>20325.01682</v>
          </cell>
          <cell r="B6086" t="str">
            <v>ROULEMENT A BILLES</v>
          </cell>
          <cell r="C6086" t="str">
            <v>6314-2Z</v>
          </cell>
          <cell r="D6086" t="str">
            <v>PE</v>
          </cell>
          <cell r="E6086" t="str">
            <v>515.51515</v>
          </cell>
          <cell r="F6086">
            <v>336.28</v>
          </cell>
          <cell r="G6086">
            <v>0</v>
          </cell>
          <cell r="H6086">
            <v>0</v>
          </cell>
          <cell r="I6086">
            <v>0</v>
          </cell>
          <cell r="J6086">
            <v>0</v>
          </cell>
          <cell r="K6086">
            <v>0</v>
          </cell>
          <cell r="L6086">
            <v>2</v>
          </cell>
        </row>
        <row r="6087">
          <cell r="A6087" t="str">
            <v>20325.05676</v>
          </cell>
          <cell r="B6087" t="str">
            <v>ROULEMENT</v>
          </cell>
          <cell r="C6087" t="str">
            <v>7314 BECBM</v>
          </cell>
          <cell r="D6087" t="str">
            <v>PE</v>
          </cell>
          <cell r="E6087" t="str">
            <v>515.51515</v>
          </cell>
          <cell r="F6087">
            <v>831.14120000000003</v>
          </cell>
          <cell r="G6087">
            <v>0</v>
          </cell>
          <cell r="H6087">
            <v>3</v>
          </cell>
          <cell r="I6087">
            <v>2</v>
          </cell>
          <cell r="J6087">
            <v>0</v>
          </cell>
          <cell r="K6087">
            <v>0</v>
          </cell>
          <cell r="L6087">
            <v>0</v>
          </cell>
        </row>
        <row r="6088">
          <cell r="A6088" t="str">
            <v>20325.05679</v>
          </cell>
          <cell r="B6088" t="str">
            <v>ROULEMENT</v>
          </cell>
          <cell r="C6088" t="str">
            <v>NU 309 EC/C3</v>
          </cell>
          <cell r="D6088" t="str">
            <v>PE</v>
          </cell>
          <cell r="E6088" t="str">
            <v>515.51515</v>
          </cell>
          <cell r="F6088">
            <v>307.39299999999997</v>
          </cell>
          <cell r="G6088">
            <v>0</v>
          </cell>
          <cell r="H6088">
            <v>2</v>
          </cell>
          <cell r="I6088">
            <v>5</v>
          </cell>
          <cell r="J6088">
            <v>0</v>
          </cell>
          <cell r="K6088">
            <v>0</v>
          </cell>
          <cell r="L6088">
            <v>1</v>
          </cell>
        </row>
        <row r="6089">
          <cell r="A6089" t="str">
            <v>20325.05681</v>
          </cell>
          <cell r="B6089" t="str">
            <v>ROULEMENT A BILLES</v>
          </cell>
          <cell r="C6089" t="str">
            <v>QJ 322 N2</v>
          </cell>
          <cell r="D6089" t="str">
            <v>PE</v>
          </cell>
          <cell r="E6089" t="str">
            <v>515.51515</v>
          </cell>
          <cell r="F6089">
            <v>3335.9259999999999</v>
          </cell>
          <cell r="G6089">
            <v>0</v>
          </cell>
          <cell r="H6089">
            <v>0</v>
          </cell>
          <cell r="I6089">
            <v>0</v>
          </cell>
          <cell r="J6089">
            <v>0</v>
          </cell>
          <cell r="K6089">
            <v>0</v>
          </cell>
          <cell r="L6089">
            <v>0</v>
          </cell>
        </row>
        <row r="6090">
          <cell r="A6090" t="str">
            <v>20325.05687</v>
          </cell>
          <cell r="B6090" t="str">
            <v>ROULEMENT</v>
          </cell>
          <cell r="C6090" t="str">
            <v>NUP 309</v>
          </cell>
          <cell r="D6090" t="str">
            <v>PE</v>
          </cell>
          <cell r="E6090" t="str">
            <v>515.51515</v>
          </cell>
          <cell r="F6090">
            <v>188.35</v>
          </cell>
          <cell r="G6090">
            <v>0</v>
          </cell>
          <cell r="H6090">
            <v>1</v>
          </cell>
          <cell r="I6090">
            <v>4</v>
          </cell>
          <cell r="J6090">
            <v>0</v>
          </cell>
          <cell r="K6090">
            <v>2</v>
          </cell>
          <cell r="L6090">
            <v>0</v>
          </cell>
        </row>
        <row r="6091">
          <cell r="A6091" t="str">
            <v>20325.05688</v>
          </cell>
          <cell r="B6091" t="str">
            <v>ROULEMENT</v>
          </cell>
          <cell r="C6091" t="str">
            <v>NUP 317</v>
          </cell>
          <cell r="D6091" t="str">
            <v>PE</v>
          </cell>
          <cell r="E6091" t="str">
            <v>515.51515</v>
          </cell>
          <cell r="F6091">
            <v>512.64</v>
          </cell>
          <cell r="G6091">
            <v>0</v>
          </cell>
          <cell r="H6091">
            <v>0</v>
          </cell>
          <cell r="I6091">
            <v>2</v>
          </cell>
          <cell r="J6091">
            <v>0</v>
          </cell>
          <cell r="K6091">
            <v>2</v>
          </cell>
          <cell r="L6091">
            <v>3</v>
          </cell>
        </row>
        <row r="6092">
          <cell r="A6092" t="str">
            <v>20325.08007</v>
          </cell>
          <cell r="B6092" t="str">
            <v>ROULEMENT</v>
          </cell>
          <cell r="C6092" t="str">
            <v xml:space="preserve">NU 311 ECJ </v>
          </cell>
          <cell r="D6092" t="str">
            <v>PE</v>
          </cell>
          <cell r="E6092" t="str">
            <v>515.51515</v>
          </cell>
          <cell r="F6092">
            <v>216.41</v>
          </cell>
          <cell r="G6092">
            <v>0</v>
          </cell>
          <cell r="H6092">
            <v>0</v>
          </cell>
          <cell r="I6092">
            <v>2</v>
          </cell>
          <cell r="J6092">
            <v>0</v>
          </cell>
          <cell r="K6092">
            <v>1</v>
          </cell>
          <cell r="L6092">
            <v>1</v>
          </cell>
        </row>
        <row r="6093">
          <cell r="A6093" t="str">
            <v>20325.01903</v>
          </cell>
          <cell r="B6093" t="str">
            <v>ROULEMENT A BILLES</v>
          </cell>
          <cell r="C6093" t="str">
            <v>7314 BG</v>
          </cell>
          <cell r="D6093" t="str">
            <v>PE</v>
          </cell>
          <cell r="E6093" t="str">
            <v>515.51515</v>
          </cell>
          <cell r="F6093">
            <v>577.44110000000001</v>
          </cell>
          <cell r="G6093">
            <v>0</v>
          </cell>
          <cell r="H6093">
            <v>2</v>
          </cell>
          <cell r="I6093">
            <v>0</v>
          </cell>
          <cell r="J6093">
            <v>0</v>
          </cell>
          <cell r="K6093">
            <v>0</v>
          </cell>
          <cell r="L6093">
            <v>0</v>
          </cell>
        </row>
        <row r="6094">
          <cell r="A6094" t="str">
            <v>20325.04405</v>
          </cell>
          <cell r="B6094" t="str">
            <v>MANCHON DE SERRAGE</v>
          </cell>
          <cell r="C6094" t="str">
            <v>OH3048H</v>
          </cell>
          <cell r="D6094" t="str">
            <v>PE</v>
          </cell>
          <cell r="E6094" t="str">
            <v>515.51515</v>
          </cell>
          <cell r="F6094">
            <v>5113.4666999999999</v>
          </cell>
          <cell r="G6094">
            <v>0</v>
          </cell>
          <cell r="H6094">
            <v>1</v>
          </cell>
          <cell r="I6094">
            <v>1</v>
          </cell>
          <cell r="J6094">
            <v>1</v>
          </cell>
          <cell r="K6094">
            <v>1</v>
          </cell>
          <cell r="L6094">
            <v>3</v>
          </cell>
        </row>
        <row r="6095">
          <cell r="A6095" t="str">
            <v>20325.04406</v>
          </cell>
          <cell r="B6095" t="str">
            <v>MANCHON DE SERRAGE</v>
          </cell>
          <cell r="C6095" t="str">
            <v>OH3052H</v>
          </cell>
          <cell r="D6095" t="str">
            <v>PE</v>
          </cell>
          <cell r="E6095" t="str">
            <v>515.51515</v>
          </cell>
          <cell r="F6095">
            <v>5665.9533000000001</v>
          </cell>
          <cell r="G6095">
            <v>0</v>
          </cell>
          <cell r="H6095">
            <v>1</v>
          </cell>
          <cell r="I6095">
            <v>1</v>
          </cell>
          <cell r="J6095">
            <v>0</v>
          </cell>
          <cell r="K6095">
            <v>1</v>
          </cell>
          <cell r="L6095">
            <v>1</v>
          </cell>
        </row>
        <row r="6096">
          <cell r="A6096" t="str">
            <v>20325.04098</v>
          </cell>
          <cell r="B6096" t="str">
            <v>ROULEMENT A AIGUILLE</v>
          </cell>
          <cell r="C6096" t="str">
            <v>NA 4919</v>
          </cell>
          <cell r="D6096" t="str">
            <v>PE</v>
          </cell>
          <cell r="E6096" t="str">
            <v>515.51515</v>
          </cell>
          <cell r="F6096">
            <v>581.35</v>
          </cell>
          <cell r="G6096">
            <v>0</v>
          </cell>
          <cell r="H6096">
            <v>0</v>
          </cell>
          <cell r="I6096">
            <v>0</v>
          </cell>
          <cell r="J6096">
            <v>0</v>
          </cell>
          <cell r="K6096">
            <v>0</v>
          </cell>
          <cell r="L6096">
            <v>1</v>
          </cell>
        </row>
        <row r="6097">
          <cell r="A6097" t="str">
            <v>20325.04409</v>
          </cell>
          <cell r="B6097" t="str">
            <v>ROULEMENT A BILLES C/OBLI</v>
          </cell>
          <cell r="C6097" t="str">
            <v>7312 BECB</v>
          </cell>
          <cell r="D6097" t="str">
            <v>PE</v>
          </cell>
          <cell r="E6097" t="str">
            <v>515.51515</v>
          </cell>
          <cell r="F6097">
            <v>228.8801</v>
          </cell>
          <cell r="G6097">
            <v>0</v>
          </cell>
          <cell r="H6097">
            <v>4</v>
          </cell>
          <cell r="I6097">
            <v>0</v>
          </cell>
          <cell r="J6097">
            <v>0</v>
          </cell>
          <cell r="K6097">
            <v>2</v>
          </cell>
          <cell r="L6097">
            <v>6</v>
          </cell>
        </row>
        <row r="6098">
          <cell r="A6098" t="str">
            <v>20325.04522</v>
          </cell>
          <cell r="B6098" t="str">
            <v>ROULEMENT</v>
          </cell>
          <cell r="C6098" t="str">
            <v>NU 310 ECP</v>
          </cell>
          <cell r="D6098" t="str">
            <v>PE</v>
          </cell>
          <cell r="E6098" t="str">
            <v>515.51515</v>
          </cell>
          <cell r="F6098">
            <v>342.76979999999998</v>
          </cell>
          <cell r="G6098">
            <v>0</v>
          </cell>
          <cell r="H6098">
            <v>0</v>
          </cell>
          <cell r="I6098">
            <v>0</v>
          </cell>
          <cell r="J6098">
            <v>0</v>
          </cell>
          <cell r="K6098">
            <v>0</v>
          </cell>
          <cell r="L6098">
            <v>9</v>
          </cell>
        </row>
        <row r="6099">
          <cell r="A6099" t="str">
            <v>20325.04525</v>
          </cell>
          <cell r="B6099" t="str">
            <v>ROULEMENT</v>
          </cell>
          <cell r="C6099" t="str">
            <v>7309 BECBP</v>
          </cell>
          <cell r="D6099" t="str">
            <v>PE</v>
          </cell>
          <cell r="E6099" t="str">
            <v>515.51515</v>
          </cell>
          <cell r="F6099">
            <v>252.38399999999999</v>
          </cell>
          <cell r="G6099">
            <v>0</v>
          </cell>
          <cell r="H6099">
            <v>0</v>
          </cell>
          <cell r="I6099">
            <v>0</v>
          </cell>
          <cell r="J6099">
            <v>0</v>
          </cell>
          <cell r="K6099">
            <v>12</v>
          </cell>
          <cell r="L6099">
            <v>0</v>
          </cell>
        </row>
        <row r="6100">
          <cell r="A6100" t="str">
            <v>20325.04526</v>
          </cell>
          <cell r="B6100" t="str">
            <v>ROULEMENT</v>
          </cell>
          <cell r="C6100" t="str">
            <v>7307 BECBP</v>
          </cell>
          <cell r="D6100" t="str">
            <v>PE</v>
          </cell>
          <cell r="E6100" t="str">
            <v>515.51515</v>
          </cell>
          <cell r="F6100">
            <v>186.13200000000001</v>
          </cell>
          <cell r="G6100">
            <v>0</v>
          </cell>
          <cell r="H6100">
            <v>0</v>
          </cell>
          <cell r="I6100">
            <v>0</v>
          </cell>
          <cell r="J6100">
            <v>0</v>
          </cell>
          <cell r="K6100">
            <v>9</v>
          </cell>
          <cell r="L6100">
            <v>0</v>
          </cell>
        </row>
        <row r="6101">
          <cell r="A6101" t="str">
            <v>20325.04527</v>
          </cell>
          <cell r="B6101" t="str">
            <v>OBTURATEUR</v>
          </cell>
          <cell r="C6101" t="str">
            <v>ASNH 528</v>
          </cell>
          <cell r="D6101" t="str">
            <v>PE</v>
          </cell>
          <cell r="E6101" t="str">
            <v>515.51515</v>
          </cell>
          <cell r="F6101">
            <v>70</v>
          </cell>
          <cell r="G6101">
            <v>0</v>
          </cell>
          <cell r="H6101">
            <v>0</v>
          </cell>
          <cell r="I6101">
            <v>0</v>
          </cell>
          <cell r="J6101">
            <v>0</v>
          </cell>
          <cell r="K6101">
            <v>0</v>
          </cell>
          <cell r="L6101">
            <v>4</v>
          </cell>
        </row>
        <row r="6102">
          <cell r="A6102" t="str">
            <v>20325.05525</v>
          </cell>
          <cell r="B6102" t="str">
            <v>ROULEMENT A ROTULE</v>
          </cell>
          <cell r="C6102" t="str">
            <v>22218E</v>
          </cell>
          <cell r="D6102" t="str">
            <v>PE</v>
          </cell>
          <cell r="E6102" t="str">
            <v>515.51515</v>
          </cell>
          <cell r="F6102">
            <v>485.53059999999999</v>
          </cell>
          <cell r="G6102">
            <v>0</v>
          </cell>
          <cell r="H6102">
            <v>0</v>
          </cell>
          <cell r="I6102">
            <v>0</v>
          </cell>
          <cell r="J6102">
            <v>0</v>
          </cell>
          <cell r="K6102">
            <v>2</v>
          </cell>
          <cell r="L6102">
            <v>2</v>
          </cell>
        </row>
        <row r="6103">
          <cell r="A6103" t="str">
            <v>20323.05646</v>
          </cell>
          <cell r="B6103" t="str">
            <v>BOITE PENDANTE 12 BOUTONS</v>
          </cell>
          <cell r="C6103" t="str">
            <v>XAC-A129</v>
          </cell>
          <cell r="D6103" t="str">
            <v>PE</v>
          </cell>
          <cell r="E6103" t="str">
            <v>522.52206</v>
          </cell>
          <cell r="F6103">
            <v>1485</v>
          </cell>
          <cell r="G6103">
            <v>0</v>
          </cell>
          <cell r="H6103">
            <v>0</v>
          </cell>
          <cell r="I6103">
            <v>0</v>
          </cell>
          <cell r="J6103">
            <v>0</v>
          </cell>
          <cell r="K6103">
            <v>0</v>
          </cell>
          <cell r="L6103">
            <v>0</v>
          </cell>
        </row>
        <row r="6104">
          <cell r="A6104" t="str">
            <v>20325.01519</v>
          </cell>
          <cell r="B6104" t="str">
            <v>ROULEMENT A BILLES</v>
          </cell>
          <cell r="C6104" t="str">
            <v>6205-RS1</v>
          </cell>
          <cell r="D6104" t="str">
            <v>PE</v>
          </cell>
          <cell r="E6104" t="str">
            <v>515.51515</v>
          </cell>
          <cell r="F6104">
            <v>22</v>
          </cell>
          <cell r="G6104">
            <v>0</v>
          </cell>
          <cell r="H6104">
            <v>0</v>
          </cell>
          <cell r="I6104">
            <v>0</v>
          </cell>
          <cell r="J6104">
            <v>0</v>
          </cell>
          <cell r="K6104">
            <v>2</v>
          </cell>
          <cell r="L6104">
            <v>0</v>
          </cell>
        </row>
        <row r="6105">
          <cell r="A6105" t="str">
            <v>20325.05536</v>
          </cell>
          <cell r="B6105" t="str">
            <v>ROULEMENT A BILLES</v>
          </cell>
          <cell r="C6105" t="str">
            <v>6318-2Z</v>
          </cell>
          <cell r="D6105" t="str">
            <v>PE</v>
          </cell>
          <cell r="E6105" t="str">
            <v>515.51515</v>
          </cell>
          <cell r="F6105">
            <v>715.23</v>
          </cell>
          <cell r="G6105">
            <v>0</v>
          </cell>
          <cell r="H6105">
            <v>0</v>
          </cell>
          <cell r="I6105">
            <v>0</v>
          </cell>
          <cell r="J6105">
            <v>0</v>
          </cell>
          <cell r="K6105">
            <v>0</v>
          </cell>
          <cell r="L6105">
            <v>2</v>
          </cell>
        </row>
        <row r="6106">
          <cell r="A6106" t="str">
            <v>20325.05537</v>
          </cell>
          <cell r="B6106" t="str">
            <v>ROULEMENT A ROTULE/RLX</v>
          </cell>
          <cell r="C6106" t="str">
            <v>22218 EK</v>
          </cell>
          <cell r="D6106" t="str">
            <v>PE</v>
          </cell>
          <cell r="E6106" t="str">
            <v>515.51515</v>
          </cell>
          <cell r="F6106">
            <v>554.66999999999996</v>
          </cell>
          <cell r="G6106">
            <v>0</v>
          </cell>
          <cell r="H6106">
            <v>0</v>
          </cell>
          <cell r="I6106">
            <v>0</v>
          </cell>
          <cell r="J6106">
            <v>0</v>
          </cell>
          <cell r="K6106">
            <v>0</v>
          </cell>
          <cell r="L6106">
            <v>2</v>
          </cell>
        </row>
        <row r="6107">
          <cell r="A6107" t="str">
            <v>20325.00687</v>
          </cell>
          <cell r="B6107" t="str">
            <v>ROULEMENT A ROULEAUX CYLI</v>
          </cell>
          <cell r="C6107" t="str">
            <v>NUP 210 EJ</v>
          </cell>
          <cell r="D6107" t="str">
            <v>PE</v>
          </cell>
          <cell r="E6107" t="str">
            <v>515.51515</v>
          </cell>
          <cell r="F6107">
            <v>137.64779999999999</v>
          </cell>
          <cell r="G6107">
            <v>0</v>
          </cell>
          <cell r="H6107">
            <v>0</v>
          </cell>
          <cell r="I6107">
            <v>0</v>
          </cell>
          <cell r="J6107">
            <v>0</v>
          </cell>
          <cell r="K6107">
            <v>0</v>
          </cell>
          <cell r="L6107">
            <v>6</v>
          </cell>
        </row>
        <row r="6108">
          <cell r="A6108" t="str">
            <v>20325.02406</v>
          </cell>
          <cell r="B6108" t="str">
            <v xml:space="preserve">ROULEMENT A BILLES A CONTACT OBLIQUE </v>
          </cell>
          <cell r="C6108" t="str">
            <v xml:space="preserve">QJ 322 N2MA                 </v>
          </cell>
          <cell r="D6108" t="str">
            <v>PE</v>
          </cell>
          <cell r="E6108" t="str">
            <v>515.51515</v>
          </cell>
          <cell r="F6108">
            <v>708</v>
          </cell>
          <cell r="G6108">
            <v>0</v>
          </cell>
          <cell r="H6108">
            <v>1</v>
          </cell>
          <cell r="I6108">
            <v>1</v>
          </cell>
          <cell r="J6108">
            <v>1</v>
          </cell>
          <cell r="K6108">
            <v>0</v>
          </cell>
          <cell r="L6108">
            <v>0</v>
          </cell>
        </row>
        <row r="6109">
          <cell r="A6109" t="str">
            <v>20325.00440</v>
          </cell>
          <cell r="B6109" t="str">
            <v>ROULEMENT A ROULEAUX CYLINDRIQUES</v>
          </cell>
          <cell r="C6109" t="str">
            <v>NU 2318E TVP2</v>
          </cell>
          <cell r="D6109" t="str">
            <v>PE</v>
          </cell>
          <cell r="E6109" t="str">
            <v>515.51515</v>
          </cell>
          <cell r="F6109">
            <v>1070.99</v>
          </cell>
          <cell r="G6109">
            <v>0</v>
          </cell>
          <cell r="H6109">
            <v>0</v>
          </cell>
          <cell r="I6109">
            <v>0</v>
          </cell>
          <cell r="J6109">
            <v>0</v>
          </cell>
          <cell r="K6109">
            <v>0</v>
          </cell>
          <cell r="L6109">
            <v>6</v>
          </cell>
        </row>
        <row r="6110">
          <cell r="A6110" t="str">
            <v>20325.00444</v>
          </cell>
          <cell r="B6110" t="str">
            <v xml:space="preserve">ROULEMENT A BILLES A CONTACT OBLIQUE </v>
          </cell>
          <cell r="C6110">
            <v>5308</v>
          </cell>
          <cell r="D6110" t="str">
            <v>PE</v>
          </cell>
          <cell r="E6110" t="str">
            <v>515.51515</v>
          </cell>
          <cell r="F6110">
            <v>208.5744</v>
          </cell>
          <cell r="G6110">
            <v>0</v>
          </cell>
          <cell r="H6110">
            <v>6</v>
          </cell>
          <cell r="I6110">
            <v>2</v>
          </cell>
          <cell r="J6110">
            <v>0</v>
          </cell>
          <cell r="K6110">
            <v>0</v>
          </cell>
          <cell r="L6110">
            <v>0</v>
          </cell>
        </row>
        <row r="6111">
          <cell r="A6111" t="str">
            <v>20323.06708</v>
          </cell>
          <cell r="B6111" t="str">
            <v>COFFRET ISOLO 747X536X300</v>
          </cell>
          <cell r="C6111" t="str">
            <v>ACPGV75543</v>
          </cell>
          <cell r="D6111" t="str">
            <v>PE</v>
          </cell>
          <cell r="E6111" t="str">
            <v>522.52206</v>
          </cell>
          <cell r="F6111">
            <v>1350</v>
          </cell>
          <cell r="G6111">
            <v>0</v>
          </cell>
          <cell r="H6111">
            <v>5</v>
          </cell>
          <cell r="I6111">
            <v>0</v>
          </cell>
          <cell r="J6111">
            <v>0</v>
          </cell>
          <cell r="K6111">
            <v>2</v>
          </cell>
          <cell r="L6111">
            <v>2</v>
          </cell>
        </row>
        <row r="6112">
          <cell r="A6112" t="str">
            <v>20325.02503</v>
          </cell>
          <cell r="B6112" t="str">
            <v>JOINT</v>
          </cell>
          <cell r="C6112" t="str">
            <v>TSN 518L</v>
          </cell>
          <cell r="D6112" t="str">
            <v>PE</v>
          </cell>
          <cell r="E6112" t="str">
            <v>515.51515</v>
          </cell>
          <cell r="F6112">
            <v>93.96</v>
          </cell>
          <cell r="G6112">
            <v>0</v>
          </cell>
          <cell r="H6112">
            <v>0</v>
          </cell>
          <cell r="I6112">
            <v>0</v>
          </cell>
          <cell r="J6112">
            <v>0</v>
          </cell>
          <cell r="K6112">
            <v>0</v>
          </cell>
          <cell r="L6112">
            <v>5</v>
          </cell>
        </row>
        <row r="6113">
          <cell r="A6113" t="str">
            <v>20325.02504</v>
          </cell>
          <cell r="B6113" t="str">
            <v>DISQUE D'OBTURATION</v>
          </cell>
          <cell r="C6113" t="str">
            <v>ASNH 518-615</v>
          </cell>
          <cell r="D6113" t="str">
            <v>PE</v>
          </cell>
          <cell r="E6113" t="str">
            <v>515.51515</v>
          </cell>
          <cell r="F6113">
            <v>52.38</v>
          </cell>
          <cell r="G6113">
            <v>0</v>
          </cell>
          <cell r="H6113">
            <v>0</v>
          </cell>
          <cell r="I6113">
            <v>0</v>
          </cell>
          <cell r="J6113">
            <v>0</v>
          </cell>
          <cell r="K6113">
            <v>2</v>
          </cell>
          <cell r="L6113">
            <v>2</v>
          </cell>
        </row>
        <row r="6114">
          <cell r="A6114" t="str">
            <v>20325.02505</v>
          </cell>
          <cell r="B6114" t="str">
            <v>JOINT</v>
          </cell>
          <cell r="C6114" t="str">
            <v>TSN 511L</v>
          </cell>
          <cell r="D6114" t="str">
            <v>PE</v>
          </cell>
          <cell r="E6114" t="str">
            <v>515.51515</v>
          </cell>
          <cell r="F6114">
            <v>55.628300000000003</v>
          </cell>
          <cell r="G6114">
            <v>0</v>
          </cell>
          <cell r="H6114">
            <v>0</v>
          </cell>
          <cell r="I6114">
            <v>0</v>
          </cell>
          <cell r="J6114">
            <v>0</v>
          </cell>
          <cell r="K6114">
            <v>0</v>
          </cell>
          <cell r="L6114">
            <v>4</v>
          </cell>
        </row>
        <row r="6115">
          <cell r="A6115" t="str">
            <v>20325.02506</v>
          </cell>
          <cell r="B6115" t="str">
            <v>DISQUE D'OBTURATION</v>
          </cell>
          <cell r="C6115" t="str">
            <v>ASNH 511-609</v>
          </cell>
          <cell r="D6115" t="str">
            <v>PE</v>
          </cell>
          <cell r="E6115" t="str">
            <v>515.51515</v>
          </cell>
          <cell r="F6115">
            <v>30</v>
          </cell>
          <cell r="G6115">
            <v>0</v>
          </cell>
          <cell r="H6115">
            <v>0</v>
          </cell>
          <cell r="I6115">
            <v>0</v>
          </cell>
          <cell r="J6115">
            <v>0</v>
          </cell>
          <cell r="K6115">
            <v>4</v>
          </cell>
          <cell r="L6115">
            <v>0</v>
          </cell>
        </row>
        <row r="6116">
          <cell r="A6116" t="str">
            <v>20325.04573</v>
          </cell>
          <cell r="B6116" t="str">
            <v>ROULEMENT</v>
          </cell>
          <cell r="C6116" t="str">
            <v>6209 2Z C3</v>
          </cell>
          <cell r="D6116" t="str">
            <v>PE</v>
          </cell>
          <cell r="E6116" t="str">
            <v>515.51515</v>
          </cell>
          <cell r="F6116">
            <v>85.950199999999995</v>
          </cell>
          <cell r="G6116">
            <v>0</v>
          </cell>
          <cell r="H6116">
            <v>1</v>
          </cell>
          <cell r="I6116">
            <v>0</v>
          </cell>
          <cell r="J6116">
            <v>0</v>
          </cell>
          <cell r="K6116">
            <v>0</v>
          </cell>
          <cell r="L6116">
            <v>3</v>
          </cell>
        </row>
        <row r="6117">
          <cell r="A6117" t="str">
            <v>20325.04575</v>
          </cell>
          <cell r="B6117" t="str">
            <v>ROULEMENT</v>
          </cell>
          <cell r="C6117" t="str">
            <v>6208 2Z C3</v>
          </cell>
          <cell r="D6117" t="str">
            <v>PE</v>
          </cell>
          <cell r="E6117" t="str">
            <v>515.51515</v>
          </cell>
          <cell r="F6117">
            <v>75.588700000000003</v>
          </cell>
          <cell r="G6117">
            <v>0</v>
          </cell>
          <cell r="H6117">
            <v>0</v>
          </cell>
          <cell r="I6117">
            <v>0</v>
          </cell>
          <cell r="J6117">
            <v>0</v>
          </cell>
          <cell r="K6117">
            <v>0</v>
          </cell>
          <cell r="L6117">
            <v>4</v>
          </cell>
        </row>
        <row r="6118">
          <cell r="A6118" t="str">
            <v>20211.03794</v>
          </cell>
          <cell r="B6118" t="str">
            <v>REGULATEUR DE TEMPERATURE DES CELLULES MT</v>
          </cell>
          <cell r="C6118" t="str">
            <v>8MR217-1A</v>
          </cell>
          <cell r="D6118" t="str">
            <v>PE</v>
          </cell>
          <cell r="E6118" t="str">
            <v>512.51201</v>
          </cell>
          <cell r="F6118">
            <v>449.23200000000003</v>
          </cell>
          <cell r="G6118">
            <v>0</v>
          </cell>
          <cell r="H6118">
            <v>0</v>
          </cell>
          <cell r="I6118">
            <v>0</v>
          </cell>
          <cell r="J6118">
            <v>0</v>
          </cell>
          <cell r="K6118">
            <v>0</v>
          </cell>
          <cell r="L6118">
            <v>5</v>
          </cell>
        </row>
        <row r="6119">
          <cell r="A6119" t="str">
            <v>20211.03795</v>
          </cell>
          <cell r="B6119" t="str">
            <v>RELAIS</v>
          </cell>
          <cell r="C6119" t="str">
            <v>LZX:RT4A4T30</v>
          </cell>
          <cell r="D6119" t="str">
            <v>PE</v>
          </cell>
          <cell r="E6119" t="str">
            <v>512.51201</v>
          </cell>
          <cell r="F6119">
            <v>103.43129999999999</v>
          </cell>
          <cell r="G6119">
            <v>0</v>
          </cell>
          <cell r="H6119">
            <v>0</v>
          </cell>
          <cell r="I6119">
            <v>0</v>
          </cell>
          <cell r="J6119">
            <v>0</v>
          </cell>
          <cell r="K6119">
            <v>0</v>
          </cell>
          <cell r="L6119">
            <v>3</v>
          </cell>
        </row>
        <row r="6120">
          <cell r="A6120" t="str">
            <v>20211.03796</v>
          </cell>
          <cell r="B6120" t="str">
            <v>CABLE ETHERNET</v>
          </cell>
          <cell r="C6120" t="str">
            <v>6XV1850-2GH20</v>
          </cell>
          <cell r="D6120" t="str">
            <v>PE</v>
          </cell>
          <cell r="E6120" t="str">
            <v>512.51201</v>
          </cell>
          <cell r="F6120">
            <v>133.7413</v>
          </cell>
          <cell r="G6120">
            <v>0</v>
          </cell>
          <cell r="H6120">
            <v>0</v>
          </cell>
          <cell r="I6120">
            <v>0</v>
          </cell>
          <cell r="J6120">
            <v>0</v>
          </cell>
          <cell r="K6120">
            <v>0</v>
          </cell>
          <cell r="L6120">
            <v>0</v>
          </cell>
        </row>
        <row r="6121">
          <cell r="A6121" t="str">
            <v>20211.03811</v>
          </cell>
          <cell r="B6121" t="str">
            <v>VARISTANCE ( 127 V-240 V AC ) / ( 150 V-250 V DC)</v>
          </cell>
          <cell r="C6121" t="str">
            <v>3RT1916-1BD00</v>
          </cell>
          <cell r="D6121" t="str">
            <v>PE</v>
          </cell>
          <cell r="E6121" t="str">
            <v>512.51201</v>
          </cell>
          <cell r="F6121">
            <v>64.680000000000007</v>
          </cell>
          <cell r="G6121">
            <v>0</v>
          </cell>
          <cell r="H6121">
            <v>0</v>
          </cell>
          <cell r="I6121">
            <v>0</v>
          </cell>
          <cell r="J6121">
            <v>0</v>
          </cell>
          <cell r="K6121">
            <v>0</v>
          </cell>
          <cell r="L6121">
            <v>0</v>
          </cell>
        </row>
        <row r="6122">
          <cell r="A6122" t="str">
            <v>20211.03830</v>
          </cell>
          <cell r="B6122" t="str">
            <v>DISQUE</v>
          </cell>
          <cell r="C6122" t="str">
            <v>REF : KN 27029</v>
          </cell>
          <cell r="D6122" t="str">
            <v>PE</v>
          </cell>
          <cell r="E6122" t="str">
            <v>512.51201</v>
          </cell>
          <cell r="F6122">
            <v>78.569999999999993</v>
          </cell>
          <cell r="G6122">
            <v>0</v>
          </cell>
          <cell r="H6122">
            <v>0</v>
          </cell>
          <cell r="I6122">
            <v>0</v>
          </cell>
          <cell r="J6122">
            <v>0</v>
          </cell>
          <cell r="K6122">
            <v>0</v>
          </cell>
          <cell r="L6122">
            <v>0</v>
          </cell>
        </row>
        <row r="6123">
          <cell r="A6123" t="str">
            <v>20327.06834</v>
          </cell>
          <cell r="B6123" t="str">
            <v>JANTE AR 6TROUS 700X12</v>
          </cell>
          <cell r="C6123" t="str">
            <v>34C-28-61120</v>
          </cell>
          <cell r="D6123" t="str">
            <v>PE</v>
          </cell>
          <cell r="E6123" t="str">
            <v>516.51602</v>
          </cell>
          <cell r="F6123">
            <v>1850</v>
          </cell>
          <cell r="G6123">
            <v>0</v>
          </cell>
          <cell r="H6123">
            <v>0</v>
          </cell>
          <cell r="I6123">
            <v>0</v>
          </cell>
          <cell r="J6123">
            <v>0</v>
          </cell>
          <cell r="K6123">
            <v>0</v>
          </cell>
          <cell r="L6123">
            <v>0</v>
          </cell>
        </row>
        <row r="6124">
          <cell r="A6124" t="str">
            <v>20211.03894</v>
          </cell>
          <cell r="B6124" t="str">
            <v>RELAIS DE PROTECTION</v>
          </cell>
          <cell r="C6124" t="str">
            <v>6MD6370-5ED900AA0/EE/LOR</v>
          </cell>
          <cell r="D6124" t="str">
            <v>PE</v>
          </cell>
          <cell r="E6124" t="str">
            <v>512.51201</v>
          </cell>
          <cell r="F6124">
            <v>52645.2</v>
          </cell>
          <cell r="G6124">
            <v>0</v>
          </cell>
          <cell r="H6124">
            <v>0</v>
          </cell>
          <cell r="I6124">
            <v>0</v>
          </cell>
          <cell r="J6124">
            <v>0</v>
          </cell>
          <cell r="K6124">
            <v>0</v>
          </cell>
          <cell r="L6124">
            <v>1</v>
          </cell>
        </row>
        <row r="6125">
          <cell r="A6125" t="str">
            <v>20211.03539</v>
          </cell>
          <cell r="B6125" t="str">
            <v>DISJONCTEUR SERUIS</v>
          </cell>
          <cell r="C6125" t="str">
            <v>3RV1011-1FA15</v>
          </cell>
          <cell r="D6125" t="str">
            <v>PE</v>
          </cell>
          <cell r="E6125" t="str">
            <v>512.51201</v>
          </cell>
          <cell r="F6125">
            <v>580.83600000000001</v>
          </cell>
          <cell r="G6125">
            <v>0</v>
          </cell>
          <cell r="H6125">
            <v>0</v>
          </cell>
          <cell r="I6125">
            <v>0</v>
          </cell>
          <cell r="J6125">
            <v>0</v>
          </cell>
          <cell r="K6125">
            <v>0</v>
          </cell>
          <cell r="L6125">
            <v>0</v>
          </cell>
        </row>
        <row r="6126">
          <cell r="A6126" t="str">
            <v>20211.03540</v>
          </cell>
          <cell r="B6126" t="str">
            <v>POSITIONNEUR ELECTRO PNEUMATIQUE</v>
          </cell>
          <cell r="C6126" t="str">
            <v>6DR5220-0EN00-0AA4</v>
          </cell>
          <cell r="D6126" t="str">
            <v>PE</v>
          </cell>
          <cell r="E6126" t="str">
            <v>512.51201</v>
          </cell>
          <cell r="F6126">
            <v>14085.564</v>
          </cell>
          <cell r="G6126">
            <v>0</v>
          </cell>
          <cell r="H6126">
            <v>0</v>
          </cell>
          <cell r="I6126">
            <v>0</v>
          </cell>
          <cell r="J6126">
            <v>0</v>
          </cell>
          <cell r="K6126">
            <v>0</v>
          </cell>
          <cell r="L6126">
            <v>0</v>
          </cell>
        </row>
        <row r="6127">
          <cell r="A6127" t="str">
            <v>20211.03574</v>
          </cell>
          <cell r="B6127" t="str">
            <v xml:space="preserve">DISJONCTEUR BIPOLAIRE 2X40 A </v>
          </cell>
          <cell r="C6127" t="str">
            <v xml:space="preserve">5SX5240-7    </v>
          </cell>
          <cell r="D6127" t="str">
            <v>PE</v>
          </cell>
          <cell r="E6127" t="str">
            <v>512.51201</v>
          </cell>
          <cell r="F6127">
            <v>1738.722</v>
          </cell>
          <cell r="G6127">
            <v>0</v>
          </cell>
          <cell r="H6127">
            <v>0</v>
          </cell>
          <cell r="I6127">
            <v>0</v>
          </cell>
          <cell r="J6127">
            <v>0</v>
          </cell>
          <cell r="K6127">
            <v>0</v>
          </cell>
          <cell r="L6127">
            <v>0</v>
          </cell>
        </row>
        <row r="6128">
          <cell r="A6128" t="str">
            <v>20211.03575</v>
          </cell>
          <cell r="B6128" t="str">
            <v xml:space="preserve">DISJONCTEUR BIPOLAIRE 2X20 A </v>
          </cell>
          <cell r="C6128" t="str">
            <v xml:space="preserve">5SX5220-7    </v>
          </cell>
          <cell r="D6128" t="str">
            <v>PE</v>
          </cell>
          <cell r="E6128" t="str">
            <v>512.51201</v>
          </cell>
          <cell r="F6128">
            <v>1340.3879999999999</v>
          </cell>
          <cell r="G6128">
            <v>0</v>
          </cell>
          <cell r="H6128">
            <v>0</v>
          </cell>
          <cell r="I6128">
            <v>0</v>
          </cell>
          <cell r="J6128">
            <v>0</v>
          </cell>
          <cell r="K6128">
            <v>0</v>
          </cell>
          <cell r="L6128">
            <v>0</v>
          </cell>
        </row>
        <row r="6129">
          <cell r="A6129" t="str">
            <v>20211.03576</v>
          </cell>
          <cell r="B6129" t="str">
            <v>BLOC DE CONTACT AUXILLIAIRE POUR DISJONCTEUR</v>
          </cell>
          <cell r="C6129" t="str">
            <v xml:space="preserve">5SX9200    </v>
          </cell>
          <cell r="D6129" t="str">
            <v>PE</v>
          </cell>
          <cell r="E6129" t="str">
            <v>512.51201</v>
          </cell>
          <cell r="F6129">
            <v>479.892</v>
          </cell>
          <cell r="G6129">
            <v>0</v>
          </cell>
          <cell r="H6129">
            <v>0</v>
          </cell>
          <cell r="I6129">
            <v>0</v>
          </cell>
          <cell r="J6129">
            <v>0</v>
          </cell>
          <cell r="K6129">
            <v>0</v>
          </cell>
          <cell r="L6129">
            <v>0</v>
          </cell>
        </row>
        <row r="6130">
          <cell r="A6130" t="str">
            <v>20211.03577</v>
          </cell>
          <cell r="B6130" t="str">
            <v>LAMPE 48 V DC</v>
          </cell>
          <cell r="C6130" t="str">
            <v xml:space="preserve">3SB3901-1CG    </v>
          </cell>
          <cell r="D6130" t="str">
            <v>PE</v>
          </cell>
          <cell r="E6130" t="str">
            <v>512.51201</v>
          </cell>
          <cell r="F6130">
            <v>69.465299999999999</v>
          </cell>
          <cell r="G6130">
            <v>0</v>
          </cell>
          <cell r="H6130">
            <v>0</v>
          </cell>
          <cell r="I6130">
            <v>0</v>
          </cell>
          <cell r="J6130">
            <v>0</v>
          </cell>
          <cell r="K6130">
            <v>0</v>
          </cell>
          <cell r="L6130">
            <v>19</v>
          </cell>
        </row>
        <row r="6131">
          <cell r="A6131" t="str">
            <v>20211.00250</v>
          </cell>
          <cell r="B6131" t="str">
            <v>RELAIS DE PROTECTION</v>
          </cell>
          <cell r="C6131" t="str">
            <v>7SA5225-5DD90-OCP4/FF/LOR</v>
          </cell>
          <cell r="D6131" t="str">
            <v>PE</v>
          </cell>
          <cell r="E6131" t="str">
            <v>512.51201</v>
          </cell>
          <cell r="F6131">
            <v>111126.6375</v>
          </cell>
          <cell r="G6131">
            <v>0</v>
          </cell>
          <cell r="H6131">
            <v>0</v>
          </cell>
          <cell r="I6131">
            <v>0</v>
          </cell>
          <cell r="J6131">
            <v>0</v>
          </cell>
          <cell r="K6131">
            <v>0</v>
          </cell>
          <cell r="L6131">
            <v>1</v>
          </cell>
        </row>
        <row r="6132">
          <cell r="A6132" t="str">
            <v>20212.00310</v>
          </cell>
          <cell r="B6132" t="str">
            <v>KIT ROULEMENT</v>
          </cell>
          <cell r="C6132" t="str">
            <v>2906 0413 00</v>
          </cell>
          <cell r="D6132" t="str">
            <v>PE</v>
          </cell>
          <cell r="E6132" t="str">
            <v>515.51504</v>
          </cell>
          <cell r="F6132">
            <v>2680.8</v>
          </cell>
          <cell r="G6132">
            <v>0</v>
          </cell>
          <cell r="H6132">
            <v>0</v>
          </cell>
          <cell r="I6132">
            <v>0</v>
          </cell>
          <cell r="J6132">
            <v>0</v>
          </cell>
          <cell r="K6132">
            <v>0</v>
          </cell>
          <cell r="L6132">
            <v>1</v>
          </cell>
        </row>
        <row r="6133">
          <cell r="A6133" t="str">
            <v>20325.01667</v>
          </cell>
          <cell r="B6133" t="str">
            <v>PALIER</v>
          </cell>
          <cell r="C6133" t="str">
            <v>FSNL 520-617</v>
          </cell>
          <cell r="D6133" t="str">
            <v>PE</v>
          </cell>
          <cell r="E6133" t="str">
            <v>515.51515</v>
          </cell>
          <cell r="F6133">
            <v>2124</v>
          </cell>
          <cell r="G6133">
            <v>0</v>
          </cell>
          <cell r="H6133">
            <v>1</v>
          </cell>
          <cell r="I6133">
            <v>1</v>
          </cell>
          <cell r="J6133">
            <v>0</v>
          </cell>
          <cell r="K6133">
            <v>0</v>
          </cell>
          <cell r="L6133">
            <v>0</v>
          </cell>
        </row>
        <row r="6134">
          <cell r="A6134" t="str">
            <v>20211.03654</v>
          </cell>
          <cell r="B6134" t="str">
            <v>BLOCKS COMMUTATEUR AUXILIAIRE</v>
          </cell>
          <cell r="C6134" t="str">
            <v xml:space="preserve">3RH1911-1FA202S  P/MCC                </v>
          </cell>
          <cell r="D6134" t="str">
            <v>PE</v>
          </cell>
          <cell r="E6134" t="str">
            <v>512.51201</v>
          </cell>
          <cell r="F6134">
            <v>39.167999999999999</v>
          </cell>
          <cell r="G6134">
            <v>0</v>
          </cell>
          <cell r="H6134">
            <v>0</v>
          </cell>
          <cell r="I6134">
            <v>0</v>
          </cell>
          <cell r="J6134">
            <v>0</v>
          </cell>
          <cell r="K6134">
            <v>5</v>
          </cell>
          <cell r="L6134">
            <v>0</v>
          </cell>
        </row>
        <row r="6135">
          <cell r="A6135" t="str">
            <v>20211.03655</v>
          </cell>
          <cell r="B6135" t="str">
            <v>BLOCKS COMMUTATEUR AUXILIAIRE</v>
          </cell>
          <cell r="C6135" t="str">
            <v xml:space="preserve">3RH1921-1FA313S 1Ö  P/MCC          </v>
          </cell>
          <cell r="D6135" t="str">
            <v>PE</v>
          </cell>
          <cell r="E6135" t="str">
            <v>512.51201</v>
          </cell>
          <cell r="F6135">
            <v>67.968000000000004</v>
          </cell>
          <cell r="G6135">
            <v>0</v>
          </cell>
          <cell r="H6135">
            <v>0</v>
          </cell>
          <cell r="I6135">
            <v>0</v>
          </cell>
          <cell r="J6135">
            <v>0</v>
          </cell>
          <cell r="K6135">
            <v>3</v>
          </cell>
          <cell r="L6135">
            <v>0</v>
          </cell>
        </row>
        <row r="6136">
          <cell r="A6136" t="str">
            <v>20211.03657</v>
          </cell>
          <cell r="B6136" t="str">
            <v>UNITE DE COUPURE</v>
          </cell>
          <cell r="C6136" t="str">
            <v>3SB3400-0A  P/MCC</v>
          </cell>
          <cell r="D6136" t="str">
            <v>PE</v>
          </cell>
          <cell r="E6136" t="str">
            <v>512.51201</v>
          </cell>
          <cell r="F6136">
            <v>55.295999999999999</v>
          </cell>
          <cell r="G6136">
            <v>0</v>
          </cell>
          <cell r="H6136">
            <v>0</v>
          </cell>
          <cell r="I6136">
            <v>0</v>
          </cell>
          <cell r="J6136">
            <v>0</v>
          </cell>
          <cell r="K6136">
            <v>0</v>
          </cell>
          <cell r="L6136">
            <v>10</v>
          </cell>
        </row>
        <row r="6137">
          <cell r="A6137" t="str">
            <v>20211.03658</v>
          </cell>
          <cell r="B6137" t="str">
            <v>UNITE DE COUPURE</v>
          </cell>
          <cell r="C6137" t="str">
            <v>3SB3400-0D  P/MCC</v>
          </cell>
          <cell r="D6137" t="str">
            <v>PE</v>
          </cell>
          <cell r="E6137" t="str">
            <v>512.51201</v>
          </cell>
          <cell r="F6137">
            <v>69.000200000000007</v>
          </cell>
          <cell r="G6137">
            <v>0</v>
          </cell>
          <cell r="H6137">
            <v>0</v>
          </cell>
          <cell r="I6137">
            <v>0</v>
          </cell>
          <cell r="J6137">
            <v>0</v>
          </cell>
          <cell r="K6137">
            <v>0</v>
          </cell>
          <cell r="L6137">
            <v>7</v>
          </cell>
        </row>
        <row r="6138">
          <cell r="A6138" t="str">
            <v>20211.03652</v>
          </cell>
          <cell r="B6138" t="str">
            <v>MODULE ENTREE ANALOGIQUE SM331</v>
          </cell>
          <cell r="C6138" t="str">
            <v xml:space="preserve">6ES7331-1KF01-0AB0 </v>
          </cell>
          <cell r="D6138" t="str">
            <v>PE</v>
          </cell>
          <cell r="E6138" t="str">
            <v>512.51201</v>
          </cell>
          <cell r="F6138">
            <v>3700</v>
          </cell>
          <cell r="G6138">
            <v>0</v>
          </cell>
          <cell r="H6138">
            <v>0</v>
          </cell>
          <cell r="I6138">
            <v>0</v>
          </cell>
          <cell r="J6138">
            <v>10</v>
          </cell>
          <cell r="K6138">
            <v>0</v>
          </cell>
          <cell r="L6138">
            <v>0</v>
          </cell>
        </row>
        <row r="6139">
          <cell r="A6139" t="str">
            <v>20211.03653</v>
          </cell>
          <cell r="B6139" t="str">
            <v>DISJONCTEUR AUXILIAIRE</v>
          </cell>
          <cell r="C6139" t="str">
            <v>5ST3010  P/MCC</v>
          </cell>
          <cell r="D6139" t="str">
            <v>PE</v>
          </cell>
          <cell r="E6139" t="str">
            <v>512.51201</v>
          </cell>
          <cell r="F6139">
            <v>87.552000000000007</v>
          </cell>
          <cell r="G6139">
            <v>0</v>
          </cell>
          <cell r="H6139">
            <v>0</v>
          </cell>
          <cell r="I6139">
            <v>0</v>
          </cell>
          <cell r="J6139">
            <v>0</v>
          </cell>
          <cell r="K6139">
            <v>0</v>
          </cell>
          <cell r="L6139">
            <v>10</v>
          </cell>
        </row>
        <row r="6140">
          <cell r="A6140" t="str">
            <v>20212.00315</v>
          </cell>
          <cell r="B6140" t="str">
            <v>KIT DU CLAPET ANTI-RETOUR</v>
          </cell>
          <cell r="C6140" t="str">
            <v>2906 0374 00</v>
          </cell>
          <cell r="D6140" t="str">
            <v>PE</v>
          </cell>
          <cell r="E6140" t="str">
            <v>515.51504</v>
          </cell>
          <cell r="F6140">
            <v>5167.2</v>
          </cell>
          <cell r="G6140">
            <v>0</v>
          </cell>
          <cell r="H6140">
            <v>0</v>
          </cell>
          <cell r="I6140">
            <v>0</v>
          </cell>
          <cell r="J6140">
            <v>0</v>
          </cell>
          <cell r="K6140">
            <v>0</v>
          </cell>
          <cell r="L6140">
            <v>1</v>
          </cell>
        </row>
        <row r="6141">
          <cell r="A6141" t="str">
            <v>20212.00321</v>
          </cell>
          <cell r="B6141" t="str">
            <v>CLAVETTE</v>
          </cell>
          <cell r="C6141" t="str">
            <v>0337 0009 18</v>
          </cell>
          <cell r="D6141" t="str">
            <v>PE</v>
          </cell>
          <cell r="E6141" t="str">
            <v>515.51504</v>
          </cell>
          <cell r="F6141">
            <v>80.239999999999995</v>
          </cell>
          <cell r="G6141">
            <v>0</v>
          </cell>
          <cell r="H6141">
            <v>0</v>
          </cell>
          <cell r="I6141">
            <v>0</v>
          </cell>
          <cell r="J6141">
            <v>0</v>
          </cell>
          <cell r="K6141">
            <v>1</v>
          </cell>
          <cell r="L6141">
            <v>1</v>
          </cell>
        </row>
        <row r="6142">
          <cell r="A6142" t="str">
            <v>20212.00322</v>
          </cell>
          <cell r="B6142" t="str">
            <v>ORING</v>
          </cell>
          <cell r="C6142" t="str">
            <v>0663 2107 88</v>
          </cell>
          <cell r="D6142" t="str">
            <v>PE</v>
          </cell>
          <cell r="E6142" t="str">
            <v>515.51504</v>
          </cell>
          <cell r="F6142">
            <v>685.6</v>
          </cell>
          <cell r="G6142">
            <v>0</v>
          </cell>
          <cell r="H6142">
            <v>0</v>
          </cell>
          <cell r="I6142">
            <v>0</v>
          </cell>
          <cell r="J6142">
            <v>0</v>
          </cell>
          <cell r="K6142">
            <v>0</v>
          </cell>
          <cell r="L6142">
            <v>1</v>
          </cell>
        </row>
        <row r="6143">
          <cell r="A6143" t="str">
            <v>20212.00323</v>
          </cell>
          <cell r="B6143" t="str">
            <v>BAGUE D'ETANCHEITE</v>
          </cell>
          <cell r="C6143" t="str">
            <v>1616 6121 00</v>
          </cell>
          <cell r="D6143" t="str">
            <v>PE</v>
          </cell>
          <cell r="E6143" t="str">
            <v>515.51504</v>
          </cell>
          <cell r="F6143">
            <v>6588.8</v>
          </cell>
          <cell r="G6143">
            <v>0</v>
          </cell>
          <cell r="H6143">
            <v>0</v>
          </cell>
          <cell r="I6143">
            <v>0</v>
          </cell>
          <cell r="J6143">
            <v>0</v>
          </cell>
          <cell r="K6143">
            <v>0</v>
          </cell>
          <cell r="L6143">
            <v>1</v>
          </cell>
        </row>
        <row r="6144">
          <cell r="A6144" t="str">
            <v>20212.00324</v>
          </cell>
          <cell r="B6144" t="str">
            <v>PISTON</v>
          </cell>
          <cell r="C6144" t="str">
            <v>1621 0079 00</v>
          </cell>
          <cell r="D6144" t="str">
            <v>PE</v>
          </cell>
          <cell r="E6144" t="str">
            <v>515.51504</v>
          </cell>
          <cell r="F6144">
            <v>3264.8</v>
          </cell>
          <cell r="G6144">
            <v>0</v>
          </cell>
          <cell r="H6144">
            <v>0</v>
          </cell>
          <cell r="I6144">
            <v>0</v>
          </cell>
          <cell r="J6144">
            <v>0</v>
          </cell>
          <cell r="K6144">
            <v>0</v>
          </cell>
          <cell r="L6144">
            <v>1</v>
          </cell>
        </row>
        <row r="6145">
          <cell r="A6145" t="str">
            <v>20212.00311</v>
          </cell>
          <cell r="B6145" t="str">
            <v>KIT D'ETANCHEITE</v>
          </cell>
          <cell r="C6145" t="str">
            <v>2906 0418 00</v>
          </cell>
          <cell r="D6145" t="str">
            <v>PE</v>
          </cell>
          <cell r="E6145" t="str">
            <v>515.51504</v>
          </cell>
          <cell r="F6145">
            <v>5403.2</v>
          </cell>
          <cell r="G6145">
            <v>0</v>
          </cell>
          <cell r="H6145">
            <v>0</v>
          </cell>
          <cell r="I6145">
            <v>0</v>
          </cell>
          <cell r="J6145">
            <v>0</v>
          </cell>
          <cell r="K6145">
            <v>0</v>
          </cell>
          <cell r="L6145">
            <v>1</v>
          </cell>
        </row>
        <row r="6146">
          <cell r="A6146" t="str">
            <v>20212.00312</v>
          </cell>
          <cell r="B6146" t="str">
            <v>KIT POMPE A HUILE</v>
          </cell>
          <cell r="C6146" t="str">
            <v>2906 0373 00</v>
          </cell>
          <cell r="D6146" t="str">
            <v>PE</v>
          </cell>
          <cell r="E6146" t="str">
            <v>515.51504</v>
          </cell>
          <cell r="F6146">
            <v>5229.6000000000004</v>
          </cell>
          <cell r="G6146">
            <v>0</v>
          </cell>
          <cell r="H6146">
            <v>0</v>
          </cell>
          <cell r="I6146">
            <v>0</v>
          </cell>
          <cell r="J6146">
            <v>0</v>
          </cell>
          <cell r="K6146">
            <v>0</v>
          </cell>
          <cell r="L6146">
            <v>1</v>
          </cell>
        </row>
        <row r="6147">
          <cell r="A6147" t="str">
            <v>20212.00313</v>
          </cell>
          <cell r="B6147" t="str">
            <v>KIT D'ARTICULATION VANNE D'ADMISSION AIR</v>
          </cell>
          <cell r="C6147" t="str">
            <v>2906 0497 00</v>
          </cell>
          <cell r="D6147" t="str">
            <v>PE</v>
          </cell>
          <cell r="E6147" t="str">
            <v>515.51504</v>
          </cell>
          <cell r="F6147">
            <v>1568</v>
          </cell>
          <cell r="G6147">
            <v>0</v>
          </cell>
          <cell r="H6147">
            <v>0</v>
          </cell>
          <cell r="I6147">
            <v>0</v>
          </cell>
          <cell r="J6147">
            <v>0</v>
          </cell>
          <cell r="K6147">
            <v>0</v>
          </cell>
          <cell r="L6147">
            <v>1</v>
          </cell>
        </row>
        <row r="6148">
          <cell r="A6148" t="str">
            <v>20212.00314</v>
          </cell>
          <cell r="B6148" t="str">
            <v>KIT REVISION VANNE D'ADMISSION</v>
          </cell>
          <cell r="C6148" t="str">
            <v>2906 0498 00</v>
          </cell>
          <cell r="D6148" t="str">
            <v>PE</v>
          </cell>
          <cell r="E6148" t="str">
            <v>515.51504</v>
          </cell>
          <cell r="F6148">
            <v>5286.4</v>
          </cell>
          <cell r="G6148">
            <v>0</v>
          </cell>
          <cell r="H6148">
            <v>0</v>
          </cell>
          <cell r="I6148">
            <v>0</v>
          </cell>
          <cell r="J6148">
            <v>0</v>
          </cell>
          <cell r="K6148">
            <v>0</v>
          </cell>
          <cell r="L6148">
            <v>1</v>
          </cell>
        </row>
        <row r="6149">
          <cell r="A6149" t="str">
            <v>20211.03664</v>
          </cell>
          <cell r="B6149" t="str">
            <v>INDICATEUR LUMINEUX JAUNE</v>
          </cell>
          <cell r="C6149" t="str">
            <v>3SB3001-6AA30  P/CELLUL. DOUBLE JDB</v>
          </cell>
          <cell r="D6149" t="str">
            <v>PE</v>
          </cell>
          <cell r="E6149" t="str">
            <v>512.51201</v>
          </cell>
          <cell r="F6149">
            <v>27.9512</v>
          </cell>
          <cell r="G6149">
            <v>0</v>
          </cell>
          <cell r="H6149">
            <v>0</v>
          </cell>
          <cell r="I6149">
            <v>0</v>
          </cell>
          <cell r="J6149">
            <v>0</v>
          </cell>
          <cell r="K6149">
            <v>0</v>
          </cell>
          <cell r="L6149">
            <v>50</v>
          </cell>
        </row>
        <row r="6150">
          <cell r="A6150" t="str">
            <v>20211.03667</v>
          </cell>
          <cell r="B6150" t="str">
            <v>SUPPORT LAMPE</v>
          </cell>
          <cell r="C6150" t="str">
            <v>3SB3400-1A  P/MCC</v>
          </cell>
          <cell r="D6150" t="str">
            <v>PE</v>
          </cell>
          <cell r="E6150" t="str">
            <v>512.51201</v>
          </cell>
          <cell r="F6150">
            <v>24.649000000000001</v>
          </cell>
          <cell r="G6150">
            <v>0</v>
          </cell>
          <cell r="H6150">
            <v>0</v>
          </cell>
          <cell r="I6150">
            <v>0</v>
          </cell>
          <cell r="J6150">
            <v>0</v>
          </cell>
          <cell r="K6150">
            <v>0</v>
          </cell>
          <cell r="L6150">
            <v>20</v>
          </cell>
        </row>
        <row r="6151">
          <cell r="A6151" t="str">
            <v>20211.03668</v>
          </cell>
          <cell r="B6151" t="str">
            <v>SUPPORT LAMPE</v>
          </cell>
          <cell r="C6151" t="str">
            <v>3SB3400-1G  P/CELLUL. DOUBLE JDB</v>
          </cell>
          <cell r="D6151" t="str">
            <v>PE</v>
          </cell>
          <cell r="E6151" t="str">
            <v>512.51201</v>
          </cell>
          <cell r="F6151">
            <v>95.616</v>
          </cell>
          <cell r="G6151">
            <v>0</v>
          </cell>
          <cell r="H6151">
            <v>0</v>
          </cell>
          <cell r="I6151">
            <v>0</v>
          </cell>
          <cell r="J6151">
            <v>0</v>
          </cell>
          <cell r="K6151">
            <v>0</v>
          </cell>
          <cell r="L6151">
            <v>5</v>
          </cell>
        </row>
        <row r="6152">
          <cell r="A6152" t="str">
            <v>20325.01668</v>
          </cell>
          <cell r="B6152" t="str">
            <v>PALIER</v>
          </cell>
          <cell r="C6152" t="str">
            <v>FSNL 518-615</v>
          </cell>
          <cell r="D6152" t="str">
            <v>PE</v>
          </cell>
          <cell r="E6152" t="str">
            <v>515.51515</v>
          </cell>
          <cell r="F6152">
            <v>1973.41</v>
          </cell>
          <cell r="G6152">
            <v>0</v>
          </cell>
          <cell r="H6152">
            <v>0</v>
          </cell>
          <cell r="I6152">
            <v>0</v>
          </cell>
          <cell r="J6152">
            <v>0</v>
          </cell>
          <cell r="K6152">
            <v>0</v>
          </cell>
          <cell r="L6152">
            <v>2</v>
          </cell>
        </row>
        <row r="6153">
          <cell r="A6153" t="str">
            <v>20211.03659</v>
          </cell>
          <cell r="B6153" t="str">
            <v>UNITE DE COUPURE</v>
          </cell>
          <cell r="C6153" t="str">
            <v>3SB3400-0A P/CELLUL. DOUBLE JDB</v>
          </cell>
          <cell r="D6153" t="str">
            <v>PE</v>
          </cell>
          <cell r="E6153" t="str">
            <v>512.51201</v>
          </cell>
          <cell r="F6153">
            <v>37.268300000000004</v>
          </cell>
          <cell r="G6153">
            <v>0</v>
          </cell>
          <cell r="H6153">
            <v>0</v>
          </cell>
          <cell r="I6153">
            <v>0</v>
          </cell>
          <cell r="J6153">
            <v>0</v>
          </cell>
          <cell r="K6153">
            <v>5</v>
          </cell>
          <cell r="L6153">
            <v>0</v>
          </cell>
        </row>
        <row r="6154">
          <cell r="A6154" t="str">
            <v>20211.03660</v>
          </cell>
          <cell r="B6154" t="str">
            <v>RELAIS CONTACTEUR</v>
          </cell>
          <cell r="C6154" t="str">
            <v>3RH1131-1AP003S 1Ö 230V AC  P/MCC</v>
          </cell>
          <cell r="D6154" t="str">
            <v>PE</v>
          </cell>
          <cell r="E6154" t="str">
            <v>512.51201</v>
          </cell>
          <cell r="F6154">
            <v>112.9589</v>
          </cell>
          <cell r="G6154">
            <v>0</v>
          </cell>
          <cell r="H6154">
            <v>0</v>
          </cell>
          <cell r="I6154">
            <v>0</v>
          </cell>
          <cell r="J6154">
            <v>0</v>
          </cell>
          <cell r="K6154">
            <v>0</v>
          </cell>
          <cell r="L6154">
            <v>4</v>
          </cell>
        </row>
        <row r="6155">
          <cell r="A6155" t="str">
            <v>20211.03661</v>
          </cell>
          <cell r="B6155" t="str">
            <v>RELAIS CONTACTEUR</v>
          </cell>
          <cell r="C6155" t="str">
            <v>3RH1140-1BM40 P/CELLUL. DOUBLE JDB</v>
          </cell>
          <cell r="D6155" t="str">
            <v>PE</v>
          </cell>
          <cell r="E6155" t="str">
            <v>512.51201</v>
          </cell>
          <cell r="F6155">
            <v>167.90969999999999</v>
          </cell>
          <cell r="G6155">
            <v>0</v>
          </cell>
          <cell r="H6155">
            <v>0</v>
          </cell>
          <cell r="I6155">
            <v>0</v>
          </cell>
          <cell r="J6155">
            <v>0</v>
          </cell>
          <cell r="K6155">
            <v>0</v>
          </cell>
          <cell r="L6155">
            <v>8</v>
          </cell>
        </row>
        <row r="6156">
          <cell r="A6156" t="str">
            <v>20211.03662</v>
          </cell>
          <cell r="B6156" t="str">
            <v>BOUTON-POUSSOIR LUMINEUX ROUGE</v>
          </cell>
          <cell r="C6156" t="str">
            <v>3SB3001-0AA21  P/CELLUL. DOUBLE JDB</v>
          </cell>
          <cell r="D6156" t="str">
            <v>PE</v>
          </cell>
          <cell r="E6156" t="str">
            <v>512.51201</v>
          </cell>
          <cell r="F6156">
            <v>61.055999999999997</v>
          </cell>
          <cell r="G6156">
            <v>0</v>
          </cell>
          <cell r="H6156">
            <v>0</v>
          </cell>
          <cell r="I6156">
            <v>0</v>
          </cell>
          <cell r="J6156">
            <v>0</v>
          </cell>
          <cell r="K6156">
            <v>0</v>
          </cell>
          <cell r="L6156">
            <v>5</v>
          </cell>
        </row>
        <row r="6157">
          <cell r="A6157" t="str">
            <v>20211.03663</v>
          </cell>
          <cell r="B6157" t="str">
            <v>INDICATEUR LUMINEUX VERT</v>
          </cell>
          <cell r="C6157" t="str">
            <v>3SB3001-6AA40  P/CELLUL. DOUBLE JDB</v>
          </cell>
          <cell r="D6157" t="str">
            <v>PE</v>
          </cell>
          <cell r="E6157" t="str">
            <v>512.51201</v>
          </cell>
          <cell r="F6157">
            <v>27.9512</v>
          </cell>
          <cell r="G6157">
            <v>0</v>
          </cell>
          <cell r="H6157">
            <v>0</v>
          </cell>
          <cell r="I6157">
            <v>0</v>
          </cell>
          <cell r="J6157">
            <v>0</v>
          </cell>
          <cell r="K6157">
            <v>0</v>
          </cell>
          <cell r="L6157">
            <v>30</v>
          </cell>
        </row>
        <row r="6158">
          <cell r="A6158" t="str">
            <v>20325.01669</v>
          </cell>
          <cell r="B6158" t="str">
            <v>PALIER</v>
          </cell>
          <cell r="C6158" t="str">
            <v>FSNL 522-619</v>
          </cell>
          <cell r="D6158" t="str">
            <v>PE</v>
          </cell>
          <cell r="E6158" t="str">
            <v>515.51515</v>
          </cell>
          <cell r="F6158">
            <v>1962</v>
          </cell>
          <cell r="G6158">
            <v>0</v>
          </cell>
          <cell r="H6158">
            <v>0</v>
          </cell>
          <cell r="I6158">
            <v>0</v>
          </cell>
          <cell r="J6158">
            <v>0</v>
          </cell>
          <cell r="K6158">
            <v>0</v>
          </cell>
          <cell r="L6158">
            <v>2</v>
          </cell>
        </row>
        <row r="6159">
          <cell r="A6159" t="str">
            <v>20325.01670</v>
          </cell>
          <cell r="B6159" t="str">
            <v>PALIER</v>
          </cell>
          <cell r="C6159" t="str">
            <v>FSNL 511-609</v>
          </cell>
          <cell r="D6159" t="str">
            <v>PE</v>
          </cell>
          <cell r="E6159" t="str">
            <v>515.51515</v>
          </cell>
          <cell r="F6159">
            <v>878.4</v>
          </cell>
          <cell r="G6159">
            <v>2</v>
          </cell>
          <cell r="H6159">
            <v>0</v>
          </cell>
          <cell r="I6159">
            <v>0</v>
          </cell>
          <cell r="J6159">
            <v>0</v>
          </cell>
          <cell r="K6159">
            <v>0</v>
          </cell>
          <cell r="L6159">
            <v>0</v>
          </cell>
        </row>
        <row r="6160">
          <cell r="A6160" t="str">
            <v>20212.00325</v>
          </cell>
          <cell r="B6160" t="str">
            <v>SIEGE</v>
          </cell>
          <cell r="C6160" t="str">
            <v>1621 3079 00</v>
          </cell>
          <cell r="D6160" t="str">
            <v>PE</v>
          </cell>
          <cell r="E6160" t="str">
            <v>515.51504</v>
          </cell>
          <cell r="F6160">
            <v>884.8</v>
          </cell>
          <cell r="G6160">
            <v>0</v>
          </cell>
          <cell r="H6160">
            <v>0</v>
          </cell>
          <cell r="I6160">
            <v>0</v>
          </cell>
          <cell r="J6160">
            <v>0</v>
          </cell>
          <cell r="K6160">
            <v>0</v>
          </cell>
          <cell r="L6160">
            <v>1</v>
          </cell>
        </row>
        <row r="6161">
          <cell r="A6161" t="str">
            <v>20325.01671</v>
          </cell>
          <cell r="B6161" t="str">
            <v>PALIER</v>
          </cell>
          <cell r="C6161" t="str">
            <v>FSNL 528</v>
          </cell>
          <cell r="D6161" t="str">
            <v>PE</v>
          </cell>
          <cell r="E6161" t="str">
            <v>515.51515</v>
          </cell>
          <cell r="F6161">
            <v>3941.2</v>
          </cell>
          <cell r="G6161">
            <v>0</v>
          </cell>
          <cell r="H6161">
            <v>0</v>
          </cell>
          <cell r="I6161">
            <v>0</v>
          </cell>
          <cell r="J6161">
            <v>0</v>
          </cell>
          <cell r="K6161">
            <v>0</v>
          </cell>
          <cell r="L6161">
            <v>2</v>
          </cell>
        </row>
        <row r="6162">
          <cell r="A6162" t="str">
            <v>20211.03674</v>
          </cell>
          <cell r="B6162" t="str">
            <v>CIRCUIT MINIATURE DE RUPTURE</v>
          </cell>
          <cell r="C6162" t="str">
            <v>A  3  A  3POL.    5SX2303-5  P/CELLUL. DOUBLE JDB</v>
          </cell>
          <cell r="D6162" t="str">
            <v>PE</v>
          </cell>
          <cell r="E6162" t="str">
            <v>512.51201</v>
          </cell>
          <cell r="F6162">
            <v>892.77210000000002</v>
          </cell>
          <cell r="G6162">
            <v>0</v>
          </cell>
          <cell r="H6162">
            <v>0</v>
          </cell>
          <cell r="I6162">
            <v>0</v>
          </cell>
          <cell r="J6162">
            <v>0</v>
          </cell>
          <cell r="K6162">
            <v>0</v>
          </cell>
          <cell r="L6162">
            <v>1</v>
          </cell>
        </row>
        <row r="6163">
          <cell r="A6163" t="str">
            <v>20211.03675</v>
          </cell>
          <cell r="B6163" t="str">
            <v>CIRCUIT MINIATURE DE RUPTURE</v>
          </cell>
          <cell r="C6163" t="str">
            <v>B  6  A  2POL.    5SX2206-6  P/CELLUL. DOUBLE JDB</v>
          </cell>
          <cell r="D6163" t="str">
            <v>PE</v>
          </cell>
          <cell r="E6163" t="str">
            <v>512.51201</v>
          </cell>
          <cell r="F6163">
            <v>205.13489999999999</v>
          </cell>
          <cell r="G6163">
            <v>0</v>
          </cell>
          <cell r="H6163">
            <v>0</v>
          </cell>
          <cell r="I6163">
            <v>0</v>
          </cell>
          <cell r="J6163">
            <v>0</v>
          </cell>
          <cell r="K6163">
            <v>0</v>
          </cell>
          <cell r="L6163">
            <v>2</v>
          </cell>
        </row>
        <row r="6164">
          <cell r="A6164" t="str">
            <v>20211.03677</v>
          </cell>
          <cell r="B6164" t="str">
            <v>CIRCUIT MINIATURE DE RUPTURE</v>
          </cell>
          <cell r="C6164" t="str">
            <v>C  2  A  1POL.   5SY4102-7  P/MCC</v>
          </cell>
          <cell r="D6164" t="str">
            <v>PE</v>
          </cell>
          <cell r="E6164" t="str">
            <v>512.51201</v>
          </cell>
          <cell r="F6164">
            <v>79.622399999999999</v>
          </cell>
          <cell r="G6164">
            <v>0</v>
          </cell>
          <cell r="H6164">
            <v>0</v>
          </cell>
          <cell r="I6164">
            <v>0</v>
          </cell>
          <cell r="J6164">
            <v>0</v>
          </cell>
          <cell r="K6164">
            <v>0</v>
          </cell>
          <cell r="L6164">
            <v>5</v>
          </cell>
        </row>
        <row r="6165">
          <cell r="A6165" t="str">
            <v>20211.03669</v>
          </cell>
          <cell r="B6165" t="str">
            <v>LAMPE LED</v>
          </cell>
          <cell r="C6165" t="str">
            <v>230VUC GREEN   3SB3901-1DG  P/MCC</v>
          </cell>
          <cell r="D6165" t="str">
            <v>PE</v>
          </cell>
          <cell r="E6165" t="str">
            <v>512.51201</v>
          </cell>
          <cell r="F6165">
            <v>72.628200000000007</v>
          </cell>
          <cell r="G6165">
            <v>0</v>
          </cell>
          <cell r="H6165">
            <v>0</v>
          </cell>
          <cell r="I6165">
            <v>0</v>
          </cell>
          <cell r="J6165">
            <v>0</v>
          </cell>
          <cell r="K6165">
            <v>0</v>
          </cell>
          <cell r="L6165">
            <v>60</v>
          </cell>
        </row>
        <row r="6166">
          <cell r="A6166" t="str">
            <v>20211.03670</v>
          </cell>
          <cell r="B6166" t="str">
            <v>LAMPE LED</v>
          </cell>
          <cell r="C6166" t="str">
            <v>3SB3901-1QG</v>
          </cell>
          <cell r="D6166" t="str">
            <v>PE</v>
          </cell>
          <cell r="E6166" t="str">
            <v>512.51201</v>
          </cell>
          <cell r="F6166">
            <v>71.1905</v>
          </cell>
          <cell r="G6166">
            <v>0</v>
          </cell>
          <cell r="H6166">
            <v>0</v>
          </cell>
          <cell r="I6166">
            <v>0</v>
          </cell>
          <cell r="J6166">
            <v>0</v>
          </cell>
          <cell r="K6166">
            <v>0</v>
          </cell>
          <cell r="L6166">
            <v>55</v>
          </cell>
        </row>
        <row r="6167">
          <cell r="A6167" t="str">
            <v>20211.03685</v>
          </cell>
          <cell r="B6167" t="str">
            <v>COMMUTATEUR PROTECTEUR DE MOTEUR</v>
          </cell>
          <cell r="C6167" t="str">
            <v>3RV1021-1FA10  P/MCC</v>
          </cell>
          <cell r="D6167" t="str">
            <v>PE</v>
          </cell>
          <cell r="E6167" t="str">
            <v>512.51201</v>
          </cell>
          <cell r="F6167">
            <v>289.25819999999999</v>
          </cell>
          <cell r="G6167">
            <v>0</v>
          </cell>
          <cell r="H6167">
            <v>0</v>
          </cell>
          <cell r="I6167">
            <v>0</v>
          </cell>
          <cell r="J6167">
            <v>0</v>
          </cell>
          <cell r="K6167">
            <v>0</v>
          </cell>
          <cell r="L6167">
            <v>3</v>
          </cell>
        </row>
        <row r="6168">
          <cell r="A6168" t="str">
            <v>20211.03686</v>
          </cell>
          <cell r="B6168" t="str">
            <v>COMMUTATEUR PROTECTEUR DE MOTEUR</v>
          </cell>
          <cell r="C6168" t="str">
            <v>3RV1021-1GA10  P/MCC</v>
          </cell>
          <cell r="D6168" t="str">
            <v>PE</v>
          </cell>
          <cell r="E6168" t="str">
            <v>512.51201</v>
          </cell>
          <cell r="F6168">
            <v>289.25819999999999</v>
          </cell>
          <cell r="G6168">
            <v>0</v>
          </cell>
          <cell r="H6168">
            <v>0</v>
          </cell>
          <cell r="I6168">
            <v>0</v>
          </cell>
          <cell r="J6168">
            <v>0</v>
          </cell>
          <cell r="K6168">
            <v>0</v>
          </cell>
          <cell r="L6168">
            <v>3</v>
          </cell>
        </row>
        <row r="6169">
          <cell r="A6169" t="str">
            <v>20211.03678</v>
          </cell>
          <cell r="B6169" t="str">
            <v>CIRCUIT MINIATURE DE RUPTURE</v>
          </cell>
          <cell r="C6169" t="str">
            <v>C  2  A  2POL.   5SY4202-7  P/MCC</v>
          </cell>
          <cell r="D6169" t="str">
            <v>PE</v>
          </cell>
          <cell r="E6169" t="str">
            <v>512.51201</v>
          </cell>
          <cell r="F6169">
            <v>260.35199999999998</v>
          </cell>
          <cell r="G6169">
            <v>0</v>
          </cell>
          <cell r="H6169">
            <v>0</v>
          </cell>
          <cell r="I6169">
            <v>0</v>
          </cell>
          <cell r="J6169">
            <v>0</v>
          </cell>
          <cell r="K6169">
            <v>0</v>
          </cell>
          <cell r="L6169">
            <v>3</v>
          </cell>
        </row>
        <row r="6170">
          <cell r="A6170" t="str">
            <v>20211.03679</v>
          </cell>
          <cell r="B6170" t="str">
            <v>CIRCUIT MINIATURE DE RUPTURE</v>
          </cell>
          <cell r="C6170" t="str">
            <v>C  4  A  2POL.   5SY4204-7  P/MCC</v>
          </cell>
          <cell r="D6170" t="str">
            <v>PE</v>
          </cell>
          <cell r="E6170" t="str">
            <v>512.51201</v>
          </cell>
          <cell r="F6170">
            <v>214.27199999999999</v>
          </cell>
          <cell r="G6170">
            <v>0</v>
          </cell>
          <cell r="H6170">
            <v>0</v>
          </cell>
          <cell r="I6170">
            <v>0</v>
          </cell>
          <cell r="J6170">
            <v>0</v>
          </cell>
          <cell r="K6170">
            <v>0</v>
          </cell>
          <cell r="L6170">
            <v>3</v>
          </cell>
        </row>
        <row r="6171">
          <cell r="A6171" t="str">
            <v>20211.03680</v>
          </cell>
          <cell r="B6171" t="str">
            <v>CIRCUIT MINIATURE DE RUPTURE</v>
          </cell>
          <cell r="C6171" t="str">
            <v>C  6  A  2POL.    5SX5206-7  P/CELLUL. DOUBLE JDB</v>
          </cell>
          <cell r="D6171" t="str">
            <v>PE</v>
          </cell>
          <cell r="E6171" t="str">
            <v>512.51201</v>
          </cell>
          <cell r="F6171">
            <v>469.39069999999998</v>
          </cell>
          <cell r="G6171">
            <v>0</v>
          </cell>
          <cell r="H6171">
            <v>0</v>
          </cell>
          <cell r="I6171">
            <v>0</v>
          </cell>
          <cell r="J6171">
            <v>0</v>
          </cell>
          <cell r="K6171">
            <v>0</v>
          </cell>
          <cell r="L6171">
            <v>1</v>
          </cell>
        </row>
        <row r="6172">
          <cell r="A6172" t="str">
            <v>20211.03681</v>
          </cell>
          <cell r="B6172" t="str">
            <v>CIRCUITS MINIATURES DE RUPTURE</v>
          </cell>
          <cell r="C6172" t="str">
            <v>5SX2201-7  P/CELLUL. DOUBLE JDB</v>
          </cell>
          <cell r="D6172" t="str">
            <v>PE</v>
          </cell>
          <cell r="E6172" t="str">
            <v>512.51201</v>
          </cell>
          <cell r="F6172">
            <v>203.7046</v>
          </cell>
          <cell r="G6172">
            <v>0</v>
          </cell>
          <cell r="H6172">
            <v>0</v>
          </cell>
          <cell r="I6172">
            <v>0</v>
          </cell>
          <cell r="J6172">
            <v>0</v>
          </cell>
          <cell r="K6172">
            <v>1</v>
          </cell>
          <cell r="L6172">
            <v>0</v>
          </cell>
        </row>
        <row r="6173">
          <cell r="A6173" t="str">
            <v>20325.05666</v>
          </cell>
          <cell r="B6173" t="str">
            <v>ROULEMENT</v>
          </cell>
          <cell r="C6173" t="str">
            <v>32313 BQ</v>
          </cell>
          <cell r="D6173" t="str">
            <v>PE</v>
          </cell>
          <cell r="E6173" t="str">
            <v>515.51515</v>
          </cell>
          <cell r="F6173">
            <v>337.65499999999997</v>
          </cell>
          <cell r="G6173">
            <v>0</v>
          </cell>
          <cell r="H6173">
            <v>0</v>
          </cell>
          <cell r="I6173">
            <v>0</v>
          </cell>
          <cell r="J6173">
            <v>0</v>
          </cell>
          <cell r="K6173">
            <v>0</v>
          </cell>
          <cell r="L6173">
            <v>2</v>
          </cell>
        </row>
        <row r="6174">
          <cell r="A6174" t="str">
            <v>20325.05673</v>
          </cell>
          <cell r="B6174" t="str">
            <v>ROULEMENT</v>
          </cell>
          <cell r="C6174" t="str">
            <v>7207 BECB</v>
          </cell>
          <cell r="D6174" t="str">
            <v>PE</v>
          </cell>
          <cell r="E6174" t="str">
            <v>515.51515</v>
          </cell>
          <cell r="F6174">
            <v>127.68559999999999</v>
          </cell>
          <cell r="G6174">
            <v>0</v>
          </cell>
          <cell r="H6174">
            <v>0</v>
          </cell>
          <cell r="I6174">
            <v>0</v>
          </cell>
          <cell r="J6174">
            <v>0</v>
          </cell>
          <cell r="K6174">
            <v>0</v>
          </cell>
          <cell r="L6174">
            <v>12</v>
          </cell>
        </row>
        <row r="6175">
          <cell r="A6175" t="str">
            <v>20325.05674</v>
          </cell>
          <cell r="B6175" t="str">
            <v>ROULEMENT</v>
          </cell>
          <cell r="C6175" t="str">
            <v>7305 BEGA</v>
          </cell>
          <cell r="D6175" t="str">
            <v>PE</v>
          </cell>
          <cell r="E6175" t="str">
            <v>515.51515</v>
          </cell>
          <cell r="F6175">
            <v>102.8186</v>
          </cell>
          <cell r="G6175">
            <v>0</v>
          </cell>
          <cell r="H6175">
            <v>0</v>
          </cell>
          <cell r="I6175">
            <v>0</v>
          </cell>
          <cell r="J6175">
            <v>0</v>
          </cell>
          <cell r="K6175">
            <v>0</v>
          </cell>
          <cell r="L6175">
            <v>10</v>
          </cell>
        </row>
        <row r="6176">
          <cell r="A6176" t="str">
            <v>20325.05675</v>
          </cell>
          <cell r="B6176" t="str">
            <v>ROULEMENT</v>
          </cell>
          <cell r="C6176" t="str">
            <v>7309 BECB</v>
          </cell>
          <cell r="D6176" t="str">
            <v>PE</v>
          </cell>
          <cell r="E6176" t="str">
            <v>515.51515</v>
          </cell>
          <cell r="F6176">
            <v>277.85649999999998</v>
          </cell>
          <cell r="G6176">
            <v>0</v>
          </cell>
          <cell r="H6176">
            <v>6</v>
          </cell>
          <cell r="I6176">
            <v>4</v>
          </cell>
          <cell r="J6176">
            <v>0</v>
          </cell>
          <cell r="K6176">
            <v>0</v>
          </cell>
          <cell r="L6176">
            <v>5</v>
          </cell>
        </row>
        <row r="6177">
          <cell r="A6177" t="str">
            <v>20211.03691</v>
          </cell>
          <cell r="B6177" t="str">
            <v>COMMUTATEUR DE PUISSANCE POUR COM DE DEMARREUR</v>
          </cell>
          <cell r="C6177" t="str">
            <v xml:space="preserve">3,20A    3RV1321-1DC10  P/MCC     </v>
          </cell>
          <cell r="D6177" t="str">
            <v>PE</v>
          </cell>
          <cell r="E6177" t="str">
            <v>512.51201</v>
          </cell>
          <cell r="F6177">
            <v>313.68270000000001</v>
          </cell>
          <cell r="G6177">
            <v>0</v>
          </cell>
          <cell r="H6177">
            <v>0</v>
          </cell>
          <cell r="I6177">
            <v>0</v>
          </cell>
          <cell r="J6177">
            <v>0</v>
          </cell>
          <cell r="K6177">
            <v>0</v>
          </cell>
          <cell r="L6177">
            <v>3</v>
          </cell>
        </row>
        <row r="6178">
          <cell r="A6178" t="str">
            <v>20211.03687</v>
          </cell>
          <cell r="B6178" t="str">
            <v>COMMUTATEUR PROTECTEUR DE MOTEUR</v>
          </cell>
          <cell r="C6178" t="str">
            <v>3RV1021-4AA10  P/MCC</v>
          </cell>
          <cell r="D6178" t="str">
            <v>PE</v>
          </cell>
          <cell r="E6178" t="str">
            <v>512.51201</v>
          </cell>
          <cell r="F6178">
            <v>301.90089999999998</v>
          </cell>
          <cell r="G6178">
            <v>0</v>
          </cell>
          <cell r="H6178">
            <v>0</v>
          </cell>
          <cell r="I6178">
            <v>0</v>
          </cell>
          <cell r="J6178">
            <v>0</v>
          </cell>
          <cell r="K6178">
            <v>0</v>
          </cell>
          <cell r="L6178">
            <v>6</v>
          </cell>
        </row>
        <row r="6179">
          <cell r="A6179" t="str">
            <v>20211.03688</v>
          </cell>
          <cell r="B6179" t="str">
            <v>CANAL DE SUPPORT POUR ET200M</v>
          </cell>
          <cell r="C6179" t="str">
            <v>6ES7195-1GC00-0XA0  P/MCC</v>
          </cell>
          <cell r="D6179" t="str">
            <v>PE</v>
          </cell>
          <cell r="E6179" t="str">
            <v>512.51201</v>
          </cell>
          <cell r="F6179">
            <v>1636.4309000000001</v>
          </cell>
          <cell r="G6179">
            <v>0</v>
          </cell>
          <cell r="H6179">
            <v>0</v>
          </cell>
          <cell r="I6179">
            <v>0</v>
          </cell>
          <cell r="J6179">
            <v>0</v>
          </cell>
          <cell r="K6179">
            <v>0</v>
          </cell>
          <cell r="L6179">
            <v>6</v>
          </cell>
        </row>
        <row r="6180">
          <cell r="A6180" t="str">
            <v>20211.03690</v>
          </cell>
          <cell r="B6180" t="str">
            <v>COMMUTATEUR DE PUISSANCE POUR COM DE DEMARREUR</v>
          </cell>
          <cell r="C6180" t="str">
            <v>2,50A    3RV1321-1CC10  P/MCC</v>
          </cell>
          <cell r="D6180" t="str">
            <v>PE</v>
          </cell>
          <cell r="E6180" t="str">
            <v>512.51201</v>
          </cell>
          <cell r="F6180">
            <v>250.8965</v>
          </cell>
          <cell r="G6180">
            <v>0</v>
          </cell>
          <cell r="H6180">
            <v>0</v>
          </cell>
          <cell r="I6180">
            <v>0</v>
          </cell>
          <cell r="J6180">
            <v>0</v>
          </cell>
          <cell r="K6180">
            <v>0</v>
          </cell>
          <cell r="L6180">
            <v>6</v>
          </cell>
        </row>
        <row r="6181">
          <cell r="A6181" t="str">
            <v>20211.03701</v>
          </cell>
          <cell r="B6181" t="str">
            <v>MECANISME DE COMMANDE ROTATIF</v>
          </cell>
          <cell r="C6181" t="str">
            <v>3VL9300-3HF04  P/MCC</v>
          </cell>
          <cell r="D6181" t="str">
            <v>PE</v>
          </cell>
          <cell r="E6181" t="str">
            <v>512.51201</v>
          </cell>
          <cell r="F6181">
            <v>534.899</v>
          </cell>
          <cell r="G6181">
            <v>0</v>
          </cell>
          <cell r="H6181">
            <v>0</v>
          </cell>
          <cell r="I6181">
            <v>0</v>
          </cell>
          <cell r="J6181">
            <v>0</v>
          </cell>
          <cell r="K6181">
            <v>0</v>
          </cell>
          <cell r="L6181">
            <v>14</v>
          </cell>
        </row>
        <row r="6182">
          <cell r="A6182" t="str">
            <v>20211.03702</v>
          </cell>
          <cell r="B6182" t="str">
            <v>MECANISME DE COMMANDE ROTATIF</v>
          </cell>
          <cell r="C6182" t="str">
            <v>3VL9400-3HF04  P/MCC</v>
          </cell>
          <cell r="D6182" t="str">
            <v>PE</v>
          </cell>
          <cell r="E6182" t="str">
            <v>512.51201</v>
          </cell>
          <cell r="F6182">
            <v>821.37599999999998</v>
          </cell>
          <cell r="G6182">
            <v>0</v>
          </cell>
          <cell r="H6182">
            <v>0</v>
          </cell>
          <cell r="I6182">
            <v>0</v>
          </cell>
          <cell r="J6182">
            <v>0</v>
          </cell>
          <cell r="K6182">
            <v>0</v>
          </cell>
          <cell r="L6182">
            <v>1</v>
          </cell>
        </row>
        <row r="6183">
          <cell r="A6183" t="str">
            <v>20211.03703</v>
          </cell>
          <cell r="B6183" t="str">
            <v>MECANISME DE COMMANDE ROTATIF</v>
          </cell>
          <cell r="C6183" t="str">
            <v>3VL9600-3HF04  P/MCC</v>
          </cell>
          <cell r="D6183" t="str">
            <v>PE</v>
          </cell>
          <cell r="E6183" t="str">
            <v>512.51201</v>
          </cell>
          <cell r="F6183">
            <v>1060.992</v>
          </cell>
          <cell r="G6183">
            <v>0</v>
          </cell>
          <cell r="H6183">
            <v>0</v>
          </cell>
          <cell r="I6183">
            <v>0</v>
          </cell>
          <cell r="J6183">
            <v>0</v>
          </cell>
          <cell r="K6183">
            <v>0</v>
          </cell>
          <cell r="L6183">
            <v>3</v>
          </cell>
        </row>
        <row r="6184">
          <cell r="A6184" t="str">
            <v>20211.03704</v>
          </cell>
          <cell r="B6184" t="str">
            <v>SHUNT RELEASE</v>
          </cell>
          <cell r="C6184" t="str">
            <v>3RV1902-1DP0  P/MCC</v>
          </cell>
          <cell r="D6184" t="str">
            <v>PE</v>
          </cell>
          <cell r="E6184" t="str">
            <v>512.51201</v>
          </cell>
          <cell r="F6184">
            <v>121.2349</v>
          </cell>
          <cell r="G6184">
            <v>0</v>
          </cell>
          <cell r="H6184">
            <v>0</v>
          </cell>
          <cell r="I6184">
            <v>0</v>
          </cell>
          <cell r="J6184">
            <v>0</v>
          </cell>
          <cell r="K6184">
            <v>0</v>
          </cell>
          <cell r="L6184">
            <v>11</v>
          </cell>
        </row>
        <row r="6185">
          <cell r="A6185" t="str">
            <v>20211.03709</v>
          </cell>
          <cell r="B6185" t="str">
            <v>FUSIBLE SITOP</v>
          </cell>
          <cell r="C6185" t="str">
            <v>560A 3NE3335  P/MCC</v>
          </cell>
          <cell r="D6185" t="str">
            <v>PE</v>
          </cell>
          <cell r="E6185" t="str">
            <v>512.51201</v>
          </cell>
          <cell r="F6185">
            <v>952.99940000000004</v>
          </cell>
          <cell r="G6185">
            <v>0</v>
          </cell>
          <cell r="H6185">
            <v>0</v>
          </cell>
          <cell r="I6185">
            <v>0</v>
          </cell>
          <cell r="J6185">
            <v>0</v>
          </cell>
          <cell r="K6185">
            <v>0</v>
          </cell>
          <cell r="L6185">
            <v>35</v>
          </cell>
        </row>
        <row r="6186">
          <cell r="A6186" t="str">
            <v>20211.03710</v>
          </cell>
          <cell r="B6186" t="str">
            <v>FUSIBLE SITOP</v>
          </cell>
          <cell r="C6186" t="str">
            <v>630A  3NE3336  P/MCC</v>
          </cell>
          <cell r="D6186" t="str">
            <v>PE</v>
          </cell>
          <cell r="E6186" t="str">
            <v>512.51201</v>
          </cell>
          <cell r="F6186">
            <v>1567.8133</v>
          </cell>
          <cell r="G6186">
            <v>0</v>
          </cell>
          <cell r="H6186">
            <v>0</v>
          </cell>
          <cell r="I6186">
            <v>0</v>
          </cell>
          <cell r="J6186">
            <v>0</v>
          </cell>
          <cell r="K6186">
            <v>0</v>
          </cell>
          <cell r="L6186">
            <v>18</v>
          </cell>
        </row>
        <row r="6187">
          <cell r="A6187" t="str">
            <v>20211.03711</v>
          </cell>
          <cell r="B6187" t="str">
            <v>FUSIBLE SITOP</v>
          </cell>
          <cell r="C6187" t="str">
            <v>800A  3NE3338-8  P/MCC</v>
          </cell>
          <cell r="D6187" t="str">
            <v>PE</v>
          </cell>
          <cell r="E6187" t="str">
            <v>512.51201</v>
          </cell>
          <cell r="F6187">
            <v>1666.48</v>
          </cell>
          <cell r="G6187">
            <v>0</v>
          </cell>
          <cell r="H6187">
            <v>0</v>
          </cell>
          <cell r="I6187">
            <v>0</v>
          </cell>
          <cell r="J6187">
            <v>0</v>
          </cell>
          <cell r="K6187">
            <v>0</v>
          </cell>
          <cell r="L6187">
            <v>18</v>
          </cell>
        </row>
        <row r="6188">
          <cell r="A6188" t="str">
            <v>20211.03712</v>
          </cell>
          <cell r="B6188" t="str">
            <v>FUSIBLE SITOP</v>
          </cell>
          <cell r="C6188" t="str">
            <v>125A 3NE1022-0  P/MCC</v>
          </cell>
          <cell r="D6188" t="str">
            <v>PE</v>
          </cell>
          <cell r="E6188" t="str">
            <v>512.51201</v>
          </cell>
          <cell r="F6188">
            <v>410.30149999999998</v>
          </cell>
          <cell r="G6188">
            <v>0</v>
          </cell>
          <cell r="H6188">
            <v>0</v>
          </cell>
          <cell r="I6188">
            <v>0</v>
          </cell>
          <cell r="J6188">
            <v>0</v>
          </cell>
          <cell r="K6188">
            <v>0</v>
          </cell>
          <cell r="L6188">
            <v>26</v>
          </cell>
        </row>
        <row r="6189">
          <cell r="A6189" t="str">
            <v>20211.03713</v>
          </cell>
          <cell r="B6189" t="str">
            <v>FUSIBLE SITOP</v>
          </cell>
          <cell r="C6189" t="str">
            <v>160A 3NE4124  P/MCC</v>
          </cell>
          <cell r="D6189" t="str">
            <v>PE</v>
          </cell>
          <cell r="E6189" t="str">
            <v>512.51201</v>
          </cell>
          <cell r="F6189">
            <v>363.1377</v>
          </cell>
          <cell r="G6189">
            <v>0</v>
          </cell>
          <cell r="H6189">
            <v>0</v>
          </cell>
          <cell r="I6189">
            <v>3</v>
          </cell>
          <cell r="J6189">
            <v>0</v>
          </cell>
          <cell r="K6189">
            <v>0</v>
          </cell>
          <cell r="L6189">
            <v>13</v>
          </cell>
        </row>
        <row r="6190">
          <cell r="A6190" t="str">
            <v>20211.03705</v>
          </cell>
          <cell r="B6190" t="str">
            <v>PRO JONCTION DE CABLE DE SIMOCODE</v>
          </cell>
          <cell r="C6190" t="str">
            <v>0.5 M 3UF7932-0AA00-0  P/MCC</v>
          </cell>
          <cell r="D6190" t="str">
            <v>PE</v>
          </cell>
          <cell r="E6190" t="str">
            <v>512.51201</v>
          </cell>
          <cell r="F6190">
            <v>108.7371</v>
          </cell>
          <cell r="G6190">
            <v>0</v>
          </cell>
          <cell r="H6190">
            <v>0</v>
          </cell>
          <cell r="I6190">
            <v>0</v>
          </cell>
          <cell r="J6190">
            <v>0</v>
          </cell>
          <cell r="K6190">
            <v>0</v>
          </cell>
          <cell r="L6190">
            <v>8</v>
          </cell>
        </row>
        <row r="6191">
          <cell r="A6191" t="str">
            <v>20211.03706</v>
          </cell>
          <cell r="B6191" t="str">
            <v>PRO MODUL DE COMMANDE D'OPERATEUR DE SIMOCOD</v>
          </cell>
          <cell r="C6191" t="str">
            <v>3UF7200-1AA00-0  P/MCC</v>
          </cell>
          <cell r="D6191" t="str">
            <v>PE</v>
          </cell>
          <cell r="E6191" t="str">
            <v>512.51201</v>
          </cell>
          <cell r="F6191">
            <v>1602.1946</v>
          </cell>
          <cell r="G6191">
            <v>0</v>
          </cell>
          <cell r="H6191">
            <v>0</v>
          </cell>
          <cell r="I6191">
            <v>0</v>
          </cell>
          <cell r="J6191">
            <v>0</v>
          </cell>
          <cell r="K6191">
            <v>0</v>
          </cell>
          <cell r="L6191">
            <v>6</v>
          </cell>
        </row>
        <row r="6192">
          <cell r="A6192" t="str">
            <v>20211.03707</v>
          </cell>
          <cell r="B6192" t="str">
            <v>ALIMENTATION SITOP</v>
          </cell>
          <cell r="C6192" t="str">
            <v>6EP1334-2BA00  P/MCC</v>
          </cell>
          <cell r="D6192" t="str">
            <v>PE</v>
          </cell>
          <cell r="E6192" t="str">
            <v>512.51201</v>
          </cell>
          <cell r="F6192">
            <v>1748.2360000000001</v>
          </cell>
          <cell r="G6192">
            <v>0</v>
          </cell>
          <cell r="H6192">
            <v>0</v>
          </cell>
          <cell r="I6192">
            <v>0</v>
          </cell>
          <cell r="J6192">
            <v>1</v>
          </cell>
          <cell r="K6192">
            <v>0</v>
          </cell>
          <cell r="L6192">
            <v>0</v>
          </cell>
        </row>
        <row r="6193">
          <cell r="A6193" t="str">
            <v>20211.03708</v>
          </cell>
          <cell r="B6193" t="str">
            <v>FUSIBLE SITOP</v>
          </cell>
          <cell r="C6193" t="str">
            <v>450A 3NE3333  P/MCC</v>
          </cell>
          <cell r="D6193" t="str">
            <v>PE</v>
          </cell>
          <cell r="E6193" t="str">
            <v>512.51201</v>
          </cell>
          <cell r="F6193">
            <v>889.56769999999995</v>
          </cell>
          <cell r="G6193">
            <v>0</v>
          </cell>
          <cell r="H6193">
            <v>3</v>
          </cell>
          <cell r="I6193">
            <v>0</v>
          </cell>
          <cell r="J6193">
            <v>0</v>
          </cell>
          <cell r="K6193">
            <v>0</v>
          </cell>
          <cell r="L6193">
            <v>24</v>
          </cell>
        </row>
        <row r="6194">
          <cell r="A6194" t="str">
            <v>20325.03007</v>
          </cell>
          <cell r="B6194" t="str">
            <v>ROULEMENT A BILLES</v>
          </cell>
          <cell r="C6194">
            <v>6319</v>
          </cell>
          <cell r="D6194" t="str">
            <v>PE</v>
          </cell>
          <cell r="E6194" t="str">
            <v>515.51515</v>
          </cell>
          <cell r="F6194">
            <v>1233.4091000000001</v>
          </cell>
          <cell r="G6194">
            <v>0</v>
          </cell>
          <cell r="H6194">
            <v>0</v>
          </cell>
          <cell r="I6194">
            <v>0</v>
          </cell>
          <cell r="J6194">
            <v>0</v>
          </cell>
          <cell r="K6194">
            <v>0</v>
          </cell>
          <cell r="L6194">
            <v>4</v>
          </cell>
        </row>
        <row r="6195">
          <cell r="A6195" t="str">
            <v>20325.01025</v>
          </cell>
          <cell r="B6195" t="str">
            <v>ROULEMENT A BILLES</v>
          </cell>
          <cell r="C6195" t="str">
            <v>3307 A/C3</v>
          </cell>
          <cell r="D6195" t="str">
            <v>PE</v>
          </cell>
          <cell r="E6195" t="str">
            <v>515.51515</v>
          </cell>
          <cell r="F6195">
            <v>293.39240000000001</v>
          </cell>
          <cell r="G6195">
            <v>0</v>
          </cell>
          <cell r="H6195">
            <v>0</v>
          </cell>
          <cell r="I6195">
            <v>0</v>
          </cell>
          <cell r="J6195">
            <v>0</v>
          </cell>
          <cell r="K6195">
            <v>1</v>
          </cell>
          <cell r="L6195">
            <v>6</v>
          </cell>
        </row>
        <row r="6196">
          <cell r="A6196" t="str">
            <v>20325.02836</v>
          </cell>
          <cell r="B6196" t="str">
            <v>ROULEMENT A ROTULE/RLX</v>
          </cell>
          <cell r="C6196" t="str">
            <v>23228 CC/C3W33</v>
          </cell>
          <cell r="D6196" t="str">
            <v>PE</v>
          </cell>
          <cell r="E6196" t="str">
            <v>515.51515</v>
          </cell>
          <cell r="F6196">
            <v>3369.1401000000001</v>
          </cell>
          <cell r="G6196">
            <v>0</v>
          </cell>
          <cell r="H6196">
            <v>3</v>
          </cell>
          <cell r="I6196">
            <v>0</v>
          </cell>
          <cell r="J6196">
            <v>0</v>
          </cell>
          <cell r="K6196">
            <v>0</v>
          </cell>
          <cell r="L6196">
            <v>0</v>
          </cell>
        </row>
        <row r="6197">
          <cell r="A6197" t="str">
            <v>20325.00105</v>
          </cell>
          <cell r="B6197" t="str">
            <v>ROULEMENT A BILLES</v>
          </cell>
          <cell r="C6197" t="str">
            <v>6201-2Z</v>
          </cell>
          <cell r="D6197" t="str">
            <v>PE</v>
          </cell>
          <cell r="E6197" t="str">
            <v>515.51515</v>
          </cell>
          <cell r="F6197">
            <v>17.172000000000001</v>
          </cell>
          <cell r="G6197">
            <v>0</v>
          </cell>
          <cell r="H6197">
            <v>0</v>
          </cell>
          <cell r="I6197">
            <v>0</v>
          </cell>
          <cell r="J6197">
            <v>0</v>
          </cell>
          <cell r="K6197">
            <v>4</v>
          </cell>
          <cell r="L6197">
            <v>0</v>
          </cell>
        </row>
        <row r="6198">
          <cell r="A6198" t="str">
            <v>20325.00108</v>
          </cell>
          <cell r="B6198" t="str">
            <v>ECROU DE SERRAGE</v>
          </cell>
          <cell r="C6198" t="str">
            <v>KM 8</v>
          </cell>
          <cell r="D6198" t="str">
            <v>PE</v>
          </cell>
          <cell r="E6198" t="str">
            <v>515.51515</v>
          </cell>
          <cell r="F6198">
            <v>13.2</v>
          </cell>
          <cell r="G6198">
            <v>0</v>
          </cell>
          <cell r="H6198">
            <v>1</v>
          </cell>
          <cell r="I6198">
            <v>0</v>
          </cell>
          <cell r="J6198">
            <v>0</v>
          </cell>
          <cell r="K6198">
            <v>0</v>
          </cell>
          <cell r="L6198">
            <v>0</v>
          </cell>
        </row>
        <row r="6199">
          <cell r="A6199" t="str">
            <v>20325.00109</v>
          </cell>
          <cell r="B6199" t="str">
            <v>ROULEMENT A BILLES</v>
          </cell>
          <cell r="C6199">
            <v>6208</v>
          </cell>
          <cell r="D6199" t="str">
            <v>PE</v>
          </cell>
          <cell r="E6199" t="str">
            <v>515.51515</v>
          </cell>
          <cell r="F6199">
            <v>42.82</v>
          </cell>
          <cell r="G6199">
            <v>0</v>
          </cell>
          <cell r="H6199">
            <v>0</v>
          </cell>
          <cell r="I6199">
            <v>0</v>
          </cell>
          <cell r="J6199">
            <v>0</v>
          </cell>
          <cell r="K6199">
            <v>0</v>
          </cell>
          <cell r="L6199">
            <v>1</v>
          </cell>
        </row>
        <row r="6200">
          <cell r="A6200" t="str">
            <v>20325.01036</v>
          </cell>
          <cell r="B6200" t="str">
            <v>ROULEMENT A BILLES</v>
          </cell>
          <cell r="C6200" t="str">
            <v>6302-Z</v>
          </cell>
          <cell r="D6200" t="str">
            <v>PE</v>
          </cell>
          <cell r="E6200" t="str">
            <v>515.51515</v>
          </cell>
          <cell r="F6200">
            <v>30.552399999999999</v>
          </cell>
          <cell r="G6200">
            <v>0</v>
          </cell>
          <cell r="H6200">
            <v>0</v>
          </cell>
          <cell r="I6200">
            <v>0</v>
          </cell>
          <cell r="J6200">
            <v>0</v>
          </cell>
          <cell r="K6200">
            <v>2</v>
          </cell>
          <cell r="L6200">
            <v>0</v>
          </cell>
        </row>
        <row r="6201">
          <cell r="A6201" t="str">
            <v>20325.00114</v>
          </cell>
          <cell r="B6201" t="str">
            <v>ROULEMENT A BILLES</v>
          </cell>
          <cell r="C6201">
            <v>6302</v>
          </cell>
          <cell r="D6201" t="str">
            <v>PE</v>
          </cell>
          <cell r="E6201" t="str">
            <v>515.51515</v>
          </cell>
          <cell r="F6201">
            <v>14</v>
          </cell>
          <cell r="G6201">
            <v>0</v>
          </cell>
          <cell r="H6201">
            <v>0</v>
          </cell>
          <cell r="I6201">
            <v>0</v>
          </cell>
          <cell r="J6201">
            <v>0</v>
          </cell>
          <cell r="K6201">
            <v>0</v>
          </cell>
          <cell r="L6201">
            <v>0</v>
          </cell>
        </row>
        <row r="6202">
          <cell r="A6202" t="str">
            <v>20325.00115</v>
          </cell>
          <cell r="B6202" t="str">
            <v>ROULEMENT A ROTULE/RLX</v>
          </cell>
          <cell r="C6202" t="str">
            <v>22218 CC/W33</v>
          </cell>
          <cell r="D6202" t="str">
            <v>PE</v>
          </cell>
          <cell r="E6202" t="str">
            <v>515.51515</v>
          </cell>
          <cell r="F6202">
            <v>1020.5525</v>
          </cell>
          <cell r="G6202">
            <v>0</v>
          </cell>
          <cell r="H6202">
            <v>0</v>
          </cell>
          <cell r="I6202">
            <v>0</v>
          </cell>
          <cell r="J6202">
            <v>0</v>
          </cell>
          <cell r="K6202">
            <v>0</v>
          </cell>
          <cell r="L6202">
            <v>3</v>
          </cell>
        </row>
        <row r="6203">
          <cell r="A6203" t="str">
            <v>20325.01050</v>
          </cell>
          <cell r="B6203" t="str">
            <v>MANCHON DE SERRAGE</v>
          </cell>
          <cell r="C6203" t="str">
            <v>H 3122</v>
          </cell>
          <cell r="D6203" t="str">
            <v>PE</v>
          </cell>
          <cell r="E6203" t="str">
            <v>515.51515</v>
          </cell>
          <cell r="F6203">
            <v>236.48</v>
          </cell>
          <cell r="G6203">
            <v>0</v>
          </cell>
          <cell r="H6203">
            <v>0</v>
          </cell>
          <cell r="I6203">
            <v>0</v>
          </cell>
          <cell r="J6203">
            <v>0</v>
          </cell>
          <cell r="K6203">
            <v>1</v>
          </cell>
          <cell r="L6203">
            <v>1</v>
          </cell>
        </row>
        <row r="6204">
          <cell r="A6204" t="str">
            <v>20325.01051</v>
          </cell>
          <cell r="B6204" t="str">
            <v>ROULEMENT A ROTULE/RLX</v>
          </cell>
          <cell r="C6204" t="str">
            <v>23024 CCK/W33</v>
          </cell>
          <cell r="D6204" t="str">
            <v>PE</v>
          </cell>
          <cell r="E6204" t="str">
            <v>515.51515</v>
          </cell>
          <cell r="F6204">
            <v>698.99789999999996</v>
          </cell>
          <cell r="G6204">
            <v>0</v>
          </cell>
          <cell r="H6204">
            <v>0</v>
          </cell>
          <cell r="I6204">
            <v>0</v>
          </cell>
          <cell r="J6204">
            <v>0</v>
          </cell>
          <cell r="K6204">
            <v>1</v>
          </cell>
          <cell r="L6204">
            <v>1</v>
          </cell>
        </row>
        <row r="6205">
          <cell r="A6205" t="str">
            <v>20325.00121</v>
          </cell>
          <cell r="B6205" t="str">
            <v>ROULEMENT A ROTULE/RLX</v>
          </cell>
          <cell r="C6205" t="str">
            <v>22309 CC</v>
          </cell>
          <cell r="D6205" t="str">
            <v>PE</v>
          </cell>
          <cell r="E6205" t="str">
            <v>515.51515</v>
          </cell>
          <cell r="F6205">
            <v>310.89999999999998</v>
          </cell>
          <cell r="G6205">
            <v>0</v>
          </cell>
          <cell r="H6205">
            <v>0</v>
          </cell>
          <cell r="I6205">
            <v>0</v>
          </cell>
          <cell r="J6205">
            <v>0</v>
          </cell>
          <cell r="K6205">
            <v>0</v>
          </cell>
          <cell r="L6205">
            <v>5</v>
          </cell>
        </row>
        <row r="6206">
          <cell r="A6206" t="str">
            <v>20325.01845</v>
          </cell>
          <cell r="B6206" t="str">
            <v>ROULEMENT A ROTULE/RLX</v>
          </cell>
          <cell r="C6206" t="str">
            <v>23044 CCK/W33</v>
          </cell>
          <cell r="D6206" t="str">
            <v>PE</v>
          </cell>
          <cell r="E6206" t="str">
            <v>515.51515</v>
          </cell>
          <cell r="F6206">
            <v>6133.2960000000003</v>
          </cell>
          <cell r="G6206">
            <v>0</v>
          </cell>
          <cell r="H6206">
            <v>0</v>
          </cell>
          <cell r="I6206">
            <v>0</v>
          </cell>
          <cell r="J6206">
            <v>0</v>
          </cell>
          <cell r="K6206">
            <v>3</v>
          </cell>
          <cell r="L6206">
            <v>0</v>
          </cell>
        </row>
        <row r="6207">
          <cell r="A6207" t="str">
            <v>20325.05640</v>
          </cell>
          <cell r="B6207" t="str">
            <v>ROULEMENT A BILLE</v>
          </cell>
          <cell r="C6207" t="str">
            <v>6316/C4</v>
          </cell>
          <cell r="D6207" t="str">
            <v>PE</v>
          </cell>
          <cell r="E6207" t="str">
            <v>515.51515</v>
          </cell>
          <cell r="F6207">
            <v>597.048</v>
          </cell>
          <cell r="G6207">
            <v>0</v>
          </cell>
          <cell r="H6207">
            <v>0</v>
          </cell>
          <cell r="I6207">
            <v>0</v>
          </cell>
          <cell r="J6207">
            <v>0</v>
          </cell>
          <cell r="K6207">
            <v>2</v>
          </cell>
          <cell r="L6207">
            <v>0</v>
          </cell>
        </row>
        <row r="6208">
          <cell r="A6208" t="str">
            <v>20325.01989</v>
          </cell>
          <cell r="B6208" t="str">
            <v>ECROU DE SERRAGE</v>
          </cell>
          <cell r="C6208" t="str">
            <v>HM 56 T</v>
          </cell>
          <cell r="D6208" t="str">
            <v>PE</v>
          </cell>
          <cell r="E6208" t="str">
            <v>515.51515</v>
          </cell>
          <cell r="F6208">
            <v>1324.81</v>
          </cell>
          <cell r="G6208">
            <v>0</v>
          </cell>
          <cell r="H6208">
            <v>1</v>
          </cell>
          <cell r="I6208">
            <v>1</v>
          </cell>
          <cell r="J6208">
            <v>1</v>
          </cell>
          <cell r="K6208">
            <v>4</v>
          </cell>
          <cell r="L6208">
            <v>0</v>
          </cell>
        </row>
        <row r="6209">
          <cell r="A6209" t="str">
            <v>20325.02465</v>
          </cell>
          <cell r="B6209" t="str">
            <v>ROULEMENT A BILLES</v>
          </cell>
          <cell r="C6209" t="str">
            <v>6202-2Z/C3</v>
          </cell>
          <cell r="D6209" t="str">
            <v>PE</v>
          </cell>
          <cell r="E6209" t="str">
            <v>515.51515</v>
          </cell>
          <cell r="F6209">
            <v>17.8781</v>
          </cell>
          <cell r="G6209">
            <v>0</v>
          </cell>
          <cell r="H6209">
            <v>0</v>
          </cell>
          <cell r="I6209">
            <v>0</v>
          </cell>
          <cell r="J6209">
            <v>0</v>
          </cell>
          <cell r="K6209">
            <v>5</v>
          </cell>
          <cell r="L6209">
            <v>0</v>
          </cell>
        </row>
        <row r="6210">
          <cell r="A6210" t="str">
            <v>20323.04793</v>
          </cell>
          <cell r="B6210" t="str">
            <v>BOUTON POUSSOIR</v>
          </cell>
          <cell r="C6210" t="str">
            <v>XB4 BA42</v>
          </cell>
          <cell r="D6210" t="str">
            <v>PE</v>
          </cell>
          <cell r="E6210" t="str">
            <v>522.52206</v>
          </cell>
          <cell r="F6210">
            <v>51.114699999999999</v>
          </cell>
          <cell r="G6210">
            <v>0</v>
          </cell>
          <cell r="H6210">
            <v>0</v>
          </cell>
          <cell r="I6210">
            <v>0</v>
          </cell>
          <cell r="J6210">
            <v>0</v>
          </cell>
          <cell r="K6210">
            <v>6</v>
          </cell>
          <cell r="L6210">
            <v>0</v>
          </cell>
        </row>
        <row r="6211">
          <cell r="A6211" t="str">
            <v>20325.02484</v>
          </cell>
          <cell r="B6211" t="str">
            <v>ROULEMENT A ROULEAUX CYLI</v>
          </cell>
          <cell r="C6211" t="str">
            <v>SL 192317/C3</v>
          </cell>
          <cell r="D6211" t="str">
            <v>PE</v>
          </cell>
          <cell r="E6211" t="str">
            <v>515.51515</v>
          </cell>
          <cell r="F6211">
            <v>3713.09</v>
          </cell>
          <cell r="G6211">
            <v>0</v>
          </cell>
          <cell r="H6211">
            <v>0</v>
          </cell>
          <cell r="I6211">
            <v>0</v>
          </cell>
          <cell r="J6211">
            <v>0</v>
          </cell>
          <cell r="K6211">
            <v>0</v>
          </cell>
          <cell r="L6211">
            <v>2</v>
          </cell>
        </row>
        <row r="6212">
          <cell r="A6212" t="str">
            <v>20325.02486</v>
          </cell>
          <cell r="B6212" t="str">
            <v>ROULEMENT A ROULEAUX CYLI</v>
          </cell>
          <cell r="C6212" t="str">
            <v>SL 192320/C3</v>
          </cell>
          <cell r="D6212" t="str">
            <v>PE</v>
          </cell>
          <cell r="E6212" t="str">
            <v>515.51515</v>
          </cell>
          <cell r="F6212">
            <v>6952.17</v>
          </cell>
          <cell r="G6212">
            <v>0</v>
          </cell>
          <cell r="H6212">
            <v>0</v>
          </cell>
          <cell r="I6212">
            <v>0</v>
          </cell>
          <cell r="J6212">
            <v>0</v>
          </cell>
          <cell r="K6212">
            <v>0</v>
          </cell>
          <cell r="L6212">
            <v>2</v>
          </cell>
        </row>
        <row r="6213">
          <cell r="A6213" t="str">
            <v>20325.01060</v>
          </cell>
          <cell r="B6213" t="str">
            <v>ROULEMENT A BILLES</v>
          </cell>
          <cell r="C6213" t="str">
            <v>3308 A/C3</v>
          </cell>
          <cell r="D6213" t="str">
            <v>PE</v>
          </cell>
          <cell r="E6213" t="str">
            <v>515.51515</v>
          </cell>
          <cell r="F6213">
            <v>218.45</v>
          </cell>
          <cell r="G6213">
            <v>0</v>
          </cell>
          <cell r="H6213">
            <v>0</v>
          </cell>
          <cell r="I6213">
            <v>0</v>
          </cell>
          <cell r="J6213">
            <v>0</v>
          </cell>
          <cell r="K6213">
            <v>0</v>
          </cell>
          <cell r="L6213">
            <v>1</v>
          </cell>
        </row>
        <row r="6214">
          <cell r="A6214" t="str">
            <v>20325.00139</v>
          </cell>
          <cell r="B6214" t="str">
            <v>ROULEMENT A ROTULE/RLX</v>
          </cell>
          <cell r="C6214" t="str">
            <v>23964 CAC/W33</v>
          </cell>
          <cell r="D6214" t="str">
            <v>PE</v>
          </cell>
          <cell r="E6214" t="str">
            <v>515.51515</v>
          </cell>
          <cell r="F6214">
            <v>9868.06</v>
          </cell>
          <cell r="G6214">
            <v>0</v>
          </cell>
          <cell r="H6214">
            <v>0</v>
          </cell>
          <cell r="I6214">
            <v>0</v>
          </cell>
          <cell r="J6214">
            <v>0</v>
          </cell>
          <cell r="K6214">
            <v>0</v>
          </cell>
          <cell r="L6214">
            <v>2</v>
          </cell>
        </row>
        <row r="6215">
          <cell r="A6215" t="str">
            <v>20325.00135</v>
          </cell>
          <cell r="B6215" t="str">
            <v>ROULEMENT A ROULEAUX CYLI</v>
          </cell>
          <cell r="C6215" t="str">
            <v>NU 316</v>
          </cell>
          <cell r="D6215" t="str">
            <v>PE</v>
          </cell>
          <cell r="E6215" t="str">
            <v>515.51515</v>
          </cell>
          <cell r="F6215">
            <v>460.75</v>
          </cell>
          <cell r="G6215">
            <v>0</v>
          </cell>
          <cell r="H6215">
            <v>0</v>
          </cell>
          <cell r="I6215">
            <v>0</v>
          </cell>
          <cell r="J6215">
            <v>0</v>
          </cell>
          <cell r="K6215">
            <v>0</v>
          </cell>
          <cell r="L6215">
            <v>2</v>
          </cell>
        </row>
        <row r="6216">
          <cell r="A6216" t="str">
            <v>20325.02119</v>
          </cell>
          <cell r="B6216" t="str">
            <v>ECROU DE SERRAGE</v>
          </cell>
          <cell r="C6216" t="str">
            <v>KM 18</v>
          </cell>
          <cell r="D6216" t="str">
            <v>PE</v>
          </cell>
          <cell r="E6216" t="str">
            <v>515.51515</v>
          </cell>
          <cell r="F6216">
            <v>140.39850000000001</v>
          </cell>
          <cell r="G6216">
            <v>0</v>
          </cell>
          <cell r="H6216">
            <v>0</v>
          </cell>
          <cell r="I6216">
            <v>0</v>
          </cell>
          <cell r="J6216">
            <v>0</v>
          </cell>
          <cell r="K6216">
            <v>2</v>
          </cell>
          <cell r="L6216">
            <v>2</v>
          </cell>
        </row>
        <row r="6217">
          <cell r="A6217" t="str">
            <v>20325.02199</v>
          </cell>
          <cell r="B6217" t="str">
            <v>MANCHON DE SERRAGE</v>
          </cell>
          <cell r="C6217" t="str">
            <v>H 3024</v>
          </cell>
          <cell r="D6217" t="str">
            <v>PE</v>
          </cell>
          <cell r="E6217" t="str">
            <v>515.51515</v>
          </cell>
          <cell r="F6217">
            <v>265.22000000000003</v>
          </cell>
          <cell r="G6217">
            <v>0</v>
          </cell>
          <cell r="H6217">
            <v>0</v>
          </cell>
          <cell r="I6217">
            <v>0</v>
          </cell>
          <cell r="J6217">
            <v>0</v>
          </cell>
          <cell r="K6217">
            <v>1</v>
          </cell>
          <cell r="L6217">
            <v>1</v>
          </cell>
        </row>
        <row r="6218">
          <cell r="A6218" t="str">
            <v>20325.02121</v>
          </cell>
          <cell r="B6218" t="str">
            <v>ECROU DE SERRAGE</v>
          </cell>
          <cell r="C6218" t="str">
            <v>KM 20</v>
          </cell>
          <cell r="D6218" t="str">
            <v>PE</v>
          </cell>
          <cell r="E6218" t="str">
            <v>515.51515</v>
          </cell>
          <cell r="F6218">
            <v>69.400000000000006</v>
          </cell>
          <cell r="G6218">
            <v>0</v>
          </cell>
          <cell r="H6218">
            <v>0</v>
          </cell>
          <cell r="I6218">
            <v>0</v>
          </cell>
          <cell r="J6218">
            <v>0</v>
          </cell>
          <cell r="K6218">
            <v>0</v>
          </cell>
          <cell r="L6218">
            <v>2</v>
          </cell>
        </row>
        <row r="6219">
          <cell r="A6219" t="str">
            <v>20325.04711</v>
          </cell>
          <cell r="B6219" t="str">
            <v>ROULEMENT A BILLES</v>
          </cell>
          <cell r="C6219" t="str">
            <v>6319/C4</v>
          </cell>
          <cell r="D6219" t="str">
            <v>PE</v>
          </cell>
          <cell r="E6219" t="str">
            <v>515.51515</v>
          </cell>
          <cell r="F6219">
            <v>784.8</v>
          </cell>
          <cell r="G6219">
            <v>0</v>
          </cell>
          <cell r="H6219">
            <v>0</v>
          </cell>
          <cell r="I6219">
            <v>0</v>
          </cell>
          <cell r="J6219">
            <v>0</v>
          </cell>
          <cell r="K6219">
            <v>0</v>
          </cell>
          <cell r="L6219">
            <v>2</v>
          </cell>
        </row>
        <row r="6220">
          <cell r="A6220" t="str">
            <v>20325.02971</v>
          </cell>
          <cell r="B6220" t="str">
            <v>ROULEMENT A BILLES</v>
          </cell>
          <cell r="C6220">
            <v>6202</v>
          </cell>
          <cell r="D6220" t="str">
            <v>PE</v>
          </cell>
          <cell r="E6220" t="str">
            <v>515.51515</v>
          </cell>
          <cell r="F6220">
            <v>8.6433999999999997</v>
          </cell>
          <cell r="G6220">
            <v>0</v>
          </cell>
          <cell r="H6220">
            <v>0</v>
          </cell>
          <cell r="I6220">
            <v>0</v>
          </cell>
          <cell r="J6220">
            <v>0</v>
          </cell>
          <cell r="K6220">
            <v>2</v>
          </cell>
          <cell r="L6220">
            <v>0</v>
          </cell>
        </row>
        <row r="6221">
          <cell r="A6221" t="str">
            <v>20325.02225</v>
          </cell>
          <cell r="B6221" t="str">
            <v>ROULEMENT A ROULEAUX CYLI</v>
          </cell>
          <cell r="C6221" t="str">
            <v>NU 2220 E</v>
          </cell>
          <cell r="D6221" t="str">
            <v>PE</v>
          </cell>
          <cell r="E6221" t="str">
            <v>515.51515</v>
          </cell>
          <cell r="F6221">
            <v>634.77</v>
          </cell>
          <cell r="G6221">
            <v>0</v>
          </cell>
          <cell r="H6221">
            <v>0</v>
          </cell>
          <cell r="I6221">
            <v>0</v>
          </cell>
          <cell r="J6221">
            <v>0</v>
          </cell>
          <cell r="K6221">
            <v>0</v>
          </cell>
          <cell r="L6221">
            <v>2</v>
          </cell>
        </row>
        <row r="6222">
          <cell r="A6222" t="str">
            <v>20323.06849</v>
          </cell>
          <cell r="B6222" t="str">
            <v>RELAIS MINIATUR RX 220VAC</v>
          </cell>
          <cell r="C6222" t="str">
            <v>RXN-41G11P7  220VAC</v>
          </cell>
          <cell r="D6222" t="str">
            <v>PE</v>
          </cell>
          <cell r="E6222" t="str">
            <v>522.52206</v>
          </cell>
          <cell r="F6222">
            <v>420</v>
          </cell>
          <cell r="G6222">
            <v>0</v>
          </cell>
          <cell r="H6222">
            <v>0</v>
          </cell>
          <cell r="I6222">
            <v>0</v>
          </cell>
          <cell r="J6222">
            <v>0</v>
          </cell>
          <cell r="K6222">
            <v>0</v>
          </cell>
          <cell r="L6222">
            <v>0</v>
          </cell>
        </row>
        <row r="6223">
          <cell r="A6223" t="str">
            <v>20325.02974</v>
          </cell>
          <cell r="B6223" t="str">
            <v>ROULEMENT A BILLES</v>
          </cell>
          <cell r="C6223">
            <v>6209</v>
          </cell>
          <cell r="D6223" t="str">
            <v>PE</v>
          </cell>
          <cell r="E6223" t="str">
            <v>515.51515</v>
          </cell>
          <cell r="F6223">
            <v>48</v>
          </cell>
          <cell r="G6223">
            <v>0</v>
          </cell>
          <cell r="H6223">
            <v>0</v>
          </cell>
          <cell r="I6223">
            <v>0</v>
          </cell>
          <cell r="J6223">
            <v>0</v>
          </cell>
          <cell r="K6223">
            <v>2</v>
          </cell>
          <cell r="L6223">
            <v>0</v>
          </cell>
        </row>
        <row r="6224">
          <cell r="A6224" t="str">
            <v>20325.02978</v>
          </cell>
          <cell r="B6224" t="str">
            <v>ROULEMENT A BILLES</v>
          </cell>
          <cell r="C6224">
            <v>6215</v>
          </cell>
          <cell r="D6224" t="str">
            <v>PE</v>
          </cell>
          <cell r="E6224" t="str">
            <v>515.51515</v>
          </cell>
          <cell r="F6224">
            <v>179.82</v>
          </cell>
          <cell r="G6224">
            <v>0</v>
          </cell>
          <cell r="H6224">
            <v>0</v>
          </cell>
          <cell r="I6224">
            <v>0</v>
          </cell>
          <cell r="J6224">
            <v>0</v>
          </cell>
          <cell r="K6224">
            <v>0</v>
          </cell>
          <cell r="L6224">
            <v>1</v>
          </cell>
        </row>
        <row r="6225">
          <cell r="A6225" t="str">
            <v>20325.02251</v>
          </cell>
          <cell r="B6225" t="str">
            <v>ROULEMENT A BILLES</v>
          </cell>
          <cell r="C6225" t="str">
            <v>7312 BG</v>
          </cell>
          <cell r="D6225" t="str">
            <v>PE</v>
          </cell>
          <cell r="E6225" t="str">
            <v>515.51515</v>
          </cell>
          <cell r="F6225">
            <v>446.72730000000001</v>
          </cell>
          <cell r="G6225">
            <v>0</v>
          </cell>
          <cell r="H6225">
            <v>0</v>
          </cell>
          <cell r="I6225">
            <v>0</v>
          </cell>
          <cell r="J6225">
            <v>0</v>
          </cell>
          <cell r="K6225">
            <v>4</v>
          </cell>
          <cell r="L6225">
            <v>0</v>
          </cell>
        </row>
        <row r="6226">
          <cell r="A6226" t="str">
            <v>20325.02252</v>
          </cell>
          <cell r="B6226" t="str">
            <v>ROULEMENT A BILLES</v>
          </cell>
          <cell r="C6226" t="str">
            <v>7318 B</v>
          </cell>
          <cell r="D6226" t="str">
            <v>PE</v>
          </cell>
          <cell r="E6226" t="str">
            <v>515.51515</v>
          </cell>
          <cell r="F6226">
            <v>844.68799999999999</v>
          </cell>
          <cell r="G6226">
            <v>0</v>
          </cell>
          <cell r="H6226">
            <v>4</v>
          </cell>
          <cell r="I6226">
            <v>4</v>
          </cell>
          <cell r="J6226">
            <v>0</v>
          </cell>
          <cell r="K6226">
            <v>2</v>
          </cell>
          <cell r="L6226">
            <v>0</v>
          </cell>
        </row>
        <row r="6227">
          <cell r="A6227" t="str">
            <v>20325.02921</v>
          </cell>
          <cell r="B6227" t="str">
            <v>RONDELLE FREIN POUR ECROU</v>
          </cell>
          <cell r="C6227" t="str">
            <v>MB 48</v>
          </cell>
          <cell r="D6227" t="str">
            <v>PE</v>
          </cell>
          <cell r="E6227" t="str">
            <v>515.51515</v>
          </cell>
          <cell r="F6227">
            <v>372.81790000000001</v>
          </cell>
          <cell r="G6227">
            <v>0</v>
          </cell>
          <cell r="H6227">
            <v>0</v>
          </cell>
          <cell r="I6227">
            <v>0</v>
          </cell>
          <cell r="J6227">
            <v>0</v>
          </cell>
          <cell r="K6227">
            <v>2</v>
          </cell>
          <cell r="L6227">
            <v>0</v>
          </cell>
        </row>
        <row r="6228">
          <cell r="A6228" t="str">
            <v>20325.02786</v>
          </cell>
          <cell r="B6228" t="str">
            <v>ECROU DE SERRAGE</v>
          </cell>
          <cell r="C6228" t="str">
            <v>HM 48 T</v>
          </cell>
          <cell r="D6228" t="str">
            <v>PE</v>
          </cell>
          <cell r="E6228" t="str">
            <v>515.51515</v>
          </cell>
          <cell r="F6228">
            <v>1413.3795</v>
          </cell>
          <cell r="G6228">
            <v>0</v>
          </cell>
          <cell r="H6228">
            <v>0</v>
          </cell>
          <cell r="I6228">
            <v>0</v>
          </cell>
          <cell r="J6228">
            <v>0</v>
          </cell>
          <cell r="K6228">
            <v>2</v>
          </cell>
          <cell r="L6228">
            <v>0</v>
          </cell>
        </row>
        <row r="6229">
          <cell r="A6229" t="str">
            <v>20325.02714</v>
          </cell>
          <cell r="B6229" t="str">
            <v>ROULEMENT A BILLES</v>
          </cell>
          <cell r="C6229">
            <v>61800</v>
          </cell>
          <cell r="D6229" t="str">
            <v>PE</v>
          </cell>
          <cell r="E6229" t="str">
            <v>515.51515</v>
          </cell>
          <cell r="F6229">
            <v>55.539000000000001</v>
          </cell>
          <cell r="G6229">
            <v>0</v>
          </cell>
          <cell r="H6229">
            <v>2</v>
          </cell>
          <cell r="I6229">
            <v>0</v>
          </cell>
          <cell r="J6229">
            <v>0</v>
          </cell>
          <cell r="K6229">
            <v>0</v>
          </cell>
          <cell r="L6229">
            <v>0</v>
          </cell>
        </row>
        <row r="6230">
          <cell r="A6230" t="str">
            <v>20325.02265</v>
          </cell>
          <cell r="B6230" t="str">
            <v>ROULEMENT A BILLES</v>
          </cell>
          <cell r="C6230" t="str">
            <v>6206-Z J/C3</v>
          </cell>
          <cell r="D6230" t="str">
            <v>PE</v>
          </cell>
          <cell r="E6230" t="str">
            <v>515.51515</v>
          </cell>
          <cell r="F6230">
            <v>22.53</v>
          </cell>
          <cell r="G6230">
            <v>0</v>
          </cell>
          <cell r="H6230">
            <v>0</v>
          </cell>
          <cell r="I6230">
            <v>0</v>
          </cell>
          <cell r="J6230">
            <v>0</v>
          </cell>
          <cell r="K6230">
            <v>0</v>
          </cell>
          <cell r="L6230">
            <v>2</v>
          </cell>
        </row>
        <row r="6231">
          <cell r="A6231" t="str">
            <v>20325.02812</v>
          </cell>
          <cell r="B6231" t="str">
            <v>ROULEMENT A ROTULE/RLX</v>
          </cell>
          <cell r="C6231" t="str">
            <v>23224 CC/C3W33</v>
          </cell>
          <cell r="D6231" t="str">
            <v>PE</v>
          </cell>
          <cell r="E6231" t="str">
            <v>515.51515</v>
          </cell>
          <cell r="F6231">
            <v>3112.7548999999999</v>
          </cell>
          <cell r="G6231">
            <v>0</v>
          </cell>
          <cell r="H6231">
            <v>0</v>
          </cell>
          <cell r="I6231">
            <v>0</v>
          </cell>
          <cell r="J6231">
            <v>0</v>
          </cell>
          <cell r="K6231">
            <v>0</v>
          </cell>
          <cell r="L6231">
            <v>0</v>
          </cell>
        </row>
        <row r="6232">
          <cell r="A6232" t="str">
            <v>20323.06859</v>
          </cell>
          <cell r="B6232" t="str">
            <v>CONTACTEUR 220VAC 18,5KW</v>
          </cell>
          <cell r="C6232" t="str">
            <v>LC1-D40004M5</v>
          </cell>
          <cell r="D6232" t="str">
            <v>PE</v>
          </cell>
          <cell r="E6232" t="str">
            <v>522.52206</v>
          </cell>
          <cell r="F6232">
            <v>807.84</v>
          </cell>
          <cell r="G6232">
            <v>0</v>
          </cell>
          <cell r="H6232">
            <v>0</v>
          </cell>
          <cell r="I6232">
            <v>0</v>
          </cell>
          <cell r="J6232">
            <v>1</v>
          </cell>
          <cell r="K6232">
            <v>0</v>
          </cell>
          <cell r="L6232">
            <v>0</v>
          </cell>
        </row>
        <row r="6233">
          <cell r="A6233" t="str">
            <v>20325.02752</v>
          </cell>
          <cell r="B6233" t="str">
            <v>ROULEMENT A ROTULE/RLX</v>
          </cell>
          <cell r="C6233" t="str">
            <v>22216 CCK/W33</v>
          </cell>
          <cell r="D6233" t="str">
            <v>PE</v>
          </cell>
          <cell r="E6233" t="str">
            <v>515.51515</v>
          </cell>
          <cell r="F6233">
            <v>788.98919999999998</v>
          </cell>
          <cell r="G6233">
            <v>0</v>
          </cell>
          <cell r="H6233">
            <v>0</v>
          </cell>
          <cell r="I6233">
            <v>0</v>
          </cell>
          <cell r="J6233">
            <v>0</v>
          </cell>
          <cell r="K6233">
            <v>0</v>
          </cell>
          <cell r="L6233">
            <v>4</v>
          </cell>
        </row>
        <row r="6234">
          <cell r="A6234" t="str">
            <v>20325.01183</v>
          </cell>
          <cell r="B6234" t="str">
            <v>ROULEMENT A BILLES</v>
          </cell>
          <cell r="C6234" t="str">
            <v>6212-2Z/C3</v>
          </cell>
          <cell r="D6234" t="str">
            <v>PE</v>
          </cell>
          <cell r="E6234" t="str">
            <v>515.51515</v>
          </cell>
          <cell r="F6234">
            <v>128.08539999999999</v>
          </cell>
          <cell r="G6234">
            <v>0</v>
          </cell>
          <cell r="H6234">
            <v>0</v>
          </cell>
          <cell r="I6234">
            <v>0</v>
          </cell>
          <cell r="J6234">
            <v>0</v>
          </cell>
          <cell r="K6234">
            <v>8</v>
          </cell>
          <cell r="L6234">
            <v>0</v>
          </cell>
        </row>
        <row r="6235">
          <cell r="A6235" t="str">
            <v>20323.06865</v>
          </cell>
          <cell r="B6235" t="str">
            <v>DISJONCTEUR MOT (1,6-2,5)</v>
          </cell>
          <cell r="C6235" t="str">
            <v>GV2-M07</v>
          </cell>
          <cell r="D6235" t="str">
            <v>PE</v>
          </cell>
          <cell r="E6235" t="str">
            <v>522.52206</v>
          </cell>
          <cell r="F6235">
            <v>342.69549999999998</v>
          </cell>
          <cell r="G6235">
            <v>0</v>
          </cell>
          <cell r="H6235">
            <v>2</v>
          </cell>
          <cell r="I6235">
            <v>0</v>
          </cell>
          <cell r="J6235">
            <v>0</v>
          </cell>
          <cell r="K6235">
            <v>0</v>
          </cell>
          <cell r="L6235">
            <v>0</v>
          </cell>
        </row>
        <row r="6236">
          <cell r="A6236" t="str">
            <v>20325.02755</v>
          </cell>
          <cell r="B6236" t="str">
            <v>ROULEMENT A ROTULE/RLX</v>
          </cell>
          <cell r="C6236" t="str">
            <v>23228 CC/W33</v>
          </cell>
          <cell r="D6236" t="str">
            <v>PE</v>
          </cell>
          <cell r="E6236" t="str">
            <v>515.51515</v>
          </cell>
          <cell r="F6236">
            <v>2397.38</v>
          </cell>
          <cell r="G6236">
            <v>0</v>
          </cell>
          <cell r="H6236">
            <v>0</v>
          </cell>
          <cell r="I6236">
            <v>2</v>
          </cell>
          <cell r="J6236">
            <v>0</v>
          </cell>
          <cell r="K6236">
            <v>0</v>
          </cell>
          <cell r="L6236">
            <v>0</v>
          </cell>
        </row>
        <row r="6237">
          <cell r="A6237" t="str">
            <v>20325.00578</v>
          </cell>
          <cell r="B6237" t="str">
            <v>ECROU DE SERRAGE</v>
          </cell>
          <cell r="C6237" t="str">
            <v>HM 44 T</v>
          </cell>
          <cell r="D6237" t="str">
            <v>PE</v>
          </cell>
          <cell r="E6237" t="str">
            <v>515.51515</v>
          </cell>
          <cell r="F6237">
            <v>716.48699999999997</v>
          </cell>
          <cell r="G6237">
            <v>0</v>
          </cell>
          <cell r="H6237">
            <v>1</v>
          </cell>
          <cell r="I6237">
            <v>2</v>
          </cell>
          <cell r="J6237">
            <v>0</v>
          </cell>
          <cell r="K6237">
            <v>1</v>
          </cell>
          <cell r="L6237">
            <v>0</v>
          </cell>
        </row>
        <row r="6238">
          <cell r="A6238" t="str">
            <v>20325.00585</v>
          </cell>
          <cell r="B6238" t="str">
            <v>ROULEMENT A ROTULE/RLX</v>
          </cell>
          <cell r="C6238" t="str">
            <v>23048 CCK/W33</v>
          </cell>
          <cell r="D6238" t="str">
            <v>PE</v>
          </cell>
          <cell r="E6238" t="str">
            <v>515.51515</v>
          </cell>
          <cell r="F6238">
            <v>7841.7025000000003</v>
          </cell>
          <cell r="G6238">
            <v>0</v>
          </cell>
          <cell r="H6238">
            <v>1</v>
          </cell>
          <cell r="I6238">
            <v>1</v>
          </cell>
          <cell r="J6238">
            <v>1</v>
          </cell>
          <cell r="K6238">
            <v>0</v>
          </cell>
          <cell r="L6238">
            <v>3</v>
          </cell>
        </row>
        <row r="6239">
          <cell r="A6239" t="str">
            <v>20325.00588</v>
          </cell>
          <cell r="B6239" t="str">
            <v>ROULEMENT A ROULEAUX CYLI</v>
          </cell>
          <cell r="C6239" t="str">
            <v>NUP 309 EN</v>
          </cell>
          <cell r="D6239" t="str">
            <v>PE</v>
          </cell>
          <cell r="E6239" t="str">
            <v>515.51515</v>
          </cell>
          <cell r="F6239">
            <v>427.94</v>
          </cell>
          <cell r="G6239">
            <v>0</v>
          </cell>
          <cell r="H6239">
            <v>5</v>
          </cell>
          <cell r="I6239">
            <v>3</v>
          </cell>
          <cell r="J6239">
            <v>0</v>
          </cell>
          <cell r="K6239">
            <v>0</v>
          </cell>
          <cell r="L6239">
            <v>0</v>
          </cell>
        </row>
        <row r="6240">
          <cell r="A6240" t="str">
            <v>20325.00841</v>
          </cell>
          <cell r="B6240" t="str">
            <v>ROULEMENT A ROTULE/RLX</v>
          </cell>
          <cell r="C6240" t="str">
            <v>22208 CC</v>
          </cell>
          <cell r="D6240" t="str">
            <v>PE</v>
          </cell>
          <cell r="E6240" t="str">
            <v>515.51515</v>
          </cell>
          <cell r="F6240">
            <v>172.0427</v>
          </cell>
          <cell r="G6240">
            <v>0</v>
          </cell>
          <cell r="H6240">
            <v>91</v>
          </cell>
          <cell r="I6240">
            <v>515</v>
          </cell>
          <cell r="J6240">
            <v>38</v>
          </cell>
          <cell r="K6240">
            <v>0</v>
          </cell>
          <cell r="L6240">
            <v>0</v>
          </cell>
        </row>
        <row r="6241">
          <cell r="A6241" t="str">
            <v>20325.00846</v>
          </cell>
          <cell r="B6241" t="str">
            <v>ROULEMENT A ROTULE/RLX</v>
          </cell>
          <cell r="C6241" t="str">
            <v>22214 CC</v>
          </cell>
          <cell r="D6241" t="str">
            <v>PE</v>
          </cell>
          <cell r="E6241" t="str">
            <v>515.51515</v>
          </cell>
          <cell r="F6241">
            <v>330.22</v>
          </cell>
          <cell r="G6241">
            <v>0</v>
          </cell>
          <cell r="H6241">
            <v>0</v>
          </cell>
          <cell r="I6241">
            <v>0</v>
          </cell>
          <cell r="J6241">
            <v>0</v>
          </cell>
          <cell r="K6241">
            <v>2</v>
          </cell>
          <cell r="L6241">
            <v>1</v>
          </cell>
        </row>
        <row r="6242">
          <cell r="A6242" t="str">
            <v>20325.00381</v>
          </cell>
          <cell r="B6242" t="str">
            <v>ECROU DE SERRAGE</v>
          </cell>
          <cell r="C6242" t="str">
            <v>KM 7</v>
          </cell>
          <cell r="D6242" t="str">
            <v>PE</v>
          </cell>
          <cell r="E6242" t="str">
            <v>515.51515</v>
          </cell>
          <cell r="F6242">
            <v>29.335799999999999</v>
          </cell>
          <cell r="G6242">
            <v>0</v>
          </cell>
          <cell r="H6242">
            <v>0</v>
          </cell>
          <cell r="I6242">
            <v>0</v>
          </cell>
          <cell r="J6242">
            <v>0</v>
          </cell>
          <cell r="K6242">
            <v>0</v>
          </cell>
          <cell r="L6242">
            <v>9</v>
          </cell>
        </row>
        <row r="6243">
          <cell r="A6243" t="str">
            <v>20325.00383</v>
          </cell>
          <cell r="B6243" t="str">
            <v>RONDELLE FREIN POUR ECROU</v>
          </cell>
          <cell r="C6243" t="str">
            <v>MB 7</v>
          </cell>
          <cell r="D6243" t="str">
            <v>PE</v>
          </cell>
          <cell r="E6243" t="str">
            <v>515.51515</v>
          </cell>
          <cell r="F6243">
            <v>4.6534000000000004</v>
          </cell>
          <cell r="G6243">
            <v>0</v>
          </cell>
          <cell r="H6243">
            <v>0</v>
          </cell>
          <cell r="I6243">
            <v>0</v>
          </cell>
          <cell r="J6243">
            <v>0</v>
          </cell>
          <cell r="K6243">
            <v>8</v>
          </cell>
          <cell r="L6243">
            <v>0</v>
          </cell>
        </row>
        <row r="6244">
          <cell r="A6244" t="str">
            <v>20325.00261</v>
          </cell>
          <cell r="B6244" t="str">
            <v>ROULEMENT A ROTULE SUR ROULEAUX</v>
          </cell>
          <cell r="C6244" t="str">
            <v>22224 E</v>
          </cell>
          <cell r="D6244" t="str">
            <v>PE</v>
          </cell>
          <cell r="E6244" t="str">
            <v>515.51515</v>
          </cell>
          <cell r="F6244">
            <v>1154.5</v>
          </cell>
          <cell r="G6244">
            <v>0</v>
          </cell>
          <cell r="H6244">
            <v>0</v>
          </cell>
          <cell r="I6244">
            <v>0</v>
          </cell>
          <cell r="J6244">
            <v>0</v>
          </cell>
          <cell r="K6244">
            <v>0</v>
          </cell>
          <cell r="L6244">
            <v>0</v>
          </cell>
        </row>
        <row r="6245">
          <cell r="A6245" t="str">
            <v>20325.00525</v>
          </cell>
          <cell r="B6245" t="str">
            <v>ROULEMENT A ROTULE/RLX</v>
          </cell>
          <cell r="C6245" t="str">
            <v>23148 CCK/W33</v>
          </cell>
          <cell r="D6245" t="str">
            <v>PE</v>
          </cell>
          <cell r="E6245" t="str">
            <v>515.51515</v>
          </cell>
          <cell r="F6245">
            <v>7443.4987000000001</v>
          </cell>
          <cell r="G6245">
            <v>0</v>
          </cell>
          <cell r="H6245">
            <v>1</v>
          </cell>
          <cell r="I6245">
            <v>0</v>
          </cell>
          <cell r="J6245">
            <v>0</v>
          </cell>
          <cell r="K6245">
            <v>4</v>
          </cell>
          <cell r="L6245">
            <v>3</v>
          </cell>
        </row>
        <row r="6246">
          <cell r="A6246" t="str">
            <v>20325.00409</v>
          </cell>
          <cell r="B6246" t="str">
            <v>ROULEMENT A BILLES</v>
          </cell>
          <cell r="C6246" t="str">
            <v>7315 BUA</v>
          </cell>
          <cell r="D6246" t="str">
            <v>PE</v>
          </cell>
          <cell r="E6246" t="str">
            <v>515.51515</v>
          </cell>
          <cell r="F6246">
            <v>581.36</v>
          </cell>
          <cell r="G6246">
            <v>0</v>
          </cell>
          <cell r="H6246">
            <v>0</v>
          </cell>
          <cell r="I6246">
            <v>0</v>
          </cell>
          <cell r="J6246">
            <v>0</v>
          </cell>
          <cell r="K6246">
            <v>0</v>
          </cell>
          <cell r="L6246">
            <v>4</v>
          </cell>
        </row>
        <row r="6247">
          <cell r="A6247" t="str">
            <v>20325.00528</v>
          </cell>
          <cell r="B6247" t="str">
            <v>ROULEMENT A ROTULE/RLX</v>
          </cell>
          <cell r="C6247" t="str">
            <v>23034 CCK/W33</v>
          </cell>
          <cell r="D6247" t="str">
            <v>PE</v>
          </cell>
          <cell r="E6247" t="str">
            <v>515.51515</v>
          </cell>
          <cell r="F6247">
            <v>3054.7372999999998</v>
          </cell>
          <cell r="G6247">
            <v>0</v>
          </cell>
          <cell r="H6247">
            <v>0</v>
          </cell>
          <cell r="I6247">
            <v>0</v>
          </cell>
          <cell r="J6247">
            <v>0</v>
          </cell>
          <cell r="K6247">
            <v>5</v>
          </cell>
          <cell r="L6247">
            <v>0</v>
          </cell>
        </row>
        <row r="6248">
          <cell r="A6248" t="str">
            <v>20325.00531</v>
          </cell>
          <cell r="B6248" t="str">
            <v>MANCHON DE SERRAGE</v>
          </cell>
          <cell r="C6248" t="str">
            <v>H 3034</v>
          </cell>
          <cell r="D6248" t="str">
            <v>PE</v>
          </cell>
          <cell r="E6248" t="str">
            <v>515.51515</v>
          </cell>
          <cell r="F6248">
            <v>1396.8882000000001</v>
          </cell>
          <cell r="G6248">
            <v>0</v>
          </cell>
          <cell r="H6248">
            <v>0</v>
          </cell>
          <cell r="I6248">
            <v>0</v>
          </cell>
          <cell r="J6248">
            <v>0</v>
          </cell>
          <cell r="K6248">
            <v>4</v>
          </cell>
          <cell r="L6248">
            <v>0</v>
          </cell>
        </row>
        <row r="6249">
          <cell r="A6249" t="str">
            <v>20325.00414</v>
          </cell>
          <cell r="B6249" t="str">
            <v>ROULEMENT A BILLES</v>
          </cell>
          <cell r="C6249" t="str">
            <v>6206-2Z</v>
          </cell>
          <cell r="D6249" t="str">
            <v>PE</v>
          </cell>
          <cell r="E6249" t="str">
            <v>515.51515</v>
          </cell>
          <cell r="F6249">
            <v>22.908200000000001</v>
          </cell>
          <cell r="G6249">
            <v>0</v>
          </cell>
          <cell r="H6249">
            <v>0</v>
          </cell>
          <cell r="I6249">
            <v>34</v>
          </cell>
          <cell r="J6249">
            <v>0</v>
          </cell>
          <cell r="K6249">
            <v>0</v>
          </cell>
          <cell r="L6249">
            <v>0</v>
          </cell>
        </row>
        <row r="6250">
          <cell r="A6250" t="str">
            <v>20325.01505</v>
          </cell>
          <cell r="B6250" t="str">
            <v>ROULEMENT A BILLES</v>
          </cell>
          <cell r="C6250" t="str">
            <v>6016-2Z</v>
          </cell>
          <cell r="D6250" t="str">
            <v>PE</v>
          </cell>
          <cell r="E6250" t="str">
            <v>515.51515</v>
          </cell>
          <cell r="F6250">
            <v>166.48</v>
          </cell>
          <cell r="G6250">
            <v>0</v>
          </cell>
          <cell r="H6250">
            <v>0</v>
          </cell>
          <cell r="I6250">
            <v>0</v>
          </cell>
          <cell r="J6250">
            <v>0</v>
          </cell>
          <cell r="K6250">
            <v>0</v>
          </cell>
          <cell r="L6250">
            <v>0</v>
          </cell>
        </row>
        <row r="6251">
          <cell r="A6251" t="str">
            <v>20325.01515</v>
          </cell>
          <cell r="B6251" t="str">
            <v>ROULEMENT A BILLES</v>
          </cell>
          <cell r="C6251" t="str">
            <v>6201-RS1</v>
          </cell>
          <cell r="D6251" t="str">
            <v>PE</v>
          </cell>
          <cell r="E6251" t="str">
            <v>515.51515</v>
          </cell>
          <cell r="F6251">
            <v>23.3902</v>
          </cell>
          <cell r="G6251">
            <v>0</v>
          </cell>
          <cell r="H6251">
            <v>0</v>
          </cell>
          <cell r="I6251">
            <v>0</v>
          </cell>
          <cell r="J6251">
            <v>0</v>
          </cell>
          <cell r="K6251">
            <v>2</v>
          </cell>
          <cell r="L6251">
            <v>0</v>
          </cell>
        </row>
        <row r="6252">
          <cell r="A6252" t="str">
            <v>20325.02964</v>
          </cell>
          <cell r="B6252" t="str">
            <v>ROULEMENT A BILLES</v>
          </cell>
          <cell r="C6252">
            <v>6004</v>
          </cell>
          <cell r="D6252" t="str">
            <v>PE</v>
          </cell>
          <cell r="E6252" t="str">
            <v>515.51515</v>
          </cell>
          <cell r="F6252">
            <v>13.63</v>
          </cell>
          <cell r="G6252">
            <v>0</v>
          </cell>
          <cell r="H6252">
            <v>0</v>
          </cell>
          <cell r="I6252">
            <v>0</v>
          </cell>
          <cell r="J6252">
            <v>0</v>
          </cell>
          <cell r="K6252">
            <v>1</v>
          </cell>
          <cell r="L6252">
            <v>0</v>
          </cell>
        </row>
        <row r="6253">
          <cell r="A6253" t="str">
            <v>20325.01522</v>
          </cell>
          <cell r="B6253" t="str">
            <v>ROULEMENT A BILLES</v>
          </cell>
          <cell r="C6253" t="str">
            <v>6209/C3</v>
          </cell>
          <cell r="D6253" t="str">
            <v>PE</v>
          </cell>
          <cell r="E6253" t="str">
            <v>515.51515</v>
          </cell>
          <cell r="F6253">
            <v>81.995999999999995</v>
          </cell>
          <cell r="G6253">
            <v>0</v>
          </cell>
          <cell r="H6253">
            <v>0</v>
          </cell>
          <cell r="I6253">
            <v>0</v>
          </cell>
          <cell r="J6253">
            <v>0</v>
          </cell>
          <cell r="K6253">
            <v>8</v>
          </cell>
          <cell r="L6253">
            <v>0</v>
          </cell>
        </row>
        <row r="6254">
          <cell r="A6254" t="str">
            <v>20325.01521</v>
          </cell>
          <cell r="B6254" t="str">
            <v>ROULEMENT A BILLES</v>
          </cell>
          <cell r="C6254" t="str">
            <v>6206-RS1</v>
          </cell>
          <cell r="D6254" t="str">
            <v>PE</v>
          </cell>
          <cell r="E6254" t="str">
            <v>515.51515</v>
          </cell>
          <cell r="F6254">
            <v>21.534400000000002</v>
          </cell>
          <cell r="G6254">
            <v>0</v>
          </cell>
          <cell r="H6254">
            <v>20</v>
          </cell>
          <cell r="I6254">
            <v>30</v>
          </cell>
          <cell r="J6254">
            <v>0</v>
          </cell>
          <cell r="K6254">
            <v>162</v>
          </cell>
          <cell r="L6254">
            <v>42</v>
          </cell>
        </row>
        <row r="6255">
          <cell r="A6255" t="str">
            <v>20325.00426</v>
          </cell>
          <cell r="B6255" t="str">
            <v>ECROU DE SERRAGE</v>
          </cell>
          <cell r="C6255" t="str">
            <v>KM 17</v>
          </cell>
          <cell r="D6255" t="str">
            <v>PE</v>
          </cell>
          <cell r="E6255" t="str">
            <v>515.51515</v>
          </cell>
          <cell r="F6255">
            <v>53.709000000000003</v>
          </cell>
          <cell r="G6255">
            <v>0</v>
          </cell>
          <cell r="H6255">
            <v>0</v>
          </cell>
          <cell r="I6255">
            <v>0</v>
          </cell>
          <cell r="J6255">
            <v>0</v>
          </cell>
          <cell r="K6255">
            <v>3</v>
          </cell>
          <cell r="L6255">
            <v>0</v>
          </cell>
        </row>
        <row r="6256">
          <cell r="A6256" t="str">
            <v>20325.00428</v>
          </cell>
          <cell r="B6256" t="str">
            <v>ECROU DE SERRAGE</v>
          </cell>
          <cell r="C6256" t="str">
            <v>KM 22</v>
          </cell>
          <cell r="D6256" t="str">
            <v>PE</v>
          </cell>
          <cell r="E6256" t="str">
            <v>515.51515</v>
          </cell>
          <cell r="F6256">
            <v>109.13</v>
          </cell>
          <cell r="G6256">
            <v>0</v>
          </cell>
          <cell r="H6256">
            <v>0</v>
          </cell>
          <cell r="I6256">
            <v>0</v>
          </cell>
          <cell r="J6256">
            <v>0</v>
          </cell>
          <cell r="K6256">
            <v>0</v>
          </cell>
          <cell r="L6256">
            <v>2</v>
          </cell>
        </row>
        <row r="6257">
          <cell r="A6257" t="str">
            <v>20325.00429</v>
          </cell>
          <cell r="B6257" t="str">
            <v>RONDELLE FREIN POUR ECROU</v>
          </cell>
          <cell r="C6257" t="str">
            <v>MB 22</v>
          </cell>
          <cell r="D6257" t="str">
            <v>PE</v>
          </cell>
          <cell r="E6257" t="str">
            <v>515.51515</v>
          </cell>
          <cell r="F6257">
            <v>11.143000000000001</v>
          </cell>
          <cell r="G6257">
            <v>0</v>
          </cell>
          <cell r="H6257">
            <v>0</v>
          </cell>
          <cell r="I6257">
            <v>0</v>
          </cell>
          <cell r="J6257">
            <v>0</v>
          </cell>
          <cell r="K6257">
            <v>2</v>
          </cell>
          <cell r="L6257">
            <v>0</v>
          </cell>
        </row>
        <row r="6258">
          <cell r="A6258" t="str">
            <v>20325.02970</v>
          </cell>
          <cell r="B6258" t="str">
            <v>ROULEMENT A BILLES</v>
          </cell>
          <cell r="C6258">
            <v>6201</v>
          </cell>
          <cell r="D6258" t="str">
            <v>PE</v>
          </cell>
          <cell r="E6258" t="str">
            <v>515.51515</v>
          </cell>
          <cell r="F6258">
            <v>10</v>
          </cell>
          <cell r="G6258">
            <v>0</v>
          </cell>
          <cell r="H6258">
            <v>0</v>
          </cell>
          <cell r="I6258">
            <v>0</v>
          </cell>
          <cell r="J6258">
            <v>0</v>
          </cell>
          <cell r="K6258">
            <v>2</v>
          </cell>
          <cell r="L6258">
            <v>0</v>
          </cell>
        </row>
        <row r="6259">
          <cell r="A6259" t="str">
            <v>20325.01466</v>
          </cell>
          <cell r="B6259" t="str">
            <v>ROULEMENT A BILLES</v>
          </cell>
          <cell r="C6259" t="str">
            <v>3309 A/C3</v>
          </cell>
          <cell r="D6259" t="str">
            <v>PE</v>
          </cell>
          <cell r="E6259" t="str">
            <v>515.51515</v>
          </cell>
          <cell r="F6259">
            <v>633.77009999999996</v>
          </cell>
          <cell r="G6259">
            <v>0</v>
          </cell>
          <cell r="H6259">
            <v>0</v>
          </cell>
          <cell r="I6259">
            <v>0</v>
          </cell>
          <cell r="J6259">
            <v>0</v>
          </cell>
          <cell r="K6259">
            <v>0</v>
          </cell>
          <cell r="L6259">
            <v>4</v>
          </cell>
        </row>
        <row r="6260">
          <cell r="A6260" t="str">
            <v>20325.01467</v>
          </cell>
          <cell r="B6260" t="str">
            <v>ROULEMENT A BILLES</v>
          </cell>
          <cell r="C6260" t="str">
            <v>3311/C3</v>
          </cell>
          <cell r="D6260" t="str">
            <v>PE</v>
          </cell>
          <cell r="E6260" t="str">
            <v>515.51515</v>
          </cell>
          <cell r="F6260">
            <v>426.03</v>
          </cell>
          <cell r="G6260">
            <v>0</v>
          </cell>
          <cell r="H6260">
            <v>0</v>
          </cell>
          <cell r="I6260">
            <v>4</v>
          </cell>
          <cell r="J6260">
            <v>0</v>
          </cell>
          <cell r="K6260">
            <v>0</v>
          </cell>
          <cell r="L6260">
            <v>0</v>
          </cell>
        </row>
        <row r="6261">
          <cell r="A6261" t="str">
            <v>20325.00436</v>
          </cell>
          <cell r="B6261" t="str">
            <v>RONDELLE FREIN POUR ECROU</v>
          </cell>
          <cell r="C6261" t="str">
            <v>MB 17</v>
          </cell>
          <cell r="D6261" t="str">
            <v>PE</v>
          </cell>
          <cell r="E6261" t="str">
            <v>515.51515</v>
          </cell>
          <cell r="F6261">
            <v>6.7167000000000003</v>
          </cell>
          <cell r="G6261">
            <v>0</v>
          </cell>
          <cell r="H6261">
            <v>0</v>
          </cell>
          <cell r="I6261">
            <v>0</v>
          </cell>
          <cell r="J6261">
            <v>0</v>
          </cell>
          <cell r="K6261">
            <v>3</v>
          </cell>
          <cell r="L6261">
            <v>0</v>
          </cell>
        </row>
        <row r="6262">
          <cell r="A6262" t="str">
            <v>20325.01882</v>
          </cell>
          <cell r="B6262" t="str">
            <v>ROULEMENT A BILLES</v>
          </cell>
          <cell r="C6262" t="str">
            <v>6205/C3</v>
          </cell>
          <cell r="D6262" t="str">
            <v>PE</v>
          </cell>
          <cell r="E6262" t="str">
            <v>515.51515</v>
          </cell>
          <cell r="F6262">
            <v>26.888300000000001</v>
          </cell>
          <cell r="G6262">
            <v>0</v>
          </cell>
          <cell r="H6262">
            <v>0</v>
          </cell>
          <cell r="I6262">
            <v>0</v>
          </cell>
          <cell r="J6262">
            <v>0</v>
          </cell>
          <cell r="K6262">
            <v>1</v>
          </cell>
          <cell r="L6262">
            <v>0</v>
          </cell>
        </row>
        <row r="6263">
          <cell r="A6263" t="str">
            <v>20325.00461</v>
          </cell>
          <cell r="B6263" t="str">
            <v>ROULEMENT A BILLES A CONTACT OBLIQUE</v>
          </cell>
          <cell r="C6263" t="str">
            <v>7232B</v>
          </cell>
          <cell r="D6263" t="str">
            <v>PE</v>
          </cell>
          <cell r="E6263" t="str">
            <v>515.51515</v>
          </cell>
          <cell r="F6263">
            <v>6392.27</v>
          </cell>
          <cell r="G6263">
            <v>2</v>
          </cell>
          <cell r="H6263">
            <v>0</v>
          </cell>
          <cell r="I6263">
            <v>2</v>
          </cell>
          <cell r="J6263">
            <v>0</v>
          </cell>
          <cell r="K6263">
            <v>0</v>
          </cell>
          <cell r="L6263">
            <v>2</v>
          </cell>
        </row>
        <row r="6264">
          <cell r="A6264" t="str">
            <v>20325.02999</v>
          </cell>
          <cell r="B6264" t="str">
            <v>ROULEMENT A BILLES</v>
          </cell>
          <cell r="C6264">
            <v>6303</v>
          </cell>
          <cell r="D6264" t="str">
            <v>PE</v>
          </cell>
          <cell r="E6264" t="str">
            <v>515.51515</v>
          </cell>
          <cell r="F6264">
            <v>16</v>
          </cell>
          <cell r="G6264">
            <v>0</v>
          </cell>
          <cell r="H6264">
            <v>0</v>
          </cell>
          <cell r="I6264">
            <v>0</v>
          </cell>
          <cell r="J6264">
            <v>0</v>
          </cell>
          <cell r="K6264">
            <v>4</v>
          </cell>
          <cell r="L6264">
            <v>0</v>
          </cell>
        </row>
        <row r="6265">
          <cell r="A6265" t="str">
            <v>20325.03000</v>
          </cell>
          <cell r="B6265" t="str">
            <v>ROULEMENT A BILLES</v>
          </cell>
          <cell r="C6265">
            <v>6304</v>
          </cell>
          <cell r="D6265" t="str">
            <v>PE</v>
          </cell>
          <cell r="E6265" t="str">
            <v>515.51515</v>
          </cell>
          <cell r="F6265">
            <v>15.4678</v>
          </cell>
          <cell r="G6265">
            <v>0</v>
          </cell>
          <cell r="H6265">
            <v>0</v>
          </cell>
          <cell r="I6265">
            <v>0</v>
          </cell>
          <cell r="J6265">
            <v>0</v>
          </cell>
          <cell r="K6265">
            <v>0</v>
          </cell>
          <cell r="L6265">
            <v>4</v>
          </cell>
        </row>
        <row r="6266">
          <cell r="A6266" t="str">
            <v>20325.01089</v>
          </cell>
          <cell r="B6266" t="str">
            <v>ROULEMENT A BILLES</v>
          </cell>
          <cell r="C6266" t="str">
            <v>6316/C3</v>
          </cell>
          <cell r="D6266" t="str">
            <v>PE</v>
          </cell>
          <cell r="E6266" t="str">
            <v>515.51515</v>
          </cell>
          <cell r="F6266">
            <v>494.82440000000003</v>
          </cell>
          <cell r="G6266">
            <v>0</v>
          </cell>
          <cell r="H6266">
            <v>0</v>
          </cell>
          <cell r="I6266">
            <v>0</v>
          </cell>
          <cell r="J6266">
            <v>0</v>
          </cell>
          <cell r="K6266">
            <v>5</v>
          </cell>
          <cell r="L6266">
            <v>0</v>
          </cell>
        </row>
        <row r="6267">
          <cell r="A6267" t="str">
            <v>20325.02592</v>
          </cell>
          <cell r="B6267" t="str">
            <v>MANCHON DE SERRAGE</v>
          </cell>
          <cell r="C6267" t="str">
            <v xml:space="preserve">HA 320      </v>
          </cell>
          <cell r="D6267" t="str">
            <v>PE</v>
          </cell>
          <cell r="E6267" t="str">
            <v>515.51515</v>
          </cell>
          <cell r="F6267">
            <v>269.35750000000002</v>
          </cell>
          <cell r="G6267">
            <v>0</v>
          </cell>
          <cell r="H6267">
            <v>5</v>
          </cell>
          <cell r="I6267">
            <v>1</v>
          </cell>
          <cell r="J6267">
            <v>2</v>
          </cell>
          <cell r="K6267">
            <v>0</v>
          </cell>
          <cell r="L6267">
            <v>0</v>
          </cell>
        </row>
        <row r="6268">
          <cell r="A6268" t="str">
            <v>20325.02599</v>
          </cell>
          <cell r="B6268" t="str">
            <v>ROULEMENT A ROULEAUX CYLINDRIQUES</v>
          </cell>
          <cell r="C6268" t="str">
            <v>NU 2220E C3</v>
          </cell>
          <cell r="D6268" t="str">
            <v>PE</v>
          </cell>
          <cell r="E6268" t="str">
            <v>515.51515</v>
          </cell>
          <cell r="F6268">
            <v>692.81</v>
          </cell>
          <cell r="G6268">
            <v>0</v>
          </cell>
          <cell r="H6268">
            <v>0</v>
          </cell>
          <cell r="I6268">
            <v>0</v>
          </cell>
          <cell r="J6268">
            <v>0</v>
          </cell>
          <cell r="K6268">
            <v>0</v>
          </cell>
          <cell r="L6268">
            <v>2</v>
          </cell>
        </row>
        <row r="6269">
          <cell r="A6269" t="str">
            <v>20325.00390</v>
          </cell>
          <cell r="B6269" t="str">
            <v>ROULEMENT</v>
          </cell>
          <cell r="C6269" t="str">
            <v>23072 K</v>
          </cell>
          <cell r="D6269" t="str">
            <v>PE</v>
          </cell>
          <cell r="E6269" t="str">
            <v>515.51515</v>
          </cell>
          <cell r="F6269">
            <v>21947.52</v>
          </cell>
          <cell r="G6269">
            <v>0</v>
          </cell>
          <cell r="H6269">
            <v>0</v>
          </cell>
          <cell r="I6269">
            <v>0</v>
          </cell>
          <cell r="J6269">
            <v>0</v>
          </cell>
          <cell r="K6269">
            <v>0</v>
          </cell>
          <cell r="L6269">
            <v>0</v>
          </cell>
        </row>
        <row r="6270">
          <cell r="A6270" t="str">
            <v>20325.00391</v>
          </cell>
          <cell r="B6270" t="str">
            <v>ROULEMENT</v>
          </cell>
          <cell r="C6270" t="str">
            <v>23072 CCK/W33</v>
          </cell>
          <cell r="D6270" t="str">
            <v>PE</v>
          </cell>
          <cell r="E6270" t="str">
            <v>515.51515</v>
          </cell>
          <cell r="F6270">
            <v>29700.07</v>
          </cell>
          <cell r="G6270">
            <v>0</v>
          </cell>
          <cell r="H6270">
            <v>1</v>
          </cell>
          <cell r="I6270">
            <v>1</v>
          </cell>
          <cell r="J6270">
            <v>0</v>
          </cell>
          <cell r="K6270">
            <v>2</v>
          </cell>
          <cell r="L6270">
            <v>0</v>
          </cell>
        </row>
        <row r="6271">
          <cell r="A6271" t="str">
            <v>20325.02330</v>
          </cell>
          <cell r="B6271" t="str">
            <v>ROULEMENT A BILLES</v>
          </cell>
          <cell r="C6271" t="str">
            <v>6306-2Z/C3</v>
          </cell>
          <cell r="D6271" t="str">
            <v>PE</v>
          </cell>
          <cell r="E6271" t="str">
            <v>515.51515</v>
          </cell>
          <cell r="F6271">
            <v>32</v>
          </cell>
          <cell r="G6271">
            <v>0</v>
          </cell>
          <cell r="H6271">
            <v>0</v>
          </cell>
          <cell r="I6271">
            <v>0</v>
          </cell>
          <cell r="J6271">
            <v>0</v>
          </cell>
          <cell r="K6271">
            <v>4</v>
          </cell>
          <cell r="L6271">
            <v>0</v>
          </cell>
        </row>
        <row r="6272">
          <cell r="A6272" t="str">
            <v>20325.00099</v>
          </cell>
          <cell r="B6272" t="str">
            <v>ROULEMENT A ROULEAUX CYLI</v>
          </cell>
          <cell r="C6272" t="str">
            <v>NUP 311</v>
          </cell>
          <cell r="D6272" t="str">
            <v>PE</v>
          </cell>
          <cell r="E6272" t="str">
            <v>515.51515</v>
          </cell>
          <cell r="F6272">
            <v>242.83</v>
          </cell>
          <cell r="G6272">
            <v>0</v>
          </cell>
          <cell r="H6272">
            <v>0</v>
          </cell>
          <cell r="I6272">
            <v>2</v>
          </cell>
          <cell r="J6272">
            <v>0</v>
          </cell>
          <cell r="K6272">
            <v>1</v>
          </cell>
          <cell r="L6272">
            <v>4</v>
          </cell>
        </row>
        <row r="6273">
          <cell r="A6273" t="str">
            <v>20325.02333</v>
          </cell>
          <cell r="B6273" t="str">
            <v>ROULEMENT A BILLES</v>
          </cell>
          <cell r="C6273" t="str">
            <v>7310 BG</v>
          </cell>
          <cell r="D6273" t="str">
            <v>PE</v>
          </cell>
          <cell r="E6273" t="str">
            <v>515.51515</v>
          </cell>
          <cell r="F6273">
            <v>204.41460000000001</v>
          </cell>
          <cell r="G6273">
            <v>0</v>
          </cell>
          <cell r="H6273">
            <v>4</v>
          </cell>
          <cell r="I6273">
            <v>0</v>
          </cell>
          <cell r="J6273">
            <v>0</v>
          </cell>
          <cell r="K6273">
            <v>2</v>
          </cell>
          <cell r="L6273">
            <v>4</v>
          </cell>
        </row>
        <row r="6274">
          <cell r="A6274" t="str">
            <v>20325.00100</v>
          </cell>
          <cell r="B6274" t="str">
            <v>ECROU DE SERRAGE</v>
          </cell>
          <cell r="C6274" t="str">
            <v>KM 10</v>
          </cell>
          <cell r="D6274" t="str">
            <v>PE</v>
          </cell>
          <cell r="E6274" t="str">
            <v>515.51515</v>
          </cell>
          <cell r="F6274">
            <v>22.154</v>
          </cell>
          <cell r="G6274">
            <v>0</v>
          </cell>
          <cell r="H6274">
            <v>0</v>
          </cell>
          <cell r="I6274">
            <v>0</v>
          </cell>
          <cell r="J6274">
            <v>1</v>
          </cell>
          <cell r="K6274">
            <v>0</v>
          </cell>
          <cell r="L6274">
            <v>0</v>
          </cell>
        </row>
        <row r="6275">
          <cell r="A6275" t="str">
            <v>20325.02881</v>
          </cell>
          <cell r="B6275" t="str">
            <v>ROULEMENT A ROULEAUX CYLI</v>
          </cell>
          <cell r="C6275" t="str">
            <v>NU 308 ECP</v>
          </cell>
          <cell r="D6275" t="str">
            <v>PE</v>
          </cell>
          <cell r="E6275" t="str">
            <v>515.51515</v>
          </cell>
          <cell r="F6275">
            <v>128.04</v>
          </cell>
          <cell r="G6275">
            <v>0</v>
          </cell>
          <cell r="H6275">
            <v>0</v>
          </cell>
          <cell r="I6275">
            <v>0</v>
          </cell>
          <cell r="J6275">
            <v>0</v>
          </cell>
          <cell r="K6275">
            <v>0</v>
          </cell>
          <cell r="L6275">
            <v>2</v>
          </cell>
        </row>
        <row r="6276">
          <cell r="A6276" t="str">
            <v>20325.02882</v>
          </cell>
          <cell r="B6276" t="str">
            <v>ROULEMENT A ROULEAUX CYLI</v>
          </cell>
          <cell r="C6276" t="str">
            <v>NU 311 ECP</v>
          </cell>
          <cell r="D6276" t="str">
            <v>PE</v>
          </cell>
          <cell r="E6276" t="str">
            <v>515.51515</v>
          </cell>
          <cell r="F6276">
            <v>216.41</v>
          </cell>
          <cell r="G6276">
            <v>0</v>
          </cell>
          <cell r="H6276">
            <v>2</v>
          </cell>
          <cell r="I6276">
            <v>0</v>
          </cell>
          <cell r="J6276">
            <v>1</v>
          </cell>
          <cell r="K6276">
            <v>1</v>
          </cell>
          <cell r="L6276">
            <v>3</v>
          </cell>
        </row>
        <row r="6277">
          <cell r="A6277" t="str">
            <v>20325.01200</v>
          </cell>
          <cell r="B6277" t="str">
            <v>ROULEMENT A ROTULE/BILLES</v>
          </cell>
          <cell r="C6277" t="str">
            <v>2309 K/C3</v>
          </cell>
          <cell r="D6277" t="str">
            <v>PE</v>
          </cell>
          <cell r="E6277" t="str">
            <v>515.51515</v>
          </cell>
          <cell r="F6277">
            <v>203.54</v>
          </cell>
          <cell r="G6277">
            <v>0</v>
          </cell>
          <cell r="H6277">
            <v>0</v>
          </cell>
          <cell r="I6277">
            <v>0</v>
          </cell>
          <cell r="J6277">
            <v>0</v>
          </cell>
          <cell r="K6277">
            <v>0</v>
          </cell>
          <cell r="L6277">
            <v>2</v>
          </cell>
        </row>
        <row r="6278">
          <cell r="A6278" t="str">
            <v>20325.01203</v>
          </cell>
          <cell r="B6278" t="str">
            <v>ROULEMENT A ROTULE/RLX</v>
          </cell>
          <cell r="C6278" t="str">
            <v>22318 CC/C3W33</v>
          </cell>
          <cell r="D6278" t="str">
            <v>PE</v>
          </cell>
          <cell r="E6278" t="str">
            <v>515.51515</v>
          </cell>
          <cell r="F6278">
            <v>1038.9863</v>
          </cell>
          <cell r="G6278">
            <v>0</v>
          </cell>
          <cell r="H6278">
            <v>2</v>
          </cell>
          <cell r="I6278">
            <v>0</v>
          </cell>
          <cell r="J6278">
            <v>0</v>
          </cell>
          <cell r="K6278">
            <v>0</v>
          </cell>
          <cell r="L6278">
            <v>0</v>
          </cell>
        </row>
        <row r="6279">
          <cell r="A6279" t="str">
            <v>20325.03369</v>
          </cell>
          <cell r="B6279" t="str">
            <v>MANCHON DE SERRAGE</v>
          </cell>
          <cell r="C6279" t="str">
            <v>H 3128</v>
          </cell>
          <cell r="D6279" t="str">
            <v>PE</v>
          </cell>
          <cell r="E6279" t="str">
            <v>515.51515</v>
          </cell>
          <cell r="F6279">
            <v>537.39</v>
          </cell>
          <cell r="G6279">
            <v>0</v>
          </cell>
          <cell r="H6279">
            <v>0</v>
          </cell>
          <cell r="I6279">
            <v>0</v>
          </cell>
          <cell r="J6279">
            <v>0</v>
          </cell>
          <cell r="K6279">
            <v>2</v>
          </cell>
          <cell r="L6279">
            <v>0</v>
          </cell>
        </row>
        <row r="6280">
          <cell r="A6280" t="str">
            <v>20325.04753</v>
          </cell>
          <cell r="B6280" t="str">
            <v>ROULEMENT</v>
          </cell>
          <cell r="C6280" t="str">
            <v>32036-X</v>
          </cell>
          <cell r="D6280" t="str">
            <v>PE</v>
          </cell>
          <cell r="E6280" t="str">
            <v>515.51515</v>
          </cell>
          <cell r="F6280">
            <v>2337.38</v>
          </cell>
          <cell r="G6280">
            <v>0</v>
          </cell>
          <cell r="H6280">
            <v>0</v>
          </cell>
          <cell r="I6280">
            <v>0</v>
          </cell>
          <cell r="J6280">
            <v>0</v>
          </cell>
          <cell r="K6280">
            <v>0</v>
          </cell>
          <cell r="L6280">
            <v>3</v>
          </cell>
        </row>
        <row r="6281">
          <cell r="A6281" t="str">
            <v>20325.04754</v>
          </cell>
          <cell r="B6281" t="str">
            <v>MANCHON DE SERRAGE</v>
          </cell>
          <cell r="C6281" t="str">
            <v>AOH 3148</v>
          </cell>
          <cell r="D6281" t="str">
            <v>PE</v>
          </cell>
          <cell r="E6281" t="str">
            <v>515.51515</v>
          </cell>
          <cell r="F6281">
            <v>4988.3130000000001</v>
          </cell>
          <cell r="G6281">
            <v>0</v>
          </cell>
          <cell r="H6281">
            <v>1</v>
          </cell>
          <cell r="I6281">
            <v>1</v>
          </cell>
          <cell r="J6281">
            <v>0</v>
          </cell>
          <cell r="K6281">
            <v>1</v>
          </cell>
          <cell r="L6281">
            <v>1</v>
          </cell>
        </row>
        <row r="6282">
          <cell r="A6282" t="str">
            <v>20325.04756</v>
          </cell>
          <cell r="B6282" t="str">
            <v>MANCHON DE SERRAGE AVEC ECROU-RONDELLE ET FREIN</v>
          </cell>
          <cell r="C6282" t="str">
            <v>OH 3072 H</v>
          </cell>
          <cell r="D6282" t="str">
            <v>PE</v>
          </cell>
          <cell r="E6282" t="str">
            <v>515.51515</v>
          </cell>
          <cell r="F6282">
            <v>16185.57</v>
          </cell>
          <cell r="G6282">
            <v>0</v>
          </cell>
          <cell r="H6282">
            <v>1</v>
          </cell>
          <cell r="I6282">
            <v>1</v>
          </cell>
          <cell r="J6282">
            <v>0</v>
          </cell>
          <cell r="K6282">
            <v>2</v>
          </cell>
          <cell r="L6282">
            <v>0</v>
          </cell>
        </row>
        <row r="6283">
          <cell r="A6283" t="str">
            <v>20325.04757</v>
          </cell>
          <cell r="B6283" t="str">
            <v>MANCHON DE DEMONTAGE</v>
          </cell>
          <cell r="C6283" t="str">
            <v>AOH 24144</v>
          </cell>
          <cell r="D6283" t="str">
            <v>PE</v>
          </cell>
          <cell r="E6283" t="str">
            <v>515.51515</v>
          </cell>
          <cell r="F6283">
            <v>5506.1419999999998</v>
          </cell>
          <cell r="G6283">
            <v>0</v>
          </cell>
          <cell r="H6283">
            <v>1</v>
          </cell>
          <cell r="I6283">
            <v>1</v>
          </cell>
          <cell r="J6283">
            <v>1</v>
          </cell>
          <cell r="K6283">
            <v>1</v>
          </cell>
          <cell r="L6283">
            <v>2</v>
          </cell>
        </row>
        <row r="6284">
          <cell r="A6284" t="str">
            <v>20325.04758</v>
          </cell>
          <cell r="B6284" t="str">
            <v>ECROU DE DEMONTAGE</v>
          </cell>
          <cell r="C6284" t="str">
            <v>HM 46 T</v>
          </cell>
          <cell r="D6284" t="str">
            <v>PE</v>
          </cell>
          <cell r="E6284" t="str">
            <v>515.51515</v>
          </cell>
          <cell r="F6284">
            <v>1496.0310999999999</v>
          </cell>
          <cell r="G6284">
            <v>0</v>
          </cell>
          <cell r="H6284">
            <v>0</v>
          </cell>
          <cell r="I6284">
            <v>1</v>
          </cell>
          <cell r="J6284">
            <v>1</v>
          </cell>
          <cell r="K6284">
            <v>0</v>
          </cell>
          <cell r="L6284">
            <v>2</v>
          </cell>
        </row>
        <row r="6285">
          <cell r="A6285" t="str">
            <v>20325.04747</v>
          </cell>
          <cell r="B6285" t="str">
            <v>ROULEMENT</v>
          </cell>
          <cell r="C6285" t="str">
            <v>24144 CCK30/W33</v>
          </cell>
          <cell r="D6285" t="str">
            <v>PE</v>
          </cell>
          <cell r="E6285" t="str">
            <v>515.51515</v>
          </cell>
          <cell r="F6285">
            <v>12008</v>
          </cell>
          <cell r="G6285">
            <v>0</v>
          </cell>
          <cell r="H6285">
            <v>1</v>
          </cell>
          <cell r="I6285">
            <v>1</v>
          </cell>
          <cell r="J6285">
            <v>1</v>
          </cell>
          <cell r="K6285">
            <v>0</v>
          </cell>
          <cell r="L6285">
            <v>0</v>
          </cell>
        </row>
        <row r="6286">
          <cell r="A6286" t="str">
            <v>20325.04750</v>
          </cell>
          <cell r="B6286" t="str">
            <v>ROULEMENT</v>
          </cell>
          <cell r="C6286">
            <v>30236</v>
          </cell>
          <cell r="D6286" t="str">
            <v>PE</v>
          </cell>
          <cell r="E6286" t="str">
            <v>515.51515</v>
          </cell>
          <cell r="F6286">
            <v>3670.0650000000001</v>
          </cell>
          <cell r="G6286">
            <v>0</v>
          </cell>
          <cell r="H6286">
            <v>4</v>
          </cell>
          <cell r="I6286">
            <v>0</v>
          </cell>
          <cell r="J6286">
            <v>0</v>
          </cell>
          <cell r="K6286">
            <v>0</v>
          </cell>
          <cell r="L6286">
            <v>0</v>
          </cell>
        </row>
        <row r="6287">
          <cell r="A6287" t="str">
            <v>20325.04751</v>
          </cell>
          <cell r="B6287" t="str">
            <v>ROULEMENT</v>
          </cell>
          <cell r="C6287">
            <v>30302</v>
          </cell>
          <cell r="D6287" t="str">
            <v>PE</v>
          </cell>
          <cell r="E6287" t="str">
            <v>515.51515</v>
          </cell>
          <cell r="F6287">
            <v>38.54</v>
          </cell>
          <cell r="G6287">
            <v>0</v>
          </cell>
          <cell r="H6287">
            <v>0</v>
          </cell>
          <cell r="I6287">
            <v>0</v>
          </cell>
          <cell r="J6287">
            <v>0</v>
          </cell>
          <cell r="K6287">
            <v>2</v>
          </cell>
          <cell r="L6287">
            <v>1</v>
          </cell>
        </row>
        <row r="6288">
          <cell r="A6288" t="str">
            <v>20325.04748</v>
          </cell>
          <cell r="B6288" t="str">
            <v>ROULEMENT</v>
          </cell>
          <cell r="C6288" t="str">
            <v>24152 CCK30/W33</v>
          </cell>
          <cell r="D6288" t="str">
            <v>PE</v>
          </cell>
          <cell r="E6288" t="str">
            <v>515.51515</v>
          </cell>
          <cell r="F6288">
            <v>17934.36</v>
          </cell>
          <cell r="G6288">
            <v>0</v>
          </cell>
          <cell r="H6288">
            <v>0</v>
          </cell>
          <cell r="I6288">
            <v>0</v>
          </cell>
          <cell r="J6288">
            <v>1</v>
          </cell>
          <cell r="K6288">
            <v>1</v>
          </cell>
          <cell r="L6288">
            <v>1</v>
          </cell>
        </row>
        <row r="6289">
          <cell r="A6289" t="str">
            <v>20325.02596</v>
          </cell>
          <cell r="B6289" t="str">
            <v>ROULEMENT A BILLES</v>
          </cell>
          <cell r="C6289" t="str">
            <v>7315 BGM</v>
          </cell>
          <cell r="D6289" t="str">
            <v>PE</v>
          </cell>
          <cell r="E6289" t="str">
            <v>515.51515</v>
          </cell>
          <cell r="F6289">
            <v>1071.2030999999999</v>
          </cell>
          <cell r="G6289">
            <v>0</v>
          </cell>
          <cell r="H6289">
            <v>0</v>
          </cell>
          <cell r="I6289">
            <v>0</v>
          </cell>
          <cell r="J6289">
            <v>0</v>
          </cell>
          <cell r="K6289">
            <v>0</v>
          </cell>
          <cell r="L6289">
            <v>4</v>
          </cell>
        </row>
        <row r="6290">
          <cell r="A6290" t="str">
            <v>20325.02916</v>
          </cell>
          <cell r="B6290" t="str">
            <v>ROULEMENT A ROULEAUX CYLI</v>
          </cell>
          <cell r="C6290" t="str">
            <v>NU 2220 ECP</v>
          </cell>
          <cell r="D6290" t="str">
            <v>PE</v>
          </cell>
          <cell r="E6290" t="str">
            <v>515.51515</v>
          </cell>
          <cell r="F6290">
            <v>1263.923</v>
          </cell>
          <cell r="G6290">
            <v>0</v>
          </cell>
          <cell r="H6290">
            <v>0</v>
          </cell>
          <cell r="I6290">
            <v>0</v>
          </cell>
          <cell r="J6290">
            <v>0</v>
          </cell>
          <cell r="K6290">
            <v>6</v>
          </cell>
          <cell r="L6290">
            <v>0</v>
          </cell>
        </row>
        <row r="6291">
          <cell r="A6291" t="str">
            <v>20325.00536</v>
          </cell>
          <cell r="B6291" t="str">
            <v>ROULEMENT A BILLES</v>
          </cell>
          <cell r="C6291" t="str">
            <v>6308-2Z</v>
          </cell>
          <cell r="D6291" t="str">
            <v>PE</v>
          </cell>
          <cell r="E6291" t="str">
            <v>515.51515</v>
          </cell>
          <cell r="F6291">
            <v>42.239600000000003</v>
          </cell>
          <cell r="G6291">
            <v>0</v>
          </cell>
          <cell r="H6291">
            <v>0</v>
          </cell>
          <cell r="I6291">
            <v>0</v>
          </cell>
          <cell r="J6291">
            <v>0</v>
          </cell>
          <cell r="K6291">
            <v>1</v>
          </cell>
          <cell r="L6291">
            <v>2</v>
          </cell>
        </row>
        <row r="6292">
          <cell r="A6292" t="str">
            <v>20325.03459</v>
          </cell>
          <cell r="B6292" t="str">
            <v>RONDELLE FREIN POUR ECROU</v>
          </cell>
          <cell r="C6292" t="str">
            <v>MB 11</v>
          </cell>
          <cell r="D6292" t="str">
            <v>PE</v>
          </cell>
          <cell r="E6292" t="str">
            <v>515.51515</v>
          </cell>
          <cell r="F6292">
            <v>5.8010000000000002</v>
          </cell>
          <cell r="G6292">
            <v>0</v>
          </cell>
          <cell r="H6292">
            <v>0</v>
          </cell>
          <cell r="I6292">
            <v>0</v>
          </cell>
          <cell r="J6292">
            <v>0</v>
          </cell>
          <cell r="K6292">
            <v>10</v>
          </cell>
          <cell r="L6292">
            <v>0</v>
          </cell>
        </row>
        <row r="6293">
          <cell r="A6293" t="str">
            <v>20325.01242</v>
          </cell>
          <cell r="B6293" t="str">
            <v>MANCHON DE SERRAGE</v>
          </cell>
          <cell r="C6293" t="str">
            <v>H 2309</v>
          </cell>
          <cell r="D6293" t="str">
            <v>PE</v>
          </cell>
          <cell r="E6293" t="str">
            <v>515.51515</v>
          </cell>
          <cell r="F6293">
            <v>49.88</v>
          </cell>
          <cell r="G6293">
            <v>0</v>
          </cell>
          <cell r="H6293">
            <v>0</v>
          </cell>
          <cell r="I6293">
            <v>0</v>
          </cell>
          <cell r="J6293">
            <v>0</v>
          </cell>
          <cell r="K6293">
            <v>2</v>
          </cell>
          <cell r="L6293">
            <v>0</v>
          </cell>
        </row>
        <row r="6294">
          <cell r="A6294" t="str">
            <v>20323.07101</v>
          </cell>
          <cell r="B6294" t="str">
            <v>DISJONCTEUR</v>
          </cell>
          <cell r="C6294" t="str">
            <v>GV2-P08</v>
          </cell>
          <cell r="D6294" t="str">
            <v>PE</v>
          </cell>
          <cell r="E6294" t="str">
            <v>522.52206</v>
          </cell>
          <cell r="F6294">
            <v>539.75400000000002</v>
          </cell>
          <cell r="G6294">
            <v>0</v>
          </cell>
          <cell r="H6294">
            <v>0</v>
          </cell>
          <cell r="I6294">
            <v>0</v>
          </cell>
          <cell r="J6294">
            <v>0</v>
          </cell>
          <cell r="K6294">
            <v>0</v>
          </cell>
          <cell r="L6294">
            <v>0</v>
          </cell>
        </row>
        <row r="6295">
          <cell r="A6295" t="str">
            <v>20323.06456</v>
          </cell>
          <cell r="B6295" t="str">
            <v>BOITE DE COMMANDE</v>
          </cell>
          <cell r="C6295" t="str">
            <v>XAP-A2100</v>
          </cell>
          <cell r="D6295" t="str">
            <v>PE</v>
          </cell>
          <cell r="E6295" t="str">
            <v>522.52206</v>
          </cell>
          <cell r="F6295">
            <v>217</v>
          </cell>
          <cell r="G6295">
            <v>0</v>
          </cell>
          <cell r="H6295">
            <v>0</v>
          </cell>
          <cell r="I6295">
            <v>2</v>
          </cell>
          <cell r="J6295">
            <v>2</v>
          </cell>
          <cell r="K6295">
            <v>0</v>
          </cell>
          <cell r="L6295">
            <v>25</v>
          </cell>
        </row>
        <row r="6296">
          <cell r="A6296" t="str">
            <v>20323.03138</v>
          </cell>
          <cell r="B6296" t="str">
            <v>BOUTON POUSS.COUP POING R</v>
          </cell>
          <cell r="C6296" t="str">
            <v>XB2-MT42</v>
          </cell>
          <cell r="D6296" t="str">
            <v>PE</v>
          </cell>
          <cell r="E6296" t="str">
            <v>522.52206</v>
          </cell>
          <cell r="F6296">
            <v>544.79999999999995</v>
          </cell>
          <cell r="G6296">
            <v>0</v>
          </cell>
          <cell r="H6296">
            <v>0</v>
          </cell>
          <cell r="I6296">
            <v>0</v>
          </cell>
          <cell r="J6296">
            <v>0</v>
          </cell>
          <cell r="K6296">
            <v>0</v>
          </cell>
          <cell r="L6296">
            <v>0</v>
          </cell>
        </row>
        <row r="6297">
          <cell r="A6297" t="str">
            <v>20319.00702</v>
          </cell>
          <cell r="B6297" t="str">
            <v>CONTROLEUR DE GRAISSAGE</v>
          </cell>
          <cell r="C6297">
            <v>85530</v>
          </cell>
          <cell r="D6297" t="str">
            <v>PE</v>
          </cell>
          <cell r="E6297" t="str">
            <v>516.51603</v>
          </cell>
          <cell r="F6297">
            <v>13800</v>
          </cell>
          <cell r="G6297">
            <v>0</v>
          </cell>
          <cell r="H6297">
            <v>0</v>
          </cell>
          <cell r="I6297">
            <v>0</v>
          </cell>
          <cell r="J6297">
            <v>0</v>
          </cell>
          <cell r="K6297">
            <v>0</v>
          </cell>
          <cell r="L6297">
            <v>1</v>
          </cell>
        </row>
        <row r="6298">
          <cell r="A6298" t="str">
            <v>20319.00110</v>
          </cell>
          <cell r="B6298" t="str">
            <v>SUPPORT D INJECTEUR</v>
          </cell>
          <cell r="C6298" t="str">
            <v>81770-1</v>
          </cell>
          <cell r="D6298" t="str">
            <v>PE</v>
          </cell>
          <cell r="E6298" t="str">
            <v>516.51603</v>
          </cell>
          <cell r="F6298">
            <v>983.98800000000006</v>
          </cell>
          <cell r="G6298">
            <v>0</v>
          </cell>
          <cell r="H6298">
            <v>0</v>
          </cell>
          <cell r="I6298">
            <v>0</v>
          </cell>
          <cell r="J6298">
            <v>0</v>
          </cell>
          <cell r="K6298">
            <v>0</v>
          </cell>
          <cell r="L6298">
            <v>1</v>
          </cell>
        </row>
        <row r="6299">
          <cell r="A6299" t="str">
            <v>20323.07163</v>
          </cell>
          <cell r="B6299" t="str">
            <v>CONTACTEUR AUXILIAIRE</v>
          </cell>
          <cell r="C6299" t="str">
            <v>CAD32B7</v>
          </cell>
          <cell r="D6299" t="str">
            <v>PE</v>
          </cell>
          <cell r="E6299" t="str">
            <v>522.52206</v>
          </cell>
          <cell r="F6299">
            <v>261.36</v>
          </cell>
          <cell r="G6299">
            <v>0</v>
          </cell>
          <cell r="H6299">
            <v>0</v>
          </cell>
          <cell r="I6299">
            <v>0</v>
          </cell>
          <cell r="J6299">
            <v>0</v>
          </cell>
          <cell r="K6299">
            <v>0</v>
          </cell>
          <cell r="L6299">
            <v>1</v>
          </cell>
        </row>
        <row r="6300">
          <cell r="A6300" t="str">
            <v>20323.07167</v>
          </cell>
          <cell r="B6300" t="str">
            <v>SECTIONNEUR PORTE FUSIBLE</v>
          </cell>
          <cell r="C6300" t="str">
            <v>LS1-D32</v>
          </cell>
          <cell r="D6300" t="str">
            <v>PE</v>
          </cell>
          <cell r="E6300" t="str">
            <v>522.52206</v>
          </cell>
          <cell r="F6300">
            <v>301.6003</v>
          </cell>
          <cell r="G6300">
            <v>0</v>
          </cell>
          <cell r="H6300">
            <v>0</v>
          </cell>
          <cell r="I6300">
            <v>0</v>
          </cell>
          <cell r="J6300">
            <v>0</v>
          </cell>
          <cell r="K6300">
            <v>1</v>
          </cell>
          <cell r="L6300">
            <v>0</v>
          </cell>
        </row>
        <row r="6301">
          <cell r="A6301" t="str">
            <v>20211.03115</v>
          </cell>
          <cell r="B6301" t="str">
            <v>CONTACTEUR</v>
          </cell>
          <cell r="C6301" t="str">
            <v>3RT1054-6AP36+3RH1921-AFA22</v>
          </cell>
          <cell r="D6301" t="str">
            <v>PE</v>
          </cell>
          <cell r="E6301" t="str">
            <v>512.51201</v>
          </cell>
          <cell r="F6301">
            <v>1846.4313</v>
          </cell>
          <cell r="G6301">
            <v>0</v>
          </cell>
          <cell r="H6301">
            <v>0</v>
          </cell>
          <cell r="I6301">
            <v>0</v>
          </cell>
          <cell r="J6301">
            <v>0</v>
          </cell>
          <cell r="K6301">
            <v>0</v>
          </cell>
          <cell r="L6301">
            <v>5</v>
          </cell>
        </row>
        <row r="6302">
          <cell r="A6302" t="str">
            <v>20211.03407</v>
          </cell>
          <cell r="B6302" t="str">
            <v>BAGUE D'ETANCHEITE</v>
          </cell>
          <cell r="C6302" t="str">
            <v>TURBINE TYPE SST 400 ( C190 -L1 ) N° T6453 LISTE 891359 REP 260</v>
          </cell>
          <cell r="D6302" t="str">
            <v>PE</v>
          </cell>
          <cell r="E6302" t="str">
            <v>512.51201</v>
          </cell>
          <cell r="F6302">
            <v>12378.672</v>
          </cell>
          <cell r="G6302">
            <v>0</v>
          </cell>
          <cell r="H6302">
            <v>0</v>
          </cell>
          <cell r="I6302">
            <v>0</v>
          </cell>
          <cell r="J6302">
            <v>0</v>
          </cell>
          <cell r="K6302">
            <v>0</v>
          </cell>
          <cell r="L6302">
            <v>0</v>
          </cell>
        </row>
        <row r="6303">
          <cell r="A6303" t="str">
            <v>20211.03408</v>
          </cell>
          <cell r="B6303" t="str">
            <v>BAGUE D'ETANCHEITE</v>
          </cell>
          <cell r="C6303" t="str">
            <v>TURBINE TYPE SST 400 ( C190 -L1 ) N° T6453 LISTE 891359 REP 270</v>
          </cell>
          <cell r="D6303" t="str">
            <v>PE</v>
          </cell>
          <cell r="E6303" t="str">
            <v>512.51201</v>
          </cell>
          <cell r="F6303">
            <v>15943.175999999999</v>
          </cell>
          <cell r="G6303">
            <v>0</v>
          </cell>
          <cell r="H6303">
            <v>0</v>
          </cell>
          <cell r="I6303">
            <v>0</v>
          </cell>
          <cell r="J6303">
            <v>0</v>
          </cell>
          <cell r="K6303">
            <v>0</v>
          </cell>
          <cell r="L6303">
            <v>0</v>
          </cell>
        </row>
        <row r="6304">
          <cell r="A6304" t="str">
            <v>20211.03409</v>
          </cell>
          <cell r="B6304" t="str">
            <v>BOITE DE GUIDAGE</v>
          </cell>
          <cell r="C6304" t="str">
            <v>TURBINE TYPE SST 400 ( C190 -L1 ) N° T6453 LISTE 891359 REP 280</v>
          </cell>
          <cell r="D6304" t="str">
            <v>PE</v>
          </cell>
          <cell r="E6304" t="str">
            <v>512.51201</v>
          </cell>
          <cell r="F6304">
            <v>26255.016</v>
          </cell>
          <cell r="G6304">
            <v>0</v>
          </cell>
          <cell r="H6304">
            <v>0</v>
          </cell>
          <cell r="I6304">
            <v>0</v>
          </cell>
          <cell r="J6304">
            <v>0</v>
          </cell>
          <cell r="K6304">
            <v>0</v>
          </cell>
          <cell r="L6304">
            <v>0</v>
          </cell>
        </row>
        <row r="6305">
          <cell r="A6305" t="str">
            <v>20211.03410</v>
          </cell>
          <cell r="B6305" t="str">
            <v>SEGMENT D'ETANCHEITE</v>
          </cell>
          <cell r="C6305" t="str">
            <v>TURBINE TYPE SST 400 ( C190 -L1 ) N° T6453 LISTE 891359 REP 290</v>
          </cell>
          <cell r="D6305" t="str">
            <v>PE</v>
          </cell>
          <cell r="E6305" t="str">
            <v>512.51201</v>
          </cell>
          <cell r="F6305">
            <v>388.36930000000001</v>
          </cell>
          <cell r="G6305">
            <v>0</v>
          </cell>
          <cell r="H6305">
            <v>0</v>
          </cell>
          <cell r="I6305">
            <v>0</v>
          </cell>
          <cell r="J6305">
            <v>0</v>
          </cell>
          <cell r="K6305">
            <v>0</v>
          </cell>
          <cell r="L6305">
            <v>0</v>
          </cell>
        </row>
        <row r="6306">
          <cell r="A6306" t="str">
            <v>20211.03411</v>
          </cell>
          <cell r="B6306" t="str">
            <v>AXE LISSE</v>
          </cell>
          <cell r="C6306" t="str">
            <v>TURBINE TYPE SST 400 ( C190 -L1 ) N° T6453 LISTE 891359 REP 300</v>
          </cell>
          <cell r="D6306" t="str">
            <v>PE</v>
          </cell>
          <cell r="E6306" t="str">
            <v>512.51201</v>
          </cell>
          <cell r="F6306">
            <v>101.556</v>
          </cell>
          <cell r="G6306">
            <v>0</v>
          </cell>
          <cell r="H6306">
            <v>0</v>
          </cell>
          <cell r="I6306">
            <v>0</v>
          </cell>
          <cell r="J6306">
            <v>0</v>
          </cell>
          <cell r="K6306">
            <v>0</v>
          </cell>
          <cell r="L6306">
            <v>0</v>
          </cell>
        </row>
        <row r="6307">
          <cell r="A6307" t="str">
            <v>20211.03412</v>
          </cell>
          <cell r="B6307" t="str">
            <v>CONTRECON</v>
          </cell>
          <cell r="C6307" t="str">
            <v>TURBINE TYPE SST 400 ( C190 -L1 ) N° T6453 LISTE 891359 REP 310</v>
          </cell>
          <cell r="D6307" t="str">
            <v>PE</v>
          </cell>
          <cell r="E6307" t="str">
            <v>512.51201</v>
          </cell>
          <cell r="F6307">
            <v>5054.3639999999996</v>
          </cell>
          <cell r="G6307">
            <v>0</v>
          </cell>
          <cell r="H6307">
            <v>0</v>
          </cell>
          <cell r="I6307">
            <v>0</v>
          </cell>
          <cell r="J6307">
            <v>0</v>
          </cell>
          <cell r="K6307">
            <v>0</v>
          </cell>
          <cell r="L6307">
            <v>0</v>
          </cell>
        </row>
        <row r="6308">
          <cell r="A6308" t="str">
            <v>20211.03413</v>
          </cell>
          <cell r="B6308" t="str">
            <v>TOLE DE SECURITE</v>
          </cell>
          <cell r="C6308" t="str">
            <v>TURBINE TYPE SST 400 ( C190 -L1 ) N° T6453 LISTE 891359 REP 320</v>
          </cell>
          <cell r="D6308" t="str">
            <v>PE</v>
          </cell>
          <cell r="E6308" t="str">
            <v>512.51201</v>
          </cell>
          <cell r="F6308">
            <v>505.548</v>
          </cell>
          <cell r="G6308">
            <v>0</v>
          </cell>
          <cell r="H6308">
            <v>0</v>
          </cell>
          <cell r="I6308">
            <v>0</v>
          </cell>
          <cell r="J6308">
            <v>0</v>
          </cell>
          <cell r="K6308">
            <v>0</v>
          </cell>
          <cell r="L6308">
            <v>0</v>
          </cell>
        </row>
        <row r="6309">
          <cell r="A6309" t="str">
            <v>20211.03213</v>
          </cell>
          <cell r="B6309" t="str">
            <v>BOUTON POUSSOIR AFFLEURANT</v>
          </cell>
          <cell r="C6309" t="str">
            <v>3SB 3602-0AA11</v>
          </cell>
          <cell r="D6309" t="str">
            <v>PE</v>
          </cell>
          <cell r="E6309" t="str">
            <v>512.51201</v>
          </cell>
          <cell r="F6309">
            <v>70.886499999999998</v>
          </cell>
          <cell r="G6309">
            <v>0</v>
          </cell>
          <cell r="H6309">
            <v>0</v>
          </cell>
          <cell r="I6309">
            <v>0</v>
          </cell>
          <cell r="J6309">
            <v>0</v>
          </cell>
          <cell r="K6309">
            <v>0</v>
          </cell>
          <cell r="L6309">
            <v>18</v>
          </cell>
        </row>
        <row r="6310">
          <cell r="A6310" t="str">
            <v>20211.03514</v>
          </cell>
          <cell r="B6310" t="str">
            <v>JOINT DE COUVERCLE</v>
          </cell>
          <cell r="C6310" t="str">
            <v>TURBINE TYPE SST 400 ( C190 -L1 ) N° T6453 LISTE 891359 REP 3360</v>
          </cell>
          <cell r="D6310" t="str">
            <v>PE</v>
          </cell>
          <cell r="E6310" t="str">
            <v>512.51201</v>
          </cell>
          <cell r="F6310">
            <v>3335.7240000000002</v>
          </cell>
          <cell r="G6310">
            <v>0</v>
          </cell>
          <cell r="H6310">
            <v>0</v>
          </cell>
          <cell r="I6310">
            <v>0</v>
          </cell>
          <cell r="J6310">
            <v>0</v>
          </cell>
          <cell r="K6310">
            <v>0</v>
          </cell>
          <cell r="L6310">
            <v>0</v>
          </cell>
        </row>
        <row r="6311">
          <cell r="A6311" t="str">
            <v>20211.03515</v>
          </cell>
          <cell r="B6311" t="str">
            <v>JOINT DE BOITIER P/CONDENSEUR</v>
          </cell>
          <cell r="C6311" t="str">
            <v>TURBINE TYPE SST 400 ( C190 -L1 ) N° T6453 LISTE 891359 REP 3370</v>
          </cell>
          <cell r="D6311" t="str">
            <v>PE</v>
          </cell>
          <cell r="E6311" t="str">
            <v>512.51201</v>
          </cell>
          <cell r="F6311">
            <v>9503.8559999999998</v>
          </cell>
          <cell r="G6311">
            <v>0</v>
          </cell>
          <cell r="H6311">
            <v>0</v>
          </cell>
          <cell r="I6311">
            <v>0</v>
          </cell>
          <cell r="J6311">
            <v>0</v>
          </cell>
          <cell r="K6311">
            <v>0</v>
          </cell>
          <cell r="L6311">
            <v>0</v>
          </cell>
        </row>
        <row r="6312">
          <cell r="A6312" t="str">
            <v>20211.03516</v>
          </cell>
          <cell r="B6312" t="str">
            <v>JEU DE ROULEMENT A BILLE MOTORISE  P/CONDESEUR</v>
          </cell>
          <cell r="C6312" t="str">
            <v>TURBINE TYPE SST 400 ( C190 -L1 ) N° T6453 LISTE 891359 REP 3380</v>
          </cell>
          <cell r="D6312" t="str">
            <v>JE</v>
          </cell>
          <cell r="E6312" t="str">
            <v>512.51201</v>
          </cell>
          <cell r="F6312">
            <v>6024.1679999999997</v>
          </cell>
          <cell r="G6312">
            <v>0</v>
          </cell>
          <cell r="H6312">
            <v>0</v>
          </cell>
          <cell r="I6312">
            <v>0</v>
          </cell>
          <cell r="J6312">
            <v>0</v>
          </cell>
          <cell r="K6312">
            <v>0</v>
          </cell>
          <cell r="L6312">
            <v>0</v>
          </cell>
        </row>
        <row r="6313">
          <cell r="A6313" t="str">
            <v>20211.03517</v>
          </cell>
          <cell r="B6313" t="str">
            <v>JEU DE JOINT MOTEUR</v>
          </cell>
          <cell r="C6313" t="str">
            <v>TURBINE TYPE SST 400 ( C190 -L1 ) N° T6453 LISTE 891359 REP 3390</v>
          </cell>
          <cell r="D6313" t="str">
            <v>JE</v>
          </cell>
          <cell r="E6313" t="str">
            <v>512.51201</v>
          </cell>
          <cell r="F6313">
            <v>4852.3680000000004</v>
          </cell>
          <cell r="G6313">
            <v>0</v>
          </cell>
          <cell r="H6313">
            <v>0</v>
          </cell>
          <cell r="I6313">
            <v>0</v>
          </cell>
          <cell r="J6313">
            <v>0</v>
          </cell>
          <cell r="K6313">
            <v>0</v>
          </cell>
          <cell r="L6313">
            <v>0</v>
          </cell>
        </row>
        <row r="6314">
          <cell r="A6314" t="str">
            <v>20211.03414</v>
          </cell>
          <cell r="B6314" t="str">
            <v>TOLE DE SECURITE</v>
          </cell>
          <cell r="C6314" t="str">
            <v>TURBINE TYPE SST 400 ( C190 -L1 ) N° T6453 LISTE 891359 REP 330</v>
          </cell>
          <cell r="D6314" t="str">
            <v>PE</v>
          </cell>
          <cell r="E6314" t="str">
            <v>512.51201</v>
          </cell>
          <cell r="F6314">
            <v>9704.7360000000008</v>
          </cell>
          <cell r="G6314">
            <v>0</v>
          </cell>
          <cell r="H6314">
            <v>0</v>
          </cell>
          <cell r="I6314">
            <v>0</v>
          </cell>
          <cell r="J6314">
            <v>0</v>
          </cell>
          <cell r="K6314">
            <v>0</v>
          </cell>
          <cell r="L6314">
            <v>0</v>
          </cell>
        </row>
        <row r="6315">
          <cell r="A6315" t="str">
            <v>20211.03416</v>
          </cell>
          <cell r="B6315" t="str">
            <v>BAGUE D'ETANCHEITE</v>
          </cell>
          <cell r="C6315" t="str">
            <v>TURBINE TYPE SST 400 ( C190 -L1 ) N° T6453 LISTE 891359 REP 350</v>
          </cell>
          <cell r="D6315" t="str">
            <v>PE</v>
          </cell>
          <cell r="E6315" t="str">
            <v>512.51201</v>
          </cell>
          <cell r="F6315">
            <v>5499</v>
          </cell>
          <cell r="G6315">
            <v>0</v>
          </cell>
          <cell r="H6315">
            <v>0</v>
          </cell>
          <cell r="I6315">
            <v>0</v>
          </cell>
          <cell r="J6315">
            <v>0</v>
          </cell>
          <cell r="K6315">
            <v>0</v>
          </cell>
          <cell r="L6315">
            <v>0</v>
          </cell>
        </row>
        <row r="6316">
          <cell r="A6316" t="str">
            <v>20211.03418</v>
          </cell>
          <cell r="B6316" t="str">
            <v>BAGUE D'ETANCHEITE</v>
          </cell>
          <cell r="C6316" t="str">
            <v>TURBINE TYPE SST 400 ( C190 -L1 ) N° T6453 LISTE 891359 REP 370</v>
          </cell>
          <cell r="D6316" t="str">
            <v>PE</v>
          </cell>
          <cell r="E6316" t="str">
            <v>512.51201</v>
          </cell>
          <cell r="F6316">
            <v>12378.672</v>
          </cell>
          <cell r="G6316">
            <v>0</v>
          </cell>
          <cell r="H6316">
            <v>0</v>
          </cell>
          <cell r="I6316">
            <v>0</v>
          </cell>
          <cell r="J6316">
            <v>0</v>
          </cell>
          <cell r="K6316">
            <v>0</v>
          </cell>
          <cell r="L6316">
            <v>0</v>
          </cell>
        </row>
        <row r="6317">
          <cell r="A6317" t="str">
            <v>20211.03419</v>
          </cell>
          <cell r="B6317" t="str">
            <v>BAGUE D'ETANCHEITE</v>
          </cell>
          <cell r="C6317" t="str">
            <v>TURBINE TYPE SST 400 ( C190 -L1 ) N° T6453 LISTE 891359 REP 380</v>
          </cell>
          <cell r="D6317" t="str">
            <v>PE</v>
          </cell>
          <cell r="E6317" t="str">
            <v>512.51201</v>
          </cell>
          <cell r="F6317">
            <v>15943.175999999999</v>
          </cell>
          <cell r="G6317">
            <v>0</v>
          </cell>
          <cell r="H6317">
            <v>0</v>
          </cell>
          <cell r="I6317">
            <v>0</v>
          </cell>
          <cell r="J6317">
            <v>0</v>
          </cell>
          <cell r="K6317">
            <v>0</v>
          </cell>
          <cell r="L6317">
            <v>0</v>
          </cell>
        </row>
        <row r="6318">
          <cell r="A6318" t="str">
            <v>20211.03420</v>
          </cell>
          <cell r="B6318" t="str">
            <v>BOITE DE GUIDAGE</v>
          </cell>
          <cell r="C6318" t="str">
            <v>TURBINE TYPE SST 400 ( C190 -L1 ) N° T6453 LISTE 891359 REP 390</v>
          </cell>
          <cell r="D6318" t="str">
            <v>PE</v>
          </cell>
          <cell r="E6318" t="str">
            <v>512.51201</v>
          </cell>
          <cell r="F6318">
            <v>26258.364000000001</v>
          </cell>
          <cell r="G6318">
            <v>0</v>
          </cell>
          <cell r="H6318">
            <v>0</v>
          </cell>
          <cell r="I6318">
            <v>0</v>
          </cell>
          <cell r="J6318">
            <v>0</v>
          </cell>
          <cell r="K6318">
            <v>0</v>
          </cell>
          <cell r="L6318">
            <v>0</v>
          </cell>
        </row>
        <row r="6319">
          <cell r="A6319" t="str">
            <v>20211.03421</v>
          </cell>
          <cell r="B6319" t="str">
            <v>SEGMENT D'ETANCHEITE</v>
          </cell>
          <cell r="C6319" t="str">
            <v>TURBINE TYPE SST 400 ( C190 -L1 ) N° T6453 LISTE 891359 REP 400</v>
          </cell>
          <cell r="D6319" t="str">
            <v>PE</v>
          </cell>
          <cell r="E6319" t="str">
            <v>512.51201</v>
          </cell>
          <cell r="F6319">
            <v>405.108</v>
          </cell>
          <cell r="G6319">
            <v>0</v>
          </cell>
          <cell r="H6319">
            <v>0</v>
          </cell>
          <cell r="I6319">
            <v>0</v>
          </cell>
          <cell r="J6319">
            <v>0</v>
          </cell>
          <cell r="K6319">
            <v>0</v>
          </cell>
          <cell r="L6319">
            <v>1</v>
          </cell>
        </row>
        <row r="6320">
          <cell r="A6320" t="str">
            <v>20211.03422</v>
          </cell>
          <cell r="B6320" t="str">
            <v>AXE LISSE</v>
          </cell>
          <cell r="C6320" t="str">
            <v>TURBINE TYPE SST 400 ( C190 -L1 ) N° T6453 LISTE 891359 REP 410</v>
          </cell>
          <cell r="D6320" t="str">
            <v>PE</v>
          </cell>
          <cell r="E6320" t="str">
            <v>512.51201</v>
          </cell>
          <cell r="F6320">
            <v>101.556</v>
          </cell>
          <cell r="G6320">
            <v>0</v>
          </cell>
          <cell r="H6320">
            <v>0</v>
          </cell>
          <cell r="I6320">
            <v>0</v>
          </cell>
          <cell r="J6320">
            <v>0</v>
          </cell>
          <cell r="K6320">
            <v>1</v>
          </cell>
          <cell r="L6320">
            <v>0</v>
          </cell>
        </row>
        <row r="6321">
          <cell r="A6321" t="str">
            <v>20211.03522</v>
          </cell>
          <cell r="B6321" t="str">
            <v>JOINT DE BOITIER</v>
          </cell>
          <cell r="C6321" t="str">
            <v>TURBINE TYPE SST 400 ( C190 -L1 ) N° T6453 LISTE 891359 REP 3440</v>
          </cell>
          <cell r="D6321" t="str">
            <v>PE</v>
          </cell>
          <cell r="E6321" t="str">
            <v>512.51201</v>
          </cell>
          <cell r="F6321">
            <v>3033.288</v>
          </cell>
          <cell r="G6321">
            <v>0</v>
          </cell>
          <cell r="H6321">
            <v>0</v>
          </cell>
          <cell r="I6321">
            <v>0</v>
          </cell>
          <cell r="J6321">
            <v>0</v>
          </cell>
          <cell r="K6321">
            <v>0</v>
          </cell>
          <cell r="L6321">
            <v>0</v>
          </cell>
        </row>
        <row r="6322">
          <cell r="A6322" t="str">
            <v>20211.03523</v>
          </cell>
          <cell r="B6322" t="str">
            <v>PIECE DE RECHANGE POUR CONDENSEUR</v>
          </cell>
          <cell r="C6322" t="str">
            <v>TURBINE TYPE SST 400 ( C190 -L1 ) N° T6453 LISTE 891359 REP 3450</v>
          </cell>
          <cell r="D6322" t="str">
            <v>PE</v>
          </cell>
          <cell r="E6322" t="str">
            <v>512.51201</v>
          </cell>
          <cell r="F6322">
            <v>1162840.7520000001</v>
          </cell>
          <cell r="G6322">
            <v>0</v>
          </cell>
          <cell r="H6322">
            <v>0</v>
          </cell>
          <cell r="I6322">
            <v>0</v>
          </cell>
          <cell r="J6322">
            <v>0</v>
          </cell>
          <cell r="K6322">
            <v>0</v>
          </cell>
          <cell r="L6322">
            <v>0</v>
          </cell>
        </row>
        <row r="6323">
          <cell r="A6323" t="str">
            <v>20211.03519</v>
          </cell>
          <cell r="B6323" t="str">
            <v>CAROUSSEL DE VIDANGE P/CONDENSEUR</v>
          </cell>
          <cell r="C6323" t="str">
            <v>TURBINE TYPE SST 400 ( C190 -L1 ) N° T6453 LISTE 891359 REP 3410</v>
          </cell>
          <cell r="D6323" t="str">
            <v>PE</v>
          </cell>
          <cell r="E6323" t="str">
            <v>512.51201</v>
          </cell>
          <cell r="F6323">
            <v>5459.4719999999998</v>
          </cell>
          <cell r="G6323">
            <v>0</v>
          </cell>
          <cell r="H6323">
            <v>0</v>
          </cell>
          <cell r="I6323">
            <v>0</v>
          </cell>
          <cell r="J6323">
            <v>0</v>
          </cell>
          <cell r="K6323">
            <v>0</v>
          </cell>
          <cell r="L6323">
            <v>0</v>
          </cell>
        </row>
        <row r="6324">
          <cell r="A6324" t="str">
            <v>20211.03520</v>
          </cell>
          <cell r="B6324" t="str">
            <v>TREILLIS POUR CONDENSEUR</v>
          </cell>
          <cell r="C6324" t="str">
            <v>TURBINE TYPE SST 400 ( C190 -L1 ) N° T6453 LISTE 891359 REP 3420</v>
          </cell>
          <cell r="D6324" t="str">
            <v>PE</v>
          </cell>
          <cell r="E6324" t="str">
            <v>512.51201</v>
          </cell>
          <cell r="F6324">
            <v>4448.3760000000002</v>
          </cell>
          <cell r="G6324">
            <v>0</v>
          </cell>
          <cell r="H6324">
            <v>0</v>
          </cell>
          <cell r="I6324">
            <v>0</v>
          </cell>
          <cell r="J6324">
            <v>0</v>
          </cell>
          <cell r="K6324">
            <v>0</v>
          </cell>
          <cell r="L6324">
            <v>0</v>
          </cell>
        </row>
        <row r="6325">
          <cell r="A6325" t="str">
            <v>20211.03521</v>
          </cell>
          <cell r="B6325" t="str">
            <v>FILTRE DISPOSABLE POUR CONDENSEUR</v>
          </cell>
          <cell r="C6325" t="str">
            <v>TURBINE TYPE SST 400 ( C190 -L1 ) N° T6453 LISTE 891359 REP 3430</v>
          </cell>
          <cell r="D6325" t="str">
            <v>PE</v>
          </cell>
          <cell r="E6325" t="str">
            <v>512.51201</v>
          </cell>
          <cell r="F6325">
            <v>2447.2262999999998</v>
          </cell>
          <cell r="G6325">
            <v>0</v>
          </cell>
          <cell r="H6325">
            <v>0</v>
          </cell>
          <cell r="I6325">
            <v>0</v>
          </cell>
          <cell r="J6325">
            <v>0</v>
          </cell>
          <cell r="K6325">
            <v>0</v>
          </cell>
          <cell r="L6325">
            <v>0</v>
          </cell>
        </row>
        <row r="6326">
          <cell r="A6326" t="str">
            <v>20211.03423</v>
          </cell>
          <cell r="B6326" t="str">
            <v>CONTRECON</v>
          </cell>
          <cell r="C6326" t="str">
            <v>TURBINE TYPE SST 400 ( C190 -L1 ) N° T6453 LISTE 891359 REP 420</v>
          </cell>
          <cell r="D6326" t="str">
            <v>PE</v>
          </cell>
          <cell r="E6326" t="str">
            <v>512.51201</v>
          </cell>
          <cell r="F6326">
            <v>4852.3680000000004</v>
          </cell>
          <cell r="G6326">
            <v>0</v>
          </cell>
          <cell r="H6326">
            <v>0</v>
          </cell>
          <cell r="I6326">
            <v>0</v>
          </cell>
          <cell r="J6326">
            <v>0</v>
          </cell>
          <cell r="K6326">
            <v>0</v>
          </cell>
          <cell r="L6326">
            <v>0</v>
          </cell>
        </row>
        <row r="6327">
          <cell r="A6327" t="str">
            <v>20211.03424</v>
          </cell>
          <cell r="B6327" t="str">
            <v>TOLE DE SECURITE</v>
          </cell>
          <cell r="C6327" t="str">
            <v>TURBINE TYPE SST 400 ( C190 -L1 ) N° T6453 LISTE 891359 REP 430</v>
          </cell>
          <cell r="D6327" t="str">
            <v>PE</v>
          </cell>
          <cell r="E6327" t="str">
            <v>512.51201</v>
          </cell>
          <cell r="F6327">
            <v>505.548</v>
          </cell>
          <cell r="G6327">
            <v>0</v>
          </cell>
          <cell r="H6327">
            <v>0</v>
          </cell>
          <cell r="I6327">
            <v>0</v>
          </cell>
          <cell r="J6327">
            <v>0</v>
          </cell>
          <cell r="K6327">
            <v>0</v>
          </cell>
          <cell r="L6327">
            <v>0</v>
          </cell>
        </row>
        <row r="6328">
          <cell r="A6328" t="str">
            <v>20211.03425</v>
          </cell>
          <cell r="B6328" t="str">
            <v>MECANISME DE COMMANDE</v>
          </cell>
          <cell r="C6328" t="str">
            <v>TURBINE TYPE SST 400 ( C190 -L1 ) N° T6453 LISTE 891359 REP 440</v>
          </cell>
          <cell r="D6328" t="str">
            <v>PE</v>
          </cell>
          <cell r="E6328" t="str">
            <v>512.51201</v>
          </cell>
          <cell r="F6328">
            <v>528905.88</v>
          </cell>
          <cell r="G6328">
            <v>0</v>
          </cell>
          <cell r="H6328">
            <v>0</v>
          </cell>
          <cell r="I6328">
            <v>0</v>
          </cell>
          <cell r="J6328">
            <v>0</v>
          </cell>
          <cell r="K6328">
            <v>0</v>
          </cell>
          <cell r="L6328">
            <v>0</v>
          </cell>
        </row>
        <row r="6329">
          <cell r="A6329" t="str">
            <v>20211.03426</v>
          </cell>
          <cell r="B6329" t="str">
            <v>VANNE SUPPLEMENTAIRE</v>
          </cell>
          <cell r="C6329" t="str">
            <v>TURBINE TYPE SST 400 ( C190 -L1 ) N° T6453 LISTE 891359 REP 450</v>
          </cell>
          <cell r="D6329" t="str">
            <v>PE</v>
          </cell>
          <cell r="E6329" t="str">
            <v>512.51201</v>
          </cell>
          <cell r="F6329">
            <v>212272.128</v>
          </cell>
          <cell r="G6329">
            <v>0</v>
          </cell>
          <cell r="H6329">
            <v>0</v>
          </cell>
          <cell r="I6329">
            <v>0</v>
          </cell>
          <cell r="J6329">
            <v>0</v>
          </cell>
          <cell r="K6329">
            <v>0</v>
          </cell>
          <cell r="L6329">
            <v>0</v>
          </cell>
        </row>
        <row r="6330">
          <cell r="A6330" t="str">
            <v>20211.03427</v>
          </cell>
          <cell r="B6330" t="str">
            <v>SEMELLE DE GUIDAGE</v>
          </cell>
          <cell r="C6330" t="str">
            <v>TURBINE TYPE SST 400 ( C190 -L1 ) N° T6453 LISTE 891359 REP 460</v>
          </cell>
          <cell r="D6330" t="str">
            <v>PE</v>
          </cell>
          <cell r="E6330" t="str">
            <v>512.51201</v>
          </cell>
          <cell r="F6330">
            <v>541797.91200000001</v>
          </cell>
          <cell r="G6330">
            <v>0</v>
          </cell>
          <cell r="H6330">
            <v>0</v>
          </cell>
          <cell r="I6330">
            <v>0</v>
          </cell>
          <cell r="J6330">
            <v>0</v>
          </cell>
          <cell r="K6330">
            <v>0</v>
          </cell>
          <cell r="L6330">
            <v>0</v>
          </cell>
        </row>
        <row r="6331">
          <cell r="A6331" t="str">
            <v>20211.03428</v>
          </cell>
          <cell r="B6331" t="str">
            <v>FILTRE ENTIER</v>
          </cell>
          <cell r="C6331" t="str">
            <v>TURBINE TYPE SST 400 ( C190 -L1 ) N° T6453 LISTE 891359 REP 470</v>
          </cell>
          <cell r="D6331" t="str">
            <v>PE</v>
          </cell>
          <cell r="E6331" t="str">
            <v>512.51201</v>
          </cell>
          <cell r="F6331">
            <v>598708.33200000005</v>
          </cell>
          <cell r="G6331">
            <v>0</v>
          </cell>
          <cell r="H6331">
            <v>0</v>
          </cell>
          <cell r="I6331">
            <v>0</v>
          </cell>
          <cell r="J6331">
            <v>0</v>
          </cell>
          <cell r="K6331">
            <v>0</v>
          </cell>
          <cell r="L6331">
            <v>0</v>
          </cell>
        </row>
        <row r="6332">
          <cell r="A6332" t="str">
            <v>20211.03429</v>
          </cell>
          <cell r="B6332" t="str">
            <v>BRIDE  DE MONTAGE</v>
          </cell>
          <cell r="C6332" t="str">
            <v>TURBINE TYPE SST 400 ( C190 -L1 ) N° T6453 LISTE 891359 REP 480</v>
          </cell>
          <cell r="D6332" t="str">
            <v>PE</v>
          </cell>
          <cell r="E6332" t="str">
            <v>512.51201</v>
          </cell>
          <cell r="F6332">
            <v>214293.204</v>
          </cell>
          <cell r="G6332">
            <v>0</v>
          </cell>
          <cell r="H6332">
            <v>0</v>
          </cell>
          <cell r="I6332">
            <v>0</v>
          </cell>
          <cell r="J6332">
            <v>0</v>
          </cell>
          <cell r="K6332">
            <v>0</v>
          </cell>
          <cell r="L6332">
            <v>0</v>
          </cell>
        </row>
        <row r="6333">
          <cell r="A6333" t="str">
            <v>20211.03431</v>
          </cell>
          <cell r="B6333" t="str">
            <v>BOULONS A SIX PANS CREUX</v>
          </cell>
          <cell r="C6333" t="str">
            <v>TURBINE TYPE SST 400 ( C190 -L1 ) N° T6453 LISTE 891359 REP 500</v>
          </cell>
          <cell r="D6333" t="str">
            <v>PE</v>
          </cell>
          <cell r="E6333" t="str">
            <v>512.51201</v>
          </cell>
          <cell r="F6333">
            <v>101.556</v>
          </cell>
          <cell r="G6333">
            <v>0</v>
          </cell>
          <cell r="H6333">
            <v>0</v>
          </cell>
          <cell r="I6333">
            <v>0</v>
          </cell>
          <cell r="J6333">
            <v>0</v>
          </cell>
          <cell r="K6333">
            <v>0</v>
          </cell>
          <cell r="L6333">
            <v>0</v>
          </cell>
        </row>
        <row r="6334">
          <cell r="A6334" t="str">
            <v>20211.03283</v>
          </cell>
          <cell r="B6334" t="str">
            <v>LOGO DM8 230R</v>
          </cell>
          <cell r="C6334" t="str">
            <v>6ED1 055-1FB00-0BA1</v>
          </cell>
          <cell r="D6334" t="str">
            <v>PE</v>
          </cell>
          <cell r="E6334" t="str">
            <v>512.51201</v>
          </cell>
          <cell r="F6334">
            <v>799</v>
          </cell>
          <cell r="G6334">
            <v>0</v>
          </cell>
          <cell r="H6334">
            <v>1</v>
          </cell>
          <cell r="I6334">
            <v>0</v>
          </cell>
          <cell r="J6334">
            <v>2</v>
          </cell>
          <cell r="K6334">
            <v>0</v>
          </cell>
          <cell r="L6334">
            <v>0</v>
          </cell>
        </row>
        <row r="6335">
          <cell r="A6335" t="str">
            <v>20211.03470</v>
          </cell>
          <cell r="B6335" t="str">
            <v>THERMOMETRE RESISTANCE P/GENERATOT SGEN 5</v>
          </cell>
          <cell r="C6335" t="str">
            <v>TURBINE TYPE SST 400 ( C190 -L1 ) N° T6453 LISTE 891359 REP 2130</v>
          </cell>
          <cell r="D6335" t="str">
            <v>PE</v>
          </cell>
          <cell r="E6335" t="str">
            <v>512.51201</v>
          </cell>
          <cell r="F6335">
            <v>17341.524000000001</v>
          </cell>
          <cell r="G6335">
            <v>0</v>
          </cell>
          <cell r="H6335">
            <v>0</v>
          </cell>
          <cell r="I6335">
            <v>0</v>
          </cell>
          <cell r="J6335">
            <v>0</v>
          </cell>
          <cell r="K6335">
            <v>0</v>
          </cell>
          <cell r="L6335">
            <v>0</v>
          </cell>
        </row>
        <row r="6336">
          <cell r="A6336" t="str">
            <v>20211.03432</v>
          </cell>
          <cell r="B6336" t="str">
            <v>TOLE DE SECURITE</v>
          </cell>
          <cell r="C6336" t="str">
            <v>TURBINE TYPE SST 400 ( C190 -L1 ) N° T6453 LISTE 891359 REP 510</v>
          </cell>
          <cell r="D6336" t="str">
            <v>PE</v>
          </cell>
          <cell r="E6336" t="str">
            <v>512.51201</v>
          </cell>
          <cell r="F6336">
            <v>2742</v>
          </cell>
          <cell r="G6336">
            <v>0</v>
          </cell>
          <cell r="H6336">
            <v>0</v>
          </cell>
          <cell r="I6336">
            <v>0</v>
          </cell>
          <cell r="J6336">
            <v>0</v>
          </cell>
          <cell r="K6336">
            <v>0</v>
          </cell>
          <cell r="L6336">
            <v>0</v>
          </cell>
        </row>
        <row r="6337">
          <cell r="A6337" t="str">
            <v>20211.03433</v>
          </cell>
          <cell r="B6337" t="str">
            <v>RESSORT A LAME</v>
          </cell>
          <cell r="C6337" t="str">
            <v>TURBINE TYPE SST 400 ( C190 -L1 ) N° T6453 LISTE 891359 REP 520</v>
          </cell>
          <cell r="D6337" t="str">
            <v>PE</v>
          </cell>
          <cell r="E6337" t="str">
            <v>512.51201</v>
          </cell>
          <cell r="F6337">
            <v>7480.5479999999998</v>
          </cell>
          <cell r="G6337">
            <v>0</v>
          </cell>
          <cell r="H6337">
            <v>0</v>
          </cell>
          <cell r="I6337">
            <v>0</v>
          </cell>
          <cell r="J6337">
            <v>0</v>
          </cell>
          <cell r="K6337">
            <v>0</v>
          </cell>
          <cell r="L6337">
            <v>0</v>
          </cell>
        </row>
        <row r="6338">
          <cell r="A6338" t="str">
            <v>20211.03434</v>
          </cell>
          <cell r="B6338" t="str">
            <v>BOULON HEXAGONAL</v>
          </cell>
          <cell r="C6338" t="str">
            <v>TURBINE TYPE SST 400 ( C190 -L1 ) N° T6453 LISTE 891359 REP 530</v>
          </cell>
          <cell r="D6338" t="str">
            <v>PE</v>
          </cell>
          <cell r="E6338" t="str">
            <v>512.51201</v>
          </cell>
          <cell r="F6338">
            <v>27292.896000000001</v>
          </cell>
          <cell r="G6338">
            <v>0</v>
          </cell>
          <cell r="H6338">
            <v>0</v>
          </cell>
          <cell r="I6338">
            <v>0</v>
          </cell>
          <cell r="J6338">
            <v>0</v>
          </cell>
          <cell r="K6338">
            <v>0</v>
          </cell>
          <cell r="L6338">
            <v>0</v>
          </cell>
        </row>
        <row r="6339">
          <cell r="A6339" t="str">
            <v>20211.03435</v>
          </cell>
          <cell r="B6339" t="str">
            <v>QUEU DE COCHON</v>
          </cell>
          <cell r="C6339" t="str">
            <v>TURBINE TYPE SST 400 ( C190 -L1 ) N° T6453 LISTE 891359 REP 540</v>
          </cell>
          <cell r="D6339" t="str">
            <v>PE</v>
          </cell>
          <cell r="E6339" t="str">
            <v>512.51201</v>
          </cell>
          <cell r="F6339">
            <v>1213.0920000000001</v>
          </cell>
          <cell r="G6339">
            <v>0</v>
          </cell>
          <cell r="H6339">
            <v>0</v>
          </cell>
          <cell r="I6339">
            <v>0</v>
          </cell>
          <cell r="J6339">
            <v>0</v>
          </cell>
          <cell r="K6339">
            <v>0</v>
          </cell>
          <cell r="L6339">
            <v>8</v>
          </cell>
        </row>
        <row r="6340">
          <cell r="A6340" t="str">
            <v>20211.03436</v>
          </cell>
          <cell r="B6340" t="str">
            <v>BROCHE( VALVE ROTATIVE)</v>
          </cell>
          <cell r="C6340" t="str">
            <v>TURBINE TYPE SST 400 ( C190 -L1 ) N° T6453 LISTE 891359 REP 550</v>
          </cell>
          <cell r="D6340" t="str">
            <v>PE</v>
          </cell>
          <cell r="E6340" t="str">
            <v>512.51201</v>
          </cell>
          <cell r="F6340">
            <v>188012.52</v>
          </cell>
          <cell r="G6340">
            <v>0</v>
          </cell>
          <cell r="H6340">
            <v>0</v>
          </cell>
          <cell r="I6340">
            <v>0</v>
          </cell>
          <cell r="J6340">
            <v>0</v>
          </cell>
          <cell r="K6340">
            <v>0</v>
          </cell>
          <cell r="L6340">
            <v>0</v>
          </cell>
        </row>
        <row r="6341">
          <cell r="A6341" t="str">
            <v>20211.03437</v>
          </cell>
          <cell r="B6341" t="str">
            <v>BOULON</v>
          </cell>
          <cell r="C6341" t="str">
            <v>TURBINE TYPE SST 400 ( C190 -L1 ) N° T6453 LISTE 891359 REP 560</v>
          </cell>
          <cell r="D6341" t="str">
            <v>PE</v>
          </cell>
          <cell r="E6341" t="str">
            <v>512.51201</v>
          </cell>
          <cell r="F6341">
            <v>48519.216</v>
          </cell>
          <cell r="G6341">
            <v>0</v>
          </cell>
          <cell r="H6341">
            <v>0</v>
          </cell>
          <cell r="I6341">
            <v>0</v>
          </cell>
          <cell r="J6341">
            <v>0</v>
          </cell>
          <cell r="K6341">
            <v>0</v>
          </cell>
          <cell r="L6341">
            <v>0</v>
          </cell>
        </row>
        <row r="6342">
          <cell r="A6342" t="str">
            <v>20211.03438</v>
          </cell>
          <cell r="B6342" t="str">
            <v>ROULEAU</v>
          </cell>
          <cell r="C6342" t="str">
            <v>TURBINE TYPE SST 400 ( C190 -L1 ) N° T6453 LISTE 891359 REP 570</v>
          </cell>
          <cell r="D6342" t="str">
            <v>PE</v>
          </cell>
          <cell r="E6342" t="str">
            <v>512.51201</v>
          </cell>
          <cell r="F6342">
            <v>57616.847999999998</v>
          </cell>
          <cell r="G6342">
            <v>0</v>
          </cell>
          <cell r="H6342">
            <v>0</v>
          </cell>
          <cell r="I6342">
            <v>0</v>
          </cell>
          <cell r="J6342">
            <v>0</v>
          </cell>
          <cell r="K6342">
            <v>0</v>
          </cell>
          <cell r="L6342">
            <v>0</v>
          </cell>
        </row>
        <row r="6343">
          <cell r="A6343" t="str">
            <v>20211.03439</v>
          </cell>
          <cell r="B6343" t="str">
            <v>QUEU DE COCHON</v>
          </cell>
          <cell r="C6343" t="str">
            <v>TURBINE TYPE SST 400 ( C190 -L1 ) N° T6453 LISTE 891359 REP 580</v>
          </cell>
          <cell r="D6343" t="str">
            <v>PE</v>
          </cell>
          <cell r="E6343" t="str">
            <v>512.51201</v>
          </cell>
          <cell r="F6343">
            <v>101.556</v>
          </cell>
          <cell r="G6343">
            <v>0</v>
          </cell>
          <cell r="H6343">
            <v>0</v>
          </cell>
          <cell r="I6343">
            <v>0</v>
          </cell>
          <cell r="J6343">
            <v>0</v>
          </cell>
          <cell r="K6343">
            <v>0</v>
          </cell>
          <cell r="L6343">
            <v>0</v>
          </cell>
        </row>
        <row r="6344">
          <cell r="A6344" t="str">
            <v>20211.03440</v>
          </cell>
          <cell r="B6344" t="str">
            <v>MANCHON</v>
          </cell>
          <cell r="C6344" t="str">
            <v>TURBINE TYPE SST 400 ( C190 -L1 ) N° T6453 LISTE 891359 REP 590</v>
          </cell>
          <cell r="D6344" t="str">
            <v>PE</v>
          </cell>
          <cell r="E6344" t="str">
            <v>512.51201</v>
          </cell>
          <cell r="F6344">
            <v>17443.080000000002</v>
          </cell>
          <cell r="G6344">
            <v>0</v>
          </cell>
          <cell r="H6344">
            <v>0</v>
          </cell>
          <cell r="I6344">
            <v>0</v>
          </cell>
          <cell r="J6344">
            <v>0</v>
          </cell>
          <cell r="K6344">
            <v>0</v>
          </cell>
          <cell r="L6344">
            <v>0</v>
          </cell>
        </row>
        <row r="6345">
          <cell r="A6345" t="str">
            <v>20211.03545</v>
          </cell>
          <cell r="B6345" t="str">
            <v>TRANSFORMATEUR  660V/220V</v>
          </cell>
          <cell r="C6345" t="str">
            <v>4AM3495-OBE80-0NN2</v>
          </cell>
          <cell r="D6345" t="str">
            <v>PE</v>
          </cell>
          <cell r="E6345" t="str">
            <v>512.51201</v>
          </cell>
          <cell r="F6345">
            <v>734.48400000000004</v>
          </cell>
          <cell r="G6345">
            <v>0</v>
          </cell>
          <cell r="H6345">
            <v>0</v>
          </cell>
          <cell r="I6345">
            <v>0</v>
          </cell>
          <cell r="J6345">
            <v>0</v>
          </cell>
          <cell r="K6345">
            <v>0</v>
          </cell>
          <cell r="L6345">
            <v>0</v>
          </cell>
        </row>
        <row r="6346">
          <cell r="A6346" t="str">
            <v>20211.03546</v>
          </cell>
          <cell r="B6346" t="str">
            <v>LOGO</v>
          </cell>
          <cell r="C6346" t="str">
            <v>6EP1331-1SH02</v>
          </cell>
          <cell r="D6346" t="str">
            <v>PE</v>
          </cell>
          <cell r="E6346" t="str">
            <v>512.51201</v>
          </cell>
          <cell r="F6346">
            <v>939.82</v>
          </cell>
          <cell r="G6346">
            <v>0</v>
          </cell>
          <cell r="H6346">
            <v>0</v>
          </cell>
          <cell r="I6346">
            <v>0</v>
          </cell>
          <cell r="J6346">
            <v>0</v>
          </cell>
          <cell r="K6346">
            <v>0</v>
          </cell>
          <cell r="L6346">
            <v>4</v>
          </cell>
        </row>
        <row r="6347">
          <cell r="A6347" t="str">
            <v>20211.03548</v>
          </cell>
          <cell r="B6347" t="str">
            <v>RELAIS DE SURCHARGE DE 55 A 250A</v>
          </cell>
          <cell r="C6347" t="str">
            <v>3RB2066-1GC2</v>
          </cell>
          <cell r="D6347" t="str">
            <v>PE</v>
          </cell>
          <cell r="E6347" t="str">
            <v>512.51201</v>
          </cell>
          <cell r="F6347">
            <v>1867.056</v>
          </cell>
          <cell r="G6347">
            <v>0</v>
          </cell>
          <cell r="H6347">
            <v>0</v>
          </cell>
          <cell r="I6347">
            <v>0</v>
          </cell>
          <cell r="J6347">
            <v>0</v>
          </cell>
          <cell r="K6347">
            <v>0</v>
          </cell>
          <cell r="L6347">
            <v>0</v>
          </cell>
        </row>
        <row r="6348">
          <cell r="A6348" t="str">
            <v>20211.03549</v>
          </cell>
          <cell r="B6348" t="str">
            <v>BLOC AUX AUTOMATE 4E/4S</v>
          </cell>
          <cell r="C6348" t="str">
            <v>6ED1055-1MB00-OBA1</v>
          </cell>
          <cell r="D6348" t="str">
            <v>PE</v>
          </cell>
          <cell r="E6348" t="str">
            <v>512.51201</v>
          </cell>
          <cell r="F6348">
            <v>590.5086</v>
          </cell>
          <cell r="G6348">
            <v>0</v>
          </cell>
          <cell r="H6348">
            <v>0</v>
          </cell>
          <cell r="I6348">
            <v>0</v>
          </cell>
          <cell r="J6348">
            <v>0</v>
          </cell>
          <cell r="K6348">
            <v>0</v>
          </cell>
          <cell r="L6348">
            <v>7</v>
          </cell>
        </row>
        <row r="6349">
          <cell r="A6349" t="str">
            <v>20211.03550</v>
          </cell>
          <cell r="B6349" t="str">
            <v>FUSIBLE CYLINDRIQUE  Am 2A 14*51</v>
          </cell>
          <cell r="C6349" t="str">
            <v>3NW8102-1</v>
          </cell>
          <cell r="D6349" t="str">
            <v>PE</v>
          </cell>
          <cell r="E6349" t="str">
            <v>512.51201</v>
          </cell>
          <cell r="F6349">
            <v>44.231999999999999</v>
          </cell>
          <cell r="G6349">
            <v>0</v>
          </cell>
          <cell r="H6349">
            <v>0</v>
          </cell>
          <cell r="I6349">
            <v>0</v>
          </cell>
          <cell r="J6349">
            <v>0</v>
          </cell>
          <cell r="K6349">
            <v>0</v>
          </cell>
          <cell r="L6349">
            <v>0</v>
          </cell>
        </row>
        <row r="6350">
          <cell r="A6350" t="str">
            <v>20211.03541</v>
          </cell>
          <cell r="B6350" t="str">
            <v>POSITIONNEUR ELECTRO-PNEUMATIQUE</v>
          </cell>
          <cell r="C6350" t="str">
            <v>6DR5010-0NG00-0AA0</v>
          </cell>
          <cell r="D6350" t="str">
            <v>PE</v>
          </cell>
          <cell r="E6350" t="str">
            <v>512.51201</v>
          </cell>
          <cell r="F6350">
            <v>11243.19</v>
          </cell>
          <cell r="G6350">
            <v>0</v>
          </cell>
          <cell r="H6350">
            <v>0</v>
          </cell>
          <cell r="I6350">
            <v>0</v>
          </cell>
          <cell r="J6350">
            <v>0</v>
          </cell>
          <cell r="K6350">
            <v>0</v>
          </cell>
          <cell r="L6350">
            <v>0</v>
          </cell>
        </row>
        <row r="6351">
          <cell r="A6351" t="str">
            <v>20211.03542</v>
          </cell>
          <cell r="B6351" t="str">
            <v>POSITIONNEUR  ELECTRO-PNEUMATQUE</v>
          </cell>
          <cell r="C6351" t="str">
            <v>6DR5210-0EN00-0BA3</v>
          </cell>
          <cell r="D6351" t="str">
            <v>PE</v>
          </cell>
          <cell r="E6351" t="str">
            <v>512.51201</v>
          </cell>
          <cell r="F6351">
            <v>10984</v>
          </cell>
          <cell r="G6351">
            <v>0</v>
          </cell>
          <cell r="H6351">
            <v>0</v>
          </cell>
          <cell r="I6351">
            <v>0</v>
          </cell>
          <cell r="J6351">
            <v>0</v>
          </cell>
          <cell r="K6351">
            <v>0</v>
          </cell>
          <cell r="L6351">
            <v>0</v>
          </cell>
        </row>
        <row r="6352">
          <cell r="A6352" t="str">
            <v>20211.03543</v>
          </cell>
          <cell r="B6352" t="str">
            <v>TRANSFORMATEUR  660V/220V</v>
          </cell>
          <cell r="C6352" t="str">
            <v>4AM5242- 5LC40-0FA0</v>
          </cell>
          <cell r="D6352" t="str">
            <v>PE</v>
          </cell>
          <cell r="E6352" t="str">
            <v>512.51201</v>
          </cell>
          <cell r="F6352">
            <v>2027.6880000000001</v>
          </cell>
          <cell r="G6352">
            <v>0</v>
          </cell>
          <cell r="H6352">
            <v>0</v>
          </cell>
          <cell r="I6352">
            <v>0</v>
          </cell>
          <cell r="J6352">
            <v>0</v>
          </cell>
          <cell r="K6352">
            <v>0</v>
          </cell>
          <cell r="L6352">
            <v>0</v>
          </cell>
        </row>
        <row r="6353">
          <cell r="A6353" t="str">
            <v>20211.03544</v>
          </cell>
          <cell r="B6353" t="str">
            <v>DISJONCTEUR  SIRUIS 5,5A A 8A</v>
          </cell>
          <cell r="C6353" t="str">
            <v>3RV1011-1HA15</v>
          </cell>
          <cell r="D6353" t="str">
            <v>PE</v>
          </cell>
          <cell r="E6353" t="str">
            <v>512.51201</v>
          </cell>
          <cell r="F6353">
            <v>582</v>
          </cell>
          <cell r="G6353">
            <v>0</v>
          </cell>
          <cell r="H6353">
            <v>0</v>
          </cell>
          <cell r="I6353">
            <v>0</v>
          </cell>
          <cell r="J6353">
            <v>0</v>
          </cell>
          <cell r="K6353">
            <v>0</v>
          </cell>
          <cell r="L6353">
            <v>0</v>
          </cell>
        </row>
        <row r="6354">
          <cell r="A6354" t="str">
            <v>20211.10003</v>
          </cell>
          <cell r="B6354" t="str">
            <v>MICROPROCESSEUR CPU 417H POUR S7-400H  4 INTERFACES</v>
          </cell>
          <cell r="C6354" t="str">
            <v>6ES7 417- 4HL04-0AB0</v>
          </cell>
          <cell r="D6354" t="str">
            <v>PE</v>
          </cell>
          <cell r="E6354" t="str">
            <v>512.51201</v>
          </cell>
          <cell r="F6354">
            <v>285669.78000000003</v>
          </cell>
          <cell r="G6354">
            <v>0</v>
          </cell>
          <cell r="H6354">
            <v>0</v>
          </cell>
          <cell r="I6354">
            <v>0</v>
          </cell>
          <cell r="J6354">
            <v>0</v>
          </cell>
          <cell r="K6354">
            <v>0</v>
          </cell>
          <cell r="L6354">
            <v>0</v>
          </cell>
        </row>
        <row r="6355">
          <cell r="A6355" t="str">
            <v>20211.03442</v>
          </cell>
          <cell r="B6355" t="str">
            <v>MANCHON</v>
          </cell>
          <cell r="C6355" t="str">
            <v>TURBINE TYPE SST 400 ( C190 -L1 ) N° T6453 LISTE 891359 REP 610</v>
          </cell>
          <cell r="D6355" t="str">
            <v>PE</v>
          </cell>
          <cell r="E6355" t="str">
            <v>512.51201</v>
          </cell>
          <cell r="F6355">
            <v>34698.671999999999</v>
          </cell>
          <cell r="G6355">
            <v>0</v>
          </cell>
          <cell r="H6355">
            <v>0</v>
          </cell>
          <cell r="I6355">
            <v>0</v>
          </cell>
          <cell r="J6355">
            <v>0</v>
          </cell>
          <cell r="K6355">
            <v>0</v>
          </cell>
          <cell r="L6355">
            <v>0</v>
          </cell>
        </row>
        <row r="6356">
          <cell r="A6356" t="str">
            <v>20211.03443</v>
          </cell>
          <cell r="B6356" t="str">
            <v>RONDELLE</v>
          </cell>
          <cell r="C6356" t="str">
            <v>TURBINE TYPE SST 400 ( C190 -L1 ) N° T6453 LISTE 891359 REP 620</v>
          </cell>
          <cell r="D6356" t="str">
            <v>PE</v>
          </cell>
          <cell r="E6356" t="str">
            <v>512.51201</v>
          </cell>
          <cell r="F6356">
            <v>183.024</v>
          </cell>
          <cell r="G6356">
            <v>0</v>
          </cell>
          <cell r="H6356">
            <v>0</v>
          </cell>
          <cell r="I6356">
            <v>0</v>
          </cell>
          <cell r="J6356">
            <v>0</v>
          </cell>
          <cell r="K6356">
            <v>0</v>
          </cell>
          <cell r="L6356">
            <v>0</v>
          </cell>
        </row>
        <row r="6357">
          <cell r="A6357" t="str">
            <v>20211.03444</v>
          </cell>
          <cell r="B6357" t="str">
            <v>BOULON HEXAGONAL</v>
          </cell>
          <cell r="C6357" t="str">
            <v>TURBINE TYPE SST 400 ( C190 -L1 ) N° T6453 LISTE 891359 REP 630</v>
          </cell>
          <cell r="D6357" t="str">
            <v>PE</v>
          </cell>
          <cell r="E6357" t="str">
            <v>512.51201</v>
          </cell>
          <cell r="F6357">
            <v>405.108</v>
          </cell>
          <cell r="G6357">
            <v>0</v>
          </cell>
          <cell r="H6357">
            <v>0</v>
          </cell>
          <cell r="I6357">
            <v>0</v>
          </cell>
          <cell r="J6357">
            <v>0</v>
          </cell>
          <cell r="K6357">
            <v>0</v>
          </cell>
          <cell r="L6357">
            <v>0</v>
          </cell>
        </row>
        <row r="6358">
          <cell r="A6358" t="str">
            <v>20211.03445</v>
          </cell>
          <cell r="B6358" t="str">
            <v>BAGUE D'ETANCHEITE</v>
          </cell>
          <cell r="C6358" t="str">
            <v>TURBINE TYPE SST 400 ( C190 -L1 ) N° T6453 LISTE 891359 REP 640</v>
          </cell>
          <cell r="D6358" t="str">
            <v>PE</v>
          </cell>
          <cell r="E6358" t="str">
            <v>512.51201</v>
          </cell>
          <cell r="F6358">
            <v>12378.672</v>
          </cell>
          <cell r="G6358">
            <v>0</v>
          </cell>
          <cell r="H6358">
            <v>0</v>
          </cell>
          <cell r="I6358">
            <v>0</v>
          </cell>
          <cell r="J6358">
            <v>0</v>
          </cell>
          <cell r="K6358">
            <v>0</v>
          </cell>
          <cell r="L6358">
            <v>0</v>
          </cell>
        </row>
        <row r="6359">
          <cell r="A6359" t="str">
            <v>20211.03446</v>
          </cell>
          <cell r="B6359" t="str">
            <v>BAGUE D'ETANCHEITE</v>
          </cell>
          <cell r="C6359" t="str">
            <v>TURBINE TYPE SST 400 ( C190 -L1 ) N° T6453 LISTE 891359 REP 650</v>
          </cell>
          <cell r="D6359" t="str">
            <v>PE</v>
          </cell>
          <cell r="E6359" t="str">
            <v>512.51201</v>
          </cell>
          <cell r="F6359">
            <v>15943.175999999999</v>
          </cell>
          <cell r="G6359">
            <v>0</v>
          </cell>
          <cell r="H6359">
            <v>0</v>
          </cell>
          <cell r="I6359">
            <v>0</v>
          </cell>
          <cell r="J6359">
            <v>0</v>
          </cell>
          <cell r="K6359">
            <v>0</v>
          </cell>
          <cell r="L6359">
            <v>0</v>
          </cell>
        </row>
        <row r="6360">
          <cell r="A6360" t="str">
            <v>20211.03448</v>
          </cell>
          <cell r="B6360" t="str">
            <v>TIGE DE SOUPAPE</v>
          </cell>
          <cell r="C6360" t="str">
            <v>TURBINE TYPE SST 400 ( C190 -L1 ) N° T6453 LISTE 891359 REP 670</v>
          </cell>
          <cell r="D6360" t="str">
            <v>PE</v>
          </cell>
          <cell r="E6360" t="str">
            <v>512.51201</v>
          </cell>
          <cell r="F6360">
            <v>92500</v>
          </cell>
          <cell r="G6360">
            <v>0</v>
          </cell>
          <cell r="H6360">
            <v>0</v>
          </cell>
          <cell r="I6360">
            <v>0</v>
          </cell>
          <cell r="J6360">
            <v>0</v>
          </cell>
          <cell r="K6360">
            <v>0</v>
          </cell>
          <cell r="L6360">
            <v>1</v>
          </cell>
        </row>
        <row r="6361">
          <cell r="A6361" t="str">
            <v>20211.03551</v>
          </cell>
          <cell r="B6361" t="str">
            <v>FUSIBLE CYLINDRIQUE Am 2A 14*51</v>
          </cell>
          <cell r="C6361" t="str">
            <v>3NW8104-1</v>
          </cell>
          <cell r="D6361" t="str">
            <v>PE</v>
          </cell>
          <cell r="E6361" t="str">
            <v>512.51201</v>
          </cell>
          <cell r="F6361">
            <v>44.231999999999999</v>
          </cell>
          <cell r="G6361">
            <v>0</v>
          </cell>
          <cell r="H6361">
            <v>0</v>
          </cell>
          <cell r="I6361">
            <v>0</v>
          </cell>
          <cell r="J6361">
            <v>0</v>
          </cell>
          <cell r="K6361">
            <v>0</v>
          </cell>
          <cell r="L6361">
            <v>0</v>
          </cell>
        </row>
        <row r="6362">
          <cell r="A6362" t="str">
            <v>20211.03552</v>
          </cell>
          <cell r="B6362" t="str">
            <v>RELAIS DE SEQUENCE DE PHASE</v>
          </cell>
          <cell r="C6362" t="str">
            <v>3UG4512-1AR20</v>
          </cell>
          <cell r="D6362" t="str">
            <v>PE</v>
          </cell>
          <cell r="E6362" t="str">
            <v>512.51201</v>
          </cell>
          <cell r="F6362">
            <v>711.20399999999995</v>
          </cell>
          <cell r="G6362">
            <v>0</v>
          </cell>
          <cell r="H6362">
            <v>0</v>
          </cell>
          <cell r="I6362">
            <v>0</v>
          </cell>
          <cell r="J6362">
            <v>0</v>
          </cell>
          <cell r="K6362">
            <v>0</v>
          </cell>
          <cell r="L6362">
            <v>0</v>
          </cell>
        </row>
        <row r="6363">
          <cell r="A6363" t="str">
            <v>20211.03553</v>
          </cell>
          <cell r="B6363" t="str">
            <v>TRANSFORMATEUR 660/110-24V</v>
          </cell>
          <cell r="C6363" t="str">
            <v>4AM4896-OEM00-OFSI</v>
          </cell>
          <cell r="D6363" t="str">
            <v>PE</v>
          </cell>
          <cell r="E6363" t="str">
            <v>512.51201</v>
          </cell>
          <cell r="F6363">
            <v>1400.2919999999999</v>
          </cell>
          <cell r="G6363">
            <v>0</v>
          </cell>
          <cell r="H6363">
            <v>0</v>
          </cell>
          <cell r="I6363">
            <v>0</v>
          </cell>
          <cell r="J6363">
            <v>0</v>
          </cell>
          <cell r="K6363">
            <v>0</v>
          </cell>
          <cell r="L6363">
            <v>0</v>
          </cell>
        </row>
        <row r="6364">
          <cell r="A6364" t="str">
            <v>20211.03554</v>
          </cell>
          <cell r="B6364" t="str">
            <v>DISJONCTEUR MOTEUR</v>
          </cell>
          <cell r="C6364" t="str">
            <v>3RV1011-OKA15</v>
          </cell>
          <cell r="D6364" t="str">
            <v>PE</v>
          </cell>
          <cell r="E6364" t="str">
            <v>512.51201</v>
          </cell>
          <cell r="F6364">
            <v>544.21680000000003</v>
          </cell>
          <cell r="G6364">
            <v>0</v>
          </cell>
          <cell r="H6364">
            <v>0</v>
          </cell>
          <cell r="I6364">
            <v>0</v>
          </cell>
          <cell r="J6364">
            <v>0</v>
          </cell>
          <cell r="K6364">
            <v>0</v>
          </cell>
          <cell r="L6364">
            <v>0</v>
          </cell>
        </row>
        <row r="6365">
          <cell r="A6365" t="str">
            <v>20211.03449</v>
          </cell>
          <cell r="B6365" t="str">
            <v>TOLE DE SECURITE</v>
          </cell>
          <cell r="C6365" t="str">
            <v>TURBINE TYPE SST 400 ( C190 -L1 ) N° T6453 LISTE 891359 REP 680</v>
          </cell>
          <cell r="D6365" t="str">
            <v>PE</v>
          </cell>
          <cell r="E6365" t="str">
            <v>512.51201</v>
          </cell>
          <cell r="F6365">
            <v>9097.6319999999996</v>
          </cell>
          <cell r="G6365">
            <v>0</v>
          </cell>
          <cell r="H6365">
            <v>0</v>
          </cell>
          <cell r="I6365">
            <v>0</v>
          </cell>
          <cell r="J6365">
            <v>0</v>
          </cell>
          <cell r="K6365">
            <v>0</v>
          </cell>
          <cell r="L6365">
            <v>0</v>
          </cell>
        </row>
        <row r="6366">
          <cell r="A6366" t="str">
            <v>20211.03450</v>
          </cell>
          <cell r="B6366" t="str">
            <v>RONDELLE</v>
          </cell>
          <cell r="C6366" t="str">
            <v>TURBINE TYPE SST 400 ( C190 -L1 ) N° T6453 LISTE 891359 REP 690</v>
          </cell>
          <cell r="D6366" t="str">
            <v>PE</v>
          </cell>
          <cell r="E6366" t="str">
            <v>512.51201</v>
          </cell>
          <cell r="F6366">
            <v>91.512</v>
          </cell>
          <cell r="G6366">
            <v>0</v>
          </cell>
          <cell r="H6366">
            <v>0</v>
          </cell>
          <cell r="I6366">
            <v>0</v>
          </cell>
          <cell r="J6366">
            <v>0</v>
          </cell>
          <cell r="K6366">
            <v>0</v>
          </cell>
          <cell r="L6366">
            <v>0</v>
          </cell>
        </row>
        <row r="6367">
          <cell r="A6367" t="str">
            <v>20211.03451</v>
          </cell>
          <cell r="B6367" t="str">
            <v>BOULON HEXAGONAL</v>
          </cell>
          <cell r="C6367" t="str">
            <v>TURBINE TYPE SST 400 ( C190 -L1 ) N° T6453 LISTE 891359 REP 700</v>
          </cell>
          <cell r="D6367" t="str">
            <v>PE</v>
          </cell>
          <cell r="E6367" t="str">
            <v>512.51201</v>
          </cell>
          <cell r="F6367">
            <v>101.556</v>
          </cell>
          <cell r="G6367">
            <v>0</v>
          </cell>
          <cell r="H6367">
            <v>0</v>
          </cell>
          <cell r="I6367">
            <v>0</v>
          </cell>
          <cell r="J6367">
            <v>0</v>
          </cell>
          <cell r="K6367">
            <v>0</v>
          </cell>
          <cell r="L6367">
            <v>0</v>
          </cell>
        </row>
        <row r="6368">
          <cell r="A6368" t="str">
            <v>20211.03452</v>
          </cell>
          <cell r="B6368" t="str">
            <v>VANNE DE SECURITE</v>
          </cell>
          <cell r="C6368" t="str">
            <v>TURBINE TYPE SST 400 ( C190 -L1 ) N° T6453 LISTE 891359 REP 710</v>
          </cell>
          <cell r="D6368" t="str">
            <v>PE</v>
          </cell>
          <cell r="E6368" t="str">
            <v>512.51201</v>
          </cell>
          <cell r="F6368">
            <v>40432.68</v>
          </cell>
          <cell r="G6368">
            <v>0</v>
          </cell>
          <cell r="H6368">
            <v>0</v>
          </cell>
          <cell r="I6368">
            <v>0</v>
          </cell>
          <cell r="J6368">
            <v>0</v>
          </cell>
          <cell r="K6368">
            <v>0</v>
          </cell>
          <cell r="L6368">
            <v>0</v>
          </cell>
        </row>
        <row r="6369">
          <cell r="A6369" t="str">
            <v>20211.03453</v>
          </cell>
          <cell r="B6369" t="str">
            <v>VANNE MAGNETIQUE</v>
          </cell>
          <cell r="C6369" t="str">
            <v>TURBINE TYPE SST 400 ( C190 -L1 ) N° T6453 LISTE 891359 REP 720</v>
          </cell>
          <cell r="D6369" t="str">
            <v>PE</v>
          </cell>
          <cell r="E6369" t="str">
            <v>512.51201</v>
          </cell>
          <cell r="F6369">
            <v>40432.68</v>
          </cell>
          <cell r="G6369">
            <v>0</v>
          </cell>
          <cell r="H6369">
            <v>0</v>
          </cell>
          <cell r="I6369">
            <v>0</v>
          </cell>
          <cell r="J6369">
            <v>0</v>
          </cell>
          <cell r="K6369">
            <v>0</v>
          </cell>
          <cell r="L6369">
            <v>1</v>
          </cell>
        </row>
        <row r="6370">
          <cell r="A6370" t="str">
            <v>20211.03454</v>
          </cell>
          <cell r="B6370" t="str">
            <v>VANNE MAGNETIQUE</v>
          </cell>
          <cell r="C6370" t="str">
            <v>TURBINE TYPE SST 400 ( C190 -L1 ) N° T6453 LISTE 891359 REP730</v>
          </cell>
          <cell r="D6370" t="str">
            <v>PE</v>
          </cell>
          <cell r="E6370" t="str">
            <v>512.51201</v>
          </cell>
          <cell r="F6370">
            <v>26281.8</v>
          </cell>
          <cell r="G6370">
            <v>0</v>
          </cell>
          <cell r="H6370">
            <v>0</v>
          </cell>
          <cell r="I6370">
            <v>0</v>
          </cell>
          <cell r="J6370">
            <v>0</v>
          </cell>
          <cell r="K6370">
            <v>0</v>
          </cell>
          <cell r="L6370">
            <v>2</v>
          </cell>
        </row>
        <row r="6371">
          <cell r="A6371" t="str">
            <v>20211.03455</v>
          </cell>
          <cell r="B6371" t="str">
            <v>BOITE MAGNETIQUE</v>
          </cell>
          <cell r="C6371" t="str">
            <v>TURBINE TYPE SST 400 ( C190 -L1 ) N° T6453 LISTE 891359 REP 740</v>
          </cell>
          <cell r="D6371" t="str">
            <v>PE</v>
          </cell>
          <cell r="E6371" t="str">
            <v>512.51201</v>
          </cell>
          <cell r="F6371">
            <v>15004.62</v>
          </cell>
          <cell r="G6371">
            <v>0</v>
          </cell>
          <cell r="H6371">
            <v>0</v>
          </cell>
          <cell r="I6371">
            <v>0</v>
          </cell>
          <cell r="J6371">
            <v>0</v>
          </cell>
          <cell r="K6371">
            <v>0</v>
          </cell>
          <cell r="L6371">
            <v>4</v>
          </cell>
        </row>
        <row r="6372">
          <cell r="A6372" t="str">
            <v>20211.03456</v>
          </cell>
          <cell r="B6372" t="str">
            <v>BOITE MAGNETIQUE</v>
          </cell>
          <cell r="C6372" t="str">
            <v>TURBINE TYPE SST 400 ( C190 -L1 ) N° T6453 LISTE 891359 REP 750</v>
          </cell>
          <cell r="D6372" t="str">
            <v>PE</v>
          </cell>
          <cell r="E6372" t="str">
            <v>512.51201</v>
          </cell>
          <cell r="F6372">
            <v>15004.62</v>
          </cell>
          <cell r="G6372">
            <v>0</v>
          </cell>
          <cell r="H6372">
            <v>0</v>
          </cell>
          <cell r="I6372">
            <v>0</v>
          </cell>
          <cell r="J6372">
            <v>0</v>
          </cell>
          <cell r="K6372">
            <v>0</v>
          </cell>
          <cell r="L6372">
            <v>2</v>
          </cell>
        </row>
        <row r="6373">
          <cell r="A6373" t="str">
            <v>20211.03567</v>
          </cell>
          <cell r="B6373" t="str">
            <v>TRANSMETTEUR DE PRESSION</v>
          </cell>
          <cell r="C6373" t="str">
            <v xml:space="preserve">7MF4033-1BA00-1AB6-ZC11-Y01-Y21    </v>
          </cell>
          <cell r="D6373" t="str">
            <v>PE</v>
          </cell>
          <cell r="E6373" t="str">
            <v>512.51201</v>
          </cell>
          <cell r="F6373">
            <v>6850.7</v>
          </cell>
          <cell r="G6373">
            <v>0</v>
          </cell>
          <cell r="H6373">
            <v>0</v>
          </cell>
          <cell r="I6373">
            <v>0</v>
          </cell>
          <cell r="J6373">
            <v>0</v>
          </cell>
          <cell r="K6373">
            <v>0</v>
          </cell>
          <cell r="L6373">
            <v>2</v>
          </cell>
        </row>
        <row r="6374">
          <cell r="A6374" t="str">
            <v>20211.03458</v>
          </cell>
          <cell r="B6374" t="str">
            <v>COUSSINET</v>
          </cell>
          <cell r="C6374" t="str">
            <v>TURBINE TYPE SST 400 ( C190 -L1 ) N° T6453 LISTE 891359 REP 2010</v>
          </cell>
          <cell r="D6374" t="str">
            <v>PE</v>
          </cell>
          <cell r="E6374" t="str">
            <v>512.51201</v>
          </cell>
          <cell r="F6374">
            <v>360491.43599999999</v>
          </cell>
          <cell r="G6374">
            <v>0</v>
          </cell>
          <cell r="H6374">
            <v>0</v>
          </cell>
          <cell r="I6374">
            <v>0</v>
          </cell>
          <cell r="J6374">
            <v>0</v>
          </cell>
          <cell r="K6374">
            <v>0</v>
          </cell>
          <cell r="L6374">
            <v>0</v>
          </cell>
        </row>
        <row r="6375">
          <cell r="A6375" t="str">
            <v>20211.03459</v>
          </cell>
          <cell r="B6375" t="str">
            <v>COUSSINET</v>
          </cell>
          <cell r="C6375" t="str">
            <v>TURBINE TYPE SST 400 ( C190 -L1 ) N° T6453 LISTE 891359 REP 2020</v>
          </cell>
          <cell r="D6375" t="str">
            <v>PE</v>
          </cell>
          <cell r="E6375" t="str">
            <v>512.51201</v>
          </cell>
          <cell r="F6375">
            <v>237887.67600000001</v>
          </cell>
          <cell r="G6375">
            <v>0</v>
          </cell>
          <cell r="H6375">
            <v>0</v>
          </cell>
          <cell r="I6375">
            <v>0</v>
          </cell>
          <cell r="J6375">
            <v>0</v>
          </cell>
          <cell r="K6375">
            <v>0</v>
          </cell>
          <cell r="L6375">
            <v>0</v>
          </cell>
        </row>
        <row r="6376">
          <cell r="A6376" t="str">
            <v>20211.03460</v>
          </cell>
          <cell r="B6376" t="str">
            <v>ENGRAVURE</v>
          </cell>
          <cell r="C6376" t="str">
            <v>TURBINE TYPE SST 400 ( C190 -L1 ) N° T6453 LISTE 891359 REP 2030</v>
          </cell>
          <cell r="D6376" t="str">
            <v>PE</v>
          </cell>
          <cell r="E6376" t="str">
            <v>512.51201</v>
          </cell>
          <cell r="F6376">
            <v>165773.98800000001</v>
          </cell>
          <cell r="G6376">
            <v>0</v>
          </cell>
          <cell r="H6376">
            <v>0</v>
          </cell>
          <cell r="I6376">
            <v>0</v>
          </cell>
          <cell r="J6376">
            <v>0</v>
          </cell>
          <cell r="K6376">
            <v>0</v>
          </cell>
          <cell r="L6376">
            <v>0</v>
          </cell>
        </row>
        <row r="6377">
          <cell r="A6377" t="str">
            <v>20211.03461</v>
          </cell>
          <cell r="B6377" t="str">
            <v>ENGRAVURE</v>
          </cell>
          <cell r="C6377" t="str">
            <v>TURBINE TYPE SST 400 ( C190 -L1 ) N° T6453 LISTE 891359 REP  2040</v>
          </cell>
          <cell r="D6377" t="str">
            <v>PE</v>
          </cell>
          <cell r="E6377" t="str">
            <v>512.51201</v>
          </cell>
          <cell r="F6377">
            <v>74801.016000000003</v>
          </cell>
          <cell r="G6377">
            <v>0</v>
          </cell>
          <cell r="H6377">
            <v>0</v>
          </cell>
          <cell r="I6377">
            <v>0</v>
          </cell>
          <cell r="J6377">
            <v>0</v>
          </cell>
          <cell r="K6377">
            <v>0</v>
          </cell>
          <cell r="L6377">
            <v>0</v>
          </cell>
        </row>
        <row r="6378">
          <cell r="A6378" t="str">
            <v>20211.03462</v>
          </cell>
          <cell r="B6378" t="str">
            <v>ENGRAVURE</v>
          </cell>
          <cell r="C6378" t="str">
            <v>TURBINE TYPE SST 400 ( C190 -L1 ) N° T6453 LISTE 891359 REP 2050</v>
          </cell>
          <cell r="D6378" t="str">
            <v>PE</v>
          </cell>
          <cell r="E6378" t="str">
            <v>512.51201</v>
          </cell>
          <cell r="F6378">
            <v>50541.408000000003</v>
          </cell>
          <cell r="G6378">
            <v>0</v>
          </cell>
          <cell r="H6378">
            <v>0</v>
          </cell>
          <cell r="I6378">
            <v>0</v>
          </cell>
          <cell r="J6378">
            <v>0</v>
          </cell>
          <cell r="K6378">
            <v>0</v>
          </cell>
          <cell r="L6378">
            <v>0</v>
          </cell>
        </row>
        <row r="6379">
          <cell r="A6379" t="str">
            <v>20211.03463</v>
          </cell>
          <cell r="B6379" t="str">
            <v>ENGRAVURE</v>
          </cell>
          <cell r="C6379" t="str">
            <v>TURBINE TYPE SST 400 ( C190 -L1 ) N° T6453 LISTE 891359 REP 2060</v>
          </cell>
          <cell r="D6379" t="str">
            <v>PE</v>
          </cell>
          <cell r="E6379" t="str">
            <v>512.51201</v>
          </cell>
          <cell r="F6379">
            <v>103103.89200000001</v>
          </cell>
          <cell r="G6379">
            <v>0</v>
          </cell>
          <cell r="H6379">
            <v>0</v>
          </cell>
          <cell r="I6379">
            <v>0</v>
          </cell>
          <cell r="J6379">
            <v>0</v>
          </cell>
          <cell r="K6379">
            <v>0</v>
          </cell>
          <cell r="L6379">
            <v>0</v>
          </cell>
        </row>
        <row r="6380">
          <cell r="A6380" t="str">
            <v>20211.03464</v>
          </cell>
          <cell r="B6380" t="str">
            <v>MATERIAU D'ETANCHEMENT</v>
          </cell>
          <cell r="C6380" t="str">
            <v>TURBINE TYPE SST 400 ( C190 -L1 ) N° T6453 LISTE 891359 REP 2070</v>
          </cell>
          <cell r="D6380" t="str">
            <v>PE</v>
          </cell>
          <cell r="E6380" t="str">
            <v>512.51201</v>
          </cell>
          <cell r="F6380">
            <v>1011.096</v>
          </cell>
          <cell r="G6380">
            <v>0</v>
          </cell>
          <cell r="H6380">
            <v>0</v>
          </cell>
          <cell r="I6380">
            <v>0</v>
          </cell>
          <cell r="J6380">
            <v>0</v>
          </cell>
          <cell r="K6380">
            <v>0</v>
          </cell>
          <cell r="L6380">
            <v>0</v>
          </cell>
        </row>
        <row r="6381">
          <cell r="A6381" t="str">
            <v>20211.03465</v>
          </cell>
          <cell r="B6381" t="str">
            <v>DOUBLE PORTE BALAIS</v>
          </cell>
          <cell r="C6381" t="str">
            <v>TURBINE TYPE SST 400 ( C190 -L1 ) N° T6453 LISTE 891359 REP 2080</v>
          </cell>
          <cell r="D6381" t="str">
            <v>PE</v>
          </cell>
          <cell r="E6381" t="str">
            <v>512.51201</v>
          </cell>
          <cell r="F6381">
            <v>8214.8760000000002</v>
          </cell>
          <cell r="G6381">
            <v>0</v>
          </cell>
          <cell r="H6381">
            <v>0</v>
          </cell>
          <cell r="I6381">
            <v>0</v>
          </cell>
          <cell r="J6381">
            <v>0</v>
          </cell>
          <cell r="K6381">
            <v>0</v>
          </cell>
          <cell r="L6381">
            <v>0</v>
          </cell>
        </row>
        <row r="6382">
          <cell r="A6382" t="str">
            <v>20211.03572</v>
          </cell>
          <cell r="B6382" t="str">
            <v>transmetteur de pression</v>
          </cell>
          <cell r="C6382" t="str">
            <v xml:space="preserve">7MF4233-1GA00-1AB6-ZC11-Y01-Y21    </v>
          </cell>
          <cell r="D6382" t="str">
            <v>PE</v>
          </cell>
          <cell r="E6382" t="str">
            <v>512.51201</v>
          </cell>
          <cell r="F6382">
            <v>9897.4635999999991</v>
          </cell>
          <cell r="G6382">
            <v>0</v>
          </cell>
          <cell r="H6382">
            <v>1</v>
          </cell>
          <cell r="I6382">
            <v>0</v>
          </cell>
          <cell r="J6382">
            <v>0</v>
          </cell>
          <cell r="K6382">
            <v>0</v>
          </cell>
          <cell r="L6382">
            <v>3</v>
          </cell>
        </row>
        <row r="6383">
          <cell r="A6383" t="str">
            <v>20211.03573</v>
          </cell>
          <cell r="B6383" t="str">
            <v>POSITIONNEUREUR POUR VANNE DE REGULATION</v>
          </cell>
          <cell r="C6383" t="str">
            <v xml:space="preserve">6DR5310-0NG00-0AA0    </v>
          </cell>
          <cell r="D6383" t="str">
            <v>PE</v>
          </cell>
          <cell r="E6383" t="str">
            <v>512.51201</v>
          </cell>
          <cell r="F6383">
            <v>13819.944</v>
          </cell>
          <cell r="G6383">
            <v>0</v>
          </cell>
          <cell r="H6383">
            <v>0</v>
          </cell>
          <cell r="I6383">
            <v>0</v>
          </cell>
          <cell r="J6383">
            <v>0</v>
          </cell>
          <cell r="K6383">
            <v>0</v>
          </cell>
          <cell r="L6383">
            <v>0</v>
          </cell>
        </row>
        <row r="6384">
          <cell r="A6384" t="str">
            <v>20211.03568</v>
          </cell>
          <cell r="B6384" t="str">
            <v>transmetteur de pression</v>
          </cell>
          <cell r="C6384" t="str">
            <v xml:space="preserve">7MF4033-1CA00-1AB6-ZC11-Y01-Y21    </v>
          </cell>
          <cell r="D6384" t="str">
            <v>PE</v>
          </cell>
          <cell r="E6384" t="str">
            <v>512.51201</v>
          </cell>
          <cell r="F6384">
            <v>13780.939</v>
          </cell>
          <cell r="G6384">
            <v>0</v>
          </cell>
          <cell r="H6384">
            <v>0</v>
          </cell>
          <cell r="I6384">
            <v>0</v>
          </cell>
          <cell r="J6384">
            <v>0</v>
          </cell>
          <cell r="K6384">
            <v>0</v>
          </cell>
          <cell r="L6384">
            <v>0</v>
          </cell>
        </row>
        <row r="6385">
          <cell r="A6385" t="str">
            <v>20211.03569</v>
          </cell>
          <cell r="B6385" t="str">
            <v>transmetteur de pression</v>
          </cell>
          <cell r="C6385" t="str">
            <v xml:space="preserve">7MF4033-1EA00-1AB6-ZC11-Y01-Y21    </v>
          </cell>
          <cell r="D6385" t="str">
            <v>PE</v>
          </cell>
          <cell r="E6385" t="str">
            <v>512.51201</v>
          </cell>
          <cell r="F6385">
            <v>6850.7</v>
          </cell>
          <cell r="G6385">
            <v>0</v>
          </cell>
          <cell r="H6385">
            <v>0</v>
          </cell>
          <cell r="I6385">
            <v>0</v>
          </cell>
          <cell r="J6385">
            <v>0</v>
          </cell>
          <cell r="K6385">
            <v>0</v>
          </cell>
          <cell r="L6385">
            <v>3</v>
          </cell>
        </row>
        <row r="6386">
          <cell r="A6386" t="str">
            <v>20211.03570</v>
          </cell>
          <cell r="B6386" t="str">
            <v>transmetteur de pression</v>
          </cell>
          <cell r="C6386" t="str">
            <v xml:space="preserve">7MF4033-1GA00-1AB6-ZC11-Y01-Y21    </v>
          </cell>
          <cell r="D6386" t="str">
            <v>PE</v>
          </cell>
          <cell r="E6386" t="str">
            <v>512.51201</v>
          </cell>
          <cell r="F6386">
            <v>7023</v>
          </cell>
          <cell r="G6386">
            <v>0</v>
          </cell>
          <cell r="H6386">
            <v>0</v>
          </cell>
          <cell r="I6386">
            <v>0</v>
          </cell>
          <cell r="J6386">
            <v>0</v>
          </cell>
          <cell r="K6386">
            <v>0</v>
          </cell>
          <cell r="L6386">
            <v>2</v>
          </cell>
        </row>
        <row r="6387">
          <cell r="A6387" t="str">
            <v>20211.03571</v>
          </cell>
          <cell r="B6387" t="str">
            <v>transmetteur de pression</v>
          </cell>
          <cell r="C6387" t="str">
            <v xml:space="preserve">7MF4033-1DA00-1AB6-ZC11-Y01-Y21    </v>
          </cell>
          <cell r="D6387" t="str">
            <v>PE</v>
          </cell>
          <cell r="E6387" t="str">
            <v>512.51201</v>
          </cell>
          <cell r="F6387">
            <v>6730.87</v>
          </cell>
          <cell r="G6387">
            <v>0</v>
          </cell>
          <cell r="H6387">
            <v>0</v>
          </cell>
          <cell r="I6387">
            <v>0</v>
          </cell>
          <cell r="J6387">
            <v>1</v>
          </cell>
          <cell r="K6387">
            <v>1</v>
          </cell>
          <cell r="L6387">
            <v>0</v>
          </cell>
        </row>
        <row r="6388">
          <cell r="A6388" t="str">
            <v>20211.03529</v>
          </cell>
          <cell r="B6388" t="str">
            <v>JEU DE SONDE TEMPERATURE</v>
          </cell>
          <cell r="C6388" t="str">
            <v>TURBINE TYPE SST 400 ( C190 -L1 ) N° T6453 LISTE 891359 REP 760</v>
          </cell>
          <cell r="D6388" t="str">
            <v>JE</v>
          </cell>
          <cell r="E6388" t="str">
            <v>512.51201</v>
          </cell>
          <cell r="F6388">
            <v>62000</v>
          </cell>
          <cell r="G6388">
            <v>0</v>
          </cell>
          <cell r="H6388">
            <v>0</v>
          </cell>
          <cell r="I6388">
            <v>0</v>
          </cell>
          <cell r="J6388">
            <v>0</v>
          </cell>
          <cell r="K6388">
            <v>0</v>
          </cell>
          <cell r="L6388">
            <v>3</v>
          </cell>
        </row>
        <row r="6389">
          <cell r="A6389" t="str">
            <v>20211.03466</v>
          </cell>
          <cell r="B6389" t="str">
            <v>BALAIS A 2 COUCHES</v>
          </cell>
          <cell r="C6389" t="str">
            <v>TURBINE TYPE SST 400 ( C190 -L1 ) N° T6453 LISTE 891359 REP 2090</v>
          </cell>
          <cell r="D6389" t="str">
            <v>PE</v>
          </cell>
          <cell r="E6389" t="str">
            <v>512.51201</v>
          </cell>
          <cell r="F6389">
            <v>3103.596</v>
          </cell>
          <cell r="G6389">
            <v>0</v>
          </cell>
          <cell r="H6389">
            <v>0</v>
          </cell>
          <cell r="I6389">
            <v>0</v>
          </cell>
          <cell r="J6389">
            <v>0</v>
          </cell>
          <cell r="K6389">
            <v>0</v>
          </cell>
          <cell r="L6389">
            <v>0</v>
          </cell>
        </row>
        <row r="6390">
          <cell r="A6390" t="str">
            <v>20211.03468</v>
          </cell>
          <cell r="B6390" t="str">
            <v>TREADED HEATING</v>
          </cell>
          <cell r="C6390" t="str">
            <v>TURBINE TYPE SST 400 ( C190 -L1 ) N° T6453 LISTE 891359 REP 2110</v>
          </cell>
          <cell r="D6390" t="str">
            <v>PE</v>
          </cell>
          <cell r="E6390" t="str">
            <v>512.51201</v>
          </cell>
          <cell r="F6390">
            <v>12129.804</v>
          </cell>
          <cell r="G6390">
            <v>0</v>
          </cell>
          <cell r="H6390">
            <v>0</v>
          </cell>
          <cell r="I6390">
            <v>0</v>
          </cell>
          <cell r="J6390">
            <v>0</v>
          </cell>
          <cell r="K6390">
            <v>0</v>
          </cell>
          <cell r="L6390">
            <v>0</v>
          </cell>
        </row>
        <row r="6391">
          <cell r="A6391" t="str">
            <v>20211.03469</v>
          </cell>
          <cell r="B6391" t="str">
            <v>THERMOMETRE RESISTANCE</v>
          </cell>
          <cell r="C6391" t="str">
            <v>TURBINE TYPE SST 400 ( C190 -L1 ) N° T6453 LISTE 891359 REP 2120</v>
          </cell>
          <cell r="D6391" t="str">
            <v>PE</v>
          </cell>
          <cell r="E6391" t="str">
            <v>512.51201</v>
          </cell>
          <cell r="F6391">
            <v>11865.312</v>
          </cell>
          <cell r="G6391">
            <v>0</v>
          </cell>
          <cell r="H6391">
            <v>0</v>
          </cell>
          <cell r="I6391">
            <v>0</v>
          </cell>
          <cell r="J6391">
            <v>0</v>
          </cell>
          <cell r="K6391">
            <v>0</v>
          </cell>
          <cell r="L6391">
            <v>1</v>
          </cell>
        </row>
        <row r="6392">
          <cell r="A6392" t="str">
            <v>20211.03471</v>
          </cell>
          <cell r="B6392" t="str">
            <v>THERMOMETRE RESISTANCE</v>
          </cell>
          <cell r="C6392" t="str">
            <v>TURBINE TYPE SST 400 ( C190 -L1 ) N° T6453 LISTE 891359 REP 2140</v>
          </cell>
          <cell r="D6392" t="str">
            <v>PE</v>
          </cell>
          <cell r="E6392" t="str">
            <v>512.51201</v>
          </cell>
          <cell r="F6392">
            <v>17341.524000000001</v>
          </cell>
          <cell r="G6392">
            <v>0</v>
          </cell>
          <cell r="H6392">
            <v>0</v>
          </cell>
          <cell r="I6392">
            <v>0</v>
          </cell>
          <cell r="J6392">
            <v>0</v>
          </cell>
          <cell r="K6392">
            <v>0</v>
          </cell>
          <cell r="L6392">
            <v>1</v>
          </cell>
        </row>
        <row r="6393">
          <cell r="A6393" t="str">
            <v>20211.03472</v>
          </cell>
          <cell r="B6393" t="str">
            <v>SENSEUR TYPE STE 1 1''</v>
          </cell>
          <cell r="C6393" t="str">
            <v>TURBINE TYPE SST 400 ( C190 -L1 ) N° T6453 LISTE 891359 REP 2150</v>
          </cell>
          <cell r="D6393" t="str">
            <v>PE</v>
          </cell>
          <cell r="E6393" t="str">
            <v>512.51201</v>
          </cell>
          <cell r="F6393">
            <v>12191.183999999999</v>
          </cell>
          <cell r="G6393">
            <v>0</v>
          </cell>
          <cell r="H6393">
            <v>0</v>
          </cell>
          <cell r="I6393">
            <v>0</v>
          </cell>
          <cell r="J6393">
            <v>0</v>
          </cell>
          <cell r="K6393">
            <v>0</v>
          </cell>
          <cell r="L6393">
            <v>0</v>
          </cell>
        </row>
        <row r="6394">
          <cell r="A6394" t="str">
            <v>20211.03473</v>
          </cell>
          <cell r="B6394" t="str">
            <v>RELAIS ELECTRODE  ER24</v>
          </cell>
          <cell r="C6394" t="str">
            <v>TURBINE TYPE SST 400 ( C190 -L1 ) N° T6453 LISTE 891359 REP 2160</v>
          </cell>
          <cell r="D6394" t="str">
            <v>PE</v>
          </cell>
          <cell r="E6394" t="str">
            <v>512.51201</v>
          </cell>
          <cell r="F6394">
            <v>8214.8760000000002</v>
          </cell>
          <cell r="G6394">
            <v>0</v>
          </cell>
          <cell r="H6394">
            <v>0</v>
          </cell>
          <cell r="I6394">
            <v>0</v>
          </cell>
          <cell r="J6394">
            <v>0</v>
          </cell>
          <cell r="K6394">
            <v>0</v>
          </cell>
          <cell r="L6394">
            <v>0</v>
          </cell>
        </row>
        <row r="6395">
          <cell r="A6395" t="str">
            <v>20211.03474</v>
          </cell>
          <cell r="B6395" t="str">
            <v>MEASUR .BRUSH HOLDER +BR</v>
          </cell>
          <cell r="C6395" t="str">
            <v>TURBINE TYPE SST 400 ( C190 -L1 ) N° T6453 LISTE 891359 REP 2180</v>
          </cell>
          <cell r="D6395" t="str">
            <v>PE</v>
          </cell>
          <cell r="E6395" t="str">
            <v>512.51201</v>
          </cell>
          <cell r="F6395">
            <v>4043.268</v>
          </cell>
          <cell r="G6395">
            <v>0</v>
          </cell>
          <cell r="H6395">
            <v>0</v>
          </cell>
          <cell r="I6395">
            <v>0</v>
          </cell>
          <cell r="J6395">
            <v>0</v>
          </cell>
          <cell r="K6395">
            <v>0</v>
          </cell>
          <cell r="L6395">
            <v>0</v>
          </cell>
        </row>
        <row r="6396">
          <cell r="A6396" t="str">
            <v>20211.03475</v>
          </cell>
          <cell r="B6396" t="str">
            <v>DIODE D798N-18T</v>
          </cell>
          <cell r="C6396" t="str">
            <v>TURBINE TYPE SST 400 ( C190 -L1 ) N° T6453 LISTE 891359 REP 2190</v>
          </cell>
          <cell r="D6396" t="str">
            <v>PE</v>
          </cell>
          <cell r="E6396" t="str">
            <v>512.51201</v>
          </cell>
          <cell r="F6396">
            <v>7301.9880000000003</v>
          </cell>
          <cell r="G6396">
            <v>0</v>
          </cell>
          <cell r="H6396">
            <v>0</v>
          </cell>
          <cell r="I6396">
            <v>0</v>
          </cell>
          <cell r="J6396">
            <v>0</v>
          </cell>
          <cell r="K6396">
            <v>0</v>
          </cell>
          <cell r="L6396">
            <v>0</v>
          </cell>
        </row>
        <row r="6397">
          <cell r="A6397" t="str">
            <v>20211.03612</v>
          </cell>
          <cell r="B6397" t="str">
            <v>APPAREIL DE BASE  PRO V BASE 110-240V AC/DC</v>
          </cell>
          <cell r="C6397" t="str">
            <v>3UF7010-1AU00-0</v>
          </cell>
          <cell r="D6397" t="str">
            <v>PE</v>
          </cell>
          <cell r="E6397" t="str">
            <v>512.51201</v>
          </cell>
          <cell r="F6397">
            <v>3838.1005</v>
          </cell>
          <cell r="G6397">
            <v>0</v>
          </cell>
          <cell r="H6397">
            <v>0</v>
          </cell>
          <cell r="I6397">
            <v>0</v>
          </cell>
          <cell r="J6397">
            <v>0</v>
          </cell>
          <cell r="K6397">
            <v>0</v>
          </cell>
          <cell r="L6397">
            <v>6</v>
          </cell>
        </row>
        <row r="6398">
          <cell r="A6398" t="str">
            <v>20211.03359</v>
          </cell>
          <cell r="B6398" t="str">
            <v>DISJONCTEUR 3POL 4A</v>
          </cell>
          <cell r="C6398" t="str">
            <v>3RV1321-1EC10</v>
          </cell>
          <cell r="D6398" t="str">
            <v>PE</v>
          </cell>
          <cell r="E6398" t="str">
            <v>512.51201</v>
          </cell>
          <cell r="F6398">
            <v>263.11630000000002</v>
          </cell>
          <cell r="G6398">
            <v>0</v>
          </cell>
          <cell r="H6398">
            <v>0</v>
          </cell>
          <cell r="I6398">
            <v>0</v>
          </cell>
          <cell r="J6398">
            <v>0</v>
          </cell>
          <cell r="K6398">
            <v>0</v>
          </cell>
          <cell r="L6398">
            <v>5</v>
          </cell>
        </row>
        <row r="6399">
          <cell r="A6399" t="str">
            <v>20211.03354</v>
          </cell>
          <cell r="B6399" t="str">
            <v>COMMANDE ROTATIVE DEBROYABLE SUR PORTE</v>
          </cell>
          <cell r="C6399" t="str">
            <v>3RV1926-0D</v>
          </cell>
          <cell r="D6399" t="str">
            <v>PE</v>
          </cell>
          <cell r="E6399" t="str">
            <v>512.51201</v>
          </cell>
          <cell r="F6399">
            <v>132.29769999999999</v>
          </cell>
          <cell r="G6399">
            <v>0</v>
          </cell>
          <cell r="H6399">
            <v>0</v>
          </cell>
          <cell r="I6399">
            <v>0</v>
          </cell>
          <cell r="J6399">
            <v>0</v>
          </cell>
          <cell r="K6399">
            <v>0</v>
          </cell>
          <cell r="L6399">
            <v>5</v>
          </cell>
        </row>
        <row r="6400">
          <cell r="A6400" t="str">
            <v>20211.03614</v>
          </cell>
          <cell r="B6400" t="str">
            <v>MODULE D'AQUISITION DE COURANT 2,4....25A</v>
          </cell>
          <cell r="C6400" t="str">
            <v>3UF7101-1AA00-0</v>
          </cell>
          <cell r="D6400" t="str">
            <v>PE</v>
          </cell>
          <cell r="E6400" t="str">
            <v>512.51201</v>
          </cell>
          <cell r="F6400">
            <v>497</v>
          </cell>
          <cell r="G6400">
            <v>0</v>
          </cell>
          <cell r="H6400">
            <v>0</v>
          </cell>
          <cell r="I6400">
            <v>0</v>
          </cell>
          <cell r="J6400">
            <v>0</v>
          </cell>
          <cell r="K6400">
            <v>0</v>
          </cell>
          <cell r="L6400">
            <v>2</v>
          </cell>
        </row>
        <row r="6401">
          <cell r="A6401" t="str">
            <v>20211.03615</v>
          </cell>
          <cell r="B6401" t="str">
            <v>MODULE D'AQUISITION DE COURANT 10...100A</v>
          </cell>
          <cell r="C6401" t="str">
            <v>3UF7102-1AA00-0</v>
          </cell>
          <cell r="D6401" t="str">
            <v>PE</v>
          </cell>
          <cell r="E6401" t="str">
            <v>512.51201</v>
          </cell>
          <cell r="F6401">
            <v>546</v>
          </cell>
          <cell r="G6401">
            <v>0</v>
          </cell>
          <cell r="H6401">
            <v>0</v>
          </cell>
          <cell r="I6401">
            <v>0</v>
          </cell>
          <cell r="J6401">
            <v>0</v>
          </cell>
          <cell r="K6401">
            <v>0</v>
          </cell>
          <cell r="L6401">
            <v>2</v>
          </cell>
        </row>
        <row r="6402">
          <cell r="A6402" t="str">
            <v>20211.03616</v>
          </cell>
          <cell r="B6402" t="str">
            <v>SITOP PS 120/230 VAC 24DC</v>
          </cell>
          <cell r="C6402" t="str">
            <v>6EP1 332-2BA10</v>
          </cell>
          <cell r="D6402" t="str">
            <v>PE</v>
          </cell>
          <cell r="E6402" t="str">
            <v>512.51201</v>
          </cell>
          <cell r="F6402">
            <v>916.4932</v>
          </cell>
          <cell r="G6402">
            <v>0</v>
          </cell>
          <cell r="H6402">
            <v>0</v>
          </cell>
          <cell r="I6402">
            <v>0</v>
          </cell>
          <cell r="J6402">
            <v>0</v>
          </cell>
          <cell r="K6402">
            <v>0</v>
          </cell>
          <cell r="L6402">
            <v>0</v>
          </cell>
        </row>
        <row r="6403">
          <cell r="A6403" t="str">
            <v>20211.03363</v>
          </cell>
          <cell r="B6403" t="str">
            <v>DISJONCTEUR PROTECTION MOTEUR 0, 70-1,00 A  CLASS 10 S0</v>
          </cell>
          <cell r="C6403" t="str">
            <v>3RV1021-0JA10</v>
          </cell>
          <cell r="D6403" t="str">
            <v>PE</v>
          </cell>
          <cell r="E6403" t="str">
            <v>512.51201</v>
          </cell>
          <cell r="F6403">
            <v>284.07010000000002</v>
          </cell>
          <cell r="G6403">
            <v>0</v>
          </cell>
          <cell r="H6403">
            <v>0</v>
          </cell>
          <cell r="I6403">
            <v>0</v>
          </cell>
          <cell r="J6403">
            <v>0</v>
          </cell>
          <cell r="K6403">
            <v>1</v>
          </cell>
          <cell r="L6403">
            <v>1</v>
          </cell>
        </row>
        <row r="6404">
          <cell r="A6404" t="str">
            <v>20211.03366</v>
          </cell>
          <cell r="B6404" t="str">
            <v>BLOC DE CONTACT AUXILIAIRE 2NO</v>
          </cell>
          <cell r="C6404" t="str">
            <v>3RH1911-1FA20</v>
          </cell>
          <cell r="D6404" t="str">
            <v>PE</v>
          </cell>
          <cell r="E6404" t="str">
            <v>512.51201</v>
          </cell>
          <cell r="F6404">
            <v>27.7988</v>
          </cell>
          <cell r="G6404">
            <v>0</v>
          </cell>
          <cell r="H6404">
            <v>0</v>
          </cell>
          <cell r="I6404">
            <v>0</v>
          </cell>
          <cell r="J6404">
            <v>0</v>
          </cell>
          <cell r="K6404">
            <v>5</v>
          </cell>
          <cell r="L6404">
            <v>0</v>
          </cell>
        </row>
        <row r="6405">
          <cell r="A6405" t="str">
            <v>20211.03631</v>
          </cell>
          <cell r="B6405" t="str">
            <v>CAPTEUR DE VITESSE AVEC CÂBLE</v>
          </cell>
          <cell r="C6405" t="str">
            <v>PLAN 0-2020-8566-00 POS:SE 761 P/ TURBINE TYPE T 8566 NK 32/25</v>
          </cell>
          <cell r="D6405" t="str">
            <v>PE</v>
          </cell>
          <cell r="E6405" t="str">
            <v>512.51201</v>
          </cell>
          <cell r="F6405">
            <v>9970</v>
          </cell>
          <cell r="G6405">
            <v>0</v>
          </cell>
          <cell r="H6405">
            <v>0</v>
          </cell>
          <cell r="I6405">
            <v>0</v>
          </cell>
          <cell r="J6405">
            <v>0</v>
          </cell>
          <cell r="K6405">
            <v>0</v>
          </cell>
          <cell r="L6405">
            <v>2</v>
          </cell>
        </row>
        <row r="6406">
          <cell r="A6406" t="str">
            <v>20211.03382</v>
          </cell>
          <cell r="B6406" t="str">
            <v>LABYRINTH</v>
          </cell>
          <cell r="C6406" t="str">
            <v>TURBINE TYPE SST 400 (C190-L1)  N° T6453  LISTE 891359       REP 10</v>
          </cell>
          <cell r="D6406" t="str">
            <v>PE</v>
          </cell>
          <cell r="E6406" t="str">
            <v>512.51201</v>
          </cell>
          <cell r="F6406">
            <v>234577.62</v>
          </cell>
          <cell r="G6406">
            <v>0</v>
          </cell>
          <cell r="H6406">
            <v>0</v>
          </cell>
          <cell r="I6406">
            <v>0</v>
          </cell>
          <cell r="J6406">
            <v>0</v>
          </cell>
          <cell r="K6406">
            <v>0</v>
          </cell>
          <cell r="L6406">
            <v>0</v>
          </cell>
        </row>
        <row r="6407">
          <cell r="A6407" t="str">
            <v>20211.03383</v>
          </cell>
          <cell r="B6407" t="str">
            <v>BLOC DE PALIER</v>
          </cell>
          <cell r="C6407" t="str">
            <v>TURBINE TYPE SST 400 ( C190-L1 ) N° T6453  LISTE  891359    REP 20</v>
          </cell>
          <cell r="D6407" t="str">
            <v>PE</v>
          </cell>
          <cell r="E6407" t="str">
            <v>512.51201</v>
          </cell>
          <cell r="F6407">
            <v>33357.24</v>
          </cell>
          <cell r="G6407">
            <v>0</v>
          </cell>
          <cell r="H6407">
            <v>0</v>
          </cell>
          <cell r="I6407">
            <v>0</v>
          </cell>
          <cell r="J6407">
            <v>0</v>
          </cell>
          <cell r="K6407">
            <v>0</v>
          </cell>
          <cell r="L6407">
            <v>0</v>
          </cell>
        </row>
        <row r="6408">
          <cell r="A6408" t="str">
            <v>20211.03384</v>
          </cell>
          <cell r="B6408" t="str">
            <v>BLOC DE PALIER</v>
          </cell>
          <cell r="C6408" t="str">
            <v>TURBINE TYPE SST 400 ( C190-L1 ) N° T6453 LISTE 891359  REP 30</v>
          </cell>
          <cell r="D6408" t="str">
            <v>PE</v>
          </cell>
          <cell r="E6408" t="str">
            <v>512.51201</v>
          </cell>
          <cell r="F6408">
            <v>37400.508000000002</v>
          </cell>
          <cell r="G6408">
            <v>0</v>
          </cell>
          <cell r="H6408">
            <v>0</v>
          </cell>
          <cell r="I6408">
            <v>0</v>
          </cell>
          <cell r="J6408">
            <v>0</v>
          </cell>
          <cell r="K6408">
            <v>0</v>
          </cell>
          <cell r="L6408">
            <v>0</v>
          </cell>
        </row>
        <row r="6409">
          <cell r="A6409" t="str">
            <v>20211.03385</v>
          </cell>
          <cell r="B6409" t="str">
            <v>BLOC DE PALIER</v>
          </cell>
          <cell r="C6409" t="str">
            <v>TURBINE TYPE SST 400 ( C190-L1 ) N° T6453 LISTE 891359  REP 40</v>
          </cell>
          <cell r="D6409" t="str">
            <v>PE</v>
          </cell>
          <cell r="E6409" t="str">
            <v>512.51201</v>
          </cell>
          <cell r="F6409">
            <v>19408.356</v>
          </cell>
          <cell r="G6409">
            <v>0</v>
          </cell>
          <cell r="H6409">
            <v>0</v>
          </cell>
          <cell r="I6409">
            <v>0</v>
          </cell>
          <cell r="J6409">
            <v>0</v>
          </cell>
          <cell r="K6409">
            <v>0</v>
          </cell>
          <cell r="L6409">
            <v>20</v>
          </cell>
        </row>
        <row r="6410">
          <cell r="A6410" t="str">
            <v>20211.03386</v>
          </cell>
          <cell r="B6410" t="str">
            <v>BAGUE D'ARRET</v>
          </cell>
          <cell r="C6410" t="str">
            <v>TURBINE TYPE SST 400 ( C190-L1 ) N° T6453 LISTE 891359  REP50</v>
          </cell>
          <cell r="D6410" t="str">
            <v>PE</v>
          </cell>
          <cell r="E6410" t="str">
            <v>512.51201</v>
          </cell>
          <cell r="F6410">
            <v>194076.864</v>
          </cell>
          <cell r="G6410">
            <v>0</v>
          </cell>
          <cell r="H6410">
            <v>0</v>
          </cell>
          <cell r="I6410">
            <v>0</v>
          </cell>
          <cell r="J6410">
            <v>0</v>
          </cell>
          <cell r="K6410">
            <v>0</v>
          </cell>
          <cell r="L6410">
            <v>0</v>
          </cell>
        </row>
        <row r="6411">
          <cell r="A6411" t="str">
            <v>20211.03393</v>
          </cell>
          <cell r="B6411" t="str">
            <v>TIGE DE SOUPAPE</v>
          </cell>
          <cell r="C6411" t="str">
            <v>TURBINE TYPE SST 400( C190 - L1 ) N° T6453 LISTE 891359 REP 120</v>
          </cell>
          <cell r="D6411" t="str">
            <v>PE</v>
          </cell>
          <cell r="E6411" t="str">
            <v>512.51201</v>
          </cell>
          <cell r="F6411">
            <v>95560.55</v>
          </cell>
          <cell r="G6411">
            <v>0</v>
          </cell>
          <cell r="H6411">
            <v>0</v>
          </cell>
          <cell r="I6411">
            <v>0</v>
          </cell>
          <cell r="J6411">
            <v>0</v>
          </cell>
          <cell r="K6411">
            <v>0</v>
          </cell>
          <cell r="L6411">
            <v>1</v>
          </cell>
        </row>
        <row r="6412">
          <cell r="A6412" t="str">
            <v>20211.03394</v>
          </cell>
          <cell r="B6412" t="str">
            <v>BAGUE D'ETANCHEITE</v>
          </cell>
          <cell r="C6412" t="str">
            <v>TURBINE TYPE SST 400 ( C190-L1 ) N° T6453 LISTE 891359 REP 130</v>
          </cell>
          <cell r="D6412" t="str">
            <v>PE</v>
          </cell>
          <cell r="E6412" t="str">
            <v>512.51201</v>
          </cell>
          <cell r="F6412">
            <v>7315.38</v>
          </cell>
          <cell r="G6412">
            <v>0</v>
          </cell>
          <cell r="H6412">
            <v>0</v>
          </cell>
          <cell r="I6412">
            <v>0</v>
          </cell>
          <cell r="J6412">
            <v>0</v>
          </cell>
          <cell r="K6412">
            <v>0</v>
          </cell>
          <cell r="L6412">
            <v>0</v>
          </cell>
        </row>
        <row r="6413">
          <cell r="A6413" t="str">
            <v>20211.03396</v>
          </cell>
          <cell r="B6413" t="str">
            <v>BAGUE D'ETANCHEITE</v>
          </cell>
          <cell r="C6413" t="str">
            <v>TURBINE TYPE SST 400( C190 - L1 ) N° T6453 LISTE 891359 REP 150</v>
          </cell>
          <cell r="D6413" t="str">
            <v>PE</v>
          </cell>
          <cell r="E6413" t="str">
            <v>512.51201</v>
          </cell>
          <cell r="F6413">
            <v>10984</v>
          </cell>
          <cell r="G6413">
            <v>0</v>
          </cell>
          <cell r="H6413">
            <v>0</v>
          </cell>
          <cell r="I6413">
            <v>0</v>
          </cell>
          <cell r="J6413">
            <v>0</v>
          </cell>
          <cell r="K6413">
            <v>0</v>
          </cell>
          <cell r="L6413">
            <v>0</v>
          </cell>
        </row>
        <row r="6414">
          <cell r="A6414" t="str">
            <v>20211.03387</v>
          </cell>
          <cell r="B6414" t="str">
            <v>BLOC DE PALIER</v>
          </cell>
          <cell r="C6414" t="str">
            <v>TURBINE TYPE SST 400 ( C190-L1 ) N° T6453 LISTE 891359  REP 60</v>
          </cell>
          <cell r="D6414" t="str">
            <v>PE</v>
          </cell>
          <cell r="E6414" t="str">
            <v>512.51201</v>
          </cell>
          <cell r="F6414">
            <v>33357.24</v>
          </cell>
          <cell r="G6414">
            <v>0</v>
          </cell>
          <cell r="H6414">
            <v>0</v>
          </cell>
          <cell r="I6414">
            <v>0</v>
          </cell>
          <cell r="J6414">
            <v>0</v>
          </cell>
          <cell r="K6414">
            <v>0</v>
          </cell>
          <cell r="L6414">
            <v>0</v>
          </cell>
        </row>
        <row r="6415">
          <cell r="A6415" t="str">
            <v>20211.03388</v>
          </cell>
          <cell r="B6415" t="str">
            <v>BLOC DE PALIER</v>
          </cell>
          <cell r="C6415" t="str">
            <v>TURBINE TYPE SST 400 ( C190-L1 ) N° T6453 LISTE 891359  REP 70</v>
          </cell>
          <cell r="D6415" t="str">
            <v>PE</v>
          </cell>
          <cell r="E6415" t="str">
            <v>512.51201</v>
          </cell>
          <cell r="F6415">
            <v>37400.508000000002</v>
          </cell>
          <cell r="G6415">
            <v>0</v>
          </cell>
          <cell r="H6415">
            <v>0</v>
          </cell>
          <cell r="I6415">
            <v>0</v>
          </cell>
          <cell r="J6415">
            <v>0</v>
          </cell>
          <cell r="K6415">
            <v>0</v>
          </cell>
          <cell r="L6415">
            <v>0</v>
          </cell>
        </row>
        <row r="6416">
          <cell r="A6416" t="str">
            <v>20211.03391</v>
          </cell>
          <cell r="B6416" t="str">
            <v>MECANISME DE COMMANDE</v>
          </cell>
          <cell r="C6416" t="str">
            <v>TURBINE TYPE SST 400 ( C190-L1 ) N° T6453 LISTE 891359  REP 100</v>
          </cell>
          <cell r="D6416" t="str">
            <v>PE</v>
          </cell>
          <cell r="E6416" t="str">
            <v>512.51201</v>
          </cell>
          <cell r="F6416">
            <v>576732.06000000006</v>
          </cell>
          <cell r="G6416">
            <v>0</v>
          </cell>
          <cell r="H6416">
            <v>0</v>
          </cell>
          <cell r="I6416">
            <v>0</v>
          </cell>
          <cell r="J6416">
            <v>0</v>
          </cell>
          <cell r="K6416">
            <v>0</v>
          </cell>
          <cell r="L6416">
            <v>0</v>
          </cell>
        </row>
        <row r="6417">
          <cell r="A6417" t="str">
            <v>20211.03392</v>
          </cell>
          <cell r="B6417" t="str">
            <v>TOLE DE SECURITE</v>
          </cell>
          <cell r="C6417" t="str">
            <v>TURBINE TYPE SST 400(C 190 - L1 ) N° T6453 LISTE 891359 REP 110</v>
          </cell>
          <cell r="D6417" t="str">
            <v>PE</v>
          </cell>
          <cell r="E6417" t="str">
            <v>512.51201</v>
          </cell>
          <cell r="F6417">
            <v>9299.6280000000006</v>
          </cell>
          <cell r="G6417">
            <v>0</v>
          </cell>
          <cell r="H6417">
            <v>0</v>
          </cell>
          <cell r="I6417">
            <v>0</v>
          </cell>
          <cell r="J6417">
            <v>0</v>
          </cell>
          <cell r="K6417">
            <v>0</v>
          </cell>
          <cell r="L6417">
            <v>1</v>
          </cell>
        </row>
        <row r="6418">
          <cell r="A6418" t="str">
            <v>20211.01623</v>
          </cell>
          <cell r="B6418" t="str">
            <v>CONTACTEUR AUXILIAIRE</v>
          </cell>
          <cell r="C6418" t="str">
            <v>3TF68 44 OCM7</v>
          </cell>
          <cell r="D6418" t="str">
            <v>PE</v>
          </cell>
          <cell r="E6418" t="str">
            <v>512.51201</v>
          </cell>
          <cell r="F6418">
            <v>20782.2</v>
          </cell>
          <cell r="G6418">
            <v>0</v>
          </cell>
          <cell r="H6418">
            <v>0</v>
          </cell>
          <cell r="I6418">
            <v>0</v>
          </cell>
          <cell r="J6418">
            <v>0</v>
          </cell>
          <cell r="K6418">
            <v>0</v>
          </cell>
          <cell r="L6418">
            <v>3</v>
          </cell>
        </row>
        <row r="6419">
          <cell r="A6419" t="str">
            <v>20211.02776</v>
          </cell>
          <cell r="B6419" t="str">
            <v>CONTACTEUR 220V</v>
          </cell>
          <cell r="C6419" t="str">
            <v>3RT1055-6AP36</v>
          </cell>
          <cell r="D6419" t="str">
            <v>PE</v>
          </cell>
          <cell r="E6419" t="str">
            <v>512.51201</v>
          </cell>
          <cell r="F6419">
            <v>2429.34</v>
          </cell>
          <cell r="G6419">
            <v>0</v>
          </cell>
          <cell r="H6419">
            <v>0</v>
          </cell>
          <cell r="I6419">
            <v>0</v>
          </cell>
          <cell r="J6419">
            <v>0</v>
          </cell>
          <cell r="K6419">
            <v>0</v>
          </cell>
          <cell r="L6419">
            <v>2</v>
          </cell>
        </row>
        <row r="6420">
          <cell r="A6420" t="str">
            <v>20211.02262</v>
          </cell>
          <cell r="B6420" t="str">
            <v>DISJONCTEUR</v>
          </cell>
          <cell r="C6420" t="str">
            <v>3RV1611-0BD10</v>
          </cell>
          <cell r="D6420" t="str">
            <v>PE</v>
          </cell>
          <cell r="E6420" t="str">
            <v>512.51201</v>
          </cell>
          <cell r="F6420">
            <v>190.55269999999999</v>
          </cell>
          <cell r="G6420">
            <v>0</v>
          </cell>
          <cell r="H6420">
            <v>0</v>
          </cell>
          <cell r="I6420">
            <v>0</v>
          </cell>
          <cell r="J6420">
            <v>0</v>
          </cell>
          <cell r="K6420">
            <v>0</v>
          </cell>
          <cell r="L6420">
            <v>10</v>
          </cell>
        </row>
        <row r="6421">
          <cell r="A6421" t="str">
            <v>20211.02412</v>
          </cell>
          <cell r="B6421" t="str">
            <v>CONTACT AUX 1NO+1NF</v>
          </cell>
          <cell r="C6421" t="str">
            <v>3RV1921-1M</v>
          </cell>
          <cell r="D6421" t="str">
            <v>PE</v>
          </cell>
          <cell r="E6421" t="str">
            <v>512.51201</v>
          </cell>
          <cell r="F6421">
            <v>83.734999999999999</v>
          </cell>
          <cell r="G6421">
            <v>0</v>
          </cell>
          <cell r="H6421">
            <v>0</v>
          </cell>
          <cell r="I6421">
            <v>0</v>
          </cell>
          <cell r="J6421">
            <v>0</v>
          </cell>
          <cell r="K6421">
            <v>0</v>
          </cell>
          <cell r="L6421">
            <v>12</v>
          </cell>
        </row>
        <row r="6422">
          <cell r="A6422" t="str">
            <v>20211.02417</v>
          </cell>
          <cell r="B6422" t="str">
            <v>BOUCHON OBTURATEUR NOIR</v>
          </cell>
          <cell r="C6422" t="str">
            <v>3SB39 21-0AA</v>
          </cell>
          <cell r="D6422" t="str">
            <v>PE</v>
          </cell>
          <cell r="E6422" t="str">
            <v>512.51201</v>
          </cell>
          <cell r="F6422">
            <v>14.2705</v>
          </cell>
          <cell r="G6422">
            <v>0</v>
          </cell>
          <cell r="H6422">
            <v>0</v>
          </cell>
          <cell r="I6422">
            <v>0</v>
          </cell>
          <cell r="J6422">
            <v>0</v>
          </cell>
          <cell r="K6422">
            <v>0</v>
          </cell>
          <cell r="L6422">
            <v>20</v>
          </cell>
        </row>
        <row r="6423">
          <cell r="A6423" t="str">
            <v>20211.03200</v>
          </cell>
          <cell r="B6423" t="str">
            <v>DISJONCTEUR MOTEUR</v>
          </cell>
          <cell r="C6423" t="str">
            <v>3RV 1421-1AA10 DE 1.8A-2.5A</v>
          </cell>
          <cell r="D6423" t="str">
            <v>PE</v>
          </cell>
          <cell r="E6423" t="str">
            <v>512.51201</v>
          </cell>
          <cell r="F6423">
            <v>383.61599999999999</v>
          </cell>
          <cell r="G6423">
            <v>0</v>
          </cell>
          <cell r="H6423">
            <v>0</v>
          </cell>
          <cell r="I6423">
            <v>0</v>
          </cell>
          <cell r="J6423">
            <v>0</v>
          </cell>
          <cell r="K6423">
            <v>0</v>
          </cell>
          <cell r="L6423">
            <v>2</v>
          </cell>
        </row>
        <row r="6424">
          <cell r="A6424" t="str">
            <v>20211.03222</v>
          </cell>
          <cell r="B6424" t="str">
            <v>DISJONCTEUR MODULAIRE</v>
          </cell>
          <cell r="C6424" t="str">
            <v>5SY6203-7</v>
          </cell>
          <cell r="D6424" t="str">
            <v>PE</v>
          </cell>
          <cell r="E6424" t="str">
            <v>512.51201</v>
          </cell>
          <cell r="F6424">
            <v>214.31299999999999</v>
          </cell>
          <cell r="G6424">
            <v>0</v>
          </cell>
          <cell r="H6424">
            <v>0</v>
          </cell>
          <cell r="I6424">
            <v>0</v>
          </cell>
          <cell r="J6424">
            <v>0</v>
          </cell>
          <cell r="K6424">
            <v>0</v>
          </cell>
          <cell r="L6424">
            <v>0</v>
          </cell>
        </row>
        <row r="6425">
          <cell r="A6425" t="str">
            <v>20211.03223</v>
          </cell>
          <cell r="B6425" t="str">
            <v>DISJONCTEUR MODULAIRE</v>
          </cell>
          <cell r="C6425" t="str">
            <v>5SY6202-7</v>
          </cell>
          <cell r="D6425" t="str">
            <v>PE</v>
          </cell>
          <cell r="E6425" t="str">
            <v>512.51201</v>
          </cell>
          <cell r="F6425">
            <v>132.47999999999999</v>
          </cell>
          <cell r="G6425">
            <v>0</v>
          </cell>
          <cell r="H6425">
            <v>0</v>
          </cell>
          <cell r="I6425">
            <v>0</v>
          </cell>
          <cell r="J6425">
            <v>0</v>
          </cell>
          <cell r="K6425">
            <v>0</v>
          </cell>
          <cell r="L6425">
            <v>2</v>
          </cell>
        </row>
        <row r="6426">
          <cell r="A6426" t="str">
            <v>20211.03224</v>
          </cell>
          <cell r="B6426" t="str">
            <v>RELAIS DE SECURITE</v>
          </cell>
          <cell r="C6426" t="str">
            <v>3TK2827-1AL20</v>
          </cell>
          <cell r="D6426" t="str">
            <v>PE</v>
          </cell>
          <cell r="E6426" t="str">
            <v>512.51201</v>
          </cell>
          <cell r="F6426">
            <v>2458.1471000000001</v>
          </cell>
          <cell r="G6426">
            <v>0</v>
          </cell>
          <cell r="H6426">
            <v>0</v>
          </cell>
          <cell r="I6426">
            <v>0</v>
          </cell>
          <cell r="J6426">
            <v>0</v>
          </cell>
          <cell r="K6426">
            <v>0</v>
          </cell>
          <cell r="L6426">
            <v>4</v>
          </cell>
        </row>
        <row r="6427">
          <cell r="A6427" t="str">
            <v>20211.03401</v>
          </cell>
          <cell r="B6427" t="str">
            <v>BAGUE D'ARRET</v>
          </cell>
          <cell r="C6427" t="str">
            <v>TURBINE TYPE SST 400 ( C190 -L1 ) N° T6453 LISTE 891359 REP 200</v>
          </cell>
          <cell r="D6427" t="str">
            <v>PE</v>
          </cell>
          <cell r="E6427" t="str">
            <v>512.51201</v>
          </cell>
          <cell r="F6427">
            <v>44475.947999999997</v>
          </cell>
          <cell r="G6427">
            <v>0</v>
          </cell>
          <cell r="H6427">
            <v>0</v>
          </cell>
          <cell r="I6427">
            <v>0</v>
          </cell>
          <cell r="J6427">
            <v>0</v>
          </cell>
          <cell r="K6427">
            <v>0</v>
          </cell>
          <cell r="L6427">
            <v>1</v>
          </cell>
        </row>
        <row r="6428">
          <cell r="A6428" t="str">
            <v>20211.03402</v>
          </cell>
          <cell r="B6428" t="str">
            <v>SEGMENT D'ETANCHEITE</v>
          </cell>
          <cell r="C6428" t="str">
            <v>TURBINE TYPE SST 400 ( C190 -L1 ) N° T6453 LISTE 891359 REP 210</v>
          </cell>
          <cell r="D6428" t="str">
            <v>PE</v>
          </cell>
          <cell r="E6428" t="str">
            <v>512.51201</v>
          </cell>
          <cell r="F6428">
            <v>405.108</v>
          </cell>
          <cell r="G6428">
            <v>0</v>
          </cell>
          <cell r="H6428">
            <v>0</v>
          </cell>
          <cell r="I6428">
            <v>0</v>
          </cell>
          <cell r="J6428">
            <v>0</v>
          </cell>
          <cell r="K6428">
            <v>0</v>
          </cell>
          <cell r="L6428">
            <v>0</v>
          </cell>
        </row>
        <row r="6429">
          <cell r="A6429" t="str">
            <v>20211.03403</v>
          </cell>
          <cell r="B6429" t="str">
            <v>TOLE DE SECURITE</v>
          </cell>
          <cell r="C6429" t="str">
            <v>TURBINE TYPE SST 400 ( C190 -L1 ) N° T6453 LISTE 891359 REP 220</v>
          </cell>
          <cell r="D6429" t="str">
            <v>PE</v>
          </cell>
          <cell r="E6429" t="str">
            <v>512.51201</v>
          </cell>
          <cell r="F6429">
            <v>9502.74</v>
          </cell>
          <cell r="G6429">
            <v>0</v>
          </cell>
          <cell r="H6429">
            <v>0</v>
          </cell>
          <cell r="I6429">
            <v>0</v>
          </cell>
          <cell r="J6429">
            <v>0</v>
          </cell>
          <cell r="K6429">
            <v>0</v>
          </cell>
          <cell r="L6429">
            <v>0</v>
          </cell>
        </row>
        <row r="6430">
          <cell r="A6430" t="str">
            <v>20211.03405</v>
          </cell>
          <cell r="B6430" t="str">
            <v>BAGUE D'ETANCHEITE</v>
          </cell>
          <cell r="C6430" t="str">
            <v>TURBINE TYPE SST 400 ( C190 -L1 ) N° T6453 LISTE 891359 REP 240</v>
          </cell>
          <cell r="D6430" t="str">
            <v>PE</v>
          </cell>
          <cell r="E6430" t="str">
            <v>512.51201</v>
          </cell>
          <cell r="F6430">
            <v>5332</v>
          </cell>
          <cell r="G6430">
            <v>0</v>
          </cell>
          <cell r="H6430">
            <v>0</v>
          </cell>
          <cell r="I6430">
            <v>0</v>
          </cell>
          <cell r="J6430">
            <v>0</v>
          </cell>
          <cell r="K6430">
            <v>0</v>
          </cell>
          <cell r="L6430">
            <v>0</v>
          </cell>
        </row>
        <row r="6431">
          <cell r="A6431" t="str">
            <v>20211.03397</v>
          </cell>
          <cell r="B6431" t="str">
            <v>BAGUE D'ETANCHEITE</v>
          </cell>
          <cell r="C6431" t="str">
            <v>TURBINE TYPE SST 400 ( C190- L1 ) N° T6453 LISTE 891359 REP 160</v>
          </cell>
          <cell r="D6431" t="str">
            <v>PE</v>
          </cell>
          <cell r="E6431" t="str">
            <v>512.51201</v>
          </cell>
          <cell r="F6431">
            <v>16880.616000000002</v>
          </cell>
          <cell r="G6431">
            <v>0</v>
          </cell>
          <cell r="H6431">
            <v>0</v>
          </cell>
          <cell r="I6431">
            <v>0</v>
          </cell>
          <cell r="J6431">
            <v>0</v>
          </cell>
          <cell r="K6431">
            <v>0</v>
          </cell>
          <cell r="L6431">
            <v>0</v>
          </cell>
        </row>
        <row r="6432">
          <cell r="A6432" t="str">
            <v>20211.03398</v>
          </cell>
          <cell r="B6432" t="str">
            <v>BOITE DE GUIDAGE</v>
          </cell>
          <cell r="C6432" t="str">
            <v>TURBINE TYPE SST 400 ( C190 -L1 ) N° T6453 LISTE 891359 REP 170</v>
          </cell>
          <cell r="D6432" t="str">
            <v>PE</v>
          </cell>
          <cell r="E6432" t="str">
            <v>512.51201</v>
          </cell>
          <cell r="F6432">
            <v>39386.987999999998</v>
          </cell>
          <cell r="G6432">
            <v>0</v>
          </cell>
          <cell r="H6432">
            <v>0</v>
          </cell>
          <cell r="I6432">
            <v>0</v>
          </cell>
          <cell r="J6432">
            <v>0</v>
          </cell>
          <cell r="K6432">
            <v>0</v>
          </cell>
          <cell r="L6432">
            <v>0</v>
          </cell>
        </row>
        <row r="6433">
          <cell r="A6433" t="str">
            <v>20211.03399</v>
          </cell>
          <cell r="B6433" t="str">
            <v>BAGUE D'ARRET</v>
          </cell>
          <cell r="C6433" t="str">
            <v>TURBINE TYPE SST 400 ( C190 -L1 ) N° T6453 LISTE 891359 REP 180</v>
          </cell>
          <cell r="D6433" t="str">
            <v>PE</v>
          </cell>
          <cell r="E6433" t="str">
            <v>512.51201</v>
          </cell>
          <cell r="F6433">
            <v>34368.336000000003</v>
          </cell>
          <cell r="G6433">
            <v>0</v>
          </cell>
          <cell r="H6433">
            <v>0</v>
          </cell>
          <cell r="I6433">
            <v>0</v>
          </cell>
          <cell r="J6433">
            <v>0</v>
          </cell>
          <cell r="K6433">
            <v>0</v>
          </cell>
          <cell r="L6433">
            <v>1</v>
          </cell>
        </row>
        <row r="6434">
          <cell r="A6434" t="str">
            <v>20211.03400</v>
          </cell>
          <cell r="B6434" t="str">
            <v>BAGUE</v>
          </cell>
          <cell r="C6434" t="str">
            <v>TURBINE TYPE SST 400 ( C190 -L1 ) N° T6453 LISTE 891359 REP 190</v>
          </cell>
          <cell r="D6434" t="str">
            <v>PE</v>
          </cell>
          <cell r="E6434" t="str">
            <v>512.51201</v>
          </cell>
          <cell r="F6434">
            <v>80865.36</v>
          </cell>
          <cell r="G6434">
            <v>0</v>
          </cell>
          <cell r="H6434">
            <v>0</v>
          </cell>
          <cell r="I6434">
            <v>0</v>
          </cell>
          <cell r="J6434">
            <v>0</v>
          </cell>
          <cell r="K6434">
            <v>0</v>
          </cell>
          <cell r="L6434">
            <v>1</v>
          </cell>
        </row>
        <row r="6435">
          <cell r="A6435" t="str">
            <v>20211.03476</v>
          </cell>
          <cell r="B6435" t="str">
            <v>VARISTORE</v>
          </cell>
          <cell r="C6435" t="str">
            <v>TURBINE TYPE SST 400 ( C190 -L1 ) N° T6453 LISTE 891359 REP 2200</v>
          </cell>
          <cell r="D6435" t="str">
            <v>PE</v>
          </cell>
          <cell r="E6435" t="str">
            <v>512.51201</v>
          </cell>
          <cell r="F6435">
            <v>23729.508000000002</v>
          </cell>
          <cell r="G6435">
            <v>0</v>
          </cell>
          <cell r="H6435">
            <v>0</v>
          </cell>
          <cell r="I6435">
            <v>0</v>
          </cell>
          <cell r="J6435">
            <v>0</v>
          </cell>
          <cell r="K6435">
            <v>0</v>
          </cell>
          <cell r="L6435">
            <v>0</v>
          </cell>
        </row>
        <row r="6436">
          <cell r="A6436" t="str">
            <v>20211.03477</v>
          </cell>
          <cell r="B6436" t="str">
            <v>CAPACITEUR MKV</v>
          </cell>
          <cell r="C6436" t="str">
            <v>TURBINE TYPE SST 400 ( C190 -L1 ) N° T6453 LISTE 891359 REP 2210</v>
          </cell>
          <cell r="D6436" t="str">
            <v>PE</v>
          </cell>
          <cell r="E6436" t="str">
            <v>512.51201</v>
          </cell>
          <cell r="F6436">
            <v>2738.6640000000002</v>
          </cell>
          <cell r="G6436">
            <v>0</v>
          </cell>
          <cell r="H6436">
            <v>0</v>
          </cell>
          <cell r="I6436">
            <v>0</v>
          </cell>
          <cell r="J6436">
            <v>0</v>
          </cell>
          <cell r="K6436">
            <v>0</v>
          </cell>
          <cell r="L6436">
            <v>0</v>
          </cell>
        </row>
        <row r="6437">
          <cell r="A6437" t="str">
            <v>20211.03478</v>
          </cell>
          <cell r="B6437" t="str">
            <v>FILTRE A AIR</v>
          </cell>
          <cell r="C6437" t="str">
            <v>TURBINE TYPE SST 400 ( C190 -L1 ) N° T6453 LISTE 891359 REP2220</v>
          </cell>
          <cell r="D6437" t="str">
            <v>PE</v>
          </cell>
          <cell r="E6437" t="str">
            <v>512.51201</v>
          </cell>
          <cell r="F6437">
            <v>45633.24</v>
          </cell>
          <cell r="G6437">
            <v>0</v>
          </cell>
          <cell r="H6437">
            <v>0</v>
          </cell>
          <cell r="I6437">
            <v>0</v>
          </cell>
          <cell r="J6437">
            <v>0</v>
          </cell>
          <cell r="K6437">
            <v>0</v>
          </cell>
          <cell r="L6437">
            <v>0</v>
          </cell>
        </row>
        <row r="6438">
          <cell r="A6438" t="str">
            <v>20211.03479</v>
          </cell>
          <cell r="B6438" t="str">
            <v>JEU DE PIECE DE RECHANGE P/CONDENSEUR</v>
          </cell>
          <cell r="C6438" t="str">
            <v>TURBINE TYPE SST 400 ( C190 -L1 ) N° T6453 LISTE 891359 REP 3010</v>
          </cell>
          <cell r="D6438" t="str">
            <v>PE</v>
          </cell>
          <cell r="E6438" t="str">
            <v>512.51201</v>
          </cell>
          <cell r="F6438">
            <v>18195.263999999999</v>
          </cell>
          <cell r="G6438">
            <v>0</v>
          </cell>
          <cell r="H6438">
            <v>0</v>
          </cell>
          <cell r="I6438">
            <v>0</v>
          </cell>
          <cell r="J6438">
            <v>0</v>
          </cell>
          <cell r="K6438">
            <v>0</v>
          </cell>
          <cell r="L6438">
            <v>1</v>
          </cell>
        </row>
        <row r="6439">
          <cell r="A6439" t="str">
            <v>20211.03497</v>
          </cell>
          <cell r="B6439" t="str">
            <v>MEMOIRE A BULLE MAGNETIQUE</v>
          </cell>
          <cell r="C6439" t="str">
            <v>TURBINE TYPE SST 400 ( C190 -L1 ) N° T6453 LISTE 891359 REP 3190</v>
          </cell>
          <cell r="D6439" t="str">
            <v>PE</v>
          </cell>
          <cell r="E6439" t="str">
            <v>512.51201</v>
          </cell>
          <cell r="F6439">
            <v>40432.68</v>
          </cell>
          <cell r="G6439">
            <v>0</v>
          </cell>
          <cell r="H6439">
            <v>0</v>
          </cell>
          <cell r="I6439">
            <v>0</v>
          </cell>
          <cell r="J6439">
            <v>0</v>
          </cell>
          <cell r="K6439">
            <v>0</v>
          </cell>
          <cell r="L6439">
            <v>1</v>
          </cell>
        </row>
        <row r="6440">
          <cell r="A6440" t="str">
            <v>20211.03498</v>
          </cell>
          <cell r="B6440" t="str">
            <v>POMPE A VIS</v>
          </cell>
          <cell r="C6440" t="str">
            <v>TURBINE TYPE SST 400 ( C190 -L1 ) N° T6453 LISTE 891359 REP 3200</v>
          </cell>
          <cell r="D6440" t="str">
            <v>PE</v>
          </cell>
          <cell r="E6440" t="str">
            <v>512.51201</v>
          </cell>
          <cell r="F6440">
            <v>12567.276</v>
          </cell>
          <cell r="G6440">
            <v>0</v>
          </cell>
          <cell r="H6440">
            <v>0</v>
          </cell>
          <cell r="I6440">
            <v>0</v>
          </cell>
          <cell r="J6440">
            <v>0</v>
          </cell>
          <cell r="K6440">
            <v>0</v>
          </cell>
          <cell r="L6440">
            <v>0</v>
          </cell>
        </row>
        <row r="6441">
          <cell r="A6441" t="str">
            <v>20211.03500</v>
          </cell>
          <cell r="B6441" t="str">
            <v>REFROIDISSEUR D'AIR AVEC MOTEUR ELECT</v>
          </cell>
          <cell r="C6441" t="str">
            <v>TURBINE TYPE SST 400 ( C190 -L1 ) N° T6453 LISTE 891359 REP 3220</v>
          </cell>
          <cell r="D6441" t="str">
            <v>PE</v>
          </cell>
          <cell r="E6441" t="str">
            <v>512.51201</v>
          </cell>
          <cell r="F6441">
            <v>46700.135999999999</v>
          </cell>
          <cell r="G6441">
            <v>0</v>
          </cell>
          <cell r="H6441">
            <v>0</v>
          </cell>
          <cell r="I6441">
            <v>0</v>
          </cell>
          <cell r="J6441">
            <v>0</v>
          </cell>
          <cell r="K6441">
            <v>0</v>
          </cell>
          <cell r="L6441">
            <v>0</v>
          </cell>
        </row>
        <row r="6442">
          <cell r="A6442" t="str">
            <v>20211.03493</v>
          </cell>
          <cell r="B6442" t="str">
            <v>REVETEMENT POUR CONDENSEUR</v>
          </cell>
          <cell r="C6442" t="str">
            <v>TURBINE TYPE SST 400 ( C190 -L1 ) N° T6453 LISTE 891359 REP 3150</v>
          </cell>
          <cell r="D6442" t="str">
            <v>PE</v>
          </cell>
          <cell r="E6442" t="str">
            <v>512.51201</v>
          </cell>
          <cell r="F6442">
            <v>5357.9160000000002</v>
          </cell>
          <cell r="G6442">
            <v>0</v>
          </cell>
          <cell r="H6442">
            <v>0</v>
          </cell>
          <cell r="I6442">
            <v>0</v>
          </cell>
          <cell r="J6442">
            <v>0</v>
          </cell>
          <cell r="K6442">
            <v>0</v>
          </cell>
          <cell r="L6442">
            <v>0</v>
          </cell>
        </row>
        <row r="6443">
          <cell r="A6443" t="str">
            <v>20211.03494</v>
          </cell>
          <cell r="B6443" t="str">
            <v>VALVE A CARTOUCHE</v>
          </cell>
          <cell r="C6443" t="str">
            <v>TURBINE TYPE SST 400 ( C190 -L1 ) N° T6453 LISTE 891359 REP 3160</v>
          </cell>
          <cell r="D6443" t="str">
            <v>PE</v>
          </cell>
          <cell r="E6443" t="str">
            <v>512.51201</v>
          </cell>
          <cell r="F6443">
            <v>3335.7240000000002</v>
          </cell>
          <cell r="G6443">
            <v>0</v>
          </cell>
          <cell r="H6443">
            <v>0</v>
          </cell>
          <cell r="I6443">
            <v>0</v>
          </cell>
          <cell r="J6443">
            <v>0</v>
          </cell>
          <cell r="K6443">
            <v>0</v>
          </cell>
          <cell r="L6443">
            <v>0</v>
          </cell>
        </row>
        <row r="6444">
          <cell r="A6444" t="str">
            <v>20211.03495</v>
          </cell>
          <cell r="B6444" t="str">
            <v>REVETEMENT</v>
          </cell>
          <cell r="C6444" t="str">
            <v>TURBINE TYPE SST 400 ( C190 -L1 ) N° T6453 LISTE 891359 REP 3170</v>
          </cell>
          <cell r="D6444" t="str">
            <v>PE</v>
          </cell>
          <cell r="E6444" t="str">
            <v>512.51201</v>
          </cell>
          <cell r="F6444">
            <v>5357.9160000000002</v>
          </cell>
          <cell r="G6444">
            <v>0</v>
          </cell>
          <cell r="H6444">
            <v>0</v>
          </cell>
          <cell r="I6444">
            <v>0</v>
          </cell>
          <cell r="J6444">
            <v>0</v>
          </cell>
          <cell r="K6444">
            <v>0</v>
          </cell>
          <cell r="L6444">
            <v>1</v>
          </cell>
        </row>
        <row r="6445">
          <cell r="A6445" t="str">
            <v>20211.03496</v>
          </cell>
          <cell r="B6445" t="str">
            <v>ACCUMULATEUR POUR BLOC DE SECURETE</v>
          </cell>
          <cell r="C6445" t="str">
            <v>TURBINE TYPE SST 400 ( C190 -L1 ) N° T6453 LISTE 891359 REP 3180</v>
          </cell>
          <cell r="D6445" t="str">
            <v>PE</v>
          </cell>
          <cell r="E6445" t="str">
            <v>512.51201</v>
          </cell>
          <cell r="F6445">
            <v>23249.628000000001</v>
          </cell>
          <cell r="G6445">
            <v>0</v>
          </cell>
          <cell r="H6445">
            <v>0</v>
          </cell>
          <cell r="I6445">
            <v>0</v>
          </cell>
          <cell r="J6445">
            <v>0</v>
          </cell>
          <cell r="K6445">
            <v>0</v>
          </cell>
          <cell r="L6445">
            <v>1</v>
          </cell>
        </row>
        <row r="6446">
          <cell r="A6446" t="str">
            <v>20211.03017</v>
          </cell>
          <cell r="B6446" t="str">
            <v>DISJONCTEUR MOTEUR</v>
          </cell>
          <cell r="C6446" t="str">
            <v>3RV1011-1GA15</v>
          </cell>
          <cell r="D6446" t="str">
            <v>PE</v>
          </cell>
          <cell r="E6446" t="str">
            <v>512.51201</v>
          </cell>
          <cell r="F6446">
            <v>582</v>
          </cell>
          <cell r="G6446">
            <v>0</v>
          </cell>
          <cell r="H6446">
            <v>0</v>
          </cell>
          <cell r="I6446">
            <v>0</v>
          </cell>
          <cell r="J6446">
            <v>0</v>
          </cell>
          <cell r="K6446">
            <v>0</v>
          </cell>
          <cell r="L6446">
            <v>0</v>
          </cell>
        </row>
        <row r="6447">
          <cell r="A6447" t="str">
            <v>20211.03489</v>
          </cell>
          <cell r="B6447" t="str">
            <v>ELEMENT DE CARTOUCHE A 5 MICRONS</v>
          </cell>
          <cell r="C6447" t="str">
            <v>TURBINE TYPE SST 400 ( C190 -L1 ) N° T6453 LISTE 891359  REP 3110</v>
          </cell>
          <cell r="D6447" t="str">
            <v>PE</v>
          </cell>
          <cell r="E6447" t="str">
            <v>512.51201</v>
          </cell>
          <cell r="F6447">
            <v>3326.55</v>
          </cell>
          <cell r="G6447">
            <v>2</v>
          </cell>
          <cell r="H6447">
            <v>0</v>
          </cell>
          <cell r="I6447">
            <v>0</v>
          </cell>
          <cell r="J6447">
            <v>0</v>
          </cell>
          <cell r="K6447">
            <v>1</v>
          </cell>
          <cell r="L6447">
            <v>1</v>
          </cell>
        </row>
        <row r="6448">
          <cell r="A6448" t="str">
            <v>20211.03490</v>
          </cell>
          <cell r="B6448" t="str">
            <v>ELEMENT DE CARTOUCHE A 5 MICRONS</v>
          </cell>
          <cell r="C6448" t="str">
            <v>TURBINE TYPE SST 400 ( C190 -L1 ) N° T6453 LISTE 891359 REP 3120</v>
          </cell>
          <cell r="D6448" t="str">
            <v>PE</v>
          </cell>
          <cell r="E6448" t="str">
            <v>512.51201</v>
          </cell>
          <cell r="F6448">
            <v>3326.55</v>
          </cell>
          <cell r="G6448">
            <v>0</v>
          </cell>
          <cell r="H6448">
            <v>0</v>
          </cell>
          <cell r="I6448">
            <v>0</v>
          </cell>
          <cell r="J6448">
            <v>0</v>
          </cell>
          <cell r="K6448">
            <v>1</v>
          </cell>
          <cell r="L6448">
            <v>1</v>
          </cell>
        </row>
        <row r="6449">
          <cell r="A6449" t="str">
            <v>20211.03491</v>
          </cell>
          <cell r="B6449" t="str">
            <v>CLAPET DE NON RETOUR</v>
          </cell>
          <cell r="C6449" t="str">
            <v>TURBINE TYPE SST 400 ( C190 -L1 ) N° T6453 LISTE 891359 REP 3130</v>
          </cell>
          <cell r="D6449" t="str">
            <v>PE</v>
          </cell>
          <cell r="E6449" t="str">
            <v>512.51201</v>
          </cell>
          <cell r="F6449">
            <v>14961.096</v>
          </cell>
          <cell r="G6449">
            <v>0</v>
          </cell>
          <cell r="H6449">
            <v>0</v>
          </cell>
          <cell r="I6449">
            <v>0</v>
          </cell>
          <cell r="J6449">
            <v>0</v>
          </cell>
          <cell r="K6449">
            <v>0</v>
          </cell>
          <cell r="L6449">
            <v>1</v>
          </cell>
        </row>
        <row r="6450">
          <cell r="A6450" t="str">
            <v>20211.03492</v>
          </cell>
          <cell r="B6450" t="str">
            <v>VALVE A CARTOUCHE</v>
          </cell>
          <cell r="C6450" t="str">
            <v>TURBINE TYPE SST 400 ( C190 -L1 ) N° T6453 LISTE 891359 REP 3140</v>
          </cell>
          <cell r="D6450" t="str">
            <v>PE</v>
          </cell>
          <cell r="E6450" t="str">
            <v>512.51201</v>
          </cell>
          <cell r="F6450">
            <v>3335.7240000000002</v>
          </cell>
          <cell r="G6450">
            <v>0</v>
          </cell>
          <cell r="H6450">
            <v>0</v>
          </cell>
          <cell r="I6450">
            <v>0</v>
          </cell>
          <cell r="J6450">
            <v>0</v>
          </cell>
          <cell r="K6450">
            <v>0</v>
          </cell>
          <cell r="L6450">
            <v>0</v>
          </cell>
        </row>
        <row r="6451">
          <cell r="A6451" t="str">
            <v>20211.03484</v>
          </cell>
          <cell r="B6451" t="str">
            <v>FILTRE A AIR A 3 MICRON</v>
          </cell>
          <cell r="C6451" t="str">
            <v>TURBINE TYPE SST 400 ( C190 -L1 ) N° T6453 LISTE 891359 REP 3060</v>
          </cell>
          <cell r="D6451" t="str">
            <v>PE</v>
          </cell>
          <cell r="E6451" t="str">
            <v>512.51201</v>
          </cell>
          <cell r="F6451">
            <v>31211.633999999998</v>
          </cell>
          <cell r="G6451">
            <v>0</v>
          </cell>
          <cell r="H6451">
            <v>0</v>
          </cell>
          <cell r="I6451">
            <v>0</v>
          </cell>
          <cell r="J6451">
            <v>0</v>
          </cell>
          <cell r="K6451">
            <v>0</v>
          </cell>
          <cell r="L6451">
            <v>0</v>
          </cell>
        </row>
        <row r="6452">
          <cell r="A6452" t="str">
            <v>20211.03485</v>
          </cell>
          <cell r="B6452" t="str">
            <v>POMPE A DEBIT VARIABLE</v>
          </cell>
          <cell r="C6452" t="str">
            <v>TURBINE TYPE SST 400 ( C190 -L1 ) N° T6453 LISTE 891359 REP 3070</v>
          </cell>
          <cell r="D6452" t="str">
            <v>PE</v>
          </cell>
          <cell r="E6452" t="str">
            <v>512.51201</v>
          </cell>
          <cell r="F6452">
            <v>44638.883999999998</v>
          </cell>
          <cell r="G6452">
            <v>0</v>
          </cell>
          <cell r="H6452">
            <v>0</v>
          </cell>
          <cell r="I6452">
            <v>0</v>
          </cell>
          <cell r="J6452">
            <v>0</v>
          </cell>
          <cell r="K6452">
            <v>0</v>
          </cell>
          <cell r="L6452">
            <v>0</v>
          </cell>
        </row>
        <row r="6453">
          <cell r="A6453" t="str">
            <v>20211.03486</v>
          </cell>
          <cell r="B6453" t="str">
            <v>POMPE A DEBIT VARIABLE</v>
          </cell>
          <cell r="C6453" t="str">
            <v>TURBINE TYPE SST 400 ( C190 -L1 ) N° T6453 LISTE 891359 REP 3080</v>
          </cell>
          <cell r="D6453" t="str">
            <v>PE</v>
          </cell>
          <cell r="E6453" t="str">
            <v>512.51201</v>
          </cell>
          <cell r="F6453">
            <v>44638.883999999998</v>
          </cell>
          <cell r="G6453">
            <v>0</v>
          </cell>
          <cell r="H6453">
            <v>0</v>
          </cell>
          <cell r="I6453">
            <v>0</v>
          </cell>
          <cell r="J6453">
            <v>0</v>
          </cell>
          <cell r="K6453">
            <v>0</v>
          </cell>
          <cell r="L6453">
            <v>1</v>
          </cell>
        </row>
        <row r="6454">
          <cell r="A6454" t="str">
            <v>20211.03505</v>
          </cell>
          <cell r="B6454" t="str">
            <v>TRANSMETTEUR DE PRESSION</v>
          </cell>
          <cell r="C6454" t="str">
            <v>TURBINE TYPE SST 400 ( C190 -L1 ) N° T6453 LISTE 891359 REP 3270</v>
          </cell>
          <cell r="D6454" t="str">
            <v>PE</v>
          </cell>
          <cell r="E6454" t="str">
            <v>512.51201</v>
          </cell>
          <cell r="F6454">
            <v>46888.74</v>
          </cell>
          <cell r="G6454">
            <v>0</v>
          </cell>
          <cell r="H6454">
            <v>0</v>
          </cell>
          <cell r="I6454">
            <v>0</v>
          </cell>
          <cell r="J6454">
            <v>0</v>
          </cell>
          <cell r="K6454">
            <v>0</v>
          </cell>
          <cell r="L6454">
            <v>1</v>
          </cell>
        </row>
        <row r="6455">
          <cell r="A6455" t="str">
            <v>20211.03506</v>
          </cell>
          <cell r="B6455" t="str">
            <v>ROBINET A SOUPAPE A 3 VOIES</v>
          </cell>
          <cell r="C6455" t="str">
            <v>TURBINE TYPE SST 400 ( C190 -L1 ) N° T6453 LISTE 891359 REP 3280</v>
          </cell>
          <cell r="D6455" t="str">
            <v>PE</v>
          </cell>
          <cell r="E6455" t="str">
            <v>512.51201</v>
          </cell>
          <cell r="F6455">
            <v>24760</v>
          </cell>
          <cell r="G6455">
            <v>0</v>
          </cell>
          <cell r="H6455">
            <v>0</v>
          </cell>
          <cell r="I6455">
            <v>0</v>
          </cell>
          <cell r="J6455">
            <v>0</v>
          </cell>
          <cell r="K6455">
            <v>0</v>
          </cell>
          <cell r="L6455">
            <v>2</v>
          </cell>
        </row>
        <row r="6456">
          <cell r="A6456" t="str">
            <v>20211.03507</v>
          </cell>
          <cell r="B6456" t="str">
            <v>ROBINET A SOUPAPE A 3 VOIES</v>
          </cell>
          <cell r="C6456" t="str">
            <v>TURBINE TYPE SST 400 ( C190 -L1 ) N° T6453 LISTE 891359 REP 3290</v>
          </cell>
          <cell r="D6456" t="str">
            <v>PE</v>
          </cell>
          <cell r="E6456" t="str">
            <v>512.51201</v>
          </cell>
          <cell r="F6456">
            <v>15465.528</v>
          </cell>
          <cell r="G6456">
            <v>0</v>
          </cell>
          <cell r="H6456">
            <v>0</v>
          </cell>
          <cell r="I6456">
            <v>0</v>
          </cell>
          <cell r="J6456">
            <v>0</v>
          </cell>
          <cell r="K6456">
            <v>0</v>
          </cell>
          <cell r="L6456">
            <v>0</v>
          </cell>
        </row>
        <row r="6457">
          <cell r="A6457" t="str">
            <v>20211.03510</v>
          </cell>
          <cell r="B6457" t="str">
            <v>REVETEMENT</v>
          </cell>
          <cell r="C6457" t="str">
            <v>TURBINE TYPE SST 400 ( C190 -L1 ) N° T6453 LISTE 891359 REP3320</v>
          </cell>
          <cell r="D6457" t="str">
            <v>PE</v>
          </cell>
          <cell r="E6457" t="str">
            <v>512.51201</v>
          </cell>
          <cell r="F6457">
            <v>4852.3680000000004</v>
          </cell>
          <cell r="G6457">
            <v>0</v>
          </cell>
          <cell r="H6457">
            <v>0</v>
          </cell>
          <cell r="I6457">
            <v>0</v>
          </cell>
          <cell r="J6457">
            <v>0</v>
          </cell>
          <cell r="K6457">
            <v>0</v>
          </cell>
          <cell r="L6457">
            <v>0</v>
          </cell>
        </row>
        <row r="6458">
          <cell r="A6458" t="str">
            <v>20211.03511</v>
          </cell>
          <cell r="B6458" t="str">
            <v>COFFRET DE CLOCHE + ACCOUPLEMENT</v>
          </cell>
          <cell r="C6458" t="str">
            <v>TURBINE TYPE SST 400 ( C190 -L1 ) N° T6453 LISTE 891359 REP 3330</v>
          </cell>
          <cell r="D6458" t="str">
            <v>PE</v>
          </cell>
          <cell r="E6458" t="str">
            <v>512.51201</v>
          </cell>
          <cell r="F6458">
            <v>5357.9160000000002</v>
          </cell>
          <cell r="G6458">
            <v>0</v>
          </cell>
          <cell r="H6458">
            <v>0</v>
          </cell>
          <cell r="I6458">
            <v>0</v>
          </cell>
          <cell r="J6458">
            <v>0</v>
          </cell>
          <cell r="K6458">
            <v>0</v>
          </cell>
          <cell r="L6458">
            <v>0</v>
          </cell>
        </row>
        <row r="6459">
          <cell r="A6459" t="str">
            <v>20211.03501</v>
          </cell>
          <cell r="B6459" t="str">
            <v>ELEMENT DE CARTOUCHE A 3 MICRONS</v>
          </cell>
          <cell r="C6459" t="str">
            <v>TURBINE TYPE SST 400 ( C190 -L1 ) N° T6453 LISTE 891359 REP 3230</v>
          </cell>
          <cell r="D6459" t="str">
            <v>PE</v>
          </cell>
          <cell r="E6459" t="str">
            <v>512.51201</v>
          </cell>
          <cell r="F6459">
            <v>1834.1220000000001</v>
          </cell>
          <cell r="G6459">
            <v>0</v>
          </cell>
          <cell r="H6459">
            <v>0</v>
          </cell>
          <cell r="I6459">
            <v>0</v>
          </cell>
          <cell r="J6459">
            <v>0</v>
          </cell>
          <cell r="K6459">
            <v>0</v>
          </cell>
          <cell r="L6459">
            <v>3</v>
          </cell>
        </row>
        <row r="6460">
          <cell r="A6460" t="str">
            <v>20211.03502</v>
          </cell>
          <cell r="B6460" t="str">
            <v>TRANSMETTEUR DE PRESSION</v>
          </cell>
          <cell r="C6460" t="str">
            <v>TURBINE TYPE SST 400 ( C190 -L1 ) N° T6453 LISTE 891359 REP 3240</v>
          </cell>
          <cell r="D6460" t="str">
            <v>PE</v>
          </cell>
          <cell r="E6460" t="str">
            <v>512.51201</v>
          </cell>
          <cell r="F6460">
            <v>46888.74</v>
          </cell>
          <cell r="G6460">
            <v>0</v>
          </cell>
          <cell r="H6460">
            <v>0</v>
          </cell>
          <cell r="I6460">
            <v>0</v>
          </cell>
          <cell r="J6460">
            <v>0</v>
          </cell>
          <cell r="K6460">
            <v>0</v>
          </cell>
          <cell r="L6460">
            <v>0</v>
          </cell>
        </row>
        <row r="6461">
          <cell r="A6461" t="str">
            <v>20211.03503</v>
          </cell>
          <cell r="B6461" t="str">
            <v>TRANSMETTEUR DE PRESSION</v>
          </cell>
          <cell r="C6461" t="str">
            <v>TURBINE TYPE SST 400 ( C190 -L1 ) N° T6453 LISTE 891359 REP 3250</v>
          </cell>
          <cell r="D6461" t="str">
            <v>PE</v>
          </cell>
          <cell r="E6461" t="str">
            <v>512.51201</v>
          </cell>
          <cell r="F6461">
            <v>46888.74</v>
          </cell>
          <cell r="G6461">
            <v>0</v>
          </cell>
          <cell r="H6461">
            <v>0</v>
          </cell>
          <cell r="I6461">
            <v>0</v>
          </cell>
          <cell r="J6461">
            <v>0</v>
          </cell>
          <cell r="K6461">
            <v>0</v>
          </cell>
          <cell r="L6461">
            <v>1</v>
          </cell>
        </row>
        <row r="6462">
          <cell r="A6462" t="str">
            <v>20211.03504</v>
          </cell>
          <cell r="B6462" t="str">
            <v>TRANSMETTEUR DE PRESSION</v>
          </cell>
          <cell r="C6462" t="str">
            <v>TURBINE TYPE SST 400 ( C190 -L1 ) N° T6453 LISTE 891359 REP 3260</v>
          </cell>
          <cell r="D6462" t="str">
            <v>PE</v>
          </cell>
          <cell r="E6462" t="str">
            <v>512.51201</v>
          </cell>
          <cell r="F6462">
            <v>46888.74</v>
          </cell>
          <cell r="G6462">
            <v>0</v>
          </cell>
          <cell r="H6462">
            <v>0</v>
          </cell>
          <cell r="I6462">
            <v>0</v>
          </cell>
          <cell r="J6462">
            <v>0</v>
          </cell>
          <cell r="K6462">
            <v>0</v>
          </cell>
          <cell r="L6462">
            <v>1</v>
          </cell>
        </row>
        <row r="6463">
          <cell r="A6463" t="str">
            <v>20211.03209</v>
          </cell>
          <cell r="B6463" t="str">
            <v>SELECTEUR 2 POSITIONS FIXE 1NF+1NO</v>
          </cell>
          <cell r="C6463" t="str">
            <v>3SB 3601-2KA11</v>
          </cell>
          <cell r="D6463" t="str">
            <v>PE</v>
          </cell>
          <cell r="E6463" t="str">
            <v>512.51201</v>
          </cell>
          <cell r="F6463">
            <v>115.67270000000001</v>
          </cell>
          <cell r="G6463">
            <v>0</v>
          </cell>
          <cell r="H6463">
            <v>0</v>
          </cell>
          <cell r="I6463">
            <v>0</v>
          </cell>
          <cell r="J6463">
            <v>0</v>
          </cell>
          <cell r="K6463">
            <v>1</v>
          </cell>
          <cell r="L6463">
            <v>0</v>
          </cell>
        </row>
        <row r="6464">
          <cell r="A6464" t="str">
            <v>20211.03210</v>
          </cell>
          <cell r="B6464" t="str">
            <v>BOUTON POUSSOIR AFFLEURANT VERT MARCHE</v>
          </cell>
          <cell r="C6464" t="str">
            <v>3SB 3602-0AA41</v>
          </cell>
          <cell r="D6464" t="str">
            <v>PE</v>
          </cell>
          <cell r="E6464" t="str">
            <v>512.51201</v>
          </cell>
          <cell r="F6464">
            <v>67.244699999999995</v>
          </cell>
          <cell r="G6464">
            <v>0</v>
          </cell>
          <cell r="H6464">
            <v>0</v>
          </cell>
          <cell r="I6464">
            <v>0</v>
          </cell>
          <cell r="J6464">
            <v>0</v>
          </cell>
          <cell r="K6464">
            <v>0</v>
          </cell>
          <cell r="L6464">
            <v>14</v>
          </cell>
        </row>
        <row r="6465">
          <cell r="A6465" t="str">
            <v>20211.03211</v>
          </cell>
          <cell r="B6465" t="str">
            <v>BOUTON POUSSOIR AFFLEURANT ROUGE ARRET</v>
          </cell>
          <cell r="C6465" t="str">
            <v>3SB 3602-0AA21</v>
          </cell>
          <cell r="D6465" t="str">
            <v>PE</v>
          </cell>
          <cell r="E6465" t="str">
            <v>512.51201</v>
          </cell>
          <cell r="F6465">
            <v>67.244699999999995</v>
          </cell>
          <cell r="G6465">
            <v>0</v>
          </cell>
          <cell r="H6465">
            <v>0</v>
          </cell>
          <cell r="I6465">
            <v>0</v>
          </cell>
          <cell r="J6465">
            <v>0</v>
          </cell>
          <cell r="K6465">
            <v>0</v>
          </cell>
          <cell r="L6465">
            <v>14</v>
          </cell>
        </row>
        <row r="6466">
          <cell r="A6466" t="str">
            <v>20211.03225</v>
          </cell>
          <cell r="B6466" t="str">
            <v>RELAIS PTC</v>
          </cell>
          <cell r="C6466" t="str">
            <v>3RN1000-1AM00</v>
          </cell>
          <cell r="D6466" t="str">
            <v>PE</v>
          </cell>
          <cell r="E6466" t="str">
            <v>512.51201</v>
          </cell>
          <cell r="F6466">
            <v>304.45</v>
          </cell>
          <cell r="G6466">
            <v>0</v>
          </cell>
          <cell r="H6466">
            <v>0</v>
          </cell>
          <cell r="I6466">
            <v>0</v>
          </cell>
          <cell r="J6466">
            <v>0</v>
          </cell>
          <cell r="K6466">
            <v>0</v>
          </cell>
          <cell r="L6466">
            <v>4</v>
          </cell>
        </row>
        <row r="6467">
          <cell r="A6467" t="str">
            <v>20211.03226</v>
          </cell>
          <cell r="B6467" t="str">
            <v>AUTOMATE LOGO 230 RC</v>
          </cell>
          <cell r="C6467" t="str">
            <v>6ED 1052-1FB00-0BA5</v>
          </cell>
          <cell r="D6467" t="str">
            <v>PE</v>
          </cell>
          <cell r="E6467" t="str">
            <v>512.51201</v>
          </cell>
          <cell r="F6467">
            <v>962.11080000000004</v>
          </cell>
          <cell r="G6467">
            <v>0</v>
          </cell>
          <cell r="H6467">
            <v>1</v>
          </cell>
          <cell r="I6467">
            <v>0</v>
          </cell>
          <cell r="J6467">
            <v>2</v>
          </cell>
          <cell r="K6467">
            <v>0</v>
          </cell>
          <cell r="L6467">
            <v>4</v>
          </cell>
        </row>
        <row r="6468">
          <cell r="A6468" t="str">
            <v>20211.03227</v>
          </cell>
          <cell r="B6468" t="str">
            <v>MODULE EXTENTION LOGO</v>
          </cell>
          <cell r="C6468" t="str">
            <v>6ED 1055-1FB00-0BA1  4E/4S 230VAC</v>
          </cell>
          <cell r="D6468" t="str">
            <v>PE</v>
          </cell>
          <cell r="E6468" t="str">
            <v>512.51201</v>
          </cell>
          <cell r="F6468">
            <v>526.89210000000003</v>
          </cell>
          <cell r="G6468">
            <v>0</v>
          </cell>
          <cell r="H6468">
            <v>2</v>
          </cell>
          <cell r="I6468">
            <v>0</v>
          </cell>
          <cell r="J6468">
            <v>0</v>
          </cell>
          <cell r="K6468">
            <v>0</v>
          </cell>
          <cell r="L6468">
            <v>0</v>
          </cell>
        </row>
        <row r="6469">
          <cell r="A6469" t="str">
            <v>20211.03207</v>
          </cell>
          <cell r="B6469" t="str">
            <v>BOUTON POUSSOIR AFFLEURANT</v>
          </cell>
          <cell r="C6469" t="str">
            <v>3SB 3602-0AA51</v>
          </cell>
          <cell r="D6469" t="str">
            <v>PE</v>
          </cell>
          <cell r="E6469" t="str">
            <v>512.51201</v>
          </cell>
          <cell r="F6469">
            <v>67.244699999999995</v>
          </cell>
          <cell r="G6469">
            <v>0</v>
          </cell>
          <cell r="H6469">
            <v>0</v>
          </cell>
          <cell r="I6469">
            <v>0</v>
          </cell>
          <cell r="J6469">
            <v>0</v>
          </cell>
          <cell r="K6469">
            <v>0</v>
          </cell>
          <cell r="L6469">
            <v>13</v>
          </cell>
        </row>
        <row r="6470">
          <cell r="A6470" t="str">
            <v>20211.03208</v>
          </cell>
          <cell r="B6470" t="str">
            <v>BOUTON POUSSOIR TIRER</v>
          </cell>
          <cell r="C6470" t="str">
            <v>3SB 3603-1CA21</v>
          </cell>
          <cell r="D6470" t="str">
            <v>PE</v>
          </cell>
          <cell r="E6470" t="str">
            <v>512.51201</v>
          </cell>
          <cell r="F6470">
            <v>147.4084</v>
          </cell>
          <cell r="G6470">
            <v>0</v>
          </cell>
          <cell r="H6470">
            <v>0</v>
          </cell>
          <cell r="I6470">
            <v>0</v>
          </cell>
          <cell r="J6470">
            <v>2</v>
          </cell>
          <cell r="K6470">
            <v>0</v>
          </cell>
          <cell r="L6470">
            <v>5</v>
          </cell>
        </row>
        <row r="6471">
          <cell r="A6471" t="str">
            <v>20211.03512</v>
          </cell>
          <cell r="B6471" t="str">
            <v>JEU D'ETOUPAGE POUR REFROIDISSEUR D'HUILE DOUBLE</v>
          </cell>
          <cell r="C6471" t="str">
            <v>TURBINE TYPE SST 400 ( C190 -L1 ) N° T6453 LISTE 891359 REP 3340</v>
          </cell>
          <cell r="D6471" t="str">
            <v>JE</v>
          </cell>
          <cell r="E6471" t="str">
            <v>512.51201</v>
          </cell>
          <cell r="F6471">
            <v>30729.06</v>
          </cell>
          <cell r="G6471">
            <v>0</v>
          </cell>
          <cell r="H6471">
            <v>0</v>
          </cell>
          <cell r="I6471">
            <v>0</v>
          </cell>
          <cell r="J6471">
            <v>0</v>
          </cell>
          <cell r="K6471">
            <v>0</v>
          </cell>
          <cell r="L6471">
            <v>0</v>
          </cell>
        </row>
        <row r="6472">
          <cell r="A6472" t="str">
            <v>20211.03513</v>
          </cell>
          <cell r="B6472" t="str">
            <v>ELEMENT FILTRE P/CONDENSEUR</v>
          </cell>
          <cell r="C6472" t="str">
            <v>TURBINE TYPE SST 400 ( C190 -L1 ) N° T6453 LISTE 891359 REP 3350</v>
          </cell>
          <cell r="D6472" t="str">
            <v>PE</v>
          </cell>
          <cell r="E6472" t="str">
            <v>512.51201</v>
          </cell>
          <cell r="F6472">
            <v>52728.686999999998</v>
          </cell>
          <cell r="G6472">
            <v>0</v>
          </cell>
          <cell r="H6472">
            <v>0</v>
          </cell>
          <cell r="I6472">
            <v>0</v>
          </cell>
          <cell r="J6472">
            <v>1</v>
          </cell>
          <cell r="K6472">
            <v>1</v>
          </cell>
          <cell r="L6472">
            <v>0</v>
          </cell>
        </row>
        <row r="6473">
          <cell r="A6473" t="str">
            <v>20212.00326</v>
          </cell>
          <cell r="B6473" t="str">
            <v>MANCHON COMPENSATEUR</v>
          </cell>
          <cell r="C6473" t="str">
            <v>1621 3809 00</v>
          </cell>
          <cell r="D6473" t="str">
            <v>PE</v>
          </cell>
          <cell r="E6473" t="str">
            <v>515.51504</v>
          </cell>
          <cell r="F6473">
            <v>2676</v>
          </cell>
          <cell r="G6473">
            <v>0</v>
          </cell>
          <cell r="H6473">
            <v>0</v>
          </cell>
          <cell r="I6473">
            <v>1</v>
          </cell>
          <cell r="J6473">
            <v>0</v>
          </cell>
          <cell r="K6473">
            <v>0</v>
          </cell>
          <cell r="L6473">
            <v>0</v>
          </cell>
        </row>
        <row r="6474">
          <cell r="A6474" t="str">
            <v>20212.00327</v>
          </cell>
          <cell r="B6474" t="str">
            <v>MANCHON COMPENSATEUR</v>
          </cell>
          <cell r="C6474" t="str">
            <v>1621 3098 00</v>
          </cell>
          <cell r="D6474" t="str">
            <v>PE</v>
          </cell>
          <cell r="E6474" t="str">
            <v>515.51504</v>
          </cell>
          <cell r="F6474">
            <v>4226.3999999999996</v>
          </cell>
          <cell r="G6474">
            <v>0</v>
          </cell>
          <cell r="H6474">
            <v>0</v>
          </cell>
          <cell r="I6474">
            <v>0</v>
          </cell>
          <cell r="J6474">
            <v>0</v>
          </cell>
          <cell r="K6474">
            <v>0</v>
          </cell>
          <cell r="L6474">
            <v>1</v>
          </cell>
        </row>
        <row r="6475">
          <cell r="A6475" t="str">
            <v>20212.00331</v>
          </cell>
          <cell r="B6475" t="str">
            <v>DEMI MANCHON D'ACCOUPLEMENT</v>
          </cell>
          <cell r="C6475" t="str">
            <v>1621 0036 01</v>
          </cell>
          <cell r="D6475" t="str">
            <v>PE</v>
          </cell>
          <cell r="E6475" t="str">
            <v>515.51504</v>
          </cell>
          <cell r="F6475">
            <v>5847.2</v>
          </cell>
          <cell r="G6475">
            <v>0</v>
          </cell>
          <cell r="H6475">
            <v>0</v>
          </cell>
          <cell r="I6475">
            <v>0</v>
          </cell>
          <cell r="J6475">
            <v>0</v>
          </cell>
          <cell r="K6475">
            <v>0</v>
          </cell>
          <cell r="L6475">
            <v>1</v>
          </cell>
        </row>
        <row r="6476">
          <cell r="A6476" t="str">
            <v>20212.00339</v>
          </cell>
          <cell r="B6476" t="str">
            <v>ANTI-VIBRATION</v>
          </cell>
          <cell r="C6476" t="str">
            <v>1619 5318 02</v>
          </cell>
          <cell r="D6476" t="str">
            <v>PE</v>
          </cell>
          <cell r="E6476" t="str">
            <v>515.51504</v>
          </cell>
          <cell r="F6476">
            <v>1504</v>
          </cell>
          <cell r="G6476">
            <v>0</v>
          </cell>
          <cell r="H6476">
            <v>0</v>
          </cell>
          <cell r="I6476">
            <v>0</v>
          </cell>
          <cell r="J6476">
            <v>0</v>
          </cell>
          <cell r="K6476">
            <v>0</v>
          </cell>
          <cell r="L6476">
            <v>1</v>
          </cell>
        </row>
        <row r="6477">
          <cell r="A6477" t="str">
            <v>20212.00399</v>
          </cell>
          <cell r="B6477" t="str">
            <v>DURITE</v>
          </cell>
          <cell r="C6477" t="str">
            <v>1622 0175 00</v>
          </cell>
          <cell r="D6477" t="str">
            <v>PE</v>
          </cell>
          <cell r="E6477" t="str">
            <v>515.51504</v>
          </cell>
          <cell r="F6477">
            <v>1111.23</v>
          </cell>
          <cell r="G6477">
            <v>0</v>
          </cell>
          <cell r="H6477">
            <v>0</v>
          </cell>
          <cell r="I6477">
            <v>0</v>
          </cell>
          <cell r="J6477">
            <v>0</v>
          </cell>
          <cell r="K6477">
            <v>0</v>
          </cell>
          <cell r="L6477">
            <v>1</v>
          </cell>
        </row>
        <row r="6478">
          <cell r="A6478" t="str">
            <v>20212.01914</v>
          </cell>
          <cell r="B6478" t="str">
            <v>CHICANE</v>
          </cell>
          <cell r="C6478" t="str">
            <v>1622 0160 80</v>
          </cell>
          <cell r="D6478" t="str">
            <v>PE</v>
          </cell>
          <cell r="E6478" t="str">
            <v>515.51504</v>
          </cell>
          <cell r="F6478">
            <v>4257.6499999999996</v>
          </cell>
          <cell r="G6478">
            <v>0</v>
          </cell>
          <cell r="H6478">
            <v>1</v>
          </cell>
          <cell r="I6478">
            <v>0</v>
          </cell>
          <cell r="J6478">
            <v>0</v>
          </cell>
          <cell r="K6478">
            <v>0</v>
          </cell>
          <cell r="L6478">
            <v>0</v>
          </cell>
        </row>
        <row r="6479">
          <cell r="A6479" t="str">
            <v>20212.01915</v>
          </cell>
          <cell r="B6479" t="str">
            <v>SPACER</v>
          </cell>
          <cell r="C6479" t="str">
            <v>1622 0012 00</v>
          </cell>
          <cell r="D6479" t="str">
            <v>PE</v>
          </cell>
          <cell r="E6479" t="str">
            <v>515.51504</v>
          </cell>
          <cell r="F6479">
            <v>547.42999999999995</v>
          </cell>
          <cell r="G6479">
            <v>0</v>
          </cell>
          <cell r="H6479">
            <v>0</v>
          </cell>
          <cell r="I6479">
            <v>0</v>
          </cell>
          <cell r="J6479">
            <v>0</v>
          </cell>
          <cell r="K6479">
            <v>0</v>
          </cell>
          <cell r="L6479">
            <v>1</v>
          </cell>
        </row>
        <row r="6480">
          <cell r="A6480" t="str">
            <v>20212.01916</v>
          </cell>
          <cell r="B6480" t="str">
            <v>ENSEMBLE DE LA ROUE DENTEE 13 BAR</v>
          </cell>
          <cell r="C6480" t="str">
            <v>1603 0702 55</v>
          </cell>
          <cell r="D6480" t="str">
            <v>PE</v>
          </cell>
          <cell r="E6480" t="str">
            <v>515.51504</v>
          </cell>
          <cell r="F6480">
            <v>4082.64</v>
          </cell>
          <cell r="G6480">
            <v>0</v>
          </cell>
          <cell r="H6480">
            <v>0</v>
          </cell>
          <cell r="I6480">
            <v>0</v>
          </cell>
          <cell r="J6480">
            <v>0</v>
          </cell>
          <cell r="K6480">
            <v>0</v>
          </cell>
          <cell r="L6480">
            <v>2</v>
          </cell>
        </row>
        <row r="6481">
          <cell r="A6481" t="str">
            <v>20212.01917</v>
          </cell>
          <cell r="B6481" t="str">
            <v>RONDELLE D'ETANCHEITE</v>
          </cell>
          <cell r="C6481" t="str">
            <v>0661 1000 38</v>
          </cell>
          <cell r="D6481" t="str">
            <v>PE</v>
          </cell>
          <cell r="E6481" t="str">
            <v>515.51504</v>
          </cell>
          <cell r="F6481">
            <v>13.74</v>
          </cell>
          <cell r="G6481">
            <v>0</v>
          </cell>
          <cell r="H6481">
            <v>0</v>
          </cell>
          <cell r="I6481">
            <v>0</v>
          </cell>
          <cell r="J6481">
            <v>0</v>
          </cell>
          <cell r="K6481">
            <v>1</v>
          </cell>
          <cell r="L6481">
            <v>2</v>
          </cell>
        </row>
        <row r="6482">
          <cell r="A6482" t="str">
            <v>20212.01918</v>
          </cell>
          <cell r="B6482" t="str">
            <v>RONDELLE D'ETANCHEITE</v>
          </cell>
          <cell r="C6482" t="str">
            <v>0661 1000 44</v>
          </cell>
          <cell r="D6482" t="str">
            <v>PE</v>
          </cell>
          <cell r="E6482" t="str">
            <v>515.51504</v>
          </cell>
          <cell r="F6482">
            <v>30.3</v>
          </cell>
          <cell r="G6482">
            <v>0</v>
          </cell>
          <cell r="H6482">
            <v>0</v>
          </cell>
          <cell r="I6482">
            <v>0</v>
          </cell>
          <cell r="J6482">
            <v>0</v>
          </cell>
          <cell r="K6482">
            <v>1</v>
          </cell>
          <cell r="L6482">
            <v>2</v>
          </cell>
        </row>
        <row r="6483">
          <cell r="A6483" t="str">
            <v>20212.01924</v>
          </cell>
          <cell r="B6483" t="str">
            <v>BANDE D'ORIENTATION</v>
          </cell>
          <cell r="C6483" t="str">
            <v>1622 1790 00</v>
          </cell>
          <cell r="D6483" t="str">
            <v>PE</v>
          </cell>
          <cell r="E6483" t="str">
            <v>515.51504</v>
          </cell>
          <cell r="F6483">
            <v>24.13</v>
          </cell>
          <cell r="G6483">
            <v>0</v>
          </cell>
          <cell r="H6483">
            <v>0</v>
          </cell>
          <cell r="I6483">
            <v>0</v>
          </cell>
          <cell r="J6483">
            <v>0</v>
          </cell>
          <cell r="K6483">
            <v>1</v>
          </cell>
          <cell r="L6483">
            <v>1</v>
          </cell>
        </row>
        <row r="6484">
          <cell r="A6484" t="str">
            <v>20212.01925</v>
          </cell>
          <cell r="B6484" t="str">
            <v>PISTON</v>
          </cell>
          <cell r="C6484" t="str">
            <v>1622 1789 00</v>
          </cell>
          <cell r="D6484" t="str">
            <v>PE</v>
          </cell>
          <cell r="E6484" t="str">
            <v>515.51504</v>
          </cell>
          <cell r="F6484">
            <v>353.34</v>
          </cell>
          <cell r="G6484">
            <v>0</v>
          </cell>
          <cell r="H6484">
            <v>0</v>
          </cell>
          <cell r="I6484">
            <v>0</v>
          </cell>
          <cell r="J6484">
            <v>0</v>
          </cell>
          <cell r="K6484">
            <v>0</v>
          </cell>
          <cell r="L6484">
            <v>1</v>
          </cell>
        </row>
        <row r="6485">
          <cell r="A6485" t="str">
            <v>20212.01927</v>
          </cell>
          <cell r="B6485" t="str">
            <v>ENSEMBLE VANNE</v>
          </cell>
          <cell r="C6485" t="str">
            <v>1622 1755 80</v>
          </cell>
          <cell r="D6485" t="str">
            <v>PE</v>
          </cell>
          <cell r="E6485" t="str">
            <v>515.51504</v>
          </cell>
          <cell r="F6485">
            <v>409.02</v>
          </cell>
          <cell r="G6485">
            <v>0</v>
          </cell>
          <cell r="H6485">
            <v>0</v>
          </cell>
          <cell r="I6485">
            <v>0</v>
          </cell>
          <cell r="J6485">
            <v>0</v>
          </cell>
          <cell r="K6485">
            <v>0</v>
          </cell>
          <cell r="L6485">
            <v>1</v>
          </cell>
        </row>
        <row r="6486">
          <cell r="A6486" t="str">
            <v>20212.01928</v>
          </cell>
          <cell r="B6486" t="str">
            <v>FILTRE DD60</v>
          </cell>
          <cell r="C6486" t="str">
            <v>1617 7197 00</v>
          </cell>
          <cell r="D6486" t="str">
            <v>PE</v>
          </cell>
          <cell r="E6486" t="str">
            <v>515.51504</v>
          </cell>
          <cell r="F6486">
            <v>4469.6000000000004</v>
          </cell>
          <cell r="G6486">
            <v>0</v>
          </cell>
          <cell r="H6486">
            <v>0</v>
          </cell>
          <cell r="I6486">
            <v>0</v>
          </cell>
          <cell r="J6486">
            <v>0</v>
          </cell>
          <cell r="K6486">
            <v>0</v>
          </cell>
          <cell r="L6486">
            <v>1</v>
          </cell>
        </row>
        <row r="6487">
          <cell r="A6487" t="str">
            <v>20212.01919</v>
          </cell>
          <cell r="B6487" t="str">
            <v>FILTRE A AIR</v>
          </cell>
          <cell r="C6487" t="str">
            <v>1622 0170 00</v>
          </cell>
          <cell r="D6487" t="str">
            <v>PE</v>
          </cell>
          <cell r="E6487" t="str">
            <v>515.51504</v>
          </cell>
          <cell r="F6487">
            <v>886.1</v>
          </cell>
          <cell r="G6487">
            <v>0</v>
          </cell>
          <cell r="H6487">
            <v>0</v>
          </cell>
          <cell r="I6487">
            <v>0</v>
          </cell>
          <cell r="J6487">
            <v>0</v>
          </cell>
          <cell r="K6487">
            <v>0</v>
          </cell>
          <cell r="L6487">
            <v>1</v>
          </cell>
        </row>
        <row r="6488">
          <cell r="A6488" t="str">
            <v>20212.01920</v>
          </cell>
          <cell r="B6488" t="str">
            <v>CIRCLIPS</v>
          </cell>
          <cell r="C6488" t="str">
            <v>0335 2164 00</v>
          </cell>
          <cell r="D6488" t="str">
            <v>PE</v>
          </cell>
          <cell r="E6488" t="str">
            <v>515.51504</v>
          </cell>
          <cell r="F6488">
            <v>52.73</v>
          </cell>
          <cell r="G6488">
            <v>0</v>
          </cell>
          <cell r="H6488">
            <v>0</v>
          </cell>
          <cell r="I6488">
            <v>0</v>
          </cell>
          <cell r="J6488">
            <v>0</v>
          </cell>
          <cell r="K6488">
            <v>1</v>
          </cell>
          <cell r="L6488">
            <v>2</v>
          </cell>
        </row>
        <row r="6489">
          <cell r="A6489" t="str">
            <v>20212.01922</v>
          </cell>
          <cell r="B6489" t="str">
            <v>QUAD-RING</v>
          </cell>
          <cell r="C6489" t="str">
            <v>1622 1798 00</v>
          </cell>
          <cell r="D6489" t="str">
            <v>PE</v>
          </cell>
          <cell r="E6489" t="str">
            <v>515.51504</v>
          </cell>
          <cell r="F6489">
            <v>210.28</v>
          </cell>
          <cell r="G6489">
            <v>0</v>
          </cell>
          <cell r="H6489">
            <v>0</v>
          </cell>
          <cell r="I6489">
            <v>0</v>
          </cell>
          <cell r="J6489">
            <v>0</v>
          </cell>
          <cell r="K6489">
            <v>0</v>
          </cell>
          <cell r="L6489">
            <v>1</v>
          </cell>
        </row>
        <row r="6490">
          <cell r="A6490" t="str">
            <v>20212.01298</v>
          </cell>
          <cell r="B6490" t="str">
            <v>JOINT TORIQUE</v>
          </cell>
          <cell r="C6490" t="str">
            <v>0663 7134 00</v>
          </cell>
          <cell r="D6490" t="str">
            <v>PE</v>
          </cell>
          <cell r="E6490" t="str">
            <v>515.51504</v>
          </cell>
          <cell r="F6490">
            <v>29.235700000000001</v>
          </cell>
          <cell r="G6490">
            <v>0</v>
          </cell>
          <cell r="H6490">
            <v>0</v>
          </cell>
          <cell r="I6490">
            <v>0</v>
          </cell>
          <cell r="J6490">
            <v>0</v>
          </cell>
          <cell r="K6490">
            <v>6</v>
          </cell>
          <cell r="L6490">
            <v>0</v>
          </cell>
        </row>
        <row r="6491">
          <cell r="A6491" t="str">
            <v>20212.01291</v>
          </cell>
          <cell r="B6491" t="str">
            <v>JOINT TORIQUE</v>
          </cell>
          <cell r="C6491" t="str">
            <v>0663 7142 00</v>
          </cell>
          <cell r="D6491" t="str">
            <v>PE</v>
          </cell>
          <cell r="E6491" t="str">
            <v>515.51504</v>
          </cell>
          <cell r="F6491">
            <v>16.596800000000002</v>
          </cell>
          <cell r="G6491">
            <v>0</v>
          </cell>
          <cell r="H6491">
            <v>0</v>
          </cell>
          <cell r="I6491">
            <v>0</v>
          </cell>
          <cell r="J6491">
            <v>0</v>
          </cell>
          <cell r="K6491">
            <v>2</v>
          </cell>
          <cell r="L6491">
            <v>0</v>
          </cell>
        </row>
        <row r="6492">
          <cell r="A6492" t="str">
            <v>20212.01189</v>
          </cell>
          <cell r="B6492" t="str">
            <v>CAPTEUR DE PRESSION</v>
          </cell>
          <cell r="C6492" t="str">
            <v>1089 0575 51</v>
          </cell>
          <cell r="D6492" t="str">
            <v>PE</v>
          </cell>
          <cell r="E6492" t="str">
            <v>515.51504</v>
          </cell>
          <cell r="F6492">
            <v>1509.9499000000001</v>
          </cell>
          <cell r="G6492">
            <v>0</v>
          </cell>
          <cell r="H6492">
            <v>0</v>
          </cell>
          <cell r="I6492">
            <v>0</v>
          </cell>
          <cell r="J6492">
            <v>0</v>
          </cell>
          <cell r="K6492">
            <v>0</v>
          </cell>
          <cell r="L6492">
            <v>1</v>
          </cell>
        </row>
        <row r="6493">
          <cell r="A6493" t="str">
            <v>20492.19636</v>
          </cell>
          <cell r="B6493" t="str">
            <v>AMPERMETRE 40A</v>
          </cell>
          <cell r="C6493" t="str">
            <v>IME AN22D1B400</v>
          </cell>
          <cell r="D6493" t="str">
            <v>PE</v>
          </cell>
          <cell r="E6493" t="str">
            <v>522.52206</v>
          </cell>
          <cell r="F6493">
            <v>109.23</v>
          </cell>
          <cell r="G6493">
            <v>0</v>
          </cell>
          <cell r="H6493">
            <v>0</v>
          </cell>
          <cell r="I6493">
            <v>0</v>
          </cell>
          <cell r="J6493">
            <v>0</v>
          </cell>
          <cell r="K6493">
            <v>0</v>
          </cell>
          <cell r="L6493">
            <v>4</v>
          </cell>
        </row>
        <row r="6494">
          <cell r="A6494" t="str">
            <v>20492.19990</v>
          </cell>
          <cell r="B6494" t="str">
            <v>BOITE A RESSORT COMPLETE</v>
          </cell>
          <cell r="C6494" t="str">
            <v>LISEGA PLAN 28-3-44825 REF SSD 2</v>
          </cell>
          <cell r="D6494" t="str">
            <v>PE</v>
          </cell>
          <cell r="E6494" t="str">
            <v>522.52209</v>
          </cell>
          <cell r="F6494">
            <v>3484.5038</v>
          </cell>
          <cell r="G6494">
            <v>0</v>
          </cell>
          <cell r="H6494">
            <v>0</v>
          </cell>
          <cell r="I6494">
            <v>0</v>
          </cell>
          <cell r="J6494">
            <v>0</v>
          </cell>
          <cell r="K6494">
            <v>0</v>
          </cell>
          <cell r="L6494">
            <v>1</v>
          </cell>
        </row>
        <row r="6495">
          <cell r="A6495" t="str">
            <v>20492.19991</v>
          </cell>
          <cell r="B6495" t="str">
            <v>BOITE A RESSORT COMPLETE</v>
          </cell>
          <cell r="C6495" t="str">
            <v>LISEGA PLAN 30-3-44825 REF SSE 3 R</v>
          </cell>
          <cell r="D6495" t="str">
            <v>PE</v>
          </cell>
          <cell r="E6495" t="str">
            <v>522.52209</v>
          </cell>
          <cell r="F6495">
            <v>3541.8618999999999</v>
          </cell>
          <cell r="G6495">
            <v>0</v>
          </cell>
          <cell r="H6495">
            <v>0</v>
          </cell>
          <cell r="I6495">
            <v>0</v>
          </cell>
          <cell r="J6495">
            <v>0</v>
          </cell>
          <cell r="K6495">
            <v>0</v>
          </cell>
          <cell r="L6495">
            <v>1</v>
          </cell>
        </row>
        <row r="6496">
          <cell r="A6496" t="str">
            <v>20492.21809</v>
          </cell>
          <cell r="B6496" t="str">
            <v>KIT DE REVISION COMPREND:JEU DE 2 RESSORTS+RONDELLES ET GOUPILLES</v>
          </cell>
          <cell r="C6496" t="str">
            <v>CRANE P/CLAPET DE NON RETOUR A DOUBLE BATTANTS DN18" CLASSE 900 RF</v>
          </cell>
          <cell r="D6496" t="str">
            <v>PE</v>
          </cell>
          <cell r="E6496" t="str">
            <v>512.51202</v>
          </cell>
          <cell r="F6496">
            <v>73760.875199999995</v>
          </cell>
          <cell r="G6496">
            <v>0</v>
          </cell>
          <cell r="H6496">
            <v>2</v>
          </cell>
          <cell r="I6496">
            <v>0</v>
          </cell>
          <cell r="J6496">
            <v>1</v>
          </cell>
          <cell r="K6496">
            <v>0</v>
          </cell>
          <cell r="L6496">
            <v>0</v>
          </cell>
        </row>
        <row r="6497">
          <cell r="A6497" t="str">
            <v>20492.19150</v>
          </cell>
          <cell r="B6497" t="str">
            <v>POSITIONNEUR TZIDC SIMPLE EFFET</v>
          </cell>
          <cell r="C6497" t="str">
            <v>ABB V18345-2020150001 M4</v>
          </cell>
          <cell r="D6497" t="str">
            <v>PE</v>
          </cell>
          <cell r="E6497" t="str">
            <v>512.51201</v>
          </cell>
          <cell r="F6497">
            <v>9100</v>
          </cell>
          <cell r="G6497">
            <v>0</v>
          </cell>
          <cell r="H6497">
            <v>0</v>
          </cell>
          <cell r="I6497">
            <v>5</v>
          </cell>
          <cell r="J6497">
            <v>2</v>
          </cell>
          <cell r="K6497">
            <v>1</v>
          </cell>
          <cell r="L6497">
            <v>0</v>
          </cell>
        </row>
        <row r="6498">
          <cell r="A6498" t="str">
            <v>20492.19151</v>
          </cell>
          <cell r="B6498" t="str">
            <v>POSITIONNEUR TZIDC DOUBLE EFFET</v>
          </cell>
          <cell r="C6498" t="str">
            <v>ABB V18345-2020450001 M4</v>
          </cell>
          <cell r="D6498" t="str">
            <v>PE</v>
          </cell>
          <cell r="E6498" t="str">
            <v>512.51201</v>
          </cell>
          <cell r="F6498">
            <v>10215</v>
          </cell>
          <cell r="G6498">
            <v>0</v>
          </cell>
          <cell r="H6498">
            <v>0</v>
          </cell>
          <cell r="I6498">
            <v>2</v>
          </cell>
          <cell r="J6498">
            <v>1</v>
          </cell>
          <cell r="K6498">
            <v>0</v>
          </cell>
          <cell r="L6498">
            <v>0</v>
          </cell>
        </row>
        <row r="6499">
          <cell r="A6499" t="str">
            <v>20492.19152</v>
          </cell>
          <cell r="B6499" t="str">
            <v>INDICATEUR DE POSITION DEGITAL</v>
          </cell>
          <cell r="C6499" t="str">
            <v>ABB 7959190</v>
          </cell>
          <cell r="D6499" t="str">
            <v>PE</v>
          </cell>
          <cell r="E6499" t="str">
            <v>512.51201</v>
          </cell>
          <cell r="F6499">
            <v>2782.3343</v>
          </cell>
          <cell r="G6499">
            <v>0</v>
          </cell>
          <cell r="H6499">
            <v>0</v>
          </cell>
          <cell r="I6499">
            <v>0</v>
          </cell>
          <cell r="J6499">
            <v>0</v>
          </cell>
          <cell r="K6499">
            <v>0</v>
          </cell>
          <cell r="L6499">
            <v>1</v>
          </cell>
        </row>
        <row r="6500">
          <cell r="A6500" t="str">
            <v>20492.19153</v>
          </cell>
          <cell r="B6500" t="str">
            <v>BLOC MANOMETRIQUE SIMPLE EFFET</v>
          </cell>
          <cell r="C6500" t="str">
            <v>ABB 7959114</v>
          </cell>
          <cell r="D6500" t="str">
            <v>PE</v>
          </cell>
          <cell r="E6500" t="str">
            <v>512.51201</v>
          </cell>
          <cell r="F6500">
            <v>1558.1071999999999</v>
          </cell>
          <cell r="G6500">
            <v>0</v>
          </cell>
          <cell r="H6500">
            <v>0</v>
          </cell>
          <cell r="I6500">
            <v>1</v>
          </cell>
          <cell r="J6500">
            <v>2</v>
          </cell>
          <cell r="K6500">
            <v>1</v>
          </cell>
          <cell r="L6500">
            <v>0</v>
          </cell>
        </row>
        <row r="6501">
          <cell r="A6501" t="str">
            <v>20492.19154</v>
          </cell>
          <cell r="B6501" t="str">
            <v>BLOC MANOMETRIQUE DOUBLE EFFET</v>
          </cell>
          <cell r="C6501" t="str">
            <v>ABB 7959118</v>
          </cell>
          <cell r="D6501" t="str">
            <v>PE</v>
          </cell>
          <cell r="E6501" t="str">
            <v>512.51201</v>
          </cell>
          <cell r="F6501">
            <v>1400</v>
          </cell>
          <cell r="G6501">
            <v>0</v>
          </cell>
          <cell r="H6501">
            <v>6</v>
          </cell>
          <cell r="I6501">
            <v>1</v>
          </cell>
          <cell r="J6501">
            <v>2</v>
          </cell>
          <cell r="K6501">
            <v>0</v>
          </cell>
          <cell r="L6501">
            <v>2</v>
          </cell>
        </row>
        <row r="6502">
          <cell r="A6502" t="str">
            <v>20492.19155</v>
          </cell>
          <cell r="B6502" t="str">
            <v>BRAS D'INDICATION DE RECOPIE DE 30MM</v>
          </cell>
          <cell r="C6502" t="str">
            <v>ABB 7946170</v>
          </cell>
          <cell r="D6502" t="str">
            <v>PE</v>
          </cell>
          <cell r="E6502" t="str">
            <v>512.51201</v>
          </cell>
          <cell r="F6502">
            <v>160</v>
          </cell>
          <cell r="G6502">
            <v>0</v>
          </cell>
          <cell r="H6502">
            <v>0</v>
          </cell>
          <cell r="I6502">
            <v>0</v>
          </cell>
          <cell r="J6502">
            <v>0</v>
          </cell>
          <cell r="K6502">
            <v>0</v>
          </cell>
          <cell r="L6502">
            <v>4</v>
          </cell>
        </row>
        <row r="6503">
          <cell r="A6503" t="str">
            <v>20492.19158</v>
          </cell>
          <cell r="B6503" t="str">
            <v>ADAPTEUR DE RECOPIE</v>
          </cell>
          <cell r="C6503" t="str">
            <v>ABB 7959110</v>
          </cell>
          <cell r="D6503" t="str">
            <v>PE</v>
          </cell>
          <cell r="E6503" t="str">
            <v>512.51201</v>
          </cell>
          <cell r="F6503">
            <v>663.3</v>
          </cell>
          <cell r="G6503">
            <v>0</v>
          </cell>
          <cell r="H6503">
            <v>12</v>
          </cell>
          <cell r="I6503">
            <v>2</v>
          </cell>
          <cell r="J6503">
            <v>0</v>
          </cell>
          <cell r="K6503">
            <v>0</v>
          </cell>
          <cell r="L6503">
            <v>14</v>
          </cell>
        </row>
        <row r="6504">
          <cell r="A6504" t="str">
            <v>20492.19156</v>
          </cell>
          <cell r="B6504" t="str">
            <v>MODULE DE RECOPIE ANALOGIQUE</v>
          </cell>
          <cell r="C6504" t="str">
            <v>ABB 7959128</v>
          </cell>
          <cell r="D6504" t="str">
            <v>PE</v>
          </cell>
          <cell r="E6504" t="str">
            <v>512.51201</v>
          </cell>
          <cell r="F6504">
            <v>3900</v>
          </cell>
          <cell r="G6504">
            <v>0</v>
          </cell>
          <cell r="H6504">
            <v>0</v>
          </cell>
          <cell r="I6504">
            <v>0</v>
          </cell>
          <cell r="J6504">
            <v>0</v>
          </cell>
          <cell r="K6504">
            <v>5</v>
          </cell>
          <cell r="L6504">
            <v>8</v>
          </cell>
        </row>
        <row r="6505">
          <cell r="A6505" t="str">
            <v>20492.19157</v>
          </cell>
          <cell r="B6505" t="str">
            <v>BRACKET CONE PROBE+ACCESSOIRES</v>
          </cell>
          <cell r="C6505" t="str">
            <v>ABB 7946156</v>
          </cell>
          <cell r="D6505" t="str">
            <v>PE</v>
          </cell>
          <cell r="E6505" t="str">
            <v>512.51201</v>
          </cell>
          <cell r="F6505">
            <v>387.47</v>
          </cell>
          <cell r="G6505">
            <v>0</v>
          </cell>
          <cell r="H6505">
            <v>1</v>
          </cell>
          <cell r="I6505">
            <v>1</v>
          </cell>
          <cell r="J6505">
            <v>0</v>
          </cell>
          <cell r="K6505">
            <v>0</v>
          </cell>
          <cell r="L6505">
            <v>3</v>
          </cell>
        </row>
        <row r="6506">
          <cell r="A6506" t="str">
            <v>20492.07026</v>
          </cell>
          <cell r="B6506" t="str">
            <v>BANDE A TASSEAUX L1200</v>
          </cell>
          <cell r="C6506" t="str">
            <v>LUX MAGNET TYPE OV 800/4 REP6</v>
          </cell>
          <cell r="D6506" t="str">
            <v>PE</v>
          </cell>
          <cell r="E6506" t="str">
            <v>522.52204</v>
          </cell>
          <cell r="F6506">
            <v>26383</v>
          </cell>
          <cell r="G6506">
            <v>0</v>
          </cell>
          <cell r="H6506">
            <v>0</v>
          </cell>
          <cell r="I6506">
            <v>0</v>
          </cell>
          <cell r="J6506">
            <v>0</v>
          </cell>
          <cell r="K6506">
            <v>0</v>
          </cell>
          <cell r="L6506">
            <v>1</v>
          </cell>
        </row>
        <row r="6507">
          <cell r="A6507" t="str">
            <v>20492.07027</v>
          </cell>
          <cell r="B6507" t="str">
            <v>TAMBOUR MENE DIA 321X1300</v>
          </cell>
          <cell r="C6507" t="str">
            <v>LUX MAGNET TYPE OV 800/4 REP4</v>
          </cell>
          <cell r="D6507" t="str">
            <v>PE</v>
          </cell>
          <cell r="E6507" t="str">
            <v>522.52204</v>
          </cell>
          <cell r="F6507">
            <v>15830</v>
          </cell>
          <cell r="G6507">
            <v>0</v>
          </cell>
          <cell r="H6507">
            <v>0</v>
          </cell>
          <cell r="I6507">
            <v>0</v>
          </cell>
          <cell r="J6507">
            <v>0</v>
          </cell>
          <cell r="K6507">
            <v>0</v>
          </cell>
          <cell r="L6507">
            <v>0</v>
          </cell>
        </row>
        <row r="6508">
          <cell r="A6508" t="str">
            <v>20492.07028</v>
          </cell>
          <cell r="B6508" t="str">
            <v>TAMBOUR MOTEUR DIA 321X1300</v>
          </cell>
          <cell r="C6508" t="str">
            <v>LUX MAGNET TYPE OV 800/4 REP3</v>
          </cell>
          <cell r="D6508" t="str">
            <v>PE</v>
          </cell>
          <cell r="E6508" t="str">
            <v>522.52204</v>
          </cell>
          <cell r="F6508">
            <v>16789</v>
          </cell>
          <cell r="G6508">
            <v>0</v>
          </cell>
          <cell r="H6508">
            <v>0</v>
          </cell>
          <cell r="I6508">
            <v>0</v>
          </cell>
          <cell r="J6508">
            <v>0</v>
          </cell>
          <cell r="K6508">
            <v>0</v>
          </cell>
          <cell r="L6508">
            <v>1</v>
          </cell>
        </row>
        <row r="6509">
          <cell r="A6509" t="str">
            <v>20492.20407</v>
          </cell>
          <cell r="B6509" t="str">
            <v>JEU DE BARRES VERTICAL POUR 16 MODULES</v>
          </cell>
          <cell r="C6509" t="str">
            <v>EATON REF 220C2216</v>
          </cell>
          <cell r="D6509" t="str">
            <v>PE</v>
          </cell>
          <cell r="E6509" t="str">
            <v>522.52206</v>
          </cell>
          <cell r="F6509">
            <v>1000</v>
          </cell>
          <cell r="G6509">
            <v>0</v>
          </cell>
          <cell r="H6509">
            <v>0</v>
          </cell>
          <cell r="I6509">
            <v>0</v>
          </cell>
          <cell r="J6509">
            <v>0</v>
          </cell>
          <cell r="K6509">
            <v>0</v>
          </cell>
          <cell r="L6509">
            <v>4</v>
          </cell>
        </row>
        <row r="6510">
          <cell r="A6510" t="str">
            <v>20492.07436</v>
          </cell>
          <cell r="B6510" t="str">
            <v>ETIQUETTE DE CONDAMNATION (NE PAS TOUCHER)</v>
          </cell>
          <cell r="C6510" t="str">
            <v>BRADY REF 225240</v>
          </cell>
          <cell r="D6510" t="str">
            <v>PE</v>
          </cell>
          <cell r="E6510" t="str">
            <v>522.52203</v>
          </cell>
          <cell r="F6510">
            <v>15</v>
          </cell>
          <cell r="G6510">
            <v>0</v>
          </cell>
          <cell r="H6510">
            <v>200</v>
          </cell>
          <cell r="I6510">
            <v>0</v>
          </cell>
          <cell r="J6510">
            <v>90</v>
          </cell>
          <cell r="K6510">
            <v>0</v>
          </cell>
          <cell r="L6510">
            <v>0</v>
          </cell>
        </row>
        <row r="6511">
          <cell r="A6511" t="str">
            <v>20492.16015</v>
          </cell>
          <cell r="B6511" t="str">
            <v>CARTE CHARGEUR -NEUTRE PFC</v>
          </cell>
          <cell r="C6511" t="str">
            <v>APC 34001163SE P/ONDULEUR TYPE GALAXY 5000.</v>
          </cell>
          <cell r="D6511" t="str">
            <v>PE</v>
          </cell>
          <cell r="E6511" t="str">
            <v>512.51201</v>
          </cell>
          <cell r="F6511">
            <v>7312.5</v>
          </cell>
          <cell r="G6511">
            <v>0</v>
          </cell>
          <cell r="H6511">
            <v>0</v>
          </cell>
          <cell r="I6511">
            <v>0</v>
          </cell>
          <cell r="J6511">
            <v>0</v>
          </cell>
          <cell r="K6511">
            <v>0</v>
          </cell>
          <cell r="L6511">
            <v>0</v>
          </cell>
        </row>
        <row r="6512">
          <cell r="A6512" t="str">
            <v>20492.16016</v>
          </cell>
          <cell r="B6512" t="str">
            <v>CARTE COMMANDE PFC</v>
          </cell>
          <cell r="C6512" t="str">
            <v>APC 34001159SE P/ONDULEUR TYPE GALAXY 5000.</v>
          </cell>
          <cell r="D6512" t="str">
            <v>PE</v>
          </cell>
          <cell r="E6512" t="str">
            <v>512.51201</v>
          </cell>
          <cell r="F6512">
            <v>9660</v>
          </cell>
          <cell r="G6512">
            <v>0</v>
          </cell>
          <cell r="H6512">
            <v>0</v>
          </cell>
          <cell r="I6512">
            <v>0</v>
          </cell>
          <cell r="J6512">
            <v>0</v>
          </cell>
          <cell r="K6512">
            <v>0</v>
          </cell>
          <cell r="L6512">
            <v>1</v>
          </cell>
        </row>
        <row r="6513">
          <cell r="A6513" t="str">
            <v>20492.16017</v>
          </cell>
          <cell r="B6513" t="str">
            <v>CARTE CS SELECTION BATTERIE/RESEAU AC</v>
          </cell>
          <cell r="C6513" t="str">
            <v>APC 34001187SE P/ONDULEUR TYPE GALAXY 5000.</v>
          </cell>
          <cell r="D6513" t="str">
            <v>PE</v>
          </cell>
          <cell r="E6513" t="str">
            <v>512.51201</v>
          </cell>
          <cell r="F6513">
            <v>3812.5</v>
          </cell>
          <cell r="G6513">
            <v>0</v>
          </cell>
          <cell r="H6513">
            <v>0</v>
          </cell>
          <cell r="I6513">
            <v>0</v>
          </cell>
          <cell r="J6513">
            <v>0</v>
          </cell>
          <cell r="K6513">
            <v>0</v>
          </cell>
          <cell r="L6513">
            <v>1</v>
          </cell>
        </row>
        <row r="6514">
          <cell r="A6514" t="str">
            <v>20492.16018</v>
          </cell>
          <cell r="B6514" t="str">
            <v>CARTE COMMANDE CS ONDULEUR /RESEAU AC</v>
          </cell>
          <cell r="C6514" t="str">
            <v>APC 34001189SE P/ONDULEUR TYPE GALAXY 5000.</v>
          </cell>
          <cell r="D6514" t="str">
            <v>PE</v>
          </cell>
          <cell r="E6514" t="str">
            <v>512.51201</v>
          </cell>
          <cell r="F6514">
            <v>5225</v>
          </cell>
          <cell r="G6514">
            <v>0</v>
          </cell>
          <cell r="H6514">
            <v>0</v>
          </cell>
          <cell r="I6514">
            <v>0</v>
          </cell>
          <cell r="J6514">
            <v>0</v>
          </cell>
          <cell r="K6514">
            <v>0</v>
          </cell>
          <cell r="L6514">
            <v>1</v>
          </cell>
        </row>
        <row r="6515">
          <cell r="A6515" t="str">
            <v>20492.16019</v>
          </cell>
          <cell r="B6515" t="str">
            <v>CARTE COMMANDE CS ONDULEUR /RESEAU AC</v>
          </cell>
          <cell r="C6515" t="str">
            <v>APC 34001194SE P/ONDULEUR TYPE GALAXY 5000.</v>
          </cell>
          <cell r="D6515" t="str">
            <v>PE</v>
          </cell>
          <cell r="E6515" t="str">
            <v>512.51201</v>
          </cell>
          <cell r="F6515">
            <v>4862.5</v>
          </cell>
          <cell r="G6515">
            <v>0</v>
          </cell>
          <cell r="H6515">
            <v>0</v>
          </cell>
          <cell r="I6515">
            <v>0</v>
          </cell>
          <cell r="J6515">
            <v>0</v>
          </cell>
          <cell r="K6515">
            <v>0</v>
          </cell>
          <cell r="L6515">
            <v>1</v>
          </cell>
        </row>
        <row r="6516">
          <cell r="A6516" t="str">
            <v>20492.16020</v>
          </cell>
          <cell r="B6516" t="str">
            <v>ENSEMBLE FILTRE CAPAS AC EN ENTREE</v>
          </cell>
          <cell r="C6516" t="str">
            <v>APC 34001346SE P/ONDULEUR TYPE GALAXY 5000.</v>
          </cell>
          <cell r="D6516" t="str">
            <v>PE</v>
          </cell>
          <cell r="E6516" t="str">
            <v>512.51201</v>
          </cell>
          <cell r="F6516">
            <v>5700</v>
          </cell>
          <cell r="G6516">
            <v>0</v>
          </cell>
          <cell r="H6516">
            <v>0</v>
          </cell>
          <cell r="I6516">
            <v>0</v>
          </cell>
          <cell r="J6516">
            <v>0</v>
          </cell>
          <cell r="K6516">
            <v>0</v>
          </cell>
          <cell r="L6516">
            <v>1</v>
          </cell>
        </row>
        <row r="6517">
          <cell r="A6517" t="str">
            <v>20492.16021</v>
          </cell>
          <cell r="B6517" t="str">
            <v>CARTE FILTRE CEM POUR RESEAU AC ET SORTIE ONDULEUR</v>
          </cell>
          <cell r="C6517" t="str">
            <v>APC 34002160SE P/ONDULEUR TYPE GALAXY 5000.</v>
          </cell>
          <cell r="D6517" t="str">
            <v>PE</v>
          </cell>
          <cell r="E6517" t="str">
            <v>512.51201</v>
          </cell>
          <cell r="F6517">
            <v>850</v>
          </cell>
          <cell r="G6517">
            <v>0</v>
          </cell>
          <cell r="H6517">
            <v>0</v>
          </cell>
          <cell r="I6517">
            <v>0</v>
          </cell>
          <cell r="J6517">
            <v>0</v>
          </cell>
          <cell r="K6517">
            <v>0</v>
          </cell>
          <cell r="L6517">
            <v>1</v>
          </cell>
        </row>
        <row r="6518">
          <cell r="A6518" t="str">
            <v>20492.16022</v>
          </cell>
          <cell r="B6518" t="str">
            <v>CARTE FILTRE CEM ENTREE RESEAU 2</v>
          </cell>
          <cell r="C6518" t="str">
            <v>APC 3400115300  P/ONDULEUR TYPE GALAXY 5000.</v>
          </cell>
          <cell r="D6518" t="str">
            <v>PE</v>
          </cell>
          <cell r="E6518" t="str">
            <v>512.51201</v>
          </cell>
          <cell r="F6518">
            <v>675</v>
          </cell>
          <cell r="G6518">
            <v>0</v>
          </cell>
          <cell r="H6518">
            <v>0</v>
          </cell>
          <cell r="I6518">
            <v>0</v>
          </cell>
          <cell r="J6518">
            <v>0</v>
          </cell>
          <cell r="K6518">
            <v>0</v>
          </cell>
          <cell r="L6518">
            <v>1</v>
          </cell>
        </row>
        <row r="6519">
          <cell r="A6519" t="str">
            <v>20492.07667</v>
          </cell>
          <cell r="B6519" t="str">
            <v>SYSTEME UNIVERSEL DE CONDAMNATION PAR CABLE</v>
          </cell>
          <cell r="C6519" t="str">
            <v>BRADY REF 050943</v>
          </cell>
          <cell r="D6519" t="str">
            <v>PE</v>
          </cell>
          <cell r="E6519" t="str">
            <v>522.52203</v>
          </cell>
          <cell r="F6519">
            <v>620</v>
          </cell>
          <cell r="G6519">
            <v>0</v>
          </cell>
          <cell r="H6519">
            <v>0</v>
          </cell>
          <cell r="I6519">
            <v>0</v>
          </cell>
          <cell r="J6519">
            <v>40</v>
          </cell>
          <cell r="K6519">
            <v>0</v>
          </cell>
          <cell r="L6519">
            <v>0</v>
          </cell>
        </row>
        <row r="6520">
          <cell r="A6520" t="str">
            <v>20492.16023</v>
          </cell>
          <cell r="B6520" t="str">
            <v>CARTE PROTECTION RC ET ALIMENTATION CS</v>
          </cell>
          <cell r="C6520" t="str">
            <v>APC 34001193SE P/ONDULEUR TYPE GALAXY 5000.</v>
          </cell>
          <cell r="D6520" t="str">
            <v>PE</v>
          </cell>
          <cell r="E6520" t="str">
            <v>512.51201</v>
          </cell>
          <cell r="F6520">
            <v>2625</v>
          </cell>
          <cell r="G6520">
            <v>0</v>
          </cell>
          <cell r="H6520">
            <v>0</v>
          </cell>
          <cell r="I6520">
            <v>0</v>
          </cell>
          <cell r="J6520">
            <v>0</v>
          </cell>
          <cell r="K6520">
            <v>0</v>
          </cell>
          <cell r="L6520">
            <v>1</v>
          </cell>
        </row>
        <row r="6521">
          <cell r="A6521" t="str">
            <v>20492.16024</v>
          </cell>
          <cell r="B6521" t="str">
            <v>CARTE FOND DE PANIER</v>
          </cell>
          <cell r="C6521" t="str">
            <v>APC 34001197SE P/ONDULEUR TYPE GALAXY 5000.</v>
          </cell>
          <cell r="D6521" t="str">
            <v>PE</v>
          </cell>
          <cell r="E6521" t="str">
            <v>512.51201</v>
          </cell>
          <cell r="F6521">
            <v>1562.5</v>
          </cell>
          <cell r="G6521">
            <v>0</v>
          </cell>
          <cell r="H6521">
            <v>0</v>
          </cell>
          <cell r="I6521">
            <v>0</v>
          </cell>
          <cell r="J6521">
            <v>0</v>
          </cell>
          <cell r="K6521">
            <v>0</v>
          </cell>
          <cell r="L6521">
            <v>1</v>
          </cell>
        </row>
        <row r="6522">
          <cell r="A6522" t="str">
            <v>20492.17534</v>
          </cell>
          <cell r="B6522" t="str">
            <v>TIROIR DEBROCHABLE DE COMMANDE MOTEUR 690V  75KA 7,5KW</v>
          </cell>
          <cell r="C6522" t="str">
            <v>OKKEN OKK_M4E4210M7S4N24L</v>
          </cell>
          <cell r="D6522" t="str">
            <v>PE</v>
          </cell>
          <cell r="E6522" t="str">
            <v>522.52206</v>
          </cell>
          <cell r="F6522">
            <v>14318</v>
          </cell>
          <cell r="G6522">
            <v>0</v>
          </cell>
          <cell r="H6522">
            <v>0</v>
          </cell>
          <cell r="I6522">
            <v>0</v>
          </cell>
          <cell r="J6522">
            <v>0</v>
          </cell>
          <cell r="K6522">
            <v>0</v>
          </cell>
          <cell r="L6522">
            <v>1</v>
          </cell>
        </row>
        <row r="6523">
          <cell r="A6523" t="str">
            <v>20492.17535</v>
          </cell>
          <cell r="B6523" t="str">
            <v>TIROIR DEBROCHABLE DE COMMANDE MOTEUR 690V  75KA 11KW</v>
          </cell>
          <cell r="C6523" t="str">
            <v>OKKEN OKK_M4E4211M7S4N24L</v>
          </cell>
          <cell r="D6523" t="str">
            <v>PE</v>
          </cell>
          <cell r="E6523" t="str">
            <v>522.52206</v>
          </cell>
          <cell r="F6523">
            <v>14318</v>
          </cell>
          <cell r="G6523">
            <v>0</v>
          </cell>
          <cell r="H6523">
            <v>0</v>
          </cell>
          <cell r="I6523">
            <v>0</v>
          </cell>
          <cell r="J6523">
            <v>0</v>
          </cell>
          <cell r="K6523">
            <v>0</v>
          </cell>
          <cell r="L6523">
            <v>1</v>
          </cell>
        </row>
        <row r="6524">
          <cell r="A6524" t="str">
            <v>20492.21799</v>
          </cell>
          <cell r="B6524" t="str">
            <v>TRANSMETTEUR DE PH</v>
          </cell>
          <cell r="C6524" t="str">
            <v>ABB TB82 PH2110100</v>
          </cell>
          <cell r="D6524" t="str">
            <v>PE</v>
          </cell>
          <cell r="E6524" t="str">
            <v>512.51201</v>
          </cell>
          <cell r="F6524">
            <v>19474.066699999999</v>
          </cell>
          <cell r="G6524">
            <v>0</v>
          </cell>
          <cell r="H6524">
            <v>1</v>
          </cell>
          <cell r="I6524">
            <v>0</v>
          </cell>
          <cell r="J6524">
            <v>0</v>
          </cell>
          <cell r="K6524">
            <v>1</v>
          </cell>
          <cell r="L6524">
            <v>6</v>
          </cell>
        </row>
        <row r="6525">
          <cell r="A6525" t="str">
            <v>20492.21800</v>
          </cell>
          <cell r="B6525" t="str">
            <v>SONDE DE PH</v>
          </cell>
          <cell r="C6525" t="str">
            <v>ABB TB557 33D71T25</v>
          </cell>
          <cell r="D6525" t="str">
            <v>PE</v>
          </cell>
          <cell r="E6525" t="str">
            <v>512.51201</v>
          </cell>
          <cell r="F6525">
            <v>9148.4500000000007</v>
          </cell>
          <cell r="G6525">
            <v>0</v>
          </cell>
          <cell r="H6525">
            <v>1</v>
          </cell>
          <cell r="I6525">
            <v>0</v>
          </cell>
          <cell r="J6525">
            <v>1</v>
          </cell>
          <cell r="K6525">
            <v>2</v>
          </cell>
          <cell r="L6525">
            <v>8</v>
          </cell>
        </row>
        <row r="6526">
          <cell r="A6526" t="str">
            <v>20271.00385</v>
          </cell>
          <cell r="B6526" t="str">
            <v>ACCOUPLEMENT FLEXACIER</v>
          </cell>
          <cell r="C6526" t="str">
            <v>9TL2</v>
          </cell>
          <cell r="D6526" t="str">
            <v>PE</v>
          </cell>
          <cell r="E6526" t="str">
            <v>515.51515</v>
          </cell>
          <cell r="F6526">
            <v>14385.6765</v>
          </cell>
          <cell r="G6526">
            <v>0</v>
          </cell>
          <cell r="H6526">
            <v>0</v>
          </cell>
          <cell r="I6526">
            <v>0</v>
          </cell>
          <cell r="J6526">
            <v>0</v>
          </cell>
          <cell r="K6526">
            <v>0</v>
          </cell>
          <cell r="L6526">
            <v>0</v>
          </cell>
        </row>
        <row r="6527">
          <cell r="A6527" t="str">
            <v>20271.09128</v>
          </cell>
          <cell r="B6527" t="str">
            <v>RESSORT ACCOUPLE. CITROEN</v>
          </cell>
          <cell r="C6527" t="str">
            <v>70 JEU DE RESSORTS</v>
          </cell>
          <cell r="D6527" t="str">
            <v>JE</v>
          </cell>
          <cell r="E6527" t="str">
            <v>515.51515</v>
          </cell>
          <cell r="F6527">
            <v>27277.195</v>
          </cell>
          <cell r="G6527">
            <v>0</v>
          </cell>
          <cell r="H6527">
            <v>0</v>
          </cell>
          <cell r="I6527">
            <v>0</v>
          </cell>
          <cell r="J6527">
            <v>2</v>
          </cell>
          <cell r="K6527">
            <v>0</v>
          </cell>
          <cell r="L6527">
            <v>0</v>
          </cell>
        </row>
        <row r="6528">
          <cell r="A6528" t="str">
            <v>20271.00892</v>
          </cell>
          <cell r="B6528" t="str">
            <v>KIT ETANCHEITE VISSERIE</v>
          </cell>
          <cell r="C6528" t="str">
            <v>43T</v>
          </cell>
          <cell r="D6528" t="str">
            <v>PE</v>
          </cell>
          <cell r="E6528" t="str">
            <v>515.51515</v>
          </cell>
          <cell r="F6528">
            <v>890</v>
          </cell>
          <cell r="G6528">
            <v>0</v>
          </cell>
          <cell r="H6528">
            <v>1</v>
          </cell>
          <cell r="I6528">
            <v>0</v>
          </cell>
          <cell r="J6528">
            <v>1</v>
          </cell>
          <cell r="K6528">
            <v>0</v>
          </cell>
          <cell r="L6528">
            <v>1</v>
          </cell>
        </row>
        <row r="6529">
          <cell r="A6529" t="str">
            <v>20271.00893</v>
          </cell>
          <cell r="B6529" t="str">
            <v>KIT ETANCHEITE VISSERIE</v>
          </cell>
          <cell r="C6529" t="str">
            <v>28T</v>
          </cell>
          <cell r="D6529" t="str">
            <v>PE</v>
          </cell>
          <cell r="E6529" t="str">
            <v>515.51515</v>
          </cell>
          <cell r="F6529">
            <v>1478.4</v>
          </cell>
          <cell r="G6529">
            <v>0</v>
          </cell>
          <cell r="H6529">
            <v>1</v>
          </cell>
          <cell r="I6529">
            <v>0</v>
          </cell>
          <cell r="J6529">
            <v>2</v>
          </cell>
          <cell r="K6529">
            <v>0</v>
          </cell>
          <cell r="L6529">
            <v>1</v>
          </cell>
        </row>
        <row r="6530">
          <cell r="A6530" t="str">
            <v>20271.00894</v>
          </cell>
          <cell r="B6530" t="str">
            <v>ACCOUPLEMENT FLEXACIER</v>
          </cell>
          <cell r="C6530" t="str">
            <v>95T</v>
          </cell>
          <cell r="D6530" t="str">
            <v>PE</v>
          </cell>
          <cell r="E6530" t="str">
            <v>515.51515</v>
          </cell>
          <cell r="F6530">
            <v>126191.016</v>
          </cell>
          <cell r="G6530">
            <v>0</v>
          </cell>
          <cell r="H6530">
            <v>0</v>
          </cell>
          <cell r="I6530">
            <v>0</v>
          </cell>
          <cell r="J6530">
            <v>0</v>
          </cell>
          <cell r="K6530">
            <v>0</v>
          </cell>
          <cell r="L6530">
            <v>0</v>
          </cell>
        </row>
        <row r="6531">
          <cell r="A6531" t="str">
            <v>20271.00895</v>
          </cell>
          <cell r="B6531" t="str">
            <v>JEU DE RSSORTS</v>
          </cell>
          <cell r="C6531" t="str">
            <v>28T</v>
          </cell>
          <cell r="D6531" t="str">
            <v>JE</v>
          </cell>
          <cell r="E6531" t="str">
            <v>515.51515</v>
          </cell>
          <cell r="F6531">
            <v>7577.53</v>
          </cell>
          <cell r="G6531">
            <v>0</v>
          </cell>
          <cell r="H6531">
            <v>1</v>
          </cell>
          <cell r="I6531">
            <v>0</v>
          </cell>
          <cell r="J6531">
            <v>2</v>
          </cell>
          <cell r="K6531">
            <v>0</v>
          </cell>
          <cell r="L6531">
            <v>1</v>
          </cell>
        </row>
        <row r="6532">
          <cell r="A6532" t="str">
            <v>20273.00002</v>
          </cell>
          <cell r="B6532" t="str">
            <v>SERVOMOTEUR A COMMANDE ELECTRIQUE TRIPHASEE</v>
          </cell>
          <cell r="C6532" t="str">
            <v>ASM1+POSIGAM+TAM  4-20MA</v>
          </cell>
          <cell r="D6532" t="str">
            <v>PE</v>
          </cell>
          <cell r="E6532" t="str">
            <v>515.51505</v>
          </cell>
          <cell r="F6532">
            <v>42800</v>
          </cell>
          <cell r="G6532">
            <v>0</v>
          </cell>
          <cell r="H6532">
            <v>0</v>
          </cell>
          <cell r="I6532">
            <v>0</v>
          </cell>
          <cell r="J6532">
            <v>0</v>
          </cell>
          <cell r="K6532">
            <v>1</v>
          </cell>
          <cell r="L6532">
            <v>0</v>
          </cell>
        </row>
        <row r="6533">
          <cell r="A6533" t="str">
            <v>20271.00882</v>
          </cell>
          <cell r="B6533" t="str">
            <v>JEU DE RESSORTS</v>
          </cell>
          <cell r="C6533" t="str">
            <v>95T</v>
          </cell>
          <cell r="D6533" t="str">
            <v>JE</v>
          </cell>
          <cell r="E6533" t="str">
            <v>515.51515</v>
          </cell>
          <cell r="F6533">
            <v>46800.012000000002</v>
          </cell>
          <cell r="G6533">
            <v>0</v>
          </cell>
          <cell r="H6533">
            <v>0</v>
          </cell>
          <cell r="I6533">
            <v>0</v>
          </cell>
          <cell r="J6533">
            <v>0</v>
          </cell>
          <cell r="K6533">
            <v>0</v>
          </cell>
          <cell r="L6533">
            <v>0</v>
          </cell>
        </row>
        <row r="6534">
          <cell r="A6534" t="str">
            <v>20492.16444</v>
          </cell>
          <cell r="B6534" t="str">
            <v>DOUILLE DE BRIDE</v>
          </cell>
          <cell r="C6534" t="str">
            <v>DRESSER RAND PLAN NP-2151 C REP90</v>
          </cell>
          <cell r="D6534" t="str">
            <v>PE</v>
          </cell>
          <cell r="E6534" t="str">
            <v>515.51517</v>
          </cell>
          <cell r="F6534">
            <v>56417.049299999999</v>
          </cell>
          <cell r="G6534">
            <v>0</v>
          </cell>
          <cell r="H6534">
            <v>0</v>
          </cell>
          <cell r="I6534">
            <v>0</v>
          </cell>
          <cell r="J6534">
            <v>0</v>
          </cell>
          <cell r="K6534">
            <v>0</v>
          </cell>
          <cell r="L6534">
            <v>0</v>
          </cell>
        </row>
        <row r="6535">
          <cell r="A6535" t="str">
            <v>20492.16445</v>
          </cell>
          <cell r="B6535" t="str">
            <v>ROUE</v>
          </cell>
          <cell r="C6535" t="str">
            <v>DRESSER RAND PLAN NP-2151 C REP91</v>
          </cell>
          <cell r="D6535" t="str">
            <v>PE</v>
          </cell>
          <cell r="E6535" t="str">
            <v>515.51517</v>
          </cell>
          <cell r="F6535">
            <v>131520.04620000001</v>
          </cell>
          <cell r="G6535">
            <v>0</v>
          </cell>
          <cell r="H6535">
            <v>0</v>
          </cell>
          <cell r="I6535">
            <v>0</v>
          </cell>
          <cell r="J6535">
            <v>0</v>
          </cell>
          <cell r="K6535">
            <v>0</v>
          </cell>
          <cell r="L6535">
            <v>0</v>
          </cell>
        </row>
        <row r="6536">
          <cell r="A6536" t="str">
            <v>20492.16446</v>
          </cell>
          <cell r="B6536" t="str">
            <v>DOUILLE</v>
          </cell>
          <cell r="C6536" t="str">
            <v>DRESSER RAND PLAN NP-2151 C REP94</v>
          </cell>
          <cell r="D6536" t="str">
            <v>PE</v>
          </cell>
          <cell r="E6536" t="str">
            <v>515.51517</v>
          </cell>
          <cell r="F6536">
            <v>31480.525399999999</v>
          </cell>
          <cell r="G6536">
            <v>0</v>
          </cell>
          <cell r="H6536">
            <v>0</v>
          </cell>
          <cell r="I6536">
            <v>0</v>
          </cell>
          <cell r="J6536">
            <v>0</v>
          </cell>
          <cell r="K6536">
            <v>0</v>
          </cell>
          <cell r="L6536">
            <v>0</v>
          </cell>
        </row>
        <row r="6537">
          <cell r="A6537" t="str">
            <v>20492.16447</v>
          </cell>
          <cell r="B6537" t="str">
            <v>TIGE DE PISTON</v>
          </cell>
          <cell r="C6537" t="str">
            <v>DRESSER RAND PLAN NP-2151 C REP95</v>
          </cell>
          <cell r="D6537" t="str">
            <v>PE</v>
          </cell>
          <cell r="E6537" t="str">
            <v>515.51517</v>
          </cell>
          <cell r="F6537">
            <v>47376.173900000002</v>
          </cell>
          <cell r="G6537">
            <v>0</v>
          </cell>
          <cell r="H6537">
            <v>0</v>
          </cell>
          <cell r="I6537">
            <v>0</v>
          </cell>
          <cell r="J6537">
            <v>0</v>
          </cell>
          <cell r="K6537">
            <v>0</v>
          </cell>
          <cell r="L6537">
            <v>0</v>
          </cell>
        </row>
        <row r="6538">
          <cell r="A6538" t="str">
            <v>20492.16448</v>
          </cell>
          <cell r="B6538" t="str">
            <v>JEU DE VIS</v>
          </cell>
          <cell r="C6538" t="str">
            <v>DRESSER RAND PLAN NP-2151 C REP102</v>
          </cell>
          <cell r="D6538" t="str">
            <v>PE</v>
          </cell>
          <cell r="E6538" t="str">
            <v>515.51517</v>
          </cell>
          <cell r="F6538">
            <v>42020.516300000003</v>
          </cell>
          <cell r="G6538">
            <v>0</v>
          </cell>
          <cell r="H6538">
            <v>0</v>
          </cell>
          <cell r="I6538">
            <v>0</v>
          </cell>
          <cell r="J6538">
            <v>0</v>
          </cell>
          <cell r="K6538">
            <v>0</v>
          </cell>
          <cell r="L6538">
            <v>0</v>
          </cell>
        </row>
        <row r="6539">
          <cell r="A6539" t="str">
            <v>20461.00455</v>
          </cell>
          <cell r="B6539" t="str">
            <v>GOUJON AVEC ECROU ET CONTRE ECROU EN INOX 904L</v>
          </cell>
          <cell r="C6539" t="str">
            <v>SUIVANT PLAN: PH.75-1</v>
          </cell>
          <cell r="D6539" t="str">
            <v>PE</v>
          </cell>
          <cell r="E6539" t="str">
            <v>522.52213</v>
          </cell>
          <cell r="F6539">
            <v>1805</v>
          </cell>
          <cell r="G6539">
            <v>8</v>
          </cell>
          <cell r="H6539">
            <v>0</v>
          </cell>
          <cell r="I6539">
            <v>0</v>
          </cell>
          <cell r="J6539">
            <v>32</v>
          </cell>
          <cell r="K6539">
            <v>0</v>
          </cell>
          <cell r="L6539">
            <v>24</v>
          </cell>
        </row>
        <row r="6540">
          <cell r="A6540" t="str">
            <v>20461.00456</v>
          </cell>
          <cell r="B6540" t="str">
            <v>GOUJON AVEC ECROU ET CONTRE ECROU EN INOX 904L</v>
          </cell>
          <cell r="C6540" t="str">
            <v>SUIVANT PLAN: PH.75-2</v>
          </cell>
          <cell r="D6540" t="str">
            <v>PE</v>
          </cell>
          <cell r="E6540" t="str">
            <v>522.52213</v>
          </cell>
          <cell r="F6540">
            <v>1765</v>
          </cell>
          <cell r="G6540">
            <v>8</v>
          </cell>
          <cell r="H6540">
            <v>0</v>
          </cell>
          <cell r="I6540">
            <v>0</v>
          </cell>
          <cell r="J6540">
            <v>64</v>
          </cell>
          <cell r="K6540">
            <v>0</v>
          </cell>
          <cell r="L6540">
            <v>56</v>
          </cell>
        </row>
        <row r="6541">
          <cell r="A6541" t="str">
            <v>20461.00457</v>
          </cell>
          <cell r="B6541" t="str">
            <v>GOUJON AVEC ECROU ET CONTRE ECROU EN INOX 904L</v>
          </cell>
          <cell r="C6541" t="str">
            <v>SUIVANT PLAN: PH.75-3</v>
          </cell>
          <cell r="D6541" t="str">
            <v>PE</v>
          </cell>
          <cell r="E6541" t="str">
            <v>522.52213</v>
          </cell>
          <cell r="F6541">
            <v>1455.3003000000001</v>
          </cell>
          <cell r="G6541">
            <v>0</v>
          </cell>
          <cell r="H6541">
            <v>0</v>
          </cell>
          <cell r="I6541">
            <v>0</v>
          </cell>
          <cell r="J6541">
            <v>8</v>
          </cell>
          <cell r="K6541">
            <v>0</v>
          </cell>
          <cell r="L6541">
            <v>32</v>
          </cell>
        </row>
        <row r="6542">
          <cell r="A6542" t="str">
            <v>20461.00458</v>
          </cell>
          <cell r="B6542" t="str">
            <v>GOUJON AVEC ECROU ET CONTRE ECROU EN INOX 904L</v>
          </cell>
          <cell r="C6542" t="str">
            <v>SUIVANT PLAN: PH.75-4</v>
          </cell>
          <cell r="D6542" t="str">
            <v>PE</v>
          </cell>
          <cell r="E6542" t="str">
            <v>522.52213</v>
          </cell>
          <cell r="F6542">
            <v>1107.268</v>
          </cell>
          <cell r="G6542">
            <v>0</v>
          </cell>
          <cell r="H6542">
            <v>0</v>
          </cell>
          <cell r="I6542">
            <v>0</v>
          </cell>
          <cell r="J6542">
            <v>32</v>
          </cell>
          <cell r="K6542">
            <v>0</v>
          </cell>
          <cell r="L6542">
            <v>48</v>
          </cell>
        </row>
        <row r="6543">
          <cell r="A6543" t="str">
            <v>20212.09950</v>
          </cell>
          <cell r="B6543" t="str">
            <v>MANO D'ALARME</v>
          </cell>
          <cell r="C6543" t="str">
            <v>1089 0574 70</v>
          </cell>
          <cell r="D6543" t="str">
            <v>PE</v>
          </cell>
          <cell r="E6543" t="str">
            <v>515.51504</v>
          </cell>
          <cell r="F6543">
            <v>880.68769999999995</v>
          </cell>
          <cell r="G6543">
            <v>0</v>
          </cell>
          <cell r="H6543">
            <v>0</v>
          </cell>
          <cell r="I6543">
            <v>0</v>
          </cell>
          <cell r="J6543">
            <v>0</v>
          </cell>
          <cell r="K6543">
            <v>0</v>
          </cell>
          <cell r="L6543">
            <v>3</v>
          </cell>
        </row>
        <row r="6544">
          <cell r="A6544" t="str">
            <v>20212.00743</v>
          </cell>
          <cell r="B6544" t="str">
            <v>JOINT TORIQUE REP:1080</v>
          </cell>
          <cell r="C6544" t="str">
            <v>0663 2103 22</v>
          </cell>
          <cell r="D6544" t="str">
            <v>PE</v>
          </cell>
          <cell r="E6544" t="str">
            <v>515.51504</v>
          </cell>
          <cell r="F6544">
            <v>434.99329999999998</v>
          </cell>
          <cell r="G6544">
            <v>0</v>
          </cell>
          <cell r="H6544">
            <v>0</v>
          </cell>
          <cell r="I6544">
            <v>0</v>
          </cell>
          <cell r="J6544">
            <v>0</v>
          </cell>
          <cell r="K6544">
            <v>0</v>
          </cell>
          <cell r="L6544">
            <v>2</v>
          </cell>
        </row>
        <row r="6545">
          <cell r="A6545" t="str">
            <v>20211.00423</v>
          </cell>
          <cell r="B6545" t="str">
            <v xml:space="preserve">POSITIONNEUR SIMPLE EFFET </v>
          </cell>
          <cell r="C6545" t="str">
            <v>6DR5220-OEN01-OAA4</v>
          </cell>
          <cell r="D6545" t="str">
            <v>PE</v>
          </cell>
          <cell r="E6545" t="str">
            <v>512.51201</v>
          </cell>
          <cell r="F6545">
            <v>13895</v>
          </cell>
          <cell r="G6545">
            <v>1</v>
          </cell>
          <cell r="H6545">
            <v>0</v>
          </cell>
          <cell r="I6545">
            <v>3</v>
          </cell>
          <cell r="J6545">
            <v>0</v>
          </cell>
          <cell r="K6545">
            <v>0</v>
          </cell>
          <cell r="L6545">
            <v>0</v>
          </cell>
        </row>
        <row r="6546">
          <cell r="A6546" t="str">
            <v>20211.02628</v>
          </cell>
          <cell r="B6546" t="str">
            <v>MODULE D'ALIMENTATION</v>
          </cell>
          <cell r="C6546" t="str">
            <v>6ES7 407-0KA01-0AA0</v>
          </cell>
          <cell r="D6546" t="str">
            <v>PE</v>
          </cell>
          <cell r="E6546" t="str">
            <v>512.51201</v>
          </cell>
          <cell r="F6546">
            <v>4500</v>
          </cell>
          <cell r="G6546">
            <v>0</v>
          </cell>
          <cell r="H6546">
            <v>0</v>
          </cell>
          <cell r="I6546">
            <v>0</v>
          </cell>
          <cell r="J6546">
            <v>0</v>
          </cell>
          <cell r="K6546">
            <v>0</v>
          </cell>
          <cell r="L6546">
            <v>1</v>
          </cell>
        </row>
        <row r="6547">
          <cell r="A6547" t="str">
            <v>20271.00496</v>
          </cell>
          <cell r="B6547" t="str">
            <v>ACCOUPLEMENT</v>
          </cell>
          <cell r="C6547" t="str">
            <v>70TL2 ACCOUPLEMENT</v>
          </cell>
          <cell r="D6547" t="str">
            <v>PE</v>
          </cell>
          <cell r="E6547" t="str">
            <v>515.51515</v>
          </cell>
          <cell r="F6547">
            <v>101293.08</v>
          </cell>
          <cell r="G6547">
            <v>0</v>
          </cell>
          <cell r="H6547">
            <v>0</v>
          </cell>
          <cell r="I6547">
            <v>0</v>
          </cell>
          <cell r="J6547">
            <v>1</v>
          </cell>
          <cell r="K6547">
            <v>0</v>
          </cell>
          <cell r="L6547">
            <v>1</v>
          </cell>
        </row>
        <row r="6548">
          <cell r="A6548" t="str">
            <v>20271.00497</v>
          </cell>
          <cell r="B6548" t="str">
            <v>ACCOUPLEMENT FLEXACIER</v>
          </cell>
          <cell r="C6548" t="str">
            <v>00T ACCOUPLEMENT</v>
          </cell>
          <cell r="D6548" t="str">
            <v>PE</v>
          </cell>
          <cell r="E6548" t="str">
            <v>515.51515</v>
          </cell>
          <cell r="F6548">
            <v>1619.9480000000001</v>
          </cell>
          <cell r="G6548">
            <v>0</v>
          </cell>
          <cell r="H6548">
            <v>1</v>
          </cell>
          <cell r="I6548">
            <v>0</v>
          </cell>
          <cell r="J6548">
            <v>0</v>
          </cell>
          <cell r="K6548">
            <v>0</v>
          </cell>
          <cell r="L6548">
            <v>0</v>
          </cell>
        </row>
        <row r="6549">
          <cell r="A6549" t="str">
            <v>20212.09798</v>
          </cell>
          <cell r="B6549" t="str">
            <v>ROULEMENT</v>
          </cell>
          <cell r="C6549" t="str">
            <v>0508 1100 50</v>
          </cell>
          <cell r="D6549" t="str">
            <v>PE</v>
          </cell>
          <cell r="E6549" t="str">
            <v>515.51504</v>
          </cell>
          <cell r="F6549">
            <v>1629.8713</v>
          </cell>
          <cell r="G6549">
            <v>0</v>
          </cell>
          <cell r="H6549">
            <v>0</v>
          </cell>
          <cell r="I6549">
            <v>0</v>
          </cell>
          <cell r="J6549">
            <v>0</v>
          </cell>
          <cell r="K6549">
            <v>0</v>
          </cell>
          <cell r="L6549">
            <v>1</v>
          </cell>
        </row>
        <row r="6550">
          <cell r="A6550" t="str">
            <v>20212.01313</v>
          </cell>
          <cell r="B6550" t="str">
            <v>JOINT TORIQUE</v>
          </cell>
          <cell r="C6550" t="str">
            <v>0663 2101 95</v>
          </cell>
          <cell r="D6550" t="str">
            <v>PE</v>
          </cell>
          <cell r="E6550" t="str">
            <v>515.51504</v>
          </cell>
          <cell r="F6550">
            <v>24.009599999999999</v>
          </cell>
          <cell r="G6550">
            <v>0</v>
          </cell>
          <cell r="H6550">
            <v>0</v>
          </cell>
          <cell r="I6550">
            <v>0</v>
          </cell>
          <cell r="J6550">
            <v>0</v>
          </cell>
          <cell r="K6550">
            <v>2</v>
          </cell>
          <cell r="L6550">
            <v>0</v>
          </cell>
        </row>
        <row r="6551">
          <cell r="A6551" t="str">
            <v>20211.02204</v>
          </cell>
          <cell r="B6551" t="str">
            <v>CONTACTEUR 220 VAC</v>
          </cell>
          <cell r="C6551" t="str">
            <v>3RT1024-1AP00</v>
          </cell>
          <cell r="D6551" t="str">
            <v>PE</v>
          </cell>
          <cell r="E6551" t="str">
            <v>512.51201</v>
          </cell>
          <cell r="F6551">
            <v>230.47200000000001</v>
          </cell>
          <cell r="G6551">
            <v>0</v>
          </cell>
          <cell r="H6551">
            <v>0</v>
          </cell>
          <cell r="I6551">
            <v>0</v>
          </cell>
          <cell r="J6551">
            <v>0</v>
          </cell>
          <cell r="K6551">
            <v>0</v>
          </cell>
          <cell r="L6551">
            <v>0</v>
          </cell>
        </row>
        <row r="6552">
          <cell r="A6552" t="str">
            <v>20211.02205</v>
          </cell>
          <cell r="B6552" t="str">
            <v>CONTACTEIR 220 VAC</v>
          </cell>
          <cell r="C6552" t="str">
            <v>3RT1026-1AP00</v>
          </cell>
          <cell r="D6552" t="str">
            <v>PE</v>
          </cell>
          <cell r="E6552" t="str">
            <v>512.51201</v>
          </cell>
          <cell r="F6552">
            <v>430.68</v>
          </cell>
          <cell r="G6552">
            <v>0</v>
          </cell>
          <cell r="H6552">
            <v>0</v>
          </cell>
          <cell r="I6552">
            <v>0</v>
          </cell>
          <cell r="J6552">
            <v>0</v>
          </cell>
          <cell r="K6552">
            <v>0</v>
          </cell>
          <cell r="L6552">
            <v>0</v>
          </cell>
        </row>
        <row r="6553">
          <cell r="A6553" t="str">
            <v>20211.02207</v>
          </cell>
          <cell r="B6553" t="str">
            <v>VOYANT LUMINEUX</v>
          </cell>
          <cell r="C6553" t="str">
            <v>3SB3001-6AA20+3SB3400-1C</v>
          </cell>
          <cell r="D6553" t="str">
            <v>PE</v>
          </cell>
          <cell r="E6553" t="str">
            <v>512.51201</v>
          </cell>
          <cell r="F6553">
            <v>90.340199999999996</v>
          </cell>
          <cell r="G6553">
            <v>0</v>
          </cell>
          <cell r="H6553">
            <v>0</v>
          </cell>
          <cell r="I6553">
            <v>0</v>
          </cell>
          <cell r="J6553">
            <v>0</v>
          </cell>
          <cell r="K6553">
            <v>0</v>
          </cell>
          <cell r="L6553">
            <v>16</v>
          </cell>
        </row>
        <row r="6554">
          <cell r="A6554" t="str">
            <v>20212.02546</v>
          </cell>
          <cell r="B6554" t="str">
            <v>HUILE ROTO  Z 20L</v>
          </cell>
          <cell r="C6554" t="str">
            <v>2908 8501 01</v>
          </cell>
          <cell r="D6554" t="str">
            <v>PE</v>
          </cell>
          <cell r="E6554" t="str">
            <v>515.51504</v>
          </cell>
          <cell r="F6554">
            <v>3427.8375000000001</v>
          </cell>
          <cell r="G6554">
            <v>0</v>
          </cell>
          <cell r="H6554">
            <v>0</v>
          </cell>
          <cell r="I6554">
            <v>0</v>
          </cell>
          <cell r="J6554">
            <v>0</v>
          </cell>
          <cell r="K6554">
            <v>0</v>
          </cell>
          <cell r="L6554">
            <v>3</v>
          </cell>
        </row>
        <row r="6555">
          <cell r="A6555" t="str">
            <v>20461.00037</v>
          </cell>
          <cell r="B6555" t="str">
            <v>CREPINE POUR POMPE EAU DE MER EN 316L</v>
          </cell>
          <cell r="C6555" t="str">
            <v>SUIVANT PLAN: 220-IP-C4/09</v>
          </cell>
          <cell r="D6555" t="str">
            <v>PE</v>
          </cell>
          <cell r="E6555" t="str">
            <v>522.52213</v>
          </cell>
          <cell r="F6555">
            <v>10180.6667</v>
          </cell>
          <cell r="G6555">
            <v>0</v>
          </cell>
          <cell r="H6555">
            <v>0</v>
          </cell>
          <cell r="I6555">
            <v>0</v>
          </cell>
          <cell r="J6555">
            <v>0</v>
          </cell>
          <cell r="K6555">
            <v>0</v>
          </cell>
          <cell r="L6555">
            <v>2</v>
          </cell>
        </row>
        <row r="6556">
          <cell r="A6556" t="str">
            <v>20461.00038</v>
          </cell>
          <cell r="B6556" t="str">
            <v>CANNE DE DILUTION</v>
          </cell>
          <cell r="C6556" t="str">
            <v>SUIVANT PLAN: PMP/02</v>
          </cell>
          <cell r="D6556" t="str">
            <v>PE</v>
          </cell>
          <cell r="E6556" t="str">
            <v>522.52213</v>
          </cell>
          <cell r="F6556">
            <v>129874.96279999999</v>
          </cell>
          <cell r="G6556">
            <v>1</v>
          </cell>
          <cell r="H6556">
            <v>0</v>
          </cell>
          <cell r="I6556">
            <v>0</v>
          </cell>
          <cell r="J6556">
            <v>0</v>
          </cell>
          <cell r="K6556">
            <v>0</v>
          </cell>
          <cell r="L6556">
            <v>0</v>
          </cell>
        </row>
        <row r="6557">
          <cell r="A6557" t="str">
            <v>20451.00315</v>
          </cell>
          <cell r="B6557" t="str">
            <v>SOUPAPE COMPLETE 8 POUCE 150RF</v>
          </cell>
          <cell r="C6557" t="str">
            <v>SARASIN 66169 PLAN FE68Q1330AG104</v>
          </cell>
          <cell r="D6557" t="str">
            <v>PE</v>
          </cell>
          <cell r="E6557" t="str">
            <v>512.51201</v>
          </cell>
          <cell r="F6557">
            <v>52235.387699999999</v>
          </cell>
          <cell r="G6557">
            <v>0</v>
          </cell>
          <cell r="H6557">
            <v>0</v>
          </cell>
          <cell r="I6557">
            <v>0</v>
          </cell>
          <cell r="J6557">
            <v>0</v>
          </cell>
          <cell r="K6557">
            <v>0</v>
          </cell>
          <cell r="L6557">
            <v>0</v>
          </cell>
        </row>
        <row r="6558">
          <cell r="A6558" t="str">
            <v>20211.20668</v>
          </cell>
          <cell r="B6558" t="str">
            <v xml:space="preserve">COSSE TUBULAIRE A SERTIR 2 TROUS </v>
          </cell>
          <cell r="C6558" t="str">
            <v xml:space="preserve">TURBINE TYPE SST 400 ( C190 -L1 ) N° T6452 FIGURE 4.1-2500-0003/2 </v>
          </cell>
          <cell r="D6558" t="str">
            <v>PE</v>
          </cell>
          <cell r="E6558" t="str">
            <v>512.51201</v>
          </cell>
          <cell r="F6558">
            <v>170</v>
          </cell>
          <cell r="G6558">
            <v>0</v>
          </cell>
          <cell r="H6558">
            <v>0</v>
          </cell>
          <cell r="I6558">
            <v>0</v>
          </cell>
          <cell r="J6558">
            <v>0</v>
          </cell>
          <cell r="K6558">
            <v>0</v>
          </cell>
          <cell r="L6558">
            <v>100</v>
          </cell>
        </row>
        <row r="6559">
          <cell r="A6559" t="str">
            <v>20211.02180</v>
          </cell>
          <cell r="B6559" t="str">
            <v>CONTACTEURS 3POLES 230VCA</v>
          </cell>
          <cell r="C6559" t="str">
            <v>3RT1035-1AP04</v>
          </cell>
          <cell r="D6559" t="str">
            <v>PE</v>
          </cell>
          <cell r="E6559" t="str">
            <v>522.52206</v>
          </cell>
          <cell r="F6559">
            <v>516.47400000000005</v>
          </cell>
          <cell r="G6559">
            <v>0</v>
          </cell>
          <cell r="H6559">
            <v>0</v>
          </cell>
          <cell r="I6559">
            <v>0</v>
          </cell>
          <cell r="J6559">
            <v>0</v>
          </cell>
          <cell r="K6559">
            <v>0</v>
          </cell>
          <cell r="L6559">
            <v>22</v>
          </cell>
        </row>
        <row r="6560">
          <cell r="A6560" t="str">
            <v>20211.01302</v>
          </cell>
          <cell r="B6560" t="str">
            <v>CONTACT AUXILIERE</v>
          </cell>
          <cell r="C6560" t="str">
            <v>5SX9 100</v>
          </cell>
          <cell r="D6560" t="str">
            <v>PE</v>
          </cell>
          <cell r="E6560" t="str">
            <v>512.51201</v>
          </cell>
          <cell r="F6560">
            <v>322.68630000000002</v>
          </cell>
          <cell r="G6560">
            <v>0</v>
          </cell>
          <cell r="H6560">
            <v>0</v>
          </cell>
          <cell r="I6560">
            <v>0</v>
          </cell>
          <cell r="J6560">
            <v>0</v>
          </cell>
          <cell r="K6560">
            <v>0</v>
          </cell>
          <cell r="L6560">
            <v>0</v>
          </cell>
        </row>
        <row r="6561">
          <cell r="A6561" t="str">
            <v>20212.01823</v>
          </cell>
          <cell r="B6561" t="str">
            <v>JOINT TORIQUE</v>
          </cell>
          <cell r="C6561" t="str">
            <v>0663 2111 24</v>
          </cell>
          <cell r="D6561" t="str">
            <v>PE</v>
          </cell>
          <cell r="E6561" t="str">
            <v>515.51504</v>
          </cell>
          <cell r="F6561">
            <v>245.66399999999999</v>
          </cell>
          <cell r="G6561">
            <v>0</v>
          </cell>
          <cell r="H6561">
            <v>0</v>
          </cell>
          <cell r="I6561">
            <v>0</v>
          </cell>
          <cell r="J6561">
            <v>0</v>
          </cell>
          <cell r="K6561">
            <v>0</v>
          </cell>
          <cell r="L6561">
            <v>1</v>
          </cell>
        </row>
        <row r="6562">
          <cell r="A6562" t="str">
            <v>20212.01824</v>
          </cell>
          <cell r="B6562" t="str">
            <v>FLEXIBLE</v>
          </cell>
          <cell r="C6562" t="str">
            <v>1622 0071 00</v>
          </cell>
          <cell r="D6562" t="str">
            <v>PE</v>
          </cell>
          <cell r="E6562" t="str">
            <v>515.51504</v>
          </cell>
          <cell r="F6562">
            <v>480.76</v>
          </cell>
          <cell r="G6562">
            <v>0</v>
          </cell>
          <cell r="H6562">
            <v>0</v>
          </cell>
          <cell r="I6562">
            <v>0</v>
          </cell>
          <cell r="J6562">
            <v>0</v>
          </cell>
          <cell r="K6562">
            <v>0</v>
          </cell>
          <cell r="L6562">
            <v>1</v>
          </cell>
        </row>
        <row r="6563">
          <cell r="A6563" t="str">
            <v>20212.01826</v>
          </cell>
          <cell r="B6563" t="str">
            <v>FLEXIBLE</v>
          </cell>
          <cell r="C6563" t="str">
            <v>0574 9911 17</v>
          </cell>
          <cell r="D6563" t="str">
            <v>PE</v>
          </cell>
          <cell r="E6563" t="str">
            <v>515.51504</v>
          </cell>
          <cell r="F6563">
            <v>730.36800000000005</v>
          </cell>
          <cell r="G6563">
            <v>0</v>
          </cell>
          <cell r="H6563">
            <v>0</v>
          </cell>
          <cell r="I6563">
            <v>0</v>
          </cell>
          <cell r="J6563">
            <v>0</v>
          </cell>
          <cell r="K6563">
            <v>0</v>
          </cell>
          <cell r="L6563">
            <v>1</v>
          </cell>
        </row>
        <row r="6564">
          <cell r="A6564" t="str">
            <v>20212.06876</v>
          </cell>
          <cell r="B6564" t="str">
            <v>SOUPAPE</v>
          </cell>
          <cell r="C6564" t="str">
            <v>2102 0804 00</v>
          </cell>
          <cell r="D6564" t="str">
            <v>PE</v>
          </cell>
          <cell r="E6564" t="str">
            <v>515.51504</v>
          </cell>
          <cell r="F6564">
            <v>1074.1500000000001</v>
          </cell>
          <cell r="G6564">
            <v>0</v>
          </cell>
          <cell r="H6564">
            <v>0</v>
          </cell>
          <cell r="I6564">
            <v>0</v>
          </cell>
          <cell r="J6564">
            <v>0</v>
          </cell>
          <cell r="K6564">
            <v>0</v>
          </cell>
          <cell r="L6564">
            <v>2</v>
          </cell>
        </row>
        <row r="6565">
          <cell r="A6565" t="str">
            <v>20212.01830</v>
          </cell>
          <cell r="B6565" t="str">
            <v>SILENT BLOC</v>
          </cell>
          <cell r="C6565" t="str">
            <v>1613 6752 16</v>
          </cell>
          <cell r="D6565" t="str">
            <v>PE</v>
          </cell>
          <cell r="E6565" t="str">
            <v>515.51504</v>
          </cell>
          <cell r="F6565">
            <v>769.08</v>
          </cell>
          <cell r="G6565">
            <v>0</v>
          </cell>
          <cell r="H6565">
            <v>0</v>
          </cell>
          <cell r="I6565">
            <v>0</v>
          </cell>
          <cell r="J6565">
            <v>0</v>
          </cell>
          <cell r="K6565">
            <v>0</v>
          </cell>
          <cell r="L6565">
            <v>1</v>
          </cell>
        </row>
        <row r="6566">
          <cell r="A6566" t="str">
            <v>20211.04261</v>
          </cell>
          <cell r="B6566" t="str">
            <v>BLOC MANOMETRIQUE</v>
          </cell>
          <cell r="C6566" t="str">
            <v>6DR4004-1M</v>
          </cell>
          <cell r="D6566" t="str">
            <v>PE</v>
          </cell>
          <cell r="E6566" t="str">
            <v>512.51201</v>
          </cell>
          <cell r="F6566">
            <v>1061.28</v>
          </cell>
          <cell r="G6566">
            <v>0</v>
          </cell>
          <cell r="H6566">
            <v>1</v>
          </cell>
          <cell r="I6566">
            <v>0</v>
          </cell>
          <cell r="J6566">
            <v>0</v>
          </cell>
          <cell r="K6566">
            <v>0</v>
          </cell>
          <cell r="L6566">
            <v>5</v>
          </cell>
        </row>
        <row r="6567">
          <cell r="A6567" t="str">
            <v>20211.04262</v>
          </cell>
          <cell r="B6567" t="str">
            <v>POTENTIOMETRE</v>
          </cell>
          <cell r="C6567" t="str">
            <v>C73451-A430-D84</v>
          </cell>
          <cell r="D6567" t="str">
            <v>PE</v>
          </cell>
          <cell r="E6567" t="str">
            <v>512.51201</v>
          </cell>
          <cell r="F6567">
            <v>1302.4100000000001</v>
          </cell>
          <cell r="G6567">
            <v>0</v>
          </cell>
          <cell r="H6567">
            <v>0</v>
          </cell>
          <cell r="I6567">
            <v>4</v>
          </cell>
          <cell r="J6567">
            <v>0</v>
          </cell>
          <cell r="K6567">
            <v>0</v>
          </cell>
          <cell r="L6567">
            <v>5</v>
          </cell>
        </row>
        <row r="6568">
          <cell r="A6568" t="str">
            <v>20211.04260</v>
          </cell>
          <cell r="B6568" t="str">
            <v>BLOC MANOMETRIQUE</v>
          </cell>
          <cell r="C6568" t="str">
            <v>6DR4004-2MN</v>
          </cell>
          <cell r="D6568" t="str">
            <v>PE</v>
          </cell>
          <cell r="E6568" t="str">
            <v>512.51201</v>
          </cell>
          <cell r="F6568">
            <v>1232.46</v>
          </cell>
          <cell r="G6568">
            <v>0</v>
          </cell>
          <cell r="H6568">
            <v>0</v>
          </cell>
          <cell r="I6568">
            <v>0</v>
          </cell>
          <cell r="J6568">
            <v>0</v>
          </cell>
          <cell r="K6568">
            <v>0</v>
          </cell>
          <cell r="L6568">
            <v>6</v>
          </cell>
        </row>
        <row r="6569">
          <cell r="A6569" t="str">
            <v>20211.02864</v>
          </cell>
          <cell r="B6569" t="str">
            <v>MODULE FO SYNCHRONE</v>
          </cell>
          <cell r="C6569" t="str">
            <v>6ES7 960-1AA00-5AA0</v>
          </cell>
          <cell r="D6569" t="str">
            <v>PE</v>
          </cell>
          <cell r="E6569" t="str">
            <v>512.51201</v>
          </cell>
          <cell r="F6569">
            <v>2486.7228</v>
          </cell>
          <cell r="G6569">
            <v>0</v>
          </cell>
          <cell r="H6569">
            <v>0</v>
          </cell>
          <cell r="I6569">
            <v>0</v>
          </cell>
          <cell r="J6569">
            <v>2</v>
          </cell>
          <cell r="K6569">
            <v>0</v>
          </cell>
          <cell r="L6569">
            <v>1</v>
          </cell>
        </row>
        <row r="6570">
          <cell r="A6570" t="str">
            <v>20492.18370</v>
          </cell>
          <cell r="B6570" t="str">
            <v>JOINT TORIQUE</v>
          </cell>
          <cell r="C6570" t="str">
            <v xml:space="preserve">FIAT POWERTRAIN PLAN 420.176 REP5 REF:17282280 </v>
          </cell>
          <cell r="D6570" t="str">
            <v>PE</v>
          </cell>
          <cell r="E6570" t="str">
            <v>222.22209</v>
          </cell>
          <cell r="F6570">
            <v>3</v>
          </cell>
          <cell r="G6570">
            <v>0</v>
          </cell>
          <cell r="H6570">
            <v>0</v>
          </cell>
          <cell r="I6570">
            <v>0</v>
          </cell>
          <cell r="J6570">
            <v>0</v>
          </cell>
          <cell r="K6570">
            <v>1</v>
          </cell>
          <cell r="L6570">
            <v>0</v>
          </cell>
        </row>
        <row r="6571">
          <cell r="A6571" t="str">
            <v>20492.20097</v>
          </cell>
          <cell r="B6571" t="str">
            <v>TRANSFORMATEUR DE COURANT 200A</v>
          </cell>
          <cell r="C6571" t="str">
            <v>IME TAIG10C200</v>
          </cell>
          <cell r="D6571" t="str">
            <v>PE</v>
          </cell>
          <cell r="E6571" t="str">
            <v>522.52206</v>
          </cell>
          <cell r="F6571">
            <v>254.13</v>
          </cell>
          <cell r="G6571">
            <v>0</v>
          </cell>
          <cell r="H6571">
            <v>0</v>
          </cell>
          <cell r="I6571">
            <v>0</v>
          </cell>
          <cell r="J6571">
            <v>0</v>
          </cell>
          <cell r="K6571">
            <v>0</v>
          </cell>
          <cell r="L6571">
            <v>6</v>
          </cell>
        </row>
        <row r="6572">
          <cell r="A6572" t="str">
            <v>20492.18374</v>
          </cell>
          <cell r="B6572" t="str">
            <v>INTERCALAIRE</v>
          </cell>
          <cell r="C6572" t="str">
            <v>FIAT POWERTRAIN PLAN 0780.018 REP4 REF:4895336</v>
          </cell>
          <cell r="D6572" t="str">
            <v>PE</v>
          </cell>
          <cell r="E6572" t="str">
            <v>222.22209</v>
          </cell>
          <cell r="F6572">
            <v>29</v>
          </cell>
          <cell r="G6572">
            <v>0</v>
          </cell>
          <cell r="H6572">
            <v>0</v>
          </cell>
          <cell r="I6572">
            <v>0</v>
          </cell>
          <cell r="J6572">
            <v>0</v>
          </cell>
          <cell r="K6572">
            <v>0</v>
          </cell>
          <cell r="L6572">
            <v>12</v>
          </cell>
        </row>
        <row r="6573">
          <cell r="A6573" t="str">
            <v>20492.18375</v>
          </cell>
          <cell r="B6573" t="str">
            <v>COLLIER DE FIXATION</v>
          </cell>
          <cell r="C6573" t="str">
            <v>FIAT POWERTRAIN PLAN 0780.018 REP5 REF:504047548</v>
          </cell>
          <cell r="D6573" t="str">
            <v>PE</v>
          </cell>
          <cell r="E6573" t="str">
            <v>222.22209</v>
          </cell>
          <cell r="F6573">
            <v>194</v>
          </cell>
          <cell r="G6573">
            <v>0</v>
          </cell>
          <cell r="H6573">
            <v>0</v>
          </cell>
          <cell r="I6573">
            <v>0</v>
          </cell>
          <cell r="J6573">
            <v>0</v>
          </cell>
          <cell r="K6573">
            <v>0</v>
          </cell>
          <cell r="L6573">
            <v>2</v>
          </cell>
        </row>
        <row r="6574">
          <cell r="A6574" t="str">
            <v>20492.18376</v>
          </cell>
          <cell r="B6574" t="str">
            <v>MANCHON</v>
          </cell>
          <cell r="C6574" t="str">
            <v>FIAT POWERTRAIN PLAN 0780.018 REP8 REF:99440117</v>
          </cell>
          <cell r="D6574" t="str">
            <v>PE</v>
          </cell>
          <cell r="E6574" t="str">
            <v>222.22209</v>
          </cell>
          <cell r="F6574">
            <v>485</v>
          </cell>
          <cell r="G6574">
            <v>0</v>
          </cell>
          <cell r="H6574">
            <v>0</v>
          </cell>
          <cell r="I6574">
            <v>0</v>
          </cell>
          <cell r="J6574">
            <v>0</v>
          </cell>
          <cell r="K6574">
            <v>0</v>
          </cell>
          <cell r="L6574">
            <v>1</v>
          </cell>
        </row>
        <row r="6575">
          <cell r="A6575" t="str">
            <v>20492.18377</v>
          </cell>
          <cell r="B6575" t="str">
            <v>ANNEAU</v>
          </cell>
          <cell r="C6575" t="str">
            <v>FIAT POWERTRAIN PLAN 0780.018 REP9 REF:99454993</v>
          </cell>
          <cell r="D6575" t="str">
            <v>PE</v>
          </cell>
          <cell r="E6575" t="str">
            <v>222.22209</v>
          </cell>
          <cell r="F6575">
            <v>179</v>
          </cell>
          <cell r="G6575">
            <v>0</v>
          </cell>
          <cell r="H6575">
            <v>0</v>
          </cell>
          <cell r="I6575">
            <v>0</v>
          </cell>
          <cell r="J6575">
            <v>0</v>
          </cell>
          <cell r="K6575">
            <v>0</v>
          </cell>
          <cell r="L6575">
            <v>1</v>
          </cell>
        </row>
        <row r="6576">
          <cell r="A6576" t="str">
            <v>20211.00431</v>
          </cell>
          <cell r="B6576" t="str">
            <v xml:space="preserve">POSITIONNEUR DOUBLE EFFET </v>
          </cell>
          <cell r="C6576" t="str">
            <v>6DR5010-ONG01-OAAO</v>
          </cell>
          <cell r="D6576" t="str">
            <v>PE</v>
          </cell>
          <cell r="E6576" t="str">
            <v>512.51201</v>
          </cell>
          <cell r="F6576">
            <v>9410</v>
          </cell>
          <cell r="G6576">
            <v>0</v>
          </cell>
          <cell r="H6576">
            <v>0</v>
          </cell>
          <cell r="I6576">
            <v>2</v>
          </cell>
          <cell r="J6576">
            <v>0</v>
          </cell>
          <cell r="K6576">
            <v>0</v>
          </cell>
          <cell r="L6576">
            <v>0</v>
          </cell>
        </row>
        <row r="6577">
          <cell r="A6577" t="str">
            <v>20211.20418</v>
          </cell>
          <cell r="B6577" t="str">
            <v>MODULE ACQUISITION COURANT 10-100A</v>
          </cell>
          <cell r="C6577" t="str">
            <v>3UF7 112-1AA00-0</v>
          </cell>
          <cell r="D6577" t="str">
            <v>PE</v>
          </cell>
          <cell r="E6577" t="str">
            <v>512.51201</v>
          </cell>
          <cell r="F6577">
            <v>997</v>
          </cell>
          <cell r="G6577">
            <v>0</v>
          </cell>
          <cell r="H6577">
            <v>0</v>
          </cell>
          <cell r="I6577">
            <v>0</v>
          </cell>
          <cell r="J6577">
            <v>0</v>
          </cell>
          <cell r="K6577">
            <v>0</v>
          </cell>
          <cell r="L6577">
            <v>2</v>
          </cell>
        </row>
        <row r="6578">
          <cell r="A6578" t="str">
            <v>20211.00192</v>
          </cell>
          <cell r="B6578" t="str">
            <v>DECLENCHEUR MANUEL D'ALARME</v>
          </cell>
          <cell r="C6578" t="str">
            <v>DM1131</v>
          </cell>
          <cell r="D6578" t="str">
            <v>PE</v>
          </cell>
          <cell r="E6578" t="str">
            <v>512.51201</v>
          </cell>
          <cell r="F6578">
            <v>1116.7067999999999</v>
          </cell>
          <cell r="G6578">
            <v>0</v>
          </cell>
          <cell r="H6578">
            <v>0</v>
          </cell>
          <cell r="I6578">
            <v>0</v>
          </cell>
          <cell r="J6578">
            <v>0</v>
          </cell>
          <cell r="K6578">
            <v>0</v>
          </cell>
          <cell r="L6578">
            <v>10</v>
          </cell>
        </row>
        <row r="6579">
          <cell r="A6579" t="str">
            <v>20211.00188</v>
          </cell>
          <cell r="B6579" t="str">
            <v>DETECTEUR AUTOMATIQUE D'INCENDIE</v>
          </cell>
          <cell r="C6579">
            <v>4790130001</v>
          </cell>
          <cell r="D6579" t="str">
            <v>PE</v>
          </cell>
          <cell r="E6579" t="str">
            <v>512.51201</v>
          </cell>
          <cell r="F6579">
            <v>1420.5604000000001</v>
          </cell>
          <cell r="G6579">
            <v>0</v>
          </cell>
          <cell r="H6579">
            <v>0</v>
          </cell>
          <cell r="I6579">
            <v>0</v>
          </cell>
          <cell r="J6579">
            <v>0</v>
          </cell>
          <cell r="K6579">
            <v>0</v>
          </cell>
          <cell r="L6579">
            <v>35</v>
          </cell>
        </row>
        <row r="6580">
          <cell r="A6580" t="str">
            <v>20211.00189</v>
          </cell>
          <cell r="B6580" t="str">
            <v>DETECTEUR DE FLAMMES A INFRAROUGE</v>
          </cell>
          <cell r="C6580" t="str">
            <v>DF1151EX</v>
          </cell>
          <cell r="D6580" t="str">
            <v>PE</v>
          </cell>
          <cell r="E6580" t="str">
            <v>512.51201</v>
          </cell>
          <cell r="F6580">
            <v>23324.013299999999</v>
          </cell>
          <cell r="G6580">
            <v>0</v>
          </cell>
          <cell r="H6580">
            <v>0</v>
          </cell>
          <cell r="I6580">
            <v>0</v>
          </cell>
          <cell r="J6580">
            <v>0</v>
          </cell>
          <cell r="K6580">
            <v>0</v>
          </cell>
          <cell r="L6580">
            <v>20</v>
          </cell>
        </row>
        <row r="6581">
          <cell r="A6581" t="str">
            <v>20211.00190</v>
          </cell>
          <cell r="B6581" t="str">
            <v>INDICATEUR D'ACTION</v>
          </cell>
          <cell r="C6581" t="str">
            <v>00478328.0-001</v>
          </cell>
          <cell r="D6581" t="str">
            <v>PE</v>
          </cell>
          <cell r="E6581" t="str">
            <v>512.51201</v>
          </cell>
          <cell r="F6581">
            <v>306.09440000000001</v>
          </cell>
          <cell r="G6581">
            <v>0</v>
          </cell>
          <cell r="H6581">
            <v>0</v>
          </cell>
          <cell r="I6581">
            <v>0</v>
          </cell>
          <cell r="J6581">
            <v>0</v>
          </cell>
          <cell r="K6581">
            <v>0</v>
          </cell>
          <cell r="L6581">
            <v>9</v>
          </cell>
        </row>
        <row r="6582">
          <cell r="A6582" t="str">
            <v>20211.00191</v>
          </cell>
          <cell r="B6582" t="str">
            <v>AVERTISSEUR SONORE</v>
          </cell>
          <cell r="C6582" t="str">
            <v>AGN24.6</v>
          </cell>
          <cell r="D6582" t="str">
            <v>PE</v>
          </cell>
          <cell r="E6582" t="str">
            <v>512.51201</v>
          </cell>
          <cell r="F6582">
            <v>1670.9707000000001</v>
          </cell>
          <cell r="G6582">
            <v>0</v>
          </cell>
          <cell r="H6582">
            <v>0</v>
          </cell>
          <cell r="I6582">
            <v>0</v>
          </cell>
          <cell r="J6582">
            <v>0</v>
          </cell>
          <cell r="K6582">
            <v>0</v>
          </cell>
          <cell r="L6582">
            <v>10</v>
          </cell>
        </row>
        <row r="6583">
          <cell r="A6583" t="str">
            <v>20212.00479</v>
          </cell>
          <cell r="B6583" t="str">
            <v>SWITCH DE NIVEAU</v>
          </cell>
          <cell r="C6583" t="str">
            <v>1089 0659 54</v>
          </cell>
          <cell r="D6583" t="str">
            <v>PE</v>
          </cell>
          <cell r="E6583" t="str">
            <v>515.51504</v>
          </cell>
          <cell r="F6583">
            <v>1542.019</v>
          </cell>
          <cell r="G6583">
            <v>0</v>
          </cell>
          <cell r="H6583">
            <v>0</v>
          </cell>
          <cell r="I6583">
            <v>0</v>
          </cell>
          <cell r="J6583">
            <v>0</v>
          </cell>
          <cell r="K6583">
            <v>0</v>
          </cell>
          <cell r="L6583">
            <v>2</v>
          </cell>
        </row>
        <row r="6584">
          <cell r="A6584" t="str">
            <v>20211.03307</v>
          </cell>
          <cell r="B6584" t="str">
            <v>Pile CPU 3,6V  Size AA</v>
          </cell>
          <cell r="C6584" t="str">
            <v>SI 360 P DHS</v>
          </cell>
          <cell r="D6584" t="str">
            <v>PE</v>
          </cell>
          <cell r="E6584" t="str">
            <v>512.51201</v>
          </cell>
          <cell r="F6584">
            <v>132</v>
          </cell>
          <cell r="G6584">
            <v>0</v>
          </cell>
          <cell r="H6584">
            <v>0</v>
          </cell>
          <cell r="I6584">
            <v>0</v>
          </cell>
          <cell r="J6584">
            <v>0</v>
          </cell>
          <cell r="K6584">
            <v>0</v>
          </cell>
          <cell r="L6584">
            <v>14</v>
          </cell>
        </row>
        <row r="6585">
          <cell r="A6585" t="str">
            <v>20211.03326</v>
          </cell>
          <cell r="B6585" t="str">
            <v>CAPOT DE PROTECTION S10/12,3RB106,3RW444</v>
          </cell>
          <cell r="C6585" t="str">
            <v>3RT1966-4EA1</v>
          </cell>
          <cell r="D6585" t="str">
            <v>PE</v>
          </cell>
          <cell r="E6585" t="str">
            <v>512.51201</v>
          </cell>
          <cell r="F6585">
            <v>92.833399999999997</v>
          </cell>
          <cell r="G6585">
            <v>0</v>
          </cell>
          <cell r="H6585">
            <v>0</v>
          </cell>
          <cell r="I6585">
            <v>0</v>
          </cell>
          <cell r="J6585">
            <v>0</v>
          </cell>
          <cell r="K6585">
            <v>0</v>
          </cell>
          <cell r="L6585">
            <v>3</v>
          </cell>
        </row>
        <row r="6586">
          <cell r="A6586" t="str">
            <v>20211.03389</v>
          </cell>
          <cell r="B6586" t="str">
            <v>BAGUE D'ARRET HUILE</v>
          </cell>
          <cell r="C6586" t="str">
            <v>TURBINE TYPE SST 400 ( C190-L1 ) N° T6453 LISTE 891359  REP 80</v>
          </cell>
          <cell r="D6586" t="str">
            <v>PE</v>
          </cell>
          <cell r="E6586" t="str">
            <v>512.51201</v>
          </cell>
          <cell r="F6586">
            <v>200142.32399999999</v>
          </cell>
          <cell r="G6586">
            <v>0</v>
          </cell>
          <cell r="H6586">
            <v>0</v>
          </cell>
          <cell r="I6586">
            <v>0</v>
          </cell>
          <cell r="J6586">
            <v>0</v>
          </cell>
          <cell r="K6586">
            <v>0</v>
          </cell>
          <cell r="L6586">
            <v>0</v>
          </cell>
        </row>
        <row r="6587">
          <cell r="A6587" t="str">
            <v>20211.03390</v>
          </cell>
          <cell r="B6587" t="str">
            <v>JEU DE BALAIS DE CARBONE</v>
          </cell>
          <cell r="C6587" t="str">
            <v>TURBINE TYPE SST 400 ( C190-L1 ) N° T6453 LISTE 891359  REP 90</v>
          </cell>
          <cell r="D6587" t="str">
            <v>JE</v>
          </cell>
          <cell r="E6587" t="str">
            <v>512.51201</v>
          </cell>
          <cell r="F6587">
            <v>7849.9440000000004</v>
          </cell>
          <cell r="G6587">
            <v>0</v>
          </cell>
          <cell r="H6587">
            <v>0</v>
          </cell>
          <cell r="I6587">
            <v>0</v>
          </cell>
          <cell r="J6587">
            <v>0</v>
          </cell>
          <cell r="K6587">
            <v>0</v>
          </cell>
          <cell r="L6587">
            <v>0</v>
          </cell>
        </row>
        <row r="6588">
          <cell r="A6588" t="str">
            <v>20211.03467</v>
          </cell>
          <cell r="B6588" t="str">
            <v>LEVEUR POUR GENERATOR  SGEN 5</v>
          </cell>
          <cell r="C6588" t="str">
            <v>TURBINE TYPE SST 400 ( C190 -L1 ) N° T6453 LISTE 891359 REP 2100</v>
          </cell>
          <cell r="D6588" t="str">
            <v>PE</v>
          </cell>
          <cell r="E6588" t="str">
            <v>512.51201</v>
          </cell>
          <cell r="F6588">
            <v>12191.183999999999</v>
          </cell>
          <cell r="G6588">
            <v>0</v>
          </cell>
          <cell r="H6588">
            <v>0</v>
          </cell>
          <cell r="I6588">
            <v>0</v>
          </cell>
          <cell r="J6588">
            <v>0</v>
          </cell>
          <cell r="K6588">
            <v>0</v>
          </cell>
          <cell r="L6588">
            <v>1</v>
          </cell>
        </row>
        <row r="6589">
          <cell r="A6589" t="str">
            <v>20211.03508</v>
          </cell>
          <cell r="B6589" t="str">
            <v>ROBINET A SOUPAPE A 3 VOIES</v>
          </cell>
          <cell r="C6589" t="str">
            <v>TURBINE TYPE SST 400 ( C190 -L1 ) N° T6453 LISTE 891359 REP 3300</v>
          </cell>
          <cell r="D6589" t="str">
            <v>PE</v>
          </cell>
          <cell r="E6589" t="str">
            <v>512.51201</v>
          </cell>
          <cell r="F6589">
            <v>15465.528</v>
          </cell>
          <cell r="G6589">
            <v>0</v>
          </cell>
          <cell r="H6589">
            <v>0</v>
          </cell>
          <cell r="I6589">
            <v>0</v>
          </cell>
          <cell r="J6589">
            <v>0</v>
          </cell>
          <cell r="K6589">
            <v>0</v>
          </cell>
          <cell r="L6589">
            <v>0</v>
          </cell>
        </row>
        <row r="6590">
          <cell r="A6590" t="str">
            <v>20211.03509</v>
          </cell>
          <cell r="B6590" t="str">
            <v>VALVE A CARTOUCHE</v>
          </cell>
          <cell r="C6590" t="str">
            <v>TURBINE TYPE SST 400 ( C190 -L1 ) N° T6453 LISTE 891359 REP 3310</v>
          </cell>
          <cell r="D6590" t="str">
            <v>PE</v>
          </cell>
          <cell r="E6590" t="str">
            <v>512.51201</v>
          </cell>
          <cell r="F6590">
            <v>8491.6440000000002</v>
          </cell>
          <cell r="G6590">
            <v>0</v>
          </cell>
          <cell r="H6590">
            <v>0</v>
          </cell>
          <cell r="I6590">
            <v>0</v>
          </cell>
          <cell r="J6590">
            <v>0</v>
          </cell>
          <cell r="K6590">
            <v>0</v>
          </cell>
          <cell r="L6590">
            <v>1</v>
          </cell>
        </row>
        <row r="6591">
          <cell r="A6591" t="str">
            <v>20211.03656</v>
          </cell>
          <cell r="B6591" t="str">
            <v>BLOCKS COMMUTATEUR AUXILIAIRE</v>
          </cell>
          <cell r="C6591" t="str">
            <v>3RH1911-1FA22 P/CELLUL. DOUBLE JDB</v>
          </cell>
          <cell r="D6591" t="str">
            <v>PE</v>
          </cell>
          <cell r="E6591" t="str">
            <v>512.51201</v>
          </cell>
          <cell r="F6591">
            <v>56.383699999999997</v>
          </cell>
          <cell r="G6591">
            <v>0</v>
          </cell>
          <cell r="H6591">
            <v>0</v>
          </cell>
          <cell r="I6591">
            <v>0</v>
          </cell>
          <cell r="J6591">
            <v>0</v>
          </cell>
          <cell r="K6591">
            <v>0</v>
          </cell>
          <cell r="L6591">
            <v>10</v>
          </cell>
        </row>
        <row r="6592">
          <cell r="A6592" t="str">
            <v>20211.03665</v>
          </cell>
          <cell r="B6592" t="str">
            <v>BOUTON POUSSOIR A CLEF</v>
          </cell>
          <cell r="C6592" t="str">
            <v>3SB3000-4HD11  P/MCC</v>
          </cell>
          <cell r="D6592" t="str">
            <v>PE</v>
          </cell>
          <cell r="E6592" t="str">
            <v>512.51201</v>
          </cell>
          <cell r="F6592">
            <v>134.47890000000001</v>
          </cell>
          <cell r="G6592">
            <v>0</v>
          </cell>
          <cell r="H6592">
            <v>0</v>
          </cell>
          <cell r="I6592">
            <v>0</v>
          </cell>
          <cell r="J6592">
            <v>0</v>
          </cell>
          <cell r="K6592">
            <v>0</v>
          </cell>
          <cell r="L6592">
            <v>22</v>
          </cell>
        </row>
        <row r="6593">
          <cell r="A6593" t="str">
            <v>20211.02898</v>
          </cell>
          <cell r="B6593" t="str">
            <v>CONNECTEUR 20 POLES</v>
          </cell>
          <cell r="C6593" t="str">
            <v>6ES7 392-1AJOO-OAAO</v>
          </cell>
          <cell r="D6593" t="str">
            <v>PE</v>
          </cell>
          <cell r="E6593" t="str">
            <v>512.51201</v>
          </cell>
          <cell r="F6593">
            <v>221.251</v>
          </cell>
          <cell r="G6593">
            <v>0</v>
          </cell>
          <cell r="H6593">
            <v>0</v>
          </cell>
          <cell r="I6593">
            <v>0</v>
          </cell>
          <cell r="J6593">
            <v>0</v>
          </cell>
          <cell r="K6593">
            <v>0</v>
          </cell>
          <cell r="L6593">
            <v>2</v>
          </cell>
        </row>
        <row r="6594">
          <cell r="A6594" t="str">
            <v>20211.03983</v>
          </cell>
          <cell r="B6594" t="str">
            <v>PRO MODUL DE COMMANDE D'OPERATEUR DE SIMOCODE</v>
          </cell>
          <cell r="C6594" t="str">
            <v>3UF7 210-1AA00-0</v>
          </cell>
          <cell r="D6594" t="str">
            <v>PE</v>
          </cell>
          <cell r="E6594" t="str">
            <v>512.51201</v>
          </cell>
          <cell r="F6594">
            <v>1559</v>
          </cell>
          <cell r="G6594">
            <v>0</v>
          </cell>
          <cell r="H6594">
            <v>0</v>
          </cell>
          <cell r="I6594">
            <v>0</v>
          </cell>
          <cell r="J6594">
            <v>0</v>
          </cell>
          <cell r="K6594">
            <v>0</v>
          </cell>
          <cell r="L6594">
            <v>4</v>
          </cell>
        </row>
        <row r="6595">
          <cell r="A6595" t="str">
            <v>20211.03998</v>
          </cell>
          <cell r="B6595" t="str">
            <v>CPU 414H</v>
          </cell>
          <cell r="C6595" t="str">
            <v>6ES7414-4HJ00-0AB0</v>
          </cell>
          <cell r="D6595" t="str">
            <v>PE</v>
          </cell>
          <cell r="E6595" t="str">
            <v>512.51201</v>
          </cell>
          <cell r="F6595">
            <v>144450.07</v>
          </cell>
          <cell r="G6595">
            <v>0</v>
          </cell>
          <cell r="H6595">
            <v>0</v>
          </cell>
          <cell r="I6595">
            <v>0</v>
          </cell>
          <cell r="J6595">
            <v>1</v>
          </cell>
          <cell r="K6595">
            <v>0</v>
          </cell>
          <cell r="L6595">
            <v>0</v>
          </cell>
        </row>
        <row r="6596">
          <cell r="A6596" t="str">
            <v>20212.00308</v>
          </cell>
          <cell r="B6596" t="str">
            <v>KIT CHANGEMENT ELEMENT LP</v>
          </cell>
          <cell r="C6596" t="str">
            <v>2906 0370 00</v>
          </cell>
          <cell r="D6596" t="str">
            <v>PE</v>
          </cell>
          <cell r="E6596" t="str">
            <v>515.51504</v>
          </cell>
          <cell r="F6596">
            <v>841.41499999999996</v>
          </cell>
          <cell r="G6596">
            <v>0</v>
          </cell>
          <cell r="H6596">
            <v>0</v>
          </cell>
          <cell r="I6596">
            <v>0</v>
          </cell>
          <cell r="J6596">
            <v>0</v>
          </cell>
          <cell r="K6596">
            <v>0</v>
          </cell>
          <cell r="L6596">
            <v>1</v>
          </cell>
        </row>
        <row r="6597">
          <cell r="A6597" t="str">
            <v>20212.00309</v>
          </cell>
          <cell r="B6597" t="str">
            <v>KIT CHANGEMENT ELEMENT HP</v>
          </cell>
          <cell r="C6597" t="str">
            <v>2906 0729 00</v>
          </cell>
          <cell r="D6597" t="str">
            <v>PE</v>
          </cell>
          <cell r="E6597" t="str">
            <v>515.51504</v>
          </cell>
          <cell r="F6597">
            <v>835.76250000000005</v>
          </cell>
          <cell r="G6597">
            <v>0</v>
          </cell>
          <cell r="H6597">
            <v>0</v>
          </cell>
          <cell r="I6597">
            <v>0</v>
          </cell>
          <cell r="J6597">
            <v>0</v>
          </cell>
          <cell r="K6597">
            <v>0</v>
          </cell>
          <cell r="L6597">
            <v>1</v>
          </cell>
        </row>
        <row r="6598">
          <cell r="A6598" t="str">
            <v>20212.00316</v>
          </cell>
          <cell r="B6598" t="str">
            <v>KIT DU FILTRE AIR</v>
          </cell>
          <cell r="C6598" t="str">
            <v>2906 0730 00</v>
          </cell>
          <cell r="D6598" t="str">
            <v>PE</v>
          </cell>
          <cell r="E6598" t="str">
            <v>515.51504</v>
          </cell>
          <cell r="F6598">
            <v>3723.3746000000001</v>
          </cell>
          <cell r="G6598">
            <v>0</v>
          </cell>
          <cell r="H6598">
            <v>0</v>
          </cell>
          <cell r="I6598">
            <v>0</v>
          </cell>
          <cell r="J6598">
            <v>1</v>
          </cell>
          <cell r="K6598">
            <v>0</v>
          </cell>
          <cell r="L6598">
            <v>1</v>
          </cell>
        </row>
        <row r="6599">
          <cell r="A6599" t="str">
            <v>20212.00317</v>
          </cell>
          <cell r="B6599" t="str">
            <v>KIT INSPECTION ROTOR</v>
          </cell>
          <cell r="C6599" t="str">
            <v>2906 0737 00</v>
          </cell>
          <cell r="D6599" t="str">
            <v>PE</v>
          </cell>
          <cell r="E6599" t="str">
            <v>515.51504</v>
          </cell>
          <cell r="F6599">
            <v>1894.4</v>
          </cell>
          <cell r="G6599">
            <v>0</v>
          </cell>
          <cell r="H6599">
            <v>0</v>
          </cell>
          <cell r="I6599">
            <v>0</v>
          </cell>
          <cell r="J6599">
            <v>0</v>
          </cell>
          <cell r="K6599">
            <v>0</v>
          </cell>
          <cell r="L6599">
            <v>1</v>
          </cell>
        </row>
        <row r="6600">
          <cell r="A6600" t="str">
            <v>20212.00318</v>
          </cell>
          <cell r="B6600" t="str">
            <v>KIT OUVERTURE CARTER</v>
          </cell>
          <cell r="C6600" t="str">
            <v>2906 0738 00</v>
          </cell>
          <cell r="D6600" t="str">
            <v>PE</v>
          </cell>
          <cell r="E6600" t="str">
            <v>515.51504</v>
          </cell>
          <cell r="F6600">
            <v>5585.6</v>
          </cell>
          <cell r="G6600">
            <v>0</v>
          </cell>
          <cell r="H6600">
            <v>0</v>
          </cell>
          <cell r="I6600">
            <v>0</v>
          </cell>
          <cell r="J6600">
            <v>0</v>
          </cell>
          <cell r="K6600">
            <v>0</v>
          </cell>
          <cell r="L6600">
            <v>1</v>
          </cell>
        </row>
        <row r="6601">
          <cell r="A6601" t="str">
            <v>20212.00319</v>
          </cell>
          <cell r="B6601" t="str">
            <v>ECROU FREIN</v>
          </cell>
          <cell r="C6601" t="str">
            <v>0295 3114 00</v>
          </cell>
          <cell r="D6601" t="str">
            <v>PE</v>
          </cell>
          <cell r="E6601" t="str">
            <v>515.51504</v>
          </cell>
          <cell r="F6601">
            <v>347.2</v>
          </cell>
          <cell r="G6601">
            <v>0</v>
          </cell>
          <cell r="H6601">
            <v>0</v>
          </cell>
          <cell r="I6601">
            <v>0</v>
          </cell>
          <cell r="J6601">
            <v>0</v>
          </cell>
          <cell r="K6601">
            <v>0</v>
          </cell>
          <cell r="L6601">
            <v>1</v>
          </cell>
        </row>
        <row r="6602">
          <cell r="A6602" t="str">
            <v>20211.03819</v>
          </cell>
          <cell r="B6602" t="str">
            <v>ECROU HEXAGONAL</v>
          </cell>
          <cell r="C6602" t="str">
            <v>REF : KN 73528</v>
          </cell>
          <cell r="D6602" t="str">
            <v>PE</v>
          </cell>
          <cell r="E6602" t="str">
            <v>512.51201</v>
          </cell>
          <cell r="F6602">
            <v>78.569999999999993</v>
          </cell>
          <cell r="G6602">
            <v>0</v>
          </cell>
          <cell r="H6602">
            <v>0</v>
          </cell>
          <cell r="I6602">
            <v>0</v>
          </cell>
          <cell r="J6602">
            <v>0</v>
          </cell>
          <cell r="K6602">
            <v>0</v>
          </cell>
          <cell r="L6602">
            <v>8</v>
          </cell>
        </row>
        <row r="6603">
          <cell r="A6603" t="str">
            <v>20211.03885</v>
          </cell>
          <cell r="B6603" t="str">
            <v>DEMARREUR</v>
          </cell>
          <cell r="C6603" t="str">
            <v>3RW4423-1BC46</v>
          </cell>
          <cell r="D6603" t="str">
            <v>PE</v>
          </cell>
          <cell r="E6603" t="str">
            <v>512.51201</v>
          </cell>
          <cell r="F6603">
            <v>9941.94</v>
          </cell>
          <cell r="G6603">
            <v>0</v>
          </cell>
          <cell r="H6603">
            <v>0</v>
          </cell>
          <cell r="I6603">
            <v>0</v>
          </cell>
          <cell r="J6603">
            <v>1</v>
          </cell>
          <cell r="K6603">
            <v>0</v>
          </cell>
          <cell r="L6603">
            <v>0</v>
          </cell>
        </row>
        <row r="6604">
          <cell r="A6604" t="str">
            <v>20211.03886</v>
          </cell>
          <cell r="B6604" t="str">
            <v>DEMARREUR</v>
          </cell>
          <cell r="C6604" t="str">
            <v>3RW4426-1BC46</v>
          </cell>
          <cell r="D6604" t="str">
            <v>PE</v>
          </cell>
          <cell r="E6604" t="str">
            <v>512.51201</v>
          </cell>
          <cell r="F6604">
            <v>13775.76</v>
          </cell>
          <cell r="G6604">
            <v>0</v>
          </cell>
          <cell r="H6604">
            <v>0</v>
          </cell>
          <cell r="I6604">
            <v>0</v>
          </cell>
          <cell r="J6604">
            <v>0</v>
          </cell>
          <cell r="K6604">
            <v>1</v>
          </cell>
          <cell r="L6604">
            <v>0</v>
          </cell>
        </row>
        <row r="6605">
          <cell r="A6605" t="str">
            <v>20211.03887</v>
          </cell>
          <cell r="B6605" t="str">
            <v>DEMARREUR</v>
          </cell>
          <cell r="C6605" t="str">
            <v>3RW4435-6BC46</v>
          </cell>
          <cell r="D6605" t="str">
            <v>PE</v>
          </cell>
          <cell r="E6605" t="str">
            <v>512.51201</v>
          </cell>
          <cell r="F6605">
            <v>20095.919999999998</v>
          </cell>
          <cell r="G6605">
            <v>0</v>
          </cell>
          <cell r="H6605">
            <v>0</v>
          </cell>
          <cell r="I6605">
            <v>1</v>
          </cell>
          <cell r="J6605">
            <v>0</v>
          </cell>
          <cell r="K6605">
            <v>0</v>
          </cell>
          <cell r="L6605">
            <v>0</v>
          </cell>
        </row>
        <row r="6606">
          <cell r="A6606" t="str">
            <v>20211.03888</v>
          </cell>
          <cell r="B6606" t="str">
            <v>DEMARREUR</v>
          </cell>
          <cell r="C6606" t="str">
            <v>3RW4436-6BC46</v>
          </cell>
          <cell r="D6606" t="str">
            <v>PE</v>
          </cell>
          <cell r="E6606" t="str">
            <v>512.51201</v>
          </cell>
          <cell r="F6606">
            <v>23698.386699999999</v>
          </cell>
          <cell r="G6606">
            <v>0</v>
          </cell>
          <cell r="H6606">
            <v>0</v>
          </cell>
          <cell r="I6606">
            <v>0</v>
          </cell>
          <cell r="J6606">
            <v>0</v>
          </cell>
          <cell r="K6606">
            <v>0</v>
          </cell>
          <cell r="L6606">
            <v>3</v>
          </cell>
        </row>
        <row r="6607">
          <cell r="A6607" t="str">
            <v>20211.03889</v>
          </cell>
          <cell r="B6607" t="str">
            <v>DEMARREUR</v>
          </cell>
          <cell r="C6607" t="str">
            <v>3RW4446-6BC46</v>
          </cell>
          <cell r="D6607" t="str">
            <v>PE</v>
          </cell>
          <cell r="E6607" t="str">
            <v>512.51201</v>
          </cell>
          <cell r="F6607">
            <v>34825.07</v>
          </cell>
          <cell r="G6607">
            <v>0</v>
          </cell>
          <cell r="H6607">
            <v>0</v>
          </cell>
          <cell r="I6607">
            <v>0</v>
          </cell>
          <cell r="J6607">
            <v>0</v>
          </cell>
          <cell r="K6607">
            <v>0</v>
          </cell>
          <cell r="L6607">
            <v>0</v>
          </cell>
        </row>
        <row r="6608">
          <cell r="A6608" t="str">
            <v>20211.03890</v>
          </cell>
          <cell r="B6608" t="str">
            <v>DEMARREUR</v>
          </cell>
          <cell r="C6608" t="str">
            <v>3RW4447-6BC46</v>
          </cell>
          <cell r="D6608" t="str">
            <v>PE</v>
          </cell>
          <cell r="E6608" t="str">
            <v>512.51201</v>
          </cell>
          <cell r="F6608">
            <v>35669.830499999996</v>
          </cell>
          <cell r="G6608">
            <v>0</v>
          </cell>
          <cell r="H6608">
            <v>0</v>
          </cell>
          <cell r="I6608">
            <v>5</v>
          </cell>
          <cell r="J6608">
            <v>1</v>
          </cell>
          <cell r="K6608">
            <v>1</v>
          </cell>
          <cell r="L6608">
            <v>0</v>
          </cell>
        </row>
        <row r="6609">
          <cell r="A6609" t="str">
            <v>20211.03856</v>
          </cell>
          <cell r="B6609" t="str">
            <v>MULTIMETRE ANALYSEUR DE RESEAU</v>
          </cell>
          <cell r="C6609" t="str">
            <v>7KG7500-OAAO2-OAAO</v>
          </cell>
          <cell r="D6609" t="str">
            <v>PE</v>
          </cell>
          <cell r="E6609" t="str">
            <v>512.51201</v>
          </cell>
          <cell r="F6609">
            <v>13617.784900000001</v>
          </cell>
          <cell r="G6609">
            <v>0</v>
          </cell>
          <cell r="H6609">
            <v>0</v>
          </cell>
          <cell r="I6609">
            <v>0</v>
          </cell>
          <cell r="J6609">
            <v>0</v>
          </cell>
          <cell r="K6609">
            <v>0</v>
          </cell>
          <cell r="L6609">
            <v>1</v>
          </cell>
        </row>
        <row r="6610">
          <cell r="A6610" t="str">
            <v>20211.03857</v>
          </cell>
          <cell r="B6610" t="str">
            <v>SOCLE D'EMBROCHAGE 3CO</v>
          </cell>
          <cell r="C6610" t="str">
            <v>LZX:PT78703</v>
          </cell>
          <cell r="D6610" t="str">
            <v>PE</v>
          </cell>
          <cell r="E6610" t="str">
            <v>512.51201</v>
          </cell>
          <cell r="F6610">
            <v>25.120699999999999</v>
          </cell>
          <cell r="G6610">
            <v>0</v>
          </cell>
          <cell r="H6610">
            <v>0</v>
          </cell>
          <cell r="I6610">
            <v>0</v>
          </cell>
          <cell r="J6610">
            <v>0</v>
          </cell>
          <cell r="K6610">
            <v>4</v>
          </cell>
          <cell r="L6610">
            <v>0</v>
          </cell>
        </row>
        <row r="6611">
          <cell r="A6611" t="str">
            <v>20211.03858</v>
          </cell>
          <cell r="B6611" t="str">
            <v>ETRIER DE MAINTIEN</v>
          </cell>
          <cell r="C6611" t="str">
            <v>LZX:PT16016</v>
          </cell>
          <cell r="D6611" t="str">
            <v>PE</v>
          </cell>
          <cell r="E6611" t="str">
            <v>512.51201</v>
          </cell>
          <cell r="F6611">
            <v>180.5625</v>
          </cell>
          <cell r="G6611">
            <v>0</v>
          </cell>
          <cell r="H6611">
            <v>0</v>
          </cell>
          <cell r="I6611">
            <v>0</v>
          </cell>
          <cell r="J6611">
            <v>0</v>
          </cell>
          <cell r="K6611">
            <v>0</v>
          </cell>
          <cell r="L6611">
            <v>4</v>
          </cell>
        </row>
        <row r="6612">
          <cell r="A6612" t="str">
            <v>20211.03859</v>
          </cell>
          <cell r="B6612" t="str">
            <v>DISJONCTEUR 12,5A</v>
          </cell>
          <cell r="C6612" t="str">
            <v>3RV1321-1KC10</v>
          </cell>
          <cell r="D6612" t="str">
            <v>PE</v>
          </cell>
          <cell r="E6612" t="str">
            <v>512.51201</v>
          </cell>
          <cell r="F6612">
            <v>256.28059999999999</v>
          </cell>
          <cell r="G6612">
            <v>0</v>
          </cell>
          <cell r="H6612">
            <v>0</v>
          </cell>
          <cell r="I6612">
            <v>0</v>
          </cell>
          <cell r="J6612">
            <v>0</v>
          </cell>
          <cell r="K6612">
            <v>0</v>
          </cell>
          <cell r="L6612">
            <v>5</v>
          </cell>
        </row>
        <row r="6613">
          <cell r="A6613" t="str">
            <v>20211.03860</v>
          </cell>
          <cell r="B6613" t="str">
            <v>DISJONCTEUR 25A</v>
          </cell>
          <cell r="C6613" t="str">
            <v>3RV1321-4DC10</v>
          </cell>
          <cell r="D6613" t="str">
            <v>PE</v>
          </cell>
          <cell r="E6613" t="str">
            <v>512.51201</v>
          </cell>
          <cell r="F6613">
            <v>325.73110000000003</v>
          </cell>
          <cell r="G6613">
            <v>0</v>
          </cell>
          <cell r="H6613">
            <v>0</v>
          </cell>
          <cell r="I6613">
            <v>0</v>
          </cell>
          <cell r="J6613">
            <v>0</v>
          </cell>
          <cell r="K6613">
            <v>0</v>
          </cell>
          <cell r="L6613">
            <v>5</v>
          </cell>
        </row>
        <row r="6614">
          <cell r="A6614" t="str">
            <v>20211.03861</v>
          </cell>
          <cell r="B6614" t="str">
            <v>DISJONCTEUR 45A</v>
          </cell>
          <cell r="C6614" t="str">
            <v>3RV1331-4GC10</v>
          </cell>
          <cell r="D6614" t="str">
            <v>PE</v>
          </cell>
          <cell r="E6614" t="str">
            <v>512.51201</v>
          </cell>
          <cell r="F6614">
            <v>734.40729999999996</v>
          </cell>
          <cell r="G6614">
            <v>0</v>
          </cell>
          <cell r="H6614">
            <v>0</v>
          </cell>
          <cell r="I6614">
            <v>0</v>
          </cell>
          <cell r="J6614">
            <v>0</v>
          </cell>
          <cell r="K6614">
            <v>0</v>
          </cell>
          <cell r="L6614">
            <v>5</v>
          </cell>
        </row>
        <row r="6615">
          <cell r="A6615" t="str">
            <v>20211.03862</v>
          </cell>
          <cell r="B6615" t="str">
            <v>DISJONCTEUR 65A</v>
          </cell>
          <cell r="C6615" t="str">
            <v>3RV1341-4JC10</v>
          </cell>
          <cell r="D6615" t="str">
            <v>PE</v>
          </cell>
          <cell r="E6615" t="str">
            <v>512.51201</v>
          </cell>
          <cell r="F6615">
            <v>796.2962</v>
          </cell>
          <cell r="G6615">
            <v>0</v>
          </cell>
          <cell r="H6615">
            <v>0</v>
          </cell>
          <cell r="I6615">
            <v>0</v>
          </cell>
          <cell r="J6615">
            <v>0</v>
          </cell>
          <cell r="K6615">
            <v>0</v>
          </cell>
          <cell r="L6615">
            <v>5</v>
          </cell>
        </row>
        <row r="6616">
          <cell r="A6616" t="str">
            <v>20211.03863</v>
          </cell>
          <cell r="B6616" t="str">
            <v>CONTACTEUR 160KW</v>
          </cell>
          <cell r="C6616" t="str">
            <v>3RT1265-6AP36</v>
          </cell>
          <cell r="D6616" t="str">
            <v>PE</v>
          </cell>
          <cell r="E6616" t="str">
            <v>512.51201</v>
          </cell>
          <cell r="F6616">
            <v>6269.1606000000002</v>
          </cell>
          <cell r="G6616">
            <v>0</v>
          </cell>
          <cell r="H6616">
            <v>0</v>
          </cell>
          <cell r="I6616">
            <v>0</v>
          </cell>
          <cell r="J6616">
            <v>0</v>
          </cell>
          <cell r="K6616">
            <v>0</v>
          </cell>
          <cell r="L6616">
            <v>1</v>
          </cell>
        </row>
        <row r="6617">
          <cell r="A6617" t="str">
            <v>20211.03864</v>
          </cell>
          <cell r="B6617" t="str">
            <v>PLAQUE DE TREMPORT</v>
          </cell>
          <cell r="C6617" t="str">
            <v>3SB3922-0AV</v>
          </cell>
          <cell r="D6617" t="str">
            <v>PE</v>
          </cell>
          <cell r="E6617" t="str">
            <v>512.51201</v>
          </cell>
          <cell r="F6617">
            <v>3.6063000000000001</v>
          </cell>
          <cell r="G6617">
            <v>0</v>
          </cell>
          <cell r="H6617">
            <v>0</v>
          </cell>
          <cell r="I6617">
            <v>0</v>
          </cell>
          <cell r="J6617">
            <v>0</v>
          </cell>
          <cell r="K6617">
            <v>5</v>
          </cell>
          <cell r="L6617">
            <v>0</v>
          </cell>
        </row>
        <row r="6618">
          <cell r="A6618" t="str">
            <v>20211.03865</v>
          </cell>
          <cell r="B6618" t="str">
            <v>ADAPTEUR</v>
          </cell>
          <cell r="C6618" t="str">
            <v>3VL9400-2AJ10</v>
          </cell>
          <cell r="D6618" t="str">
            <v>PE</v>
          </cell>
          <cell r="E6618" t="str">
            <v>512.51201</v>
          </cell>
          <cell r="F6618">
            <v>130.7578</v>
          </cell>
          <cell r="G6618">
            <v>0</v>
          </cell>
          <cell r="H6618">
            <v>0</v>
          </cell>
          <cell r="I6618">
            <v>0</v>
          </cell>
          <cell r="J6618">
            <v>0</v>
          </cell>
          <cell r="K6618">
            <v>0</v>
          </cell>
          <cell r="L6618">
            <v>20</v>
          </cell>
        </row>
        <row r="6619">
          <cell r="A6619" t="str">
            <v>20211.03866</v>
          </cell>
          <cell r="B6619" t="str">
            <v>DOUILLE 1NO</v>
          </cell>
          <cell r="C6619" t="str">
            <v>3SB3400-0JA</v>
          </cell>
          <cell r="D6619" t="str">
            <v>PE</v>
          </cell>
          <cell r="E6619" t="str">
            <v>512.51201</v>
          </cell>
          <cell r="F6619">
            <v>71.706100000000006</v>
          </cell>
          <cell r="G6619">
            <v>0</v>
          </cell>
          <cell r="H6619">
            <v>0</v>
          </cell>
          <cell r="I6619">
            <v>0</v>
          </cell>
          <cell r="J6619">
            <v>0</v>
          </cell>
          <cell r="K6619">
            <v>2</v>
          </cell>
          <cell r="L6619">
            <v>0</v>
          </cell>
        </row>
        <row r="6620">
          <cell r="A6620" t="str">
            <v>20211.03868</v>
          </cell>
          <cell r="B6620" t="str">
            <v>RESISTANCE VARIABLE 127V-240V AC/150V-250V</v>
          </cell>
          <cell r="C6620" t="str">
            <v>3RT1926-1BD01</v>
          </cell>
          <cell r="D6620" t="str">
            <v>PE</v>
          </cell>
          <cell r="E6620" t="str">
            <v>512.51201</v>
          </cell>
          <cell r="F6620">
            <v>39.785699999999999</v>
          </cell>
          <cell r="G6620">
            <v>0</v>
          </cell>
          <cell r="H6620">
            <v>0</v>
          </cell>
          <cell r="I6620">
            <v>0</v>
          </cell>
          <cell r="J6620">
            <v>0</v>
          </cell>
          <cell r="K6620">
            <v>5</v>
          </cell>
          <cell r="L6620">
            <v>0</v>
          </cell>
        </row>
        <row r="6621">
          <cell r="A6621" t="str">
            <v>20211.03869</v>
          </cell>
          <cell r="B6621" t="str">
            <v>CNTACTEUR AUXILAIRE 230V AC</v>
          </cell>
          <cell r="C6621" t="str">
            <v xml:space="preserve">3RH1122-1BM40 </v>
          </cell>
          <cell r="D6621" t="str">
            <v>PE</v>
          </cell>
          <cell r="E6621" t="str">
            <v>512.51201</v>
          </cell>
          <cell r="F6621">
            <v>131.10679999999999</v>
          </cell>
          <cell r="G6621">
            <v>0</v>
          </cell>
          <cell r="H6621">
            <v>0</v>
          </cell>
          <cell r="I6621">
            <v>0</v>
          </cell>
          <cell r="J6621">
            <v>0</v>
          </cell>
          <cell r="K6621">
            <v>0</v>
          </cell>
          <cell r="L6621">
            <v>5</v>
          </cell>
        </row>
        <row r="6622">
          <cell r="A6622" t="str">
            <v>20211.03870</v>
          </cell>
          <cell r="B6622" t="str">
            <v>BLOC DE CONTACTS AUXILAIRES</v>
          </cell>
          <cell r="C6622" t="str">
            <v>3RH1911-1FA40 4NO</v>
          </cell>
          <cell r="D6622" t="str">
            <v>PE</v>
          </cell>
          <cell r="E6622" t="str">
            <v>512.51201</v>
          </cell>
          <cell r="F6622">
            <v>45.9514</v>
          </cell>
          <cell r="G6622">
            <v>0</v>
          </cell>
          <cell r="H6622">
            <v>0</v>
          </cell>
          <cell r="I6622">
            <v>0</v>
          </cell>
          <cell r="J6622">
            <v>0</v>
          </cell>
          <cell r="K6622">
            <v>5</v>
          </cell>
          <cell r="L6622">
            <v>0</v>
          </cell>
        </row>
        <row r="6623">
          <cell r="A6623" t="str">
            <v>20211.03871</v>
          </cell>
          <cell r="B6623" t="str">
            <v>RELAIS D'INTERFACE</v>
          </cell>
          <cell r="C6623" t="str">
            <v>3TX70004-1LB00</v>
          </cell>
          <cell r="D6623" t="str">
            <v>PE</v>
          </cell>
          <cell r="E6623" t="str">
            <v>512.51201</v>
          </cell>
          <cell r="F6623">
            <v>98.006200000000007</v>
          </cell>
          <cell r="G6623">
            <v>0</v>
          </cell>
          <cell r="H6623">
            <v>0</v>
          </cell>
          <cell r="I6623">
            <v>0</v>
          </cell>
          <cell r="J6623">
            <v>0</v>
          </cell>
          <cell r="K6623">
            <v>0</v>
          </cell>
          <cell r="L6623">
            <v>10</v>
          </cell>
        </row>
        <row r="6624">
          <cell r="A6624" t="str">
            <v>20211.03872</v>
          </cell>
          <cell r="B6624" t="str">
            <v>DISJONCTEUR 250A 100KA/415V</v>
          </cell>
          <cell r="C6624" t="str">
            <v>3VL2710-3DK33-0AA0</v>
          </cell>
          <cell r="D6624" t="str">
            <v>PE</v>
          </cell>
          <cell r="E6624" t="str">
            <v>512.51201</v>
          </cell>
          <cell r="F6624">
            <v>1971.2548999999999</v>
          </cell>
          <cell r="G6624">
            <v>0</v>
          </cell>
          <cell r="H6624">
            <v>0</v>
          </cell>
          <cell r="I6624">
            <v>0</v>
          </cell>
          <cell r="J6624">
            <v>0</v>
          </cell>
          <cell r="K6624">
            <v>0</v>
          </cell>
          <cell r="L6624">
            <v>3</v>
          </cell>
        </row>
        <row r="6625">
          <cell r="A6625" t="str">
            <v>20211.03873</v>
          </cell>
          <cell r="B6625" t="str">
            <v>DISJONCTEUR 500A 100KA/415V</v>
          </cell>
          <cell r="C6625" t="str">
            <v>3VL5750-3DK36-0AA0</v>
          </cell>
          <cell r="D6625" t="str">
            <v>PE</v>
          </cell>
          <cell r="E6625" t="str">
            <v>512.51201</v>
          </cell>
          <cell r="F6625">
            <v>8428.4089000000004</v>
          </cell>
          <cell r="G6625">
            <v>0</v>
          </cell>
          <cell r="H6625">
            <v>0</v>
          </cell>
          <cell r="I6625">
            <v>0</v>
          </cell>
          <cell r="J6625">
            <v>0</v>
          </cell>
          <cell r="K6625">
            <v>0</v>
          </cell>
          <cell r="L6625">
            <v>2</v>
          </cell>
        </row>
        <row r="6626">
          <cell r="A6626" t="str">
            <v>20211.03876</v>
          </cell>
          <cell r="B6626" t="str">
            <v>CABLE DE LIAISON LONGUEUR 2,5M,ROND</v>
          </cell>
          <cell r="C6626" t="str">
            <v>3UF7 933-0BA00-0</v>
          </cell>
          <cell r="D6626" t="str">
            <v>PE</v>
          </cell>
          <cell r="E6626" t="str">
            <v>512.51201</v>
          </cell>
          <cell r="F6626">
            <v>252.90690000000001</v>
          </cell>
          <cell r="G6626">
            <v>0</v>
          </cell>
          <cell r="H6626">
            <v>0</v>
          </cell>
          <cell r="I6626">
            <v>0</v>
          </cell>
          <cell r="J6626">
            <v>0</v>
          </cell>
          <cell r="K6626">
            <v>0</v>
          </cell>
          <cell r="L6626">
            <v>1</v>
          </cell>
        </row>
        <row r="6627">
          <cell r="A6627" t="str">
            <v>20211.03877</v>
          </cell>
          <cell r="B6627" t="str">
            <v>BORNIER A CAGE JUSQU'À 70MM2</v>
          </cell>
          <cell r="C6627" t="str">
            <v>3RT19 55-4G</v>
          </cell>
          <cell r="D6627" t="str">
            <v>PE</v>
          </cell>
          <cell r="E6627" t="str">
            <v>512.51201</v>
          </cell>
          <cell r="F6627">
            <v>101.2093</v>
          </cell>
          <cell r="G6627">
            <v>0</v>
          </cell>
          <cell r="H6627">
            <v>0</v>
          </cell>
          <cell r="I6627">
            <v>0</v>
          </cell>
          <cell r="J6627">
            <v>0</v>
          </cell>
          <cell r="K6627">
            <v>0</v>
          </cell>
          <cell r="L6627">
            <v>3</v>
          </cell>
        </row>
        <row r="6628">
          <cell r="A6628" t="str">
            <v>20211.03878</v>
          </cell>
          <cell r="B6628" t="str">
            <v>BORNIER A CAGE JUSQU'À 120MM2</v>
          </cell>
          <cell r="C6628" t="str">
            <v>3RT19 56-4G</v>
          </cell>
          <cell r="D6628" t="str">
            <v>PE</v>
          </cell>
          <cell r="E6628" t="str">
            <v>512.51201</v>
          </cell>
          <cell r="F6628">
            <v>144.0197</v>
          </cell>
          <cell r="G6628">
            <v>0</v>
          </cell>
          <cell r="H6628">
            <v>0</v>
          </cell>
          <cell r="I6628">
            <v>0</v>
          </cell>
          <cell r="J6628">
            <v>0</v>
          </cell>
          <cell r="K6628">
            <v>0</v>
          </cell>
          <cell r="L6628">
            <v>3</v>
          </cell>
        </row>
        <row r="6629">
          <cell r="A6629" t="str">
            <v>20211.03879</v>
          </cell>
          <cell r="B6629" t="str">
            <v>COUVRE-BORNES POUR BORNES A CARGE</v>
          </cell>
          <cell r="C6629" t="str">
            <v>3RT19 56-4EA2</v>
          </cell>
          <cell r="D6629" t="str">
            <v>PE</v>
          </cell>
          <cell r="E6629" t="str">
            <v>512.51201</v>
          </cell>
          <cell r="F6629">
            <v>45.835000000000001</v>
          </cell>
          <cell r="G6629">
            <v>0</v>
          </cell>
          <cell r="H6629">
            <v>0</v>
          </cell>
          <cell r="I6629">
            <v>0</v>
          </cell>
          <cell r="J6629">
            <v>0</v>
          </cell>
          <cell r="K6629">
            <v>3</v>
          </cell>
          <cell r="L6629">
            <v>0</v>
          </cell>
        </row>
        <row r="6630">
          <cell r="A6630" t="str">
            <v>20211.03874</v>
          </cell>
          <cell r="B6630" t="str">
            <v>MODULE DE COMMUNICATION PROFIBUS</v>
          </cell>
          <cell r="C6630" t="str">
            <v>3RW4 900-0KC00</v>
          </cell>
          <cell r="D6630" t="str">
            <v>PE</v>
          </cell>
          <cell r="E6630" t="str">
            <v>512.51201</v>
          </cell>
          <cell r="F6630">
            <v>1768.2546</v>
          </cell>
          <cell r="G6630">
            <v>0</v>
          </cell>
          <cell r="H6630">
            <v>0</v>
          </cell>
          <cell r="I6630">
            <v>0</v>
          </cell>
          <cell r="J6630">
            <v>0</v>
          </cell>
          <cell r="K6630">
            <v>0</v>
          </cell>
          <cell r="L6630">
            <v>2</v>
          </cell>
        </row>
        <row r="6631">
          <cell r="A6631" t="str">
            <v>20211.03875</v>
          </cell>
          <cell r="B6631" t="str">
            <v>MODULE EXTERNE AFFICHAGE ET PILOTAGE</v>
          </cell>
          <cell r="C6631" t="str">
            <v>3RW4 900-0AC00</v>
          </cell>
          <cell r="D6631" t="str">
            <v>PE</v>
          </cell>
          <cell r="E6631" t="str">
            <v>512.51201</v>
          </cell>
          <cell r="F6631">
            <v>1768.2546</v>
          </cell>
          <cell r="G6631">
            <v>0</v>
          </cell>
          <cell r="H6631">
            <v>0</v>
          </cell>
          <cell r="I6631">
            <v>0</v>
          </cell>
          <cell r="J6631">
            <v>0</v>
          </cell>
          <cell r="K6631">
            <v>0</v>
          </cell>
          <cell r="L6631">
            <v>2</v>
          </cell>
        </row>
        <row r="6632">
          <cell r="A6632" t="str">
            <v>20211.03880</v>
          </cell>
          <cell r="B6632" t="str">
            <v>COUVRE-BORNES POUR BORNES A CARGE 3RW44 4</v>
          </cell>
          <cell r="C6632" t="str">
            <v>3RT19 66-4EA3</v>
          </cell>
          <cell r="D6632" t="str">
            <v>PE</v>
          </cell>
          <cell r="E6632" t="str">
            <v>512.51201</v>
          </cell>
          <cell r="F6632">
            <v>66.891199999999998</v>
          </cell>
          <cell r="G6632">
            <v>0</v>
          </cell>
          <cell r="H6632">
            <v>0</v>
          </cell>
          <cell r="I6632">
            <v>0</v>
          </cell>
          <cell r="J6632">
            <v>0</v>
          </cell>
          <cell r="K6632">
            <v>3</v>
          </cell>
          <cell r="L6632">
            <v>0</v>
          </cell>
        </row>
        <row r="6633">
          <cell r="A6633" t="str">
            <v>20211.03881</v>
          </cell>
          <cell r="B6633" t="str">
            <v>VENTILATEUR 230V AC</v>
          </cell>
          <cell r="C6633" t="str">
            <v>3RW49 36-8VX40</v>
          </cell>
          <cell r="D6633" t="str">
            <v>PE</v>
          </cell>
          <cell r="E6633" t="str">
            <v>512.51201</v>
          </cell>
          <cell r="F6633">
            <v>719.41949999999997</v>
          </cell>
          <cell r="G6633">
            <v>0</v>
          </cell>
          <cell r="H6633">
            <v>0</v>
          </cell>
          <cell r="I6633">
            <v>0</v>
          </cell>
          <cell r="J6633">
            <v>0</v>
          </cell>
          <cell r="K6633">
            <v>0</v>
          </cell>
          <cell r="L6633">
            <v>1</v>
          </cell>
        </row>
        <row r="6634">
          <cell r="A6634" t="str">
            <v>20211.03882</v>
          </cell>
          <cell r="B6634" t="str">
            <v>VENTILATEUR 230V AC</v>
          </cell>
          <cell r="C6634" t="str">
            <v>3RW49 47-8VX41</v>
          </cell>
          <cell r="D6634" t="str">
            <v>PE</v>
          </cell>
          <cell r="E6634" t="str">
            <v>512.51201</v>
          </cell>
          <cell r="F6634">
            <v>719.41949999999997</v>
          </cell>
          <cell r="G6634">
            <v>0</v>
          </cell>
          <cell r="H6634">
            <v>0</v>
          </cell>
          <cell r="I6634">
            <v>0</v>
          </cell>
          <cell r="J6634">
            <v>0</v>
          </cell>
          <cell r="K6634">
            <v>0</v>
          </cell>
          <cell r="L6634">
            <v>3</v>
          </cell>
        </row>
        <row r="6635">
          <cell r="A6635" t="str">
            <v>20211.03790</v>
          </cell>
          <cell r="B6635" t="str">
            <v>INTERFACE DE SORTIE</v>
          </cell>
          <cell r="C6635" t="str">
            <v>3TX7004-1MB00</v>
          </cell>
          <cell r="D6635" t="str">
            <v>PE</v>
          </cell>
          <cell r="E6635" t="str">
            <v>512.51201</v>
          </cell>
          <cell r="F6635">
            <v>202.27199999999999</v>
          </cell>
          <cell r="G6635">
            <v>0</v>
          </cell>
          <cell r="H6635">
            <v>0</v>
          </cell>
          <cell r="I6635">
            <v>0</v>
          </cell>
          <cell r="J6635">
            <v>0</v>
          </cell>
          <cell r="K6635">
            <v>0</v>
          </cell>
          <cell r="L6635">
            <v>0</v>
          </cell>
        </row>
        <row r="6636">
          <cell r="A6636" t="str">
            <v>20211.03791</v>
          </cell>
          <cell r="B6636" t="str">
            <v>RELAIS AUXILIAIRE 48 V DC</v>
          </cell>
          <cell r="C6636" t="str">
            <v>3RH11312BW40</v>
          </cell>
          <cell r="D6636" t="str">
            <v>PE</v>
          </cell>
          <cell r="E6636" t="str">
            <v>512.51201</v>
          </cell>
          <cell r="F6636">
            <v>258.72000000000003</v>
          </cell>
          <cell r="G6636">
            <v>0</v>
          </cell>
          <cell r="H6636">
            <v>0</v>
          </cell>
          <cell r="I6636">
            <v>0</v>
          </cell>
          <cell r="J6636">
            <v>0</v>
          </cell>
          <cell r="K6636">
            <v>0</v>
          </cell>
          <cell r="L6636">
            <v>0</v>
          </cell>
        </row>
        <row r="6637">
          <cell r="A6637" t="str">
            <v>20211.03792</v>
          </cell>
          <cell r="B6637" t="str">
            <v>RELAIS CONTRÔLE TESION UCC</v>
          </cell>
          <cell r="C6637" t="str">
            <v>3UG4633-1AL30</v>
          </cell>
          <cell r="D6637" t="str">
            <v>PE</v>
          </cell>
          <cell r="E6637" t="str">
            <v>512.51201</v>
          </cell>
          <cell r="F6637">
            <v>1059.576</v>
          </cell>
          <cell r="G6637">
            <v>0</v>
          </cell>
          <cell r="H6637">
            <v>0</v>
          </cell>
          <cell r="I6637">
            <v>0</v>
          </cell>
          <cell r="J6637">
            <v>0</v>
          </cell>
          <cell r="K6637">
            <v>0</v>
          </cell>
          <cell r="L6637">
            <v>0</v>
          </cell>
        </row>
        <row r="6638">
          <cell r="A6638" t="str">
            <v>20211.03793</v>
          </cell>
          <cell r="B6638" t="str">
            <v>DISJONCTEUR AUXILIAIRE ECLAIRAGE ARMOIRE</v>
          </cell>
          <cell r="C6638" t="str">
            <v>5SY 42167 / 5ST3010</v>
          </cell>
          <cell r="D6638" t="str">
            <v>PE</v>
          </cell>
          <cell r="E6638" t="str">
            <v>512.51201</v>
          </cell>
          <cell r="F6638">
            <v>312.81599999999997</v>
          </cell>
          <cell r="G6638">
            <v>0</v>
          </cell>
          <cell r="H6638">
            <v>0</v>
          </cell>
          <cell r="I6638">
            <v>0</v>
          </cell>
          <cell r="J6638">
            <v>0</v>
          </cell>
          <cell r="K6638">
            <v>0</v>
          </cell>
          <cell r="L6638">
            <v>1</v>
          </cell>
        </row>
        <row r="6639">
          <cell r="A6639" t="str">
            <v>20211.03797</v>
          </cell>
          <cell r="B6639" t="str">
            <v>VARISTOR ( 127V-240V AC ) / ( 150V-250V DC )</v>
          </cell>
          <cell r="C6639" t="str">
            <v>3RT1916-1BD00</v>
          </cell>
          <cell r="D6639" t="str">
            <v>PE</v>
          </cell>
          <cell r="E6639" t="str">
            <v>512.51201</v>
          </cell>
          <cell r="F6639">
            <v>64.680000000000007</v>
          </cell>
          <cell r="G6639">
            <v>0</v>
          </cell>
          <cell r="H6639">
            <v>0</v>
          </cell>
          <cell r="I6639">
            <v>0</v>
          </cell>
          <cell r="J6639">
            <v>0</v>
          </cell>
          <cell r="K6639">
            <v>0</v>
          </cell>
          <cell r="L6639">
            <v>0</v>
          </cell>
        </row>
        <row r="6640">
          <cell r="A6640" t="str">
            <v>20211.02940</v>
          </cell>
          <cell r="B6640" t="str">
            <v>CONTACT AUXILIAIRE</v>
          </cell>
          <cell r="C6640" t="str">
            <v>3RV1901-1E</v>
          </cell>
          <cell r="D6640" t="str">
            <v>PE</v>
          </cell>
          <cell r="E6640" t="str">
            <v>512.51201</v>
          </cell>
          <cell r="F6640">
            <v>38.822499999999998</v>
          </cell>
          <cell r="G6640">
            <v>0</v>
          </cell>
          <cell r="H6640">
            <v>0</v>
          </cell>
          <cell r="I6640">
            <v>0</v>
          </cell>
          <cell r="J6640">
            <v>0</v>
          </cell>
          <cell r="K6640">
            <v>0</v>
          </cell>
          <cell r="L6640">
            <v>10</v>
          </cell>
        </row>
        <row r="6641">
          <cell r="A6641" t="str">
            <v>20211.02943</v>
          </cell>
          <cell r="B6641" t="str">
            <v>MODULE COMMUNICAT CP 443</v>
          </cell>
          <cell r="C6641" t="str">
            <v>6GK7 443-1EX11-OXEO</v>
          </cell>
          <cell r="D6641" t="str">
            <v>PE</v>
          </cell>
          <cell r="E6641" t="str">
            <v>512.51201</v>
          </cell>
          <cell r="F6641">
            <v>8000</v>
          </cell>
          <cell r="G6641">
            <v>0</v>
          </cell>
          <cell r="H6641">
            <v>0</v>
          </cell>
          <cell r="I6641">
            <v>0</v>
          </cell>
          <cell r="J6641">
            <v>0</v>
          </cell>
          <cell r="K6641">
            <v>0</v>
          </cell>
          <cell r="L6641">
            <v>1</v>
          </cell>
        </row>
        <row r="6642">
          <cell r="A6642" t="str">
            <v>20211.03075</v>
          </cell>
          <cell r="B6642" t="str">
            <v>LOGO 12/24RC</v>
          </cell>
          <cell r="C6642" t="str">
            <v>6ED1052-1MDOO-OBA5</v>
          </cell>
          <cell r="D6642" t="str">
            <v>PE</v>
          </cell>
          <cell r="E6642" t="str">
            <v>512.51201</v>
          </cell>
          <cell r="F6642">
            <v>1020.1733</v>
          </cell>
          <cell r="G6642">
            <v>0</v>
          </cell>
          <cell r="H6642">
            <v>0</v>
          </cell>
          <cell r="I6642">
            <v>1</v>
          </cell>
          <cell r="J6642">
            <v>0</v>
          </cell>
          <cell r="K6642">
            <v>0</v>
          </cell>
          <cell r="L6642">
            <v>5</v>
          </cell>
        </row>
        <row r="6643">
          <cell r="A6643" t="str">
            <v>20211.02415</v>
          </cell>
          <cell r="B6643" t="str">
            <v>BLOC CONTACT 1NF</v>
          </cell>
          <cell r="C6643" t="str">
            <v>3SB34 00-OC</v>
          </cell>
          <cell r="D6643" t="str">
            <v>PE</v>
          </cell>
          <cell r="E6643" t="str">
            <v>512.51201</v>
          </cell>
          <cell r="F6643">
            <v>44.231999999999999</v>
          </cell>
          <cell r="G6643">
            <v>0</v>
          </cell>
          <cell r="H6643">
            <v>0</v>
          </cell>
          <cell r="I6643">
            <v>0</v>
          </cell>
          <cell r="J6643">
            <v>0</v>
          </cell>
          <cell r="K6643">
            <v>0</v>
          </cell>
          <cell r="L6643">
            <v>0</v>
          </cell>
        </row>
        <row r="6644">
          <cell r="A6644" t="str">
            <v>20211.03116</v>
          </cell>
          <cell r="B6644" t="str">
            <v>CONTACTEUR</v>
          </cell>
          <cell r="C6644" t="str">
            <v>3RT1044-1AP00</v>
          </cell>
          <cell r="D6644" t="str">
            <v>PE</v>
          </cell>
          <cell r="E6644" t="str">
            <v>512.51201</v>
          </cell>
          <cell r="F6644">
            <v>817.06970000000001</v>
          </cell>
          <cell r="G6644">
            <v>0</v>
          </cell>
          <cell r="H6644">
            <v>0</v>
          </cell>
          <cell r="I6644">
            <v>0</v>
          </cell>
          <cell r="J6644">
            <v>0</v>
          </cell>
          <cell r="K6644">
            <v>0</v>
          </cell>
          <cell r="L6644">
            <v>10</v>
          </cell>
        </row>
        <row r="6645">
          <cell r="A6645" t="str">
            <v>20211.03893</v>
          </cell>
          <cell r="B6645" t="str">
            <v>RELAIS DE PROTECTION</v>
          </cell>
          <cell r="C6645" t="str">
            <v>7SJ6325-5ED90-3FA0/EE/LOR SIPROTEC</v>
          </cell>
          <cell r="D6645" t="str">
            <v>PE</v>
          </cell>
          <cell r="E6645" t="str">
            <v>512.51201</v>
          </cell>
          <cell r="F6645">
            <v>61351.38</v>
          </cell>
          <cell r="G6645">
            <v>0</v>
          </cell>
          <cell r="H6645">
            <v>0</v>
          </cell>
          <cell r="I6645">
            <v>0</v>
          </cell>
          <cell r="J6645">
            <v>0</v>
          </cell>
          <cell r="K6645">
            <v>0</v>
          </cell>
          <cell r="L6645">
            <v>1</v>
          </cell>
        </row>
        <row r="6646">
          <cell r="A6646" t="str">
            <v>20211.03895</v>
          </cell>
          <cell r="B6646" t="str">
            <v>RELAIS DE PROTECTION</v>
          </cell>
          <cell r="C6646" t="str">
            <v>7SD5225-5CD290BAO/FF/MOJ SIPROTEC</v>
          </cell>
          <cell r="D6646" t="str">
            <v>PE</v>
          </cell>
          <cell r="E6646" t="str">
            <v>512.51201</v>
          </cell>
          <cell r="F6646">
            <v>110674.62</v>
          </cell>
          <cell r="G6646">
            <v>0</v>
          </cell>
          <cell r="H6646">
            <v>0</v>
          </cell>
          <cell r="I6646">
            <v>0</v>
          </cell>
          <cell r="J6646">
            <v>0</v>
          </cell>
          <cell r="K6646">
            <v>0</v>
          </cell>
          <cell r="L6646">
            <v>1</v>
          </cell>
        </row>
        <row r="6647">
          <cell r="A6647" t="str">
            <v>20211.03896</v>
          </cell>
          <cell r="B6647" t="str">
            <v>RELAIS DE PROTECTION</v>
          </cell>
          <cell r="C6647" t="str">
            <v>7SA6315-5BD910CAO/EE/LOR</v>
          </cell>
          <cell r="D6647" t="str">
            <v>PE</v>
          </cell>
          <cell r="E6647" t="str">
            <v>512.51201</v>
          </cell>
          <cell r="F6647">
            <v>174295.33</v>
          </cell>
          <cell r="G6647">
            <v>0</v>
          </cell>
          <cell r="H6647">
            <v>0</v>
          </cell>
          <cell r="I6647">
            <v>0</v>
          </cell>
          <cell r="J6647">
            <v>0</v>
          </cell>
          <cell r="K6647">
            <v>0</v>
          </cell>
          <cell r="L6647">
            <v>1</v>
          </cell>
        </row>
        <row r="6648">
          <cell r="A6648" t="str">
            <v>20211.03903</v>
          </cell>
          <cell r="B6648" t="str">
            <v>BOBINE D'INDUCTANCE</v>
          </cell>
          <cell r="C6648" t="str">
            <v>4EU2552-OUBOO-OAAO</v>
          </cell>
          <cell r="D6648" t="str">
            <v>PE</v>
          </cell>
          <cell r="E6648" t="str">
            <v>512.51201</v>
          </cell>
          <cell r="F6648">
            <v>8144.2280000000001</v>
          </cell>
          <cell r="G6648">
            <v>0</v>
          </cell>
          <cell r="H6648">
            <v>0</v>
          </cell>
          <cell r="I6648">
            <v>0</v>
          </cell>
          <cell r="J6648">
            <v>0</v>
          </cell>
          <cell r="K6648">
            <v>0</v>
          </cell>
          <cell r="L6648">
            <v>2</v>
          </cell>
        </row>
        <row r="6649">
          <cell r="A6649" t="str">
            <v>20211.03904</v>
          </cell>
          <cell r="B6649" t="str">
            <v>BOBINE D'INDUCTANCE</v>
          </cell>
          <cell r="C6649" t="str">
            <v>4EP4000-3USOO</v>
          </cell>
          <cell r="D6649" t="str">
            <v>PE</v>
          </cell>
          <cell r="E6649" t="str">
            <v>512.51201</v>
          </cell>
          <cell r="F6649">
            <v>3538.1578</v>
          </cell>
          <cell r="G6649">
            <v>0</v>
          </cell>
          <cell r="H6649">
            <v>0</v>
          </cell>
          <cell r="I6649">
            <v>0</v>
          </cell>
          <cell r="J6649">
            <v>0</v>
          </cell>
          <cell r="K6649">
            <v>0</v>
          </cell>
          <cell r="L6649">
            <v>9</v>
          </cell>
        </row>
        <row r="6650">
          <cell r="A6650" t="str">
            <v>20211.03905</v>
          </cell>
          <cell r="B6650" t="str">
            <v>BOBINE D'INDUCTANCE</v>
          </cell>
          <cell r="C6650" t="str">
            <v>4EU2452-3UAOO-OAOO</v>
          </cell>
          <cell r="D6650" t="str">
            <v>PE</v>
          </cell>
          <cell r="E6650" t="str">
            <v>512.51201</v>
          </cell>
          <cell r="F6650">
            <v>6644.9188999999997</v>
          </cell>
          <cell r="G6650">
            <v>0</v>
          </cell>
          <cell r="H6650">
            <v>0</v>
          </cell>
          <cell r="I6650">
            <v>0</v>
          </cell>
          <cell r="J6650">
            <v>0</v>
          </cell>
          <cell r="K6650">
            <v>0</v>
          </cell>
          <cell r="L6650">
            <v>0</v>
          </cell>
        </row>
        <row r="6651">
          <cell r="A6651" t="str">
            <v>20211.03906</v>
          </cell>
          <cell r="B6651" t="str">
            <v>BOBINE D'INDUCTANCE</v>
          </cell>
          <cell r="C6651" t="str">
            <v>4EU3622-ODAOO-OAAO</v>
          </cell>
          <cell r="D6651" t="str">
            <v>PE</v>
          </cell>
          <cell r="E6651" t="str">
            <v>512.51201</v>
          </cell>
          <cell r="F6651">
            <v>29586.522099999998</v>
          </cell>
          <cell r="G6651">
            <v>0</v>
          </cell>
          <cell r="H6651">
            <v>1</v>
          </cell>
          <cell r="I6651">
            <v>0</v>
          </cell>
          <cell r="J6651">
            <v>0</v>
          </cell>
          <cell r="K6651">
            <v>0</v>
          </cell>
          <cell r="L6651">
            <v>0</v>
          </cell>
        </row>
        <row r="6652">
          <cell r="A6652" t="str">
            <v>20211.00251</v>
          </cell>
          <cell r="B6652" t="str">
            <v>CENTRALE DE MESURE</v>
          </cell>
          <cell r="C6652" t="str">
            <v>7KG7500-OAAO10AAO/CC</v>
          </cell>
          <cell r="D6652" t="str">
            <v>PE</v>
          </cell>
          <cell r="E6652" t="str">
            <v>512.51201</v>
          </cell>
          <cell r="F6652">
            <v>11874.6474</v>
          </cell>
          <cell r="G6652">
            <v>0</v>
          </cell>
          <cell r="H6652">
            <v>0</v>
          </cell>
          <cell r="I6652">
            <v>0</v>
          </cell>
          <cell r="J6652">
            <v>0</v>
          </cell>
          <cell r="K6652">
            <v>0</v>
          </cell>
          <cell r="L6652">
            <v>1</v>
          </cell>
        </row>
        <row r="6653">
          <cell r="A6653" t="str">
            <v>20211.00253</v>
          </cell>
          <cell r="B6653" t="str">
            <v>RELAIS DE PROTECTION</v>
          </cell>
          <cell r="C6653" t="str">
            <v>7UT6125-5EB22-4AAO/BB</v>
          </cell>
          <cell r="D6653" t="str">
            <v>PE</v>
          </cell>
          <cell r="E6653" t="str">
            <v>512.51201</v>
          </cell>
          <cell r="F6653">
            <v>48686.3436</v>
          </cell>
          <cell r="G6653">
            <v>0</v>
          </cell>
          <cell r="H6653">
            <v>0</v>
          </cell>
          <cell r="I6653">
            <v>0</v>
          </cell>
          <cell r="J6653">
            <v>0</v>
          </cell>
          <cell r="K6653">
            <v>0</v>
          </cell>
          <cell r="L6653">
            <v>1</v>
          </cell>
        </row>
        <row r="6654">
          <cell r="A6654" t="str">
            <v>20211.00254</v>
          </cell>
          <cell r="B6654" t="str">
            <v>RELAIS DE PROTECTION</v>
          </cell>
          <cell r="C6654" t="str">
            <v>7SJ6021-5EB20-1FAO/CC</v>
          </cell>
          <cell r="D6654" t="str">
            <v>PE</v>
          </cell>
          <cell r="E6654" t="str">
            <v>512.51201</v>
          </cell>
          <cell r="F6654">
            <v>15634.2549</v>
          </cell>
          <cell r="G6654">
            <v>0</v>
          </cell>
          <cell r="H6654">
            <v>0</v>
          </cell>
          <cell r="I6654">
            <v>0</v>
          </cell>
          <cell r="J6654">
            <v>0</v>
          </cell>
          <cell r="K6654">
            <v>0</v>
          </cell>
          <cell r="L6654">
            <v>1</v>
          </cell>
        </row>
        <row r="6655">
          <cell r="A6655" t="str">
            <v>20211.00258</v>
          </cell>
          <cell r="B6655" t="str">
            <v>RELAIS DE PROTECTION</v>
          </cell>
          <cell r="C6655" t="str">
            <v>7UM6215-5EB92-OAAO-LOA</v>
          </cell>
          <cell r="D6655" t="str">
            <v>PE</v>
          </cell>
          <cell r="E6655" t="str">
            <v>512.51201</v>
          </cell>
          <cell r="F6655">
            <v>70025.179799999998</v>
          </cell>
          <cell r="G6655">
            <v>0</v>
          </cell>
          <cell r="H6655">
            <v>0</v>
          </cell>
          <cell r="I6655">
            <v>0</v>
          </cell>
          <cell r="J6655">
            <v>0</v>
          </cell>
          <cell r="K6655">
            <v>0</v>
          </cell>
          <cell r="L6655">
            <v>0</v>
          </cell>
        </row>
        <row r="6656">
          <cell r="A6656" t="str">
            <v>20211.00259</v>
          </cell>
          <cell r="B6656" t="str">
            <v>RELAIS D'AUTOSYNCRONISATION</v>
          </cell>
          <cell r="C6656" t="str">
            <v>7VE6110-5EB92-OCAO/CC LOA</v>
          </cell>
          <cell r="D6656" t="str">
            <v>PE</v>
          </cell>
          <cell r="E6656" t="str">
            <v>512.51201</v>
          </cell>
          <cell r="F6656">
            <v>70310.236300000004</v>
          </cell>
          <cell r="G6656">
            <v>0</v>
          </cell>
          <cell r="H6656">
            <v>0</v>
          </cell>
          <cell r="I6656">
            <v>0</v>
          </cell>
          <cell r="J6656">
            <v>0</v>
          </cell>
          <cell r="K6656">
            <v>0</v>
          </cell>
          <cell r="L6656">
            <v>1</v>
          </cell>
        </row>
        <row r="6657">
          <cell r="A6657" t="str">
            <v>20211.00255</v>
          </cell>
          <cell r="B6657" t="str">
            <v>RELAIS DE PROTECTION</v>
          </cell>
          <cell r="C6657" t="str">
            <v>7SJ6425-5ED91-1FE4/DD</v>
          </cell>
          <cell r="D6657" t="str">
            <v>PE</v>
          </cell>
          <cell r="E6657" t="str">
            <v>512.51201</v>
          </cell>
          <cell r="F6657">
            <v>59896.044600000001</v>
          </cell>
          <cell r="G6657">
            <v>0</v>
          </cell>
          <cell r="H6657">
            <v>1</v>
          </cell>
          <cell r="I6657">
            <v>0</v>
          </cell>
          <cell r="J6657">
            <v>0</v>
          </cell>
          <cell r="K6657">
            <v>0</v>
          </cell>
          <cell r="L6657">
            <v>1</v>
          </cell>
        </row>
        <row r="6658">
          <cell r="A6658" t="str">
            <v>20492.21455</v>
          </cell>
          <cell r="B6658" t="str">
            <v>BUSE DE PULVERISATEUR</v>
          </cell>
          <cell r="C6658" t="str">
            <v>SPRAYING SYSTEMS TYPE : WHIRLJETREF. 1/2BA-309SS80 EN ACIER INOX 309SS</v>
          </cell>
          <cell r="D6658" t="str">
            <v>PE</v>
          </cell>
          <cell r="E6658" t="str">
            <v>515.51502</v>
          </cell>
          <cell r="F6658">
            <v>10350</v>
          </cell>
          <cell r="G6658">
            <v>0</v>
          </cell>
          <cell r="H6658">
            <v>0</v>
          </cell>
          <cell r="I6658">
            <v>0</v>
          </cell>
          <cell r="J6658">
            <v>0</v>
          </cell>
          <cell r="K6658">
            <v>2</v>
          </cell>
          <cell r="L6658">
            <v>0</v>
          </cell>
        </row>
        <row r="6659">
          <cell r="A6659" t="str">
            <v>20492.22063</v>
          </cell>
          <cell r="B6659" t="str">
            <v>ONDULEUR</v>
          </cell>
          <cell r="C6659" t="str">
            <v>EATON MODELE EL 1600USBFR</v>
          </cell>
          <cell r="D6659" t="str">
            <v>PE</v>
          </cell>
          <cell r="E6659" t="str">
            <v>522.52206</v>
          </cell>
          <cell r="F6659">
            <v>2550</v>
          </cell>
          <cell r="G6659">
            <v>0</v>
          </cell>
          <cell r="H6659">
            <v>0</v>
          </cell>
          <cell r="I6659">
            <v>0</v>
          </cell>
          <cell r="J6659">
            <v>0</v>
          </cell>
          <cell r="K6659">
            <v>0</v>
          </cell>
          <cell r="L6659">
            <v>0</v>
          </cell>
        </row>
        <row r="6660">
          <cell r="A6660" t="str">
            <v>20254.01398</v>
          </cell>
          <cell r="B6660" t="str">
            <v>CONNECTEUR</v>
          </cell>
          <cell r="C6660" t="str">
            <v>1834 484 212       230VAC</v>
          </cell>
          <cell r="D6660" t="str">
            <v>PE</v>
          </cell>
          <cell r="E6660" t="str">
            <v>222.22209</v>
          </cell>
          <cell r="F6660">
            <v>300</v>
          </cell>
          <cell r="G6660">
            <v>0</v>
          </cell>
          <cell r="H6660">
            <v>0</v>
          </cell>
          <cell r="I6660">
            <v>0</v>
          </cell>
          <cell r="J6660">
            <v>0</v>
          </cell>
          <cell r="K6660">
            <v>1</v>
          </cell>
          <cell r="L6660">
            <v>0</v>
          </cell>
        </row>
        <row r="6661">
          <cell r="A6661" t="str">
            <v>20492.16031</v>
          </cell>
          <cell r="B6661" t="str">
            <v>CARTE COMMANDE CHARGEUR</v>
          </cell>
          <cell r="C6661" t="str">
            <v>APC 34001179SE P/ONDULEUR TYPE GALAXY 5000.</v>
          </cell>
          <cell r="D6661" t="str">
            <v>PE</v>
          </cell>
          <cell r="E6661" t="str">
            <v>512.51201</v>
          </cell>
          <cell r="F6661">
            <v>2675</v>
          </cell>
          <cell r="G6661">
            <v>0</v>
          </cell>
          <cell r="H6661">
            <v>0</v>
          </cell>
          <cell r="I6661">
            <v>0</v>
          </cell>
          <cell r="J6661">
            <v>0</v>
          </cell>
          <cell r="K6661">
            <v>0</v>
          </cell>
          <cell r="L6661">
            <v>0</v>
          </cell>
        </row>
        <row r="6662">
          <cell r="A6662" t="str">
            <v>20492.16032</v>
          </cell>
          <cell r="B6662" t="str">
            <v>CARTE INTERFACE VENTILATEURS</v>
          </cell>
          <cell r="C6662" t="str">
            <v>APC 34001169SE P/ONDULEUR TYPE GALAXY 5000.</v>
          </cell>
          <cell r="D6662" t="str">
            <v>PE</v>
          </cell>
          <cell r="E6662" t="str">
            <v>512.51201</v>
          </cell>
          <cell r="F6662">
            <v>2612.5</v>
          </cell>
          <cell r="G6662">
            <v>0</v>
          </cell>
          <cell r="H6662">
            <v>0</v>
          </cell>
          <cell r="I6662">
            <v>0</v>
          </cell>
          <cell r="J6662">
            <v>0</v>
          </cell>
          <cell r="K6662">
            <v>0</v>
          </cell>
          <cell r="L6662">
            <v>1</v>
          </cell>
        </row>
        <row r="6663">
          <cell r="A6663" t="str">
            <v>20492.16033</v>
          </cell>
          <cell r="B6663" t="str">
            <v>CARTE DCFAN</v>
          </cell>
          <cell r="C6663" t="str">
            <v>APC 34002125SE P/ONDULEUR TYPE GALAXY 5000.</v>
          </cell>
          <cell r="D6663" t="str">
            <v>PE</v>
          </cell>
          <cell r="E6663" t="str">
            <v>512.51201</v>
          </cell>
          <cell r="F6663">
            <v>8454.75</v>
          </cell>
          <cell r="G6663">
            <v>0</v>
          </cell>
          <cell r="H6663">
            <v>0</v>
          </cell>
          <cell r="I6663">
            <v>0</v>
          </cell>
          <cell r="J6663">
            <v>0</v>
          </cell>
          <cell r="K6663">
            <v>0</v>
          </cell>
          <cell r="L6663">
            <v>1</v>
          </cell>
        </row>
        <row r="6664">
          <cell r="A6664" t="str">
            <v>20492.16407</v>
          </cell>
          <cell r="B6664" t="str">
            <v>AXE</v>
          </cell>
          <cell r="C6664" t="str">
            <v>DRESSER RAND 1S613-10 PLAN 6R8392 REP 16</v>
          </cell>
          <cell r="D6664" t="str">
            <v>PE</v>
          </cell>
          <cell r="E6664" t="str">
            <v>515.51517</v>
          </cell>
          <cell r="F6664">
            <v>1965.1041</v>
          </cell>
          <cell r="G6664">
            <v>0</v>
          </cell>
          <cell r="H6664">
            <v>0</v>
          </cell>
          <cell r="I6664">
            <v>0</v>
          </cell>
          <cell r="J6664">
            <v>0</v>
          </cell>
          <cell r="K6664">
            <v>0</v>
          </cell>
          <cell r="L6664">
            <v>1</v>
          </cell>
        </row>
        <row r="6665">
          <cell r="A6665" t="str">
            <v>20492.16408</v>
          </cell>
          <cell r="B6665" t="str">
            <v>RONDELLE</v>
          </cell>
          <cell r="C6665" t="str">
            <v>DRESSER RAND 3A1955-302 PLAN 6R8384 REP 2</v>
          </cell>
          <cell r="D6665" t="str">
            <v>PE</v>
          </cell>
          <cell r="E6665" t="str">
            <v>515.51517</v>
          </cell>
          <cell r="F6665">
            <v>748.03710000000001</v>
          </cell>
          <cell r="G6665">
            <v>0</v>
          </cell>
          <cell r="H6665">
            <v>0</v>
          </cell>
          <cell r="I6665">
            <v>0</v>
          </cell>
          <cell r="J6665">
            <v>1</v>
          </cell>
          <cell r="K6665">
            <v>0</v>
          </cell>
          <cell r="L6665">
            <v>1</v>
          </cell>
        </row>
        <row r="6666">
          <cell r="A6666" t="str">
            <v>20492.16409</v>
          </cell>
          <cell r="B6666" t="str">
            <v>VIS AJUSTEE</v>
          </cell>
          <cell r="C6666" t="str">
            <v>DRESSER RAND 1A6902-4 PLAN 6R8384 REP 7</v>
          </cell>
          <cell r="D6666" t="str">
            <v>PE</v>
          </cell>
          <cell r="E6666" t="str">
            <v>515.51517</v>
          </cell>
          <cell r="F6666">
            <v>7923.9447</v>
          </cell>
          <cell r="G6666">
            <v>0</v>
          </cell>
          <cell r="H6666">
            <v>0</v>
          </cell>
          <cell r="I6666">
            <v>0</v>
          </cell>
          <cell r="J6666">
            <v>0</v>
          </cell>
          <cell r="K6666">
            <v>0</v>
          </cell>
          <cell r="L6666">
            <v>3</v>
          </cell>
        </row>
        <row r="6667">
          <cell r="A6667" t="str">
            <v>20492.16415</v>
          </cell>
          <cell r="B6667" t="str">
            <v>DEFLECTEUR D'HUILE</v>
          </cell>
          <cell r="C6667" t="str">
            <v>DRESSER RAND 1A6076-151 PLAN 6R9419 REP 7</v>
          </cell>
          <cell r="D6667" t="str">
            <v>PE</v>
          </cell>
          <cell r="E6667" t="str">
            <v>515.51517</v>
          </cell>
          <cell r="F6667">
            <v>10742.4036</v>
          </cell>
          <cell r="G6667">
            <v>0</v>
          </cell>
          <cell r="H6667">
            <v>0</v>
          </cell>
          <cell r="I6667">
            <v>0</v>
          </cell>
          <cell r="J6667">
            <v>0</v>
          </cell>
          <cell r="K6667">
            <v>0</v>
          </cell>
          <cell r="L6667">
            <v>2</v>
          </cell>
        </row>
        <row r="6668">
          <cell r="A6668" t="str">
            <v>20492.16416</v>
          </cell>
          <cell r="B6668" t="str">
            <v>JOINT</v>
          </cell>
          <cell r="C6668" t="str">
            <v>DRESSER RAND 1S428-52 PLAN 6R9394 REP 5</v>
          </cell>
          <cell r="D6668" t="str">
            <v>PE</v>
          </cell>
          <cell r="E6668" t="str">
            <v>515.51517</v>
          </cell>
          <cell r="F6668">
            <v>1958.9088999999999</v>
          </cell>
          <cell r="G6668">
            <v>0</v>
          </cell>
          <cell r="H6668">
            <v>0</v>
          </cell>
          <cell r="I6668">
            <v>0</v>
          </cell>
          <cell r="J6668">
            <v>0</v>
          </cell>
          <cell r="K6668">
            <v>0</v>
          </cell>
          <cell r="L6668">
            <v>2</v>
          </cell>
        </row>
        <row r="6669">
          <cell r="A6669" t="str">
            <v>20492.16417</v>
          </cell>
          <cell r="B6669" t="str">
            <v>GOUJON</v>
          </cell>
          <cell r="C6669" t="str">
            <v>DRESSER RAND PLAN NP-2151 C REP2</v>
          </cell>
          <cell r="D6669" t="str">
            <v>PE</v>
          </cell>
          <cell r="E6669" t="str">
            <v>512.51201</v>
          </cell>
          <cell r="F6669">
            <v>3152.4342000000001</v>
          </cell>
          <cell r="G6669">
            <v>0</v>
          </cell>
          <cell r="H6669">
            <v>0</v>
          </cell>
          <cell r="I6669">
            <v>0</v>
          </cell>
          <cell r="J6669">
            <v>0</v>
          </cell>
          <cell r="K6669">
            <v>0</v>
          </cell>
          <cell r="L6669">
            <v>0</v>
          </cell>
        </row>
        <row r="6670">
          <cell r="A6670" t="str">
            <v>20492.16418</v>
          </cell>
          <cell r="B6670" t="str">
            <v>ECROU</v>
          </cell>
          <cell r="C6670" t="str">
            <v>DRESSER RAND PLAN NP-2151 C REP3</v>
          </cell>
          <cell r="D6670" t="str">
            <v>PE</v>
          </cell>
          <cell r="E6670" t="str">
            <v>512.51201</v>
          </cell>
          <cell r="F6670">
            <v>347.49200000000002</v>
          </cell>
          <cell r="G6670">
            <v>0</v>
          </cell>
          <cell r="H6670">
            <v>0</v>
          </cell>
          <cell r="I6670">
            <v>0</v>
          </cell>
          <cell r="J6670">
            <v>0</v>
          </cell>
          <cell r="K6670">
            <v>0</v>
          </cell>
          <cell r="L6670">
            <v>0</v>
          </cell>
        </row>
        <row r="6671">
          <cell r="A6671" t="str">
            <v>20492.16410</v>
          </cell>
          <cell r="B6671" t="str">
            <v>VIS EN U</v>
          </cell>
          <cell r="C6671" t="str">
            <v>DRESSER RAND 1A6896-3 PLAN 6R8384 REP 9</v>
          </cell>
          <cell r="D6671" t="str">
            <v>PE</v>
          </cell>
          <cell r="E6671" t="str">
            <v>515.51517</v>
          </cell>
          <cell r="F6671">
            <v>4197.5010000000002</v>
          </cell>
          <cell r="G6671">
            <v>0</v>
          </cell>
          <cell r="H6671">
            <v>0</v>
          </cell>
          <cell r="I6671">
            <v>0</v>
          </cell>
          <cell r="J6671">
            <v>0</v>
          </cell>
          <cell r="K6671">
            <v>0</v>
          </cell>
          <cell r="L6671">
            <v>3</v>
          </cell>
        </row>
        <row r="6672">
          <cell r="A6672" t="str">
            <v>20492.16411</v>
          </cell>
          <cell r="B6672" t="str">
            <v>ECROU HEXAGONAL</v>
          </cell>
          <cell r="C6672" t="str">
            <v>DRESSER RAND 1S304-5 PLAN 6R8384 REP 10</v>
          </cell>
          <cell r="D6672" t="str">
            <v>PE</v>
          </cell>
          <cell r="E6672" t="str">
            <v>515.51517</v>
          </cell>
          <cell r="F6672">
            <v>90.111400000000003</v>
          </cell>
          <cell r="G6672">
            <v>0</v>
          </cell>
          <cell r="H6672">
            <v>0</v>
          </cell>
          <cell r="I6672">
            <v>0</v>
          </cell>
          <cell r="J6672">
            <v>0</v>
          </cell>
          <cell r="K6672">
            <v>0</v>
          </cell>
          <cell r="L6672">
            <v>6</v>
          </cell>
        </row>
        <row r="6673">
          <cell r="A6673" t="str">
            <v>20492.16412</v>
          </cell>
          <cell r="B6673" t="str">
            <v>RONDELLE</v>
          </cell>
          <cell r="C6673" t="str">
            <v>DRESSER RAND 3A1955-225 PLAN 6R8384 REP 11</v>
          </cell>
          <cell r="D6673" t="str">
            <v>PE</v>
          </cell>
          <cell r="E6673" t="str">
            <v>515.51517</v>
          </cell>
          <cell r="F6673">
            <v>602.28200000000004</v>
          </cell>
          <cell r="G6673">
            <v>0</v>
          </cell>
          <cell r="H6673">
            <v>0</v>
          </cell>
          <cell r="I6673">
            <v>0</v>
          </cell>
          <cell r="J6673">
            <v>0</v>
          </cell>
          <cell r="K6673">
            <v>0</v>
          </cell>
          <cell r="L6673">
            <v>6</v>
          </cell>
        </row>
        <row r="6674">
          <cell r="A6674" t="str">
            <v>20492.16413</v>
          </cell>
          <cell r="B6674" t="str">
            <v>RONDELLE</v>
          </cell>
          <cell r="C6674" t="str">
            <v>DRESSER RAND 3A1955-332 PLAN 6R8384 REP 24</v>
          </cell>
          <cell r="D6674" t="str">
            <v>PE</v>
          </cell>
          <cell r="E6674" t="str">
            <v>515.51517</v>
          </cell>
          <cell r="F6674">
            <v>2408.9025999999999</v>
          </cell>
          <cell r="G6674">
            <v>0</v>
          </cell>
          <cell r="H6674">
            <v>0</v>
          </cell>
          <cell r="I6674">
            <v>0</v>
          </cell>
          <cell r="J6674">
            <v>3</v>
          </cell>
          <cell r="K6674">
            <v>0</v>
          </cell>
          <cell r="L6674">
            <v>1</v>
          </cell>
        </row>
        <row r="6675">
          <cell r="A6675" t="str">
            <v>20492.16414</v>
          </cell>
          <cell r="B6675" t="str">
            <v>DEFLECTEUR DE VAPEUR</v>
          </cell>
          <cell r="C6675" t="str">
            <v xml:space="preserve">DRESSER RAND 1A11550-38 PLAN 6R9419 REP 6 </v>
          </cell>
          <cell r="D6675" t="str">
            <v>PE</v>
          </cell>
          <cell r="E6675" t="str">
            <v>515.51517</v>
          </cell>
          <cell r="F6675">
            <v>21358.651300000001</v>
          </cell>
          <cell r="G6675">
            <v>0</v>
          </cell>
          <cell r="H6675">
            <v>0</v>
          </cell>
          <cell r="I6675">
            <v>0</v>
          </cell>
          <cell r="J6675">
            <v>0</v>
          </cell>
          <cell r="K6675">
            <v>0</v>
          </cell>
          <cell r="L6675">
            <v>1</v>
          </cell>
        </row>
        <row r="6676">
          <cell r="A6676" t="str">
            <v>20492.16423</v>
          </cell>
          <cell r="B6676" t="str">
            <v>CHAPEAU</v>
          </cell>
          <cell r="C6676" t="str">
            <v>DRESSER RAND PLAN NP-2151 C REP11</v>
          </cell>
          <cell r="D6676" t="str">
            <v>PE</v>
          </cell>
          <cell r="E6676" t="str">
            <v>515.51517</v>
          </cell>
          <cell r="F6676">
            <v>8707.2379999999994</v>
          </cell>
          <cell r="G6676">
            <v>0</v>
          </cell>
          <cell r="H6676">
            <v>0</v>
          </cell>
          <cell r="I6676">
            <v>0</v>
          </cell>
          <cell r="J6676">
            <v>0</v>
          </cell>
          <cell r="K6676">
            <v>0</v>
          </cell>
          <cell r="L6676">
            <v>0</v>
          </cell>
        </row>
        <row r="6677">
          <cell r="A6677" t="str">
            <v>20492.16424</v>
          </cell>
          <cell r="B6677" t="str">
            <v>VIS</v>
          </cell>
          <cell r="C6677" t="str">
            <v>DRESSER RAND PLAN NP-2151 C REP12</v>
          </cell>
          <cell r="D6677" t="str">
            <v>PE</v>
          </cell>
          <cell r="E6677" t="str">
            <v>515.51517</v>
          </cell>
          <cell r="F6677">
            <v>28699.9133</v>
          </cell>
          <cell r="G6677">
            <v>0</v>
          </cell>
          <cell r="H6677">
            <v>0</v>
          </cell>
          <cell r="I6677">
            <v>0</v>
          </cell>
          <cell r="J6677">
            <v>0</v>
          </cell>
          <cell r="K6677">
            <v>0</v>
          </cell>
          <cell r="L6677">
            <v>0</v>
          </cell>
        </row>
        <row r="6678">
          <cell r="A6678" t="str">
            <v>20492.16425</v>
          </cell>
          <cell r="B6678" t="str">
            <v>BAGUE</v>
          </cell>
          <cell r="C6678" t="str">
            <v>DRESSER RAND PLAN NP-2151 C REP17</v>
          </cell>
          <cell r="D6678" t="str">
            <v>PE</v>
          </cell>
          <cell r="E6678" t="str">
            <v>515.51517</v>
          </cell>
          <cell r="F6678">
            <v>88184.917400000006</v>
          </cell>
          <cell r="G6678">
            <v>0</v>
          </cell>
          <cell r="H6678">
            <v>0</v>
          </cell>
          <cell r="I6678">
            <v>0</v>
          </cell>
          <cell r="J6678">
            <v>0</v>
          </cell>
          <cell r="K6678">
            <v>0</v>
          </cell>
          <cell r="L6678">
            <v>0</v>
          </cell>
        </row>
        <row r="6679">
          <cell r="A6679" t="str">
            <v>20492.16426</v>
          </cell>
          <cell r="B6679" t="str">
            <v>SIEGE</v>
          </cell>
          <cell r="C6679" t="str">
            <v>DRESSER RAND PLAN NP-2151 C REP19</v>
          </cell>
          <cell r="D6679" t="str">
            <v>PE</v>
          </cell>
          <cell r="E6679" t="str">
            <v>515.51517</v>
          </cell>
          <cell r="F6679">
            <v>61491.671999999999</v>
          </cell>
          <cell r="G6679">
            <v>0</v>
          </cell>
          <cell r="H6679">
            <v>0</v>
          </cell>
          <cell r="I6679">
            <v>0</v>
          </cell>
          <cell r="J6679">
            <v>0</v>
          </cell>
          <cell r="K6679">
            <v>0</v>
          </cell>
          <cell r="L6679">
            <v>0</v>
          </cell>
        </row>
        <row r="6680">
          <cell r="A6680" t="str">
            <v>20492.16427</v>
          </cell>
          <cell r="B6680" t="str">
            <v>DOUILLE</v>
          </cell>
          <cell r="C6680" t="str">
            <v>DRESSER RAND PLAN NP-2151 C REP20</v>
          </cell>
          <cell r="D6680" t="str">
            <v>PE</v>
          </cell>
          <cell r="E6680" t="str">
            <v>515.51517</v>
          </cell>
          <cell r="F6680">
            <v>39390.052300000003</v>
          </cell>
          <cell r="G6680">
            <v>0</v>
          </cell>
          <cell r="H6680">
            <v>0</v>
          </cell>
          <cell r="I6680">
            <v>0</v>
          </cell>
          <cell r="J6680">
            <v>0</v>
          </cell>
          <cell r="K6680">
            <v>0</v>
          </cell>
          <cell r="L6680">
            <v>0</v>
          </cell>
        </row>
        <row r="6681">
          <cell r="A6681" t="str">
            <v>20492.16420</v>
          </cell>
          <cell r="B6681" t="str">
            <v>GOUPILLE</v>
          </cell>
          <cell r="C6681" t="str">
            <v>DRESSER RAND PLAN NP-2151 C REP8</v>
          </cell>
          <cell r="D6681" t="str">
            <v>PE</v>
          </cell>
          <cell r="E6681" t="str">
            <v>515.51517</v>
          </cell>
          <cell r="F6681">
            <v>27192.687699999999</v>
          </cell>
          <cell r="G6681">
            <v>0</v>
          </cell>
          <cell r="H6681">
            <v>0</v>
          </cell>
          <cell r="I6681">
            <v>0</v>
          </cell>
          <cell r="J6681">
            <v>0</v>
          </cell>
          <cell r="K6681">
            <v>0</v>
          </cell>
          <cell r="L6681">
            <v>1</v>
          </cell>
        </row>
        <row r="6682">
          <cell r="A6682" t="str">
            <v>20492.16421</v>
          </cell>
          <cell r="B6682" t="str">
            <v>VIS</v>
          </cell>
          <cell r="C6682" t="str">
            <v>DRESSER RAND PLAN NP-2151 C REP9</v>
          </cell>
          <cell r="D6682" t="str">
            <v>PE</v>
          </cell>
          <cell r="E6682" t="str">
            <v>515.51517</v>
          </cell>
          <cell r="F6682">
            <v>136.9693</v>
          </cell>
          <cell r="G6682">
            <v>0</v>
          </cell>
          <cell r="H6682">
            <v>0</v>
          </cell>
          <cell r="I6682">
            <v>0</v>
          </cell>
          <cell r="J6682">
            <v>0</v>
          </cell>
          <cell r="K6682">
            <v>0</v>
          </cell>
          <cell r="L6682">
            <v>0</v>
          </cell>
        </row>
        <row r="6683">
          <cell r="A6683" t="str">
            <v>20492.16422</v>
          </cell>
          <cell r="B6683" t="str">
            <v>GARNITURE</v>
          </cell>
          <cell r="C6683" t="str">
            <v>DRESSER RAND PLAN NP-2151 C REP10</v>
          </cell>
          <cell r="D6683" t="str">
            <v>PE</v>
          </cell>
          <cell r="E6683" t="str">
            <v>515.51517</v>
          </cell>
          <cell r="F6683">
            <v>1027.2698</v>
          </cell>
          <cell r="G6683">
            <v>0</v>
          </cell>
          <cell r="H6683">
            <v>0</v>
          </cell>
          <cell r="I6683">
            <v>0</v>
          </cell>
          <cell r="J6683">
            <v>0</v>
          </cell>
          <cell r="K6683">
            <v>0</v>
          </cell>
          <cell r="L6683">
            <v>3</v>
          </cell>
        </row>
        <row r="6684">
          <cell r="A6684" t="str">
            <v>20492.16432</v>
          </cell>
          <cell r="B6684" t="str">
            <v>GOUPILLE</v>
          </cell>
          <cell r="C6684" t="str">
            <v>DRESSER RAND PLAN NP-2151 C REP35</v>
          </cell>
          <cell r="D6684" t="str">
            <v>PE</v>
          </cell>
          <cell r="E6684" t="str">
            <v>515.51517</v>
          </cell>
          <cell r="F6684">
            <v>90.111400000000003</v>
          </cell>
          <cell r="G6684">
            <v>0</v>
          </cell>
          <cell r="H6684">
            <v>0</v>
          </cell>
          <cell r="I6684">
            <v>0</v>
          </cell>
          <cell r="J6684">
            <v>0</v>
          </cell>
          <cell r="K6684">
            <v>0</v>
          </cell>
          <cell r="L6684">
            <v>1</v>
          </cell>
        </row>
        <row r="6685">
          <cell r="A6685" t="str">
            <v>20492.16433</v>
          </cell>
          <cell r="B6685" t="str">
            <v>RONDELLE DE BUTEE</v>
          </cell>
          <cell r="C6685" t="str">
            <v>DRESSER RAND PLAN NP-2151 C REP36</v>
          </cell>
          <cell r="D6685" t="str">
            <v>PE</v>
          </cell>
          <cell r="E6685" t="str">
            <v>515.51517</v>
          </cell>
          <cell r="F6685">
            <v>4917.8289000000004</v>
          </cell>
          <cell r="G6685">
            <v>0</v>
          </cell>
          <cell r="H6685">
            <v>0</v>
          </cell>
          <cell r="I6685">
            <v>0</v>
          </cell>
          <cell r="J6685">
            <v>0</v>
          </cell>
          <cell r="K6685">
            <v>0</v>
          </cell>
          <cell r="L6685">
            <v>0</v>
          </cell>
        </row>
        <row r="6686">
          <cell r="A6686" t="str">
            <v>20492.16434</v>
          </cell>
          <cell r="B6686" t="str">
            <v>DOUILLE</v>
          </cell>
          <cell r="C6686" t="str">
            <v>DRESSER RAND PLAN NP-2151 C REP37A</v>
          </cell>
          <cell r="D6686" t="str">
            <v>PE</v>
          </cell>
          <cell r="E6686" t="str">
            <v>515.51517</v>
          </cell>
          <cell r="F6686">
            <v>6151.2285000000002</v>
          </cell>
          <cell r="G6686">
            <v>0</v>
          </cell>
          <cell r="H6686">
            <v>0</v>
          </cell>
          <cell r="I6686">
            <v>0</v>
          </cell>
          <cell r="J6686">
            <v>0</v>
          </cell>
          <cell r="K6686">
            <v>0</v>
          </cell>
          <cell r="L6686">
            <v>0</v>
          </cell>
        </row>
        <row r="6687">
          <cell r="A6687" t="str">
            <v>20492.16436</v>
          </cell>
          <cell r="B6687" t="str">
            <v>JOINT</v>
          </cell>
          <cell r="C6687" t="str">
            <v>DRESSER RAND PLAN NP-2151 C REP 38</v>
          </cell>
          <cell r="D6687" t="str">
            <v>PE</v>
          </cell>
          <cell r="E6687" t="str">
            <v>515.51517</v>
          </cell>
          <cell r="F6687">
            <v>2127.3045000000002</v>
          </cell>
          <cell r="G6687">
            <v>0</v>
          </cell>
          <cell r="H6687">
            <v>0</v>
          </cell>
          <cell r="I6687">
            <v>0</v>
          </cell>
          <cell r="J6687">
            <v>0</v>
          </cell>
          <cell r="K6687">
            <v>0</v>
          </cell>
          <cell r="L6687">
            <v>0</v>
          </cell>
        </row>
        <row r="6688">
          <cell r="A6688" t="str">
            <v>20492.16428</v>
          </cell>
          <cell r="B6688" t="str">
            <v>DOUILLE</v>
          </cell>
          <cell r="C6688" t="str">
            <v>DRESSER RAND PLAN NP-2151 C REP21</v>
          </cell>
          <cell r="D6688" t="str">
            <v>PE</v>
          </cell>
          <cell r="E6688" t="str">
            <v>515.51517</v>
          </cell>
          <cell r="F6688">
            <v>33873.771200000003</v>
          </cell>
          <cell r="G6688">
            <v>0</v>
          </cell>
          <cell r="H6688">
            <v>0</v>
          </cell>
          <cell r="I6688">
            <v>0</v>
          </cell>
          <cell r="J6688">
            <v>0</v>
          </cell>
          <cell r="K6688">
            <v>0</v>
          </cell>
          <cell r="L6688">
            <v>0</v>
          </cell>
        </row>
        <row r="6689">
          <cell r="A6689" t="str">
            <v>20492.16429</v>
          </cell>
          <cell r="B6689" t="str">
            <v>VIS</v>
          </cell>
          <cell r="C6689" t="str">
            <v>DRESSER RAND PLAN NP-2151 C REP30</v>
          </cell>
          <cell r="D6689" t="str">
            <v>PE</v>
          </cell>
          <cell r="E6689" t="str">
            <v>515.51517</v>
          </cell>
          <cell r="F6689">
            <v>126.1559</v>
          </cell>
          <cell r="G6689">
            <v>0</v>
          </cell>
          <cell r="H6689">
            <v>0</v>
          </cell>
          <cell r="I6689">
            <v>0</v>
          </cell>
          <cell r="J6689">
            <v>0</v>
          </cell>
          <cell r="K6689">
            <v>0</v>
          </cell>
          <cell r="L6689">
            <v>2</v>
          </cell>
        </row>
        <row r="6690">
          <cell r="A6690" t="str">
            <v>20492.16430</v>
          </cell>
          <cell r="B6690" t="str">
            <v>TIGE DE CLAPET</v>
          </cell>
          <cell r="C6690" t="str">
            <v>DRESSER RAND PLAN NP-2151 C REP31</v>
          </cell>
          <cell r="D6690" t="str">
            <v>PE</v>
          </cell>
          <cell r="E6690" t="str">
            <v>515.51517</v>
          </cell>
          <cell r="F6690">
            <v>68572.286800000002</v>
          </cell>
          <cell r="G6690">
            <v>0</v>
          </cell>
          <cell r="H6690">
            <v>0</v>
          </cell>
          <cell r="I6690">
            <v>0</v>
          </cell>
          <cell r="J6690">
            <v>0</v>
          </cell>
          <cell r="K6690">
            <v>0</v>
          </cell>
          <cell r="L6690">
            <v>0</v>
          </cell>
        </row>
        <row r="6691">
          <cell r="A6691" t="str">
            <v>20492.16431</v>
          </cell>
          <cell r="B6691" t="str">
            <v>ROUE DENTEE</v>
          </cell>
          <cell r="C6691" t="str">
            <v>DRESSER RAND PLAN NP-2151 C REP34</v>
          </cell>
          <cell r="D6691" t="str">
            <v>PE</v>
          </cell>
          <cell r="E6691" t="str">
            <v>515.51517</v>
          </cell>
          <cell r="F6691">
            <v>30502.5916</v>
          </cell>
          <cell r="G6691">
            <v>0</v>
          </cell>
          <cell r="H6691">
            <v>0</v>
          </cell>
          <cell r="I6691">
            <v>0</v>
          </cell>
          <cell r="J6691">
            <v>0</v>
          </cell>
          <cell r="K6691">
            <v>0</v>
          </cell>
          <cell r="L6691">
            <v>0</v>
          </cell>
        </row>
        <row r="6692">
          <cell r="A6692" t="str">
            <v>20492.16441</v>
          </cell>
          <cell r="B6692" t="str">
            <v>SEGMENT DE PISTON</v>
          </cell>
          <cell r="C6692" t="str">
            <v>DRESSER RAND PLAN NP-2151 C REP80A</v>
          </cell>
          <cell r="D6692" t="str">
            <v>PE</v>
          </cell>
          <cell r="E6692" t="str">
            <v>515.51517</v>
          </cell>
          <cell r="F6692">
            <v>5696.7291999999998</v>
          </cell>
          <cell r="G6692">
            <v>0</v>
          </cell>
          <cell r="H6692">
            <v>0</v>
          </cell>
          <cell r="I6692">
            <v>0</v>
          </cell>
          <cell r="J6692">
            <v>0</v>
          </cell>
          <cell r="K6692">
            <v>0</v>
          </cell>
          <cell r="L6692">
            <v>0</v>
          </cell>
        </row>
        <row r="6693">
          <cell r="A6693" t="str">
            <v>20492.16442</v>
          </cell>
          <cell r="B6693" t="str">
            <v>ANNEAU DE RETENUE</v>
          </cell>
          <cell r="C6693" t="str">
            <v>DRESSER RAND PLAN NP-2151 C REP83</v>
          </cell>
          <cell r="D6693" t="str">
            <v>PE</v>
          </cell>
          <cell r="E6693" t="str">
            <v>515.51517</v>
          </cell>
          <cell r="F6693">
            <v>631.005</v>
          </cell>
          <cell r="G6693">
            <v>0</v>
          </cell>
          <cell r="H6693">
            <v>0</v>
          </cell>
          <cell r="I6693">
            <v>0</v>
          </cell>
          <cell r="J6693">
            <v>0</v>
          </cell>
          <cell r="K6693">
            <v>0</v>
          </cell>
          <cell r="L6693">
            <v>0</v>
          </cell>
        </row>
        <row r="6694">
          <cell r="A6694" t="str">
            <v>20492.16443</v>
          </cell>
          <cell r="B6694" t="str">
            <v>ROULEMENT DE BUTEE</v>
          </cell>
          <cell r="C6694" t="str">
            <v>DRESSER RAND PLAN NP-2151 C REP88</v>
          </cell>
          <cell r="D6694" t="str">
            <v>PE</v>
          </cell>
          <cell r="E6694" t="str">
            <v>515.51517</v>
          </cell>
          <cell r="F6694">
            <v>23561.8747</v>
          </cell>
          <cell r="G6694">
            <v>0</v>
          </cell>
          <cell r="H6694">
            <v>0</v>
          </cell>
          <cell r="I6694">
            <v>0</v>
          </cell>
          <cell r="J6694">
            <v>0</v>
          </cell>
          <cell r="K6694">
            <v>0</v>
          </cell>
          <cell r="L6694">
            <v>0</v>
          </cell>
        </row>
        <row r="6695">
          <cell r="A6695" t="str">
            <v>20492.16437</v>
          </cell>
          <cell r="B6695" t="str">
            <v>SEGMENT DE PISTON</v>
          </cell>
          <cell r="C6695" t="str">
            <v>DRESSER RAND PLAN NP-2151 C REP 58</v>
          </cell>
          <cell r="D6695" t="str">
            <v>PE</v>
          </cell>
          <cell r="E6695" t="str">
            <v>515.51517</v>
          </cell>
          <cell r="F6695">
            <v>13394.4944</v>
          </cell>
          <cell r="G6695">
            <v>0</v>
          </cell>
          <cell r="H6695">
            <v>0</v>
          </cell>
          <cell r="I6695">
            <v>0</v>
          </cell>
          <cell r="J6695">
            <v>0</v>
          </cell>
          <cell r="K6695">
            <v>0</v>
          </cell>
          <cell r="L6695">
            <v>2</v>
          </cell>
        </row>
        <row r="6696">
          <cell r="A6696" t="str">
            <v>20492.16438</v>
          </cell>
          <cell r="B6696" t="str">
            <v>JOINT</v>
          </cell>
          <cell r="C6696" t="str">
            <v>DRESSER RAND PLAN NP-2151 C REP 70</v>
          </cell>
          <cell r="D6696" t="str">
            <v>PE</v>
          </cell>
          <cell r="E6696" t="str">
            <v>515.51517</v>
          </cell>
          <cell r="F6696">
            <v>1189.8081999999999</v>
          </cell>
          <cell r="G6696">
            <v>0</v>
          </cell>
          <cell r="H6696">
            <v>0</v>
          </cell>
          <cell r="I6696">
            <v>0</v>
          </cell>
          <cell r="J6696">
            <v>0</v>
          </cell>
          <cell r="K6696">
            <v>0</v>
          </cell>
          <cell r="L6696">
            <v>1</v>
          </cell>
        </row>
        <row r="6697">
          <cell r="A6697" t="str">
            <v>20492.16439</v>
          </cell>
          <cell r="B6697" t="str">
            <v>JOINT DE PISTON</v>
          </cell>
          <cell r="C6697" t="str">
            <v>DRESSER RAND PLAN NP-2151 C REP74</v>
          </cell>
          <cell r="D6697" t="str">
            <v>PE</v>
          </cell>
          <cell r="E6697" t="str">
            <v>515.51517</v>
          </cell>
          <cell r="F6697">
            <v>2836.0306</v>
          </cell>
          <cell r="G6697">
            <v>0</v>
          </cell>
          <cell r="H6697">
            <v>0</v>
          </cell>
          <cell r="I6697">
            <v>0</v>
          </cell>
          <cell r="J6697">
            <v>0</v>
          </cell>
          <cell r="K6697">
            <v>0</v>
          </cell>
          <cell r="L6697">
            <v>2</v>
          </cell>
        </row>
        <row r="6698">
          <cell r="A6698" t="str">
            <v>20492.16440</v>
          </cell>
          <cell r="B6698" t="str">
            <v>ANNEAU DE RETENUE</v>
          </cell>
          <cell r="C6698" t="str">
            <v>DRESSER RAND PLAN NP-2151 C REP76</v>
          </cell>
          <cell r="D6698" t="str">
            <v>PE</v>
          </cell>
          <cell r="E6698" t="str">
            <v>515.51517</v>
          </cell>
          <cell r="F6698">
            <v>1225.7401</v>
          </cell>
          <cell r="G6698">
            <v>0</v>
          </cell>
          <cell r="H6698">
            <v>0</v>
          </cell>
          <cell r="I6698">
            <v>0</v>
          </cell>
          <cell r="J6698">
            <v>0</v>
          </cell>
          <cell r="K6698">
            <v>0</v>
          </cell>
          <cell r="L6698">
            <v>0</v>
          </cell>
        </row>
        <row r="6699">
          <cell r="A6699" t="str">
            <v>20492.16025</v>
          </cell>
          <cell r="B6699" t="str">
            <v>CARTE SYNCHRO</v>
          </cell>
          <cell r="C6699" t="str">
            <v>APC 34001183SE P/ONDULEUR TYPE GALAXY 5000.</v>
          </cell>
          <cell r="D6699" t="str">
            <v>PE</v>
          </cell>
          <cell r="E6699" t="str">
            <v>512.51201</v>
          </cell>
          <cell r="F6699">
            <v>937.5</v>
          </cell>
          <cell r="G6699">
            <v>0</v>
          </cell>
          <cell r="H6699">
            <v>0</v>
          </cell>
          <cell r="I6699">
            <v>0</v>
          </cell>
          <cell r="J6699">
            <v>0</v>
          </cell>
          <cell r="K6699">
            <v>0</v>
          </cell>
          <cell r="L6699">
            <v>1</v>
          </cell>
        </row>
        <row r="6700">
          <cell r="A6700" t="str">
            <v>20492.16026</v>
          </cell>
          <cell r="B6700" t="str">
            <v>CARTE RELAY A CONTACTS SECS</v>
          </cell>
          <cell r="C6700" t="str">
            <v>APC 51029380SE P/ONDULEUR TYPE GALAXY 5000.</v>
          </cell>
          <cell r="D6700" t="str">
            <v>PE</v>
          </cell>
          <cell r="E6700" t="str">
            <v>512.51201</v>
          </cell>
          <cell r="F6700">
            <v>1625</v>
          </cell>
          <cell r="G6700">
            <v>0</v>
          </cell>
          <cell r="H6700">
            <v>0</v>
          </cell>
          <cell r="I6700">
            <v>0</v>
          </cell>
          <cell r="J6700">
            <v>0</v>
          </cell>
          <cell r="K6700">
            <v>0</v>
          </cell>
          <cell r="L6700">
            <v>1</v>
          </cell>
        </row>
        <row r="6701">
          <cell r="A6701" t="str">
            <v>20492.16027</v>
          </cell>
          <cell r="B6701" t="str">
            <v>AFFICHEUR</v>
          </cell>
          <cell r="C6701" t="str">
            <v>APC OJ-375-0025-Z-001 P/ONDULEUR TYPE GALAXY 5000.</v>
          </cell>
          <cell r="D6701" t="str">
            <v>PE</v>
          </cell>
          <cell r="E6701" t="str">
            <v>512.51201</v>
          </cell>
          <cell r="F6701">
            <v>2925</v>
          </cell>
          <cell r="G6701">
            <v>0</v>
          </cell>
          <cell r="H6701">
            <v>0</v>
          </cell>
          <cell r="I6701">
            <v>0</v>
          </cell>
          <cell r="J6701">
            <v>0</v>
          </cell>
          <cell r="K6701">
            <v>0</v>
          </cell>
          <cell r="L6701">
            <v>1</v>
          </cell>
        </row>
        <row r="6702">
          <cell r="A6702" t="str">
            <v>20492.16028</v>
          </cell>
          <cell r="B6702" t="str">
            <v>CARTE GESTION AFFICHEUR+BP+LEDS</v>
          </cell>
          <cell r="C6702" t="str">
            <v>APC 34001185SE P/ONDULEUR TYPE GALAXY 5000.</v>
          </cell>
          <cell r="D6702" t="str">
            <v>PE</v>
          </cell>
          <cell r="E6702" t="str">
            <v>512.51201</v>
          </cell>
          <cell r="F6702">
            <v>1500</v>
          </cell>
          <cell r="G6702">
            <v>0</v>
          </cell>
          <cell r="H6702">
            <v>0</v>
          </cell>
          <cell r="I6702">
            <v>0</v>
          </cell>
          <cell r="J6702">
            <v>0</v>
          </cell>
          <cell r="K6702">
            <v>0</v>
          </cell>
          <cell r="L6702">
            <v>1</v>
          </cell>
        </row>
        <row r="6703">
          <cell r="A6703" t="str">
            <v>20492.16029</v>
          </cell>
          <cell r="B6703" t="str">
            <v>CARTE GESTION AFFICHAGE ET COMMUNICATION</v>
          </cell>
          <cell r="C6703" t="str">
            <v>APC 34001181SE P/ONDULEUR TYPE GALAXY 5000.</v>
          </cell>
          <cell r="D6703" t="str">
            <v>PE</v>
          </cell>
          <cell r="E6703" t="str">
            <v>512.51201</v>
          </cell>
          <cell r="F6703">
            <v>3662.5</v>
          </cell>
          <cell r="G6703">
            <v>0</v>
          </cell>
          <cell r="H6703">
            <v>0</v>
          </cell>
          <cell r="I6703">
            <v>0</v>
          </cell>
          <cell r="J6703">
            <v>0</v>
          </cell>
          <cell r="K6703">
            <v>0</v>
          </cell>
          <cell r="L6703">
            <v>0</v>
          </cell>
        </row>
        <row r="6704">
          <cell r="A6704" t="str">
            <v>20492.16030</v>
          </cell>
          <cell r="B6704" t="str">
            <v>CARTE ALIMENTATION</v>
          </cell>
          <cell r="C6704" t="str">
            <v>APC 34001171SE P/ONDULEUR TYPE GALAXY 5000.</v>
          </cell>
          <cell r="D6704" t="str">
            <v>PE</v>
          </cell>
          <cell r="E6704" t="str">
            <v>512.51201</v>
          </cell>
          <cell r="F6704">
            <v>4600</v>
          </cell>
          <cell r="G6704">
            <v>0</v>
          </cell>
          <cell r="H6704">
            <v>0</v>
          </cell>
          <cell r="I6704">
            <v>0</v>
          </cell>
          <cell r="J6704">
            <v>0</v>
          </cell>
          <cell r="K6704">
            <v>0</v>
          </cell>
          <cell r="L6704">
            <v>1</v>
          </cell>
        </row>
        <row r="6705">
          <cell r="A6705" t="str">
            <v>20461.00084</v>
          </cell>
          <cell r="B6705" t="str">
            <v>TUBE EN CERAMIQUE REFRACTAIRE (FERULE)</v>
          </cell>
          <cell r="C6705" t="str">
            <v>SUIVANT PLAN: SUL.02</v>
          </cell>
          <cell r="D6705" t="str">
            <v>PE</v>
          </cell>
          <cell r="E6705" t="str">
            <v>314.31403</v>
          </cell>
          <cell r="F6705">
            <v>56.083100000000002</v>
          </cell>
          <cell r="G6705">
            <v>0</v>
          </cell>
          <cell r="H6705">
            <v>0</v>
          </cell>
          <cell r="I6705">
            <v>0</v>
          </cell>
          <cell r="J6705">
            <v>0</v>
          </cell>
          <cell r="K6705">
            <v>0</v>
          </cell>
          <cell r="L6705">
            <v>176</v>
          </cell>
        </row>
        <row r="6706">
          <cell r="A6706" t="str">
            <v>20451.00325</v>
          </cell>
          <cell r="B6706" t="str">
            <v>SOUPAPE COMPLETE</v>
          </cell>
          <cell r="C6706" t="str">
            <v>SARASIN PLAN FE68Q1330AG104 SERIE 000924040001</v>
          </cell>
          <cell r="D6706" t="str">
            <v>PE</v>
          </cell>
          <cell r="E6706" t="str">
            <v>512.51201</v>
          </cell>
          <cell r="F6706">
            <v>7628.38</v>
          </cell>
          <cell r="G6706">
            <v>0</v>
          </cell>
          <cell r="H6706">
            <v>0</v>
          </cell>
          <cell r="I6706">
            <v>0</v>
          </cell>
          <cell r="J6706">
            <v>0</v>
          </cell>
          <cell r="K6706">
            <v>0</v>
          </cell>
          <cell r="L6706">
            <v>0</v>
          </cell>
        </row>
        <row r="6707">
          <cell r="A6707" t="str">
            <v>20451.00322</v>
          </cell>
          <cell r="B6707" t="str">
            <v>SOUPAPE COMPLETE</v>
          </cell>
          <cell r="C6707" t="str">
            <v>SARASIN PLAN FE68Q1330AG104 SERIE 000924010001</v>
          </cell>
          <cell r="D6707" t="str">
            <v>PE</v>
          </cell>
          <cell r="E6707" t="str">
            <v>512.51201</v>
          </cell>
          <cell r="F6707">
            <v>7628.38</v>
          </cell>
          <cell r="G6707">
            <v>0</v>
          </cell>
          <cell r="H6707">
            <v>0</v>
          </cell>
          <cell r="I6707">
            <v>0</v>
          </cell>
          <cell r="J6707">
            <v>0</v>
          </cell>
          <cell r="K6707">
            <v>0</v>
          </cell>
          <cell r="L6707">
            <v>0</v>
          </cell>
        </row>
        <row r="6708">
          <cell r="A6708" t="str">
            <v>20451.00323</v>
          </cell>
          <cell r="B6708" t="str">
            <v>SOUPAPE COMPLETE</v>
          </cell>
          <cell r="C6708" t="str">
            <v>SARASIN PLAN FE68Q1330AG104 SERIE 000924020001</v>
          </cell>
          <cell r="D6708" t="str">
            <v>PE</v>
          </cell>
          <cell r="E6708" t="str">
            <v>512.51201</v>
          </cell>
          <cell r="F6708">
            <v>7628.38</v>
          </cell>
          <cell r="G6708">
            <v>0</v>
          </cell>
          <cell r="H6708">
            <v>0</v>
          </cell>
          <cell r="I6708">
            <v>0</v>
          </cell>
          <cell r="J6708">
            <v>0</v>
          </cell>
          <cell r="K6708">
            <v>0</v>
          </cell>
          <cell r="L6708">
            <v>0</v>
          </cell>
        </row>
        <row r="6709">
          <cell r="A6709" t="str">
            <v>20461.00155</v>
          </cell>
          <cell r="B6709" t="str">
            <v>FERULE EN POLYAMIDE 6.6 MOULEE P/TUBE DE CONDENSEUR</v>
          </cell>
          <cell r="C6709" t="str">
            <v xml:space="preserve">SUIVANT PLAN: 220.IE.01 </v>
          </cell>
          <cell r="D6709" t="str">
            <v>PE</v>
          </cell>
          <cell r="E6709" t="str">
            <v>314.31402</v>
          </cell>
          <cell r="F6709">
            <v>24</v>
          </cell>
          <cell r="G6709">
            <v>0</v>
          </cell>
          <cell r="H6709">
            <v>0</v>
          </cell>
          <cell r="I6709">
            <v>0</v>
          </cell>
          <cell r="J6709">
            <v>0</v>
          </cell>
          <cell r="K6709">
            <v>0</v>
          </cell>
          <cell r="L6709">
            <v>0</v>
          </cell>
        </row>
        <row r="6710">
          <cell r="A6710" t="str">
            <v>20432.00012</v>
          </cell>
          <cell r="B6710" t="str">
            <v>POSITIONNEUR ELECTROPNEUMATIQUE</v>
          </cell>
          <cell r="C6710" t="str">
            <v>TYPE DVC6005 HC 4-20mA ACTION DOUBLE TEMP-40 A +85° ALIMENT MAX145psigPRESSION ALIMENTATION 60psi CARTER ALUMINIUM</v>
          </cell>
          <cell r="D6710" t="str">
            <v>PE</v>
          </cell>
          <cell r="E6710" t="str">
            <v>515.51511</v>
          </cell>
          <cell r="F6710">
            <v>25200</v>
          </cell>
          <cell r="G6710">
            <v>0</v>
          </cell>
          <cell r="H6710">
            <v>0</v>
          </cell>
          <cell r="I6710">
            <v>0</v>
          </cell>
          <cell r="J6710">
            <v>0</v>
          </cell>
          <cell r="K6710">
            <v>0</v>
          </cell>
          <cell r="L6710">
            <v>0</v>
          </cell>
        </row>
        <row r="6711">
          <cell r="A6711" t="str">
            <v>20432.10497</v>
          </cell>
          <cell r="B6711" t="str">
            <v>DETENDEUR</v>
          </cell>
          <cell r="C6711" t="str">
            <v>TYPE 627M PLAN GA4061</v>
          </cell>
          <cell r="D6711" t="str">
            <v>PE</v>
          </cell>
          <cell r="E6711" t="str">
            <v>512.51201</v>
          </cell>
          <cell r="F6711">
            <v>26670</v>
          </cell>
          <cell r="G6711">
            <v>0</v>
          </cell>
          <cell r="H6711">
            <v>0</v>
          </cell>
          <cell r="I6711">
            <v>0</v>
          </cell>
          <cell r="J6711">
            <v>1</v>
          </cell>
          <cell r="K6711">
            <v>0</v>
          </cell>
          <cell r="L6711">
            <v>0</v>
          </cell>
        </row>
        <row r="6712">
          <cell r="A6712" t="str">
            <v>20432.10498</v>
          </cell>
          <cell r="B6712" t="str">
            <v>DETENDEUR</v>
          </cell>
          <cell r="C6712" t="str">
            <v>TYPE 98H  PLAN GA4062</v>
          </cell>
          <cell r="D6712" t="str">
            <v>PE</v>
          </cell>
          <cell r="E6712" t="str">
            <v>512.51201</v>
          </cell>
          <cell r="F6712">
            <v>48890</v>
          </cell>
          <cell r="G6712">
            <v>0</v>
          </cell>
          <cell r="H6712">
            <v>0</v>
          </cell>
          <cell r="I6712">
            <v>0</v>
          </cell>
          <cell r="J6712">
            <v>1</v>
          </cell>
          <cell r="K6712">
            <v>0</v>
          </cell>
          <cell r="L6712">
            <v>1</v>
          </cell>
        </row>
        <row r="6713">
          <cell r="A6713" t="str">
            <v>20492.20172</v>
          </cell>
          <cell r="B6713" t="str">
            <v>AMPERMETRE 400A</v>
          </cell>
          <cell r="C6713" t="str">
            <v>IME AN160C4002</v>
          </cell>
          <cell r="D6713" t="str">
            <v>PE</v>
          </cell>
          <cell r="E6713" t="str">
            <v>522.52206</v>
          </cell>
          <cell r="F6713">
            <v>314.20999999999998</v>
          </cell>
          <cell r="G6713">
            <v>0</v>
          </cell>
          <cell r="H6713">
            <v>0</v>
          </cell>
          <cell r="I6713">
            <v>0</v>
          </cell>
          <cell r="J6713">
            <v>0</v>
          </cell>
          <cell r="K6713">
            <v>0</v>
          </cell>
          <cell r="L6713">
            <v>14</v>
          </cell>
        </row>
        <row r="6714">
          <cell r="A6714" t="str">
            <v>20492.07863</v>
          </cell>
          <cell r="B6714" t="str">
            <v>CADENAS DE SECURITE COULEUR ROUGE</v>
          </cell>
          <cell r="C6714" t="str">
            <v>BRADY REF 051339</v>
          </cell>
          <cell r="D6714" t="str">
            <v>PE</v>
          </cell>
          <cell r="E6714" t="str">
            <v>522.52203</v>
          </cell>
          <cell r="F6714">
            <v>186</v>
          </cell>
          <cell r="G6714">
            <v>0</v>
          </cell>
          <cell r="H6714">
            <v>100</v>
          </cell>
          <cell r="I6714">
            <v>0</v>
          </cell>
          <cell r="J6714">
            <v>0</v>
          </cell>
          <cell r="K6714">
            <v>0</v>
          </cell>
          <cell r="L6714">
            <v>0</v>
          </cell>
        </row>
        <row r="6715">
          <cell r="A6715" t="str">
            <v>20492.07864</v>
          </cell>
          <cell r="B6715" t="str">
            <v>CADENAS DE SECURITE COULEUR NOIRE</v>
          </cell>
          <cell r="C6715" t="str">
            <v>BRADY REF 051353</v>
          </cell>
          <cell r="D6715" t="str">
            <v>PE</v>
          </cell>
          <cell r="E6715" t="str">
            <v>522.52203</v>
          </cell>
          <cell r="F6715">
            <v>186</v>
          </cell>
          <cell r="G6715">
            <v>0</v>
          </cell>
          <cell r="H6715">
            <v>100</v>
          </cell>
          <cell r="I6715">
            <v>0</v>
          </cell>
          <cell r="J6715">
            <v>0</v>
          </cell>
          <cell r="K6715">
            <v>0</v>
          </cell>
          <cell r="L6715">
            <v>0</v>
          </cell>
        </row>
        <row r="6716">
          <cell r="A6716" t="str">
            <v>20492.07865</v>
          </cell>
          <cell r="B6716" t="str">
            <v>CADENAS DE SECURITE COULEUR JAUNE</v>
          </cell>
          <cell r="C6716" t="str">
            <v>BRADY REF 051346</v>
          </cell>
          <cell r="D6716" t="str">
            <v>PE</v>
          </cell>
          <cell r="E6716" t="str">
            <v>522.52203</v>
          </cell>
          <cell r="F6716">
            <v>187</v>
          </cell>
          <cell r="G6716">
            <v>0</v>
          </cell>
          <cell r="H6716">
            <v>50</v>
          </cell>
          <cell r="I6716">
            <v>0</v>
          </cell>
          <cell r="J6716">
            <v>0</v>
          </cell>
          <cell r="K6716">
            <v>0</v>
          </cell>
          <cell r="L6716">
            <v>0</v>
          </cell>
        </row>
        <row r="6717">
          <cell r="A6717" t="str">
            <v>20492.17181</v>
          </cell>
          <cell r="B6717" t="str">
            <v>MEPLATS ECROUIS</v>
          </cell>
          <cell r="C6717" t="str">
            <v>LUFKIN PLAN N1804C-121449A REP13 REF E7057085</v>
          </cell>
          <cell r="D6717" t="str">
            <v>PE</v>
          </cell>
          <cell r="E6717" t="str">
            <v>515.51515</v>
          </cell>
          <cell r="F6717">
            <v>4797.1350000000002</v>
          </cell>
          <cell r="G6717">
            <v>0</v>
          </cell>
          <cell r="H6717">
            <v>0</v>
          </cell>
          <cell r="I6717">
            <v>0</v>
          </cell>
          <cell r="J6717">
            <v>0</v>
          </cell>
          <cell r="K6717">
            <v>0</v>
          </cell>
          <cell r="L6717">
            <v>1</v>
          </cell>
        </row>
        <row r="6718">
          <cell r="A6718" t="str">
            <v>20492.17182</v>
          </cell>
          <cell r="B6718" t="str">
            <v>ADAPTEUR DE POMPE</v>
          </cell>
          <cell r="C6718" t="str">
            <v>LUFKIN PLAN N1804C-121449A REP14 REF BM155921</v>
          </cell>
          <cell r="D6718" t="str">
            <v>PE</v>
          </cell>
          <cell r="E6718" t="str">
            <v>515.51515</v>
          </cell>
          <cell r="F6718">
            <v>78954.12</v>
          </cell>
          <cell r="G6718">
            <v>0</v>
          </cell>
          <cell r="H6718">
            <v>0</v>
          </cell>
          <cell r="I6718">
            <v>0</v>
          </cell>
          <cell r="J6718">
            <v>0</v>
          </cell>
          <cell r="K6718">
            <v>0</v>
          </cell>
          <cell r="L6718">
            <v>1</v>
          </cell>
        </row>
        <row r="6719">
          <cell r="A6719" t="str">
            <v>20492.07717</v>
          </cell>
          <cell r="B6719" t="str">
            <v>ACCOUPLEMENT METASTREAM</v>
          </cell>
          <cell r="C6719" t="str">
            <v>JOHN CRANE TLK 1050 LONGUEUR ENTRETOISE 250</v>
          </cell>
          <cell r="D6719" t="str">
            <v>PE</v>
          </cell>
          <cell r="E6719" t="str">
            <v>515.51515</v>
          </cell>
          <cell r="F6719">
            <v>44750</v>
          </cell>
          <cell r="G6719">
            <v>0</v>
          </cell>
          <cell r="H6719">
            <v>0</v>
          </cell>
          <cell r="I6719">
            <v>0</v>
          </cell>
          <cell r="J6719">
            <v>0</v>
          </cell>
          <cell r="K6719">
            <v>0</v>
          </cell>
          <cell r="L6719">
            <v>2</v>
          </cell>
        </row>
        <row r="6720">
          <cell r="A6720" t="str">
            <v>20492.07718</v>
          </cell>
          <cell r="B6720" t="str">
            <v>ACCOUPLEMENT METASTREAM</v>
          </cell>
          <cell r="C6720" t="str">
            <v>JOHN CRANE TLK 750 LONGUEUR ENTRETOISE 250</v>
          </cell>
          <cell r="D6720" t="str">
            <v>PE</v>
          </cell>
          <cell r="E6720" t="str">
            <v>515.51515</v>
          </cell>
          <cell r="F6720">
            <v>35000</v>
          </cell>
          <cell r="G6720">
            <v>0</v>
          </cell>
          <cell r="H6720">
            <v>0</v>
          </cell>
          <cell r="I6720">
            <v>0</v>
          </cell>
          <cell r="J6720">
            <v>1</v>
          </cell>
          <cell r="K6720">
            <v>0</v>
          </cell>
          <cell r="L6720">
            <v>3</v>
          </cell>
        </row>
        <row r="6721">
          <cell r="A6721" t="str">
            <v>20492.07432</v>
          </cell>
          <cell r="B6721" t="str">
            <v>CONDAMNATION DE VANNES A VOLANTS STANDARD</v>
          </cell>
          <cell r="C6721" t="str">
            <v>BRADY REF 065563 P/VANNES ENTRE 16,5 ET 25,4CM</v>
          </cell>
          <cell r="D6721" t="str">
            <v>PE</v>
          </cell>
          <cell r="E6721" t="str">
            <v>522.52203</v>
          </cell>
          <cell r="F6721">
            <v>294.5</v>
          </cell>
          <cell r="G6721">
            <v>0</v>
          </cell>
          <cell r="H6721">
            <v>10</v>
          </cell>
          <cell r="I6721">
            <v>0</v>
          </cell>
          <cell r="J6721">
            <v>0</v>
          </cell>
          <cell r="K6721">
            <v>0</v>
          </cell>
          <cell r="L6721">
            <v>0</v>
          </cell>
        </row>
        <row r="6722">
          <cell r="A6722" t="str">
            <v>20492.07433</v>
          </cell>
          <cell r="B6722" t="str">
            <v>CONDAMNATION DE VANNES A VOLANTS STANDARD</v>
          </cell>
          <cell r="C6722" t="str">
            <v>BRADY REF 065564 P/VANNES ENTRE 25,4 ET 32CM</v>
          </cell>
          <cell r="D6722" t="str">
            <v>PE</v>
          </cell>
          <cell r="E6722" t="str">
            <v>522.52203</v>
          </cell>
          <cell r="F6722">
            <v>336</v>
          </cell>
          <cell r="G6722">
            <v>0</v>
          </cell>
          <cell r="H6722">
            <v>10</v>
          </cell>
          <cell r="I6722">
            <v>0</v>
          </cell>
          <cell r="J6722">
            <v>0</v>
          </cell>
          <cell r="K6722">
            <v>0</v>
          </cell>
          <cell r="L6722">
            <v>0</v>
          </cell>
        </row>
        <row r="6723">
          <cell r="A6723" t="str">
            <v>20492.20007</v>
          </cell>
          <cell r="B6723" t="str">
            <v>BOITE A RESSORT COMPLETE</v>
          </cell>
          <cell r="C6723" t="str">
            <v>LISEGA PLAN 49-3-44825 REF 793-721-A02</v>
          </cell>
          <cell r="D6723" t="str">
            <v>PE</v>
          </cell>
          <cell r="E6723" t="str">
            <v>522.52209</v>
          </cell>
          <cell r="F6723">
            <v>11778.111199999999</v>
          </cell>
          <cell r="G6723">
            <v>0</v>
          </cell>
          <cell r="H6723">
            <v>0</v>
          </cell>
          <cell r="I6723">
            <v>0</v>
          </cell>
          <cell r="J6723">
            <v>0</v>
          </cell>
          <cell r="K6723">
            <v>0</v>
          </cell>
          <cell r="L6723">
            <v>1</v>
          </cell>
        </row>
        <row r="6724">
          <cell r="A6724" t="str">
            <v>20492.20011</v>
          </cell>
          <cell r="B6724" t="str">
            <v>BOITE A RESSORT COMPLETE</v>
          </cell>
          <cell r="C6724" t="str">
            <v>LISEGA PLAN 53-3-44825 REF 793-721-03</v>
          </cell>
          <cell r="D6724" t="str">
            <v>PE</v>
          </cell>
          <cell r="E6724" t="str">
            <v>522.52209</v>
          </cell>
          <cell r="F6724">
            <v>3466.0763999999999</v>
          </cell>
          <cell r="G6724">
            <v>0</v>
          </cell>
          <cell r="H6724">
            <v>0</v>
          </cell>
          <cell r="I6724">
            <v>0</v>
          </cell>
          <cell r="J6724">
            <v>0</v>
          </cell>
          <cell r="K6724">
            <v>0</v>
          </cell>
          <cell r="L6724">
            <v>0</v>
          </cell>
        </row>
        <row r="6725">
          <cell r="A6725" t="str">
            <v>20492.20012</v>
          </cell>
          <cell r="B6725" t="str">
            <v>BOITE A RESSORT COMPLETE</v>
          </cell>
          <cell r="C6725" t="str">
            <v>LISEGA PLAN 54-3-44825 REF 793-717-02</v>
          </cell>
          <cell r="D6725" t="str">
            <v>PE</v>
          </cell>
          <cell r="E6725" t="str">
            <v>522.52209</v>
          </cell>
          <cell r="F6725">
            <v>3819.0196999999998</v>
          </cell>
          <cell r="G6725">
            <v>0</v>
          </cell>
          <cell r="H6725">
            <v>0</v>
          </cell>
          <cell r="I6725">
            <v>0</v>
          </cell>
          <cell r="J6725">
            <v>0</v>
          </cell>
          <cell r="K6725">
            <v>0</v>
          </cell>
          <cell r="L6725">
            <v>1</v>
          </cell>
        </row>
        <row r="6726">
          <cell r="A6726" t="str">
            <v>20492.20013</v>
          </cell>
          <cell r="B6726" t="str">
            <v>BOITE A RESSORT COMPLETE</v>
          </cell>
          <cell r="C6726" t="str">
            <v>LISEGA PLAN 55-3-44825 REF 793-717-01</v>
          </cell>
          <cell r="D6726" t="str">
            <v>PE</v>
          </cell>
          <cell r="E6726" t="str">
            <v>522.52209</v>
          </cell>
          <cell r="F6726">
            <v>3026.0770000000002</v>
          </cell>
          <cell r="G6726">
            <v>0</v>
          </cell>
          <cell r="H6726">
            <v>0</v>
          </cell>
          <cell r="I6726">
            <v>0</v>
          </cell>
          <cell r="J6726">
            <v>0</v>
          </cell>
          <cell r="K6726">
            <v>0</v>
          </cell>
          <cell r="L6726">
            <v>1</v>
          </cell>
        </row>
        <row r="6727">
          <cell r="A6727" t="str">
            <v>20492.19997</v>
          </cell>
          <cell r="B6727" t="str">
            <v>BOITE A RESSORT COMPLETE</v>
          </cell>
          <cell r="C6727" t="str">
            <v>LISEGA PLAN 37-3-44825 REF SSE 4 A/B</v>
          </cell>
          <cell r="D6727" t="str">
            <v>PE</v>
          </cell>
          <cell r="E6727" t="str">
            <v>522.52209</v>
          </cell>
          <cell r="F6727">
            <v>2706.1196</v>
          </cell>
          <cell r="G6727">
            <v>0</v>
          </cell>
          <cell r="H6727">
            <v>0</v>
          </cell>
          <cell r="I6727">
            <v>0</v>
          </cell>
          <cell r="J6727">
            <v>0</v>
          </cell>
          <cell r="K6727">
            <v>0</v>
          </cell>
          <cell r="L6727">
            <v>1</v>
          </cell>
        </row>
        <row r="6728">
          <cell r="A6728" t="str">
            <v>20492.20004</v>
          </cell>
          <cell r="B6728" t="str">
            <v>BOITE A RESSORT COMPLETE</v>
          </cell>
          <cell r="C6728" t="str">
            <v>LISEGA PLAN 45-3-44825 REF SSBB 1 A/B</v>
          </cell>
          <cell r="D6728" t="str">
            <v>PE</v>
          </cell>
          <cell r="E6728" t="str">
            <v>522.52209</v>
          </cell>
          <cell r="F6728">
            <v>4578.1387000000004</v>
          </cell>
          <cell r="G6728">
            <v>0</v>
          </cell>
          <cell r="H6728">
            <v>0</v>
          </cell>
          <cell r="I6728">
            <v>0</v>
          </cell>
          <cell r="J6728">
            <v>0</v>
          </cell>
          <cell r="K6728">
            <v>0</v>
          </cell>
          <cell r="L6728">
            <v>1</v>
          </cell>
        </row>
        <row r="6729">
          <cell r="A6729" t="str">
            <v>20492.20005</v>
          </cell>
          <cell r="B6729" t="str">
            <v>BOITE A RESSORT COMPLETE</v>
          </cell>
          <cell r="C6729" t="str">
            <v>LISEGA PLAN 46-3-44825 REF SSN 2 A/B</v>
          </cell>
          <cell r="D6729" t="str">
            <v>PE</v>
          </cell>
          <cell r="E6729" t="str">
            <v>522.52209</v>
          </cell>
          <cell r="F6729">
            <v>30148.811000000002</v>
          </cell>
          <cell r="G6729">
            <v>0</v>
          </cell>
          <cell r="H6729">
            <v>0</v>
          </cell>
          <cell r="I6729">
            <v>0</v>
          </cell>
          <cell r="J6729">
            <v>0</v>
          </cell>
          <cell r="K6729">
            <v>0</v>
          </cell>
          <cell r="L6729">
            <v>0</v>
          </cell>
        </row>
        <row r="6730">
          <cell r="A6730" t="str">
            <v>20492.20006</v>
          </cell>
          <cell r="B6730" t="str">
            <v>BOITE A RESSORT COMPLETE</v>
          </cell>
          <cell r="C6730" t="str">
            <v>LISEGA PLAN 47-3-44825 REF SST 2 A/B</v>
          </cell>
          <cell r="D6730" t="str">
            <v>PE</v>
          </cell>
          <cell r="E6730" t="str">
            <v>522.52209</v>
          </cell>
          <cell r="F6730">
            <v>30148.811000000002</v>
          </cell>
          <cell r="G6730">
            <v>0</v>
          </cell>
          <cell r="H6730">
            <v>0</v>
          </cell>
          <cell r="I6730">
            <v>0</v>
          </cell>
          <cell r="J6730">
            <v>0</v>
          </cell>
          <cell r="K6730">
            <v>0</v>
          </cell>
          <cell r="L6730">
            <v>0</v>
          </cell>
        </row>
        <row r="6731">
          <cell r="A6731" t="str">
            <v>20492.20014</v>
          </cell>
          <cell r="B6731" t="str">
            <v>BOITE A RESSORT COMPLETE</v>
          </cell>
          <cell r="C6731" t="str">
            <v>LISEGA PLAN 56-3-44825 REF 793-722-01</v>
          </cell>
          <cell r="D6731" t="str">
            <v>PE</v>
          </cell>
          <cell r="E6731" t="str">
            <v>522.52209</v>
          </cell>
          <cell r="F6731">
            <v>3970.3667</v>
          </cell>
          <cell r="G6731">
            <v>0</v>
          </cell>
          <cell r="H6731">
            <v>0</v>
          </cell>
          <cell r="I6731">
            <v>0</v>
          </cell>
          <cell r="J6731">
            <v>0</v>
          </cell>
          <cell r="K6731">
            <v>0</v>
          </cell>
          <cell r="L6731">
            <v>0</v>
          </cell>
        </row>
        <row r="6732">
          <cell r="A6732" t="str">
            <v>20492.20015</v>
          </cell>
          <cell r="B6732" t="str">
            <v>BOITE A RESSORT COMPLETE</v>
          </cell>
          <cell r="C6732" t="str">
            <v>LISEGA PLAN 57-3-44825 REF 793-721-02</v>
          </cell>
          <cell r="D6732" t="str">
            <v>PE</v>
          </cell>
          <cell r="E6732" t="str">
            <v>522.52209</v>
          </cell>
          <cell r="F6732">
            <v>10484.708199999999</v>
          </cell>
          <cell r="G6732">
            <v>0</v>
          </cell>
          <cell r="H6732">
            <v>0</v>
          </cell>
          <cell r="I6732">
            <v>0</v>
          </cell>
          <cell r="J6732">
            <v>0</v>
          </cell>
          <cell r="K6732">
            <v>0</v>
          </cell>
          <cell r="L6732">
            <v>1</v>
          </cell>
        </row>
        <row r="6733">
          <cell r="A6733" t="str">
            <v>20492.20016</v>
          </cell>
          <cell r="B6733" t="str">
            <v>BOITE A RESSORT COMPLETE</v>
          </cell>
          <cell r="C6733" t="str">
            <v>LISEGA PLAN 58-3-44825 REF 793-721-04</v>
          </cell>
          <cell r="D6733" t="str">
            <v>PE</v>
          </cell>
          <cell r="E6733" t="str">
            <v>522.52209</v>
          </cell>
          <cell r="F6733">
            <v>5204.6992</v>
          </cell>
          <cell r="G6733">
            <v>0</v>
          </cell>
          <cell r="H6733">
            <v>0</v>
          </cell>
          <cell r="I6733">
            <v>0</v>
          </cell>
          <cell r="J6733">
            <v>0</v>
          </cell>
          <cell r="K6733">
            <v>0</v>
          </cell>
          <cell r="L6733">
            <v>1</v>
          </cell>
        </row>
        <row r="6734">
          <cell r="A6734" t="str">
            <v>20492.07869</v>
          </cell>
          <cell r="B6734" t="str">
            <v>MACHOIRE DE SECURITE MULTIPLE DIA ANNEAU: 38MM2</v>
          </cell>
          <cell r="C6734" t="str">
            <v>BRADY REF 805841</v>
          </cell>
          <cell r="D6734" t="str">
            <v>PE</v>
          </cell>
          <cell r="E6734" t="str">
            <v>522.52203</v>
          </cell>
          <cell r="F6734">
            <v>188</v>
          </cell>
          <cell r="G6734">
            <v>1</v>
          </cell>
          <cell r="H6734">
            <v>10</v>
          </cell>
          <cell r="I6734">
            <v>0</v>
          </cell>
          <cell r="J6734">
            <v>0</v>
          </cell>
          <cell r="K6734">
            <v>0</v>
          </cell>
          <cell r="L6734">
            <v>39</v>
          </cell>
        </row>
        <row r="6735">
          <cell r="A6735" t="str">
            <v>20492.07870</v>
          </cell>
          <cell r="B6735" t="str">
            <v>CADENAS ISOLATION TOTALE BLEU AVEC KEYED ALIKE</v>
          </cell>
          <cell r="C6735" t="str">
            <v>BRADY REF 805836</v>
          </cell>
          <cell r="D6735" t="str">
            <v>PE</v>
          </cell>
          <cell r="E6735" t="str">
            <v>522.52203</v>
          </cell>
          <cell r="F6735">
            <v>185</v>
          </cell>
          <cell r="G6735">
            <v>0</v>
          </cell>
          <cell r="H6735">
            <v>50</v>
          </cell>
          <cell r="I6735">
            <v>0</v>
          </cell>
          <cell r="J6735">
            <v>0</v>
          </cell>
          <cell r="K6735">
            <v>0</v>
          </cell>
          <cell r="L6735">
            <v>0</v>
          </cell>
        </row>
        <row r="6736">
          <cell r="A6736" t="str">
            <v>20492.08979</v>
          </cell>
          <cell r="B6736" t="str">
            <v>JOINT DE DILATATION</v>
          </cell>
          <cell r="C6736" t="str">
            <v>WAHLCO METROFLEX PLAN N°10084-11269-1</v>
          </cell>
          <cell r="D6736" t="str">
            <v>PE</v>
          </cell>
          <cell r="E6736" t="str">
            <v>522.52207</v>
          </cell>
          <cell r="F6736">
            <v>152754.2843</v>
          </cell>
          <cell r="G6736">
            <v>0</v>
          </cell>
          <cell r="H6736">
            <v>0</v>
          </cell>
          <cell r="I6736">
            <v>0</v>
          </cell>
          <cell r="J6736">
            <v>0</v>
          </cell>
          <cell r="K6736">
            <v>0</v>
          </cell>
          <cell r="L6736">
            <v>1</v>
          </cell>
        </row>
        <row r="6737">
          <cell r="A6737" t="str">
            <v>20492.17792</v>
          </cell>
          <cell r="B6737" t="str">
            <v>TRANSFORMATION SOUPLE DE REFOULEMENT</v>
          </cell>
          <cell r="C6737" t="str">
            <v>EUROP PLAST P/VENTILATEUR TYPE VLCP 250  TRANSFORMATION</v>
          </cell>
          <cell r="D6737" t="str">
            <v>PE</v>
          </cell>
          <cell r="E6737" t="str">
            <v>314.31401</v>
          </cell>
          <cell r="F6737">
            <v>1325.25</v>
          </cell>
          <cell r="G6737">
            <v>0</v>
          </cell>
          <cell r="H6737">
            <v>0</v>
          </cell>
          <cell r="I6737">
            <v>0</v>
          </cell>
          <cell r="J6737">
            <v>0</v>
          </cell>
          <cell r="K6737">
            <v>0</v>
          </cell>
          <cell r="L6737">
            <v>2</v>
          </cell>
        </row>
        <row r="6738">
          <cell r="A6738" t="str">
            <v>20492.17793</v>
          </cell>
          <cell r="B6738" t="str">
            <v>MANCHETTE SOUPLE AVEC 2 COLLIERS INOX</v>
          </cell>
          <cell r="C6738" t="str">
            <v>EUROP PLAST P/VENTILATEUR TYPE VLCP 250   MANCHETTE</v>
          </cell>
          <cell r="D6738" t="str">
            <v>PE</v>
          </cell>
          <cell r="E6738" t="str">
            <v>314.31401</v>
          </cell>
          <cell r="F6738">
            <v>498.75</v>
          </cell>
          <cell r="G6738">
            <v>0</v>
          </cell>
          <cell r="H6738">
            <v>0</v>
          </cell>
          <cell r="I6738">
            <v>0</v>
          </cell>
          <cell r="J6738">
            <v>0</v>
          </cell>
          <cell r="K6738">
            <v>0</v>
          </cell>
          <cell r="L6738">
            <v>2</v>
          </cell>
        </row>
        <row r="6739">
          <cell r="A6739" t="str">
            <v>20492.17794</v>
          </cell>
          <cell r="B6739" t="str">
            <v>PREFILTRE ET FILTRE A MANCHON</v>
          </cell>
          <cell r="C6739" t="str">
            <v>EUROP PLAST P/VENTILATEUR TYPE VLCP 250  PREFILTRE</v>
          </cell>
          <cell r="D6739" t="str">
            <v>PE</v>
          </cell>
          <cell r="E6739" t="str">
            <v>314.31401</v>
          </cell>
          <cell r="F6739">
            <v>3353.5</v>
          </cell>
          <cell r="G6739">
            <v>0</v>
          </cell>
          <cell r="H6739">
            <v>0</v>
          </cell>
          <cell r="I6739">
            <v>0</v>
          </cell>
          <cell r="J6739">
            <v>0</v>
          </cell>
          <cell r="K6739">
            <v>0</v>
          </cell>
          <cell r="L6739">
            <v>2</v>
          </cell>
        </row>
        <row r="6740">
          <cell r="A6740" t="str">
            <v>20492.17068</v>
          </cell>
          <cell r="B6740" t="str">
            <v>ACCOUPLEMENT</v>
          </cell>
          <cell r="C6740" t="str">
            <v>LUBE-POWER PLAN LP1833-BM-B REP29</v>
          </cell>
          <cell r="D6740" t="str">
            <v>PE</v>
          </cell>
          <cell r="E6740" t="str">
            <v>515.51512</v>
          </cell>
          <cell r="F6740">
            <v>6140.68</v>
          </cell>
          <cell r="G6740">
            <v>0</v>
          </cell>
          <cell r="H6740">
            <v>0</v>
          </cell>
          <cell r="I6740">
            <v>0</v>
          </cell>
          <cell r="J6740">
            <v>0</v>
          </cell>
          <cell r="K6740">
            <v>0</v>
          </cell>
          <cell r="L6740">
            <v>1</v>
          </cell>
        </row>
        <row r="6741">
          <cell r="A6741" t="str">
            <v>20492.17069</v>
          </cell>
          <cell r="B6741" t="str">
            <v>FILTRE</v>
          </cell>
          <cell r="C6741" t="str">
            <v>LUBE-POWER PLAN LP1833-BM-B REP45</v>
          </cell>
          <cell r="D6741" t="str">
            <v>PE</v>
          </cell>
          <cell r="E6741" t="str">
            <v>515.51512</v>
          </cell>
          <cell r="F6741">
            <v>7730.24</v>
          </cell>
          <cell r="G6741">
            <v>0</v>
          </cell>
          <cell r="H6741">
            <v>0</v>
          </cell>
          <cell r="I6741">
            <v>1</v>
          </cell>
          <cell r="J6741">
            <v>0</v>
          </cell>
          <cell r="K6741">
            <v>0</v>
          </cell>
          <cell r="L6741">
            <v>0</v>
          </cell>
        </row>
        <row r="6742">
          <cell r="A6742" t="str">
            <v>20492.15849</v>
          </cell>
          <cell r="B6742" t="str">
            <v>POMPE A SOLIDE DN65</v>
          </cell>
          <cell r="C6742" t="str">
            <v>GEA PLAN N° 781.433.3 REV 00</v>
          </cell>
          <cell r="D6742" t="str">
            <v>PE</v>
          </cell>
          <cell r="E6742" t="str">
            <v>515.51511</v>
          </cell>
          <cell r="F6742">
            <v>23000</v>
          </cell>
          <cell r="G6742">
            <v>0</v>
          </cell>
          <cell r="H6742">
            <v>0</v>
          </cell>
          <cell r="I6742">
            <v>0</v>
          </cell>
          <cell r="J6742">
            <v>0</v>
          </cell>
          <cell r="K6742">
            <v>0</v>
          </cell>
          <cell r="L6742">
            <v>2</v>
          </cell>
        </row>
        <row r="6743">
          <cell r="A6743" t="str">
            <v>20492.17066</v>
          </cell>
          <cell r="B6743" t="str">
            <v>ACCOUPLEMENT</v>
          </cell>
          <cell r="C6743" t="str">
            <v>LUBE-POWER PLAN LP1833-BM-B REP2</v>
          </cell>
          <cell r="D6743" t="str">
            <v>PE</v>
          </cell>
          <cell r="E6743" t="str">
            <v>515.51512</v>
          </cell>
          <cell r="F6743">
            <v>3729.88</v>
          </cell>
          <cell r="G6743">
            <v>0</v>
          </cell>
          <cell r="H6743">
            <v>0</v>
          </cell>
          <cell r="I6743">
            <v>0</v>
          </cell>
          <cell r="J6743">
            <v>0</v>
          </cell>
          <cell r="K6743">
            <v>0</v>
          </cell>
          <cell r="L6743">
            <v>1</v>
          </cell>
        </row>
        <row r="6744">
          <cell r="A6744" t="str">
            <v>20492.17067</v>
          </cell>
          <cell r="B6744" t="str">
            <v>FILTRE</v>
          </cell>
          <cell r="C6744" t="str">
            <v>LUBE-POWER PLAN LP1833-BM-B REP8</v>
          </cell>
          <cell r="D6744" t="str">
            <v>PE</v>
          </cell>
          <cell r="E6744" t="str">
            <v>515.51512</v>
          </cell>
          <cell r="F6744">
            <v>3350</v>
          </cell>
          <cell r="G6744">
            <v>0</v>
          </cell>
          <cell r="H6744">
            <v>0</v>
          </cell>
          <cell r="I6744">
            <v>1</v>
          </cell>
          <cell r="J6744">
            <v>0</v>
          </cell>
          <cell r="K6744">
            <v>0</v>
          </cell>
          <cell r="L6744">
            <v>2</v>
          </cell>
        </row>
        <row r="6745">
          <cell r="A6745" t="str">
            <v>20492.17850</v>
          </cell>
          <cell r="B6745" t="str">
            <v>POSITIONNEUR ELECTROPNEUMATIQUE INTELLIGENT</v>
          </cell>
          <cell r="C6745" t="str">
            <v>ABB  V18345-202042110E  MODEL: TZID-C</v>
          </cell>
          <cell r="D6745" t="str">
            <v>PE</v>
          </cell>
          <cell r="E6745" t="str">
            <v>512.51201</v>
          </cell>
          <cell r="F6745">
            <v>15620</v>
          </cell>
          <cell r="G6745">
            <v>0</v>
          </cell>
          <cell r="H6745">
            <v>1</v>
          </cell>
          <cell r="I6745">
            <v>0</v>
          </cell>
          <cell r="J6745">
            <v>0</v>
          </cell>
          <cell r="K6745">
            <v>0</v>
          </cell>
          <cell r="L6745">
            <v>0</v>
          </cell>
        </row>
        <row r="6746">
          <cell r="A6746" t="str">
            <v>20492.17174</v>
          </cell>
          <cell r="B6746" t="str">
            <v>PALIER LISSE</v>
          </cell>
          <cell r="C6746" t="str">
            <v>LUFKIN PLAN N1804C-121449A REP5 REF BM181020</v>
          </cell>
          <cell r="D6746" t="str">
            <v>PE</v>
          </cell>
          <cell r="E6746" t="str">
            <v>515.51515</v>
          </cell>
          <cell r="F6746">
            <v>60880.837500000001</v>
          </cell>
          <cell r="G6746">
            <v>0</v>
          </cell>
          <cell r="H6746">
            <v>0</v>
          </cell>
          <cell r="I6746">
            <v>0</v>
          </cell>
          <cell r="J6746">
            <v>0</v>
          </cell>
          <cell r="K6746">
            <v>0</v>
          </cell>
          <cell r="L6746">
            <v>1</v>
          </cell>
        </row>
        <row r="6747">
          <cell r="A6747" t="str">
            <v>20492.17175</v>
          </cell>
          <cell r="B6747" t="str">
            <v>PALIER LISSE</v>
          </cell>
          <cell r="C6747" t="str">
            <v>LUFKIN PLAN N1804C-121449A REP6 REF 18684300</v>
          </cell>
          <cell r="D6747" t="str">
            <v>PE</v>
          </cell>
          <cell r="E6747" t="str">
            <v>515.51515</v>
          </cell>
          <cell r="F6747">
            <v>111968.7975</v>
          </cell>
          <cell r="G6747">
            <v>0</v>
          </cell>
          <cell r="H6747">
            <v>0</v>
          </cell>
          <cell r="I6747">
            <v>0</v>
          </cell>
          <cell r="J6747">
            <v>0</v>
          </cell>
          <cell r="K6747">
            <v>0</v>
          </cell>
          <cell r="L6747">
            <v>0</v>
          </cell>
        </row>
        <row r="6748">
          <cell r="A6748" t="str">
            <v>20492.17176</v>
          </cell>
          <cell r="B6748" t="str">
            <v>PALIER LISSE</v>
          </cell>
          <cell r="C6748" t="str">
            <v>LUFKIN PLAN N1804C-121449A REP7 REF 18684100</v>
          </cell>
          <cell r="D6748" t="str">
            <v>PE</v>
          </cell>
          <cell r="E6748" t="str">
            <v>515.51515</v>
          </cell>
          <cell r="F6748">
            <v>111968.7975</v>
          </cell>
          <cell r="G6748">
            <v>0</v>
          </cell>
          <cell r="H6748">
            <v>0</v>
          </cell>
          <cell r="I6748">
            <v>0</v>
          </cell>
          <cell r="J6748">
            <v>0</v>
          </cell>
          <cell r="K6748">
            <v>0</v>
          </cell>
          <cell r="L6748">
            <v>0</v>
          </cell>
        </row>
        <row r="6749">
          <cell r="A6749" t="str">
            <v>20492.17177</v>
          </cell>
          <cell r="B6749" t="str">
            <v>PALIER LISSE</v>
          </cell>
          <cell r="C6749" t="str">
            <v>LUFKIN PLAN N1804C-121449A REP8 REF AM141713</v>
          </cell>
          <cell r="D6749" t="str">
            <v>PE</v>
          </cell>
          <cell r="E6749" t="str">
            <v>515.51515</v>
          </cell>
          <cell r="F6749">
            <v>1940.2425000000001</v>
          </cell>
          <cell r="G6749">
            <v>0</v>
          </cell>
          <cell r="H6749">
            <v>0</v>
          </cell>
          <cell r="I6749">
            <v>0</v>
          </cell>
          <cell r="J6749">
            <v>0</v>
          </cell>
          <cell r="K6749">
            <v>0</v>
          </cell>
          <cell r="L6749">
            <v>4</v>
          </cell>
        </row>
        <row r="6750">
          <cell r="A6750" t="str">
            <v>20492.17178</v>
          </cell>
          <cell r="B6750" t="str">
            <v>VIS A CHAPEAU</v>
          </cell>
          <cell r="C6750" t="str">
            <v>LUFKIN PLAN N1804C-121449A REP9 REF AP015370</v>
          </cell>
          <cell r="D6750" t="str">
            <v>PE</v>
          </cell>
          <cell r="E6750" t="str">
            <v>515.51515</v>
          </cell>
          <cell r="F6750">
            <v>91.665000000000006</v>
          </cell>
          <cell r="G6750">
            <v>0</v>
          </cell>
          <cell r="H6750">
            <v>0</v>
          </cell>
          <cell r="I6750">
            <v>0</v>
          </cell>
          <cell r="J6750">
            <v>0</v>
          </cell>
          <cell r="K6750">
            <v>0</v>
          </cell>
          <cell r="L6750">
            <v>8</v>
          </cell>
        </row>
        <row r="6751">
          <cell r="A6751" t="str">
            <v>20492.17180</v>
          </cell>
          <cell r="B6751" t="str">
            <v>MEPLATS ECROUIS</v>
          </cell>
          <cell r="C6751" t="str">
            <v>LUFKIN PLAN N1804C-121449A REP12 REF E7057070</v>
          </cell>
          <cell r="D6751" t="str">
            <v>PE</v>
          </cell>
          <cell r="E6751" t="str">
            <v>515.51515</v>
          </cell>
          <cell r="F6751">
            <v>4598.5275000000001</v>
          </cell>
          <cell r="G6751">
            <v>0</v>
          </cell>
          <cell r="H6751">
            <v>0</v>
          </cell>
          <cell r="I6751">
            <v>0</v>
          </cell>
          <cell r="J6751">
            <v>0</v>
          </cell>
          <cell r="K6751">
            <v>0</v>
          </cell>
          <cell r="L6751">
            <v>1</v>
          </cell>
        </row>
        <row r="6752">
          <cell r="A6752" t="str">
            <v>20492.17173</v>
          </cell>
          <cell r="B6752" t="str">
            <v>PALIER</v>
          </cell>
          <cell r="C6752" t="str">
            <v>LUFKIN PLAN N1804C-121449A REP4 REF BM181019</v>
          </cell>
          <cell r="D6752" t="str">
            <v>PE</v>
          </cell>
          <cell r="E6752" t="str">
            <v>515.51515</v>
          </cell>
          <cell r="F6752">
            <v>60880.837500000001</v>
          </cell>
          <cell r="G6752">
            <v>0</v>
          </cell>
          <cell r="H6752">
            <v>0</v>
          </cell>
          <cell r="I6752">
            <v>0</v>
          </cell>
          <cell r="J6752">
            <v>0</v>
          </cell>
          <cell r="K6752">
            <v>0</v>
          </cell>
          <cell r="L6752">
            <v>1</v>
          </cell>
        </row>
        <row r="6753">
          <cell r="A6753" t="str">
            <v>20492.17219</v>
          </cell>
          <cell r="B6753" t="str">
            <v>THERMOPLONGEUR EN POLYMERE FLUORE HORIZONTAL</v>
          </cell>
          <cell r="C6753" t="str">
            <v>VULCANIC TYPE: 26453 GAINE:EN PFA 2 COUCHES CADRE:EN PVDF MOD: N PUISSANCE: 9KW                     TENSION: 400V TRI LES COTES: 4000X1000X1100MM PIEDS:EN PVDFS/REF: 26450-03</v>
          </cell>
          <cell r="D6753" t="str">
            <v>PE</v>
          </cell>
          <cell r="E6753" t="str">
            <v>522.52206</v>
          </cell>
          <cell r="F6753">
            <v>75889</v>
          </cell>
          <cell r="G6753">
            <v>0</v>
          </cell>
          <cell r="H6753">
            <v>0</v>
          </cell>
          <cell r="I6753">
            <v>0</v>
          </cell>
          <cell r="J6753">
            <v>0</v>
          </cell>
          <cell r="K6753">
            <v>0</v>
          </cell>
          <cell r="L6753">
            <v>0</v>
          </cell>
        </row>
        <row r="6754">
          <cell r="A6754" t="str">
            <v>20492.17675</v>
          </cell>
          <cell r="B6754" t="str">
            <v>CONTROLEUR DE CIRCULATION</v>
          </cell>
          <cell r="C6754" t="str">
            <v>DRESSER RAND PLAN 6R9439 REP 80</v>
          </cell>
          <cell r="D6754" t="str">
            <v>PE</v>
          </cell>
          <cell r="E6754" t="str">
            <v>515.51517</v>
          </cell>
          <cell r="F6754">
            <v>24848.813699999999</v>
          </cell>
          <cell r="G6754">
            <v>0</v>
          </cell>
          <cell r="H6754">
            <v>0</v>
          </cell>
          <cell r="I6754">
            <v>0</v>
          </cell>
          <cell r="J6754">
            <v>0</v>
          </cell>
          <cell r="K6754">
            <v>0</v>
          </cell>
          <cell r="L6754">
            <v>1</v>
          </cell>
        </row>
        <row r="6755">
          <cell r="A6755" t="str">
            <v>20492.17676</v>
          </cell>
          <cell r="B6755" t="str">
            <v>CONTROLEUR DE CIRCULATION</v>
          </cell>
          <cell r="C6755" t="str">
            <v>DRESSER RAND PLAN 6R9439 REP 81</v>
          </cell>
          <cell r="D6755" t="str">
            <v>PE</v>
          </cell>
          <cell r="E6755" t="str">
            <v>515.51517</v>
          </cell>
          <cell r="F6755">
            <v>41128.921900000001</v>
          </cell>
          <cell r="G6755">
            <v>0</v>
          </cell>
          <cell r="H6755">
            <v>0</v>
          </cell>
          <cell r="I6755">
            <v>0</v>
          </cell>
          <cell r="J6755">
            <v>0</v>
          </cell>
          <cell r="K6755">
            <v>0</v>
          </cell>
          <cell r="L6755">
            <v>0</v>
          </cell>
        </row>
        <row r="6756">
          <cell r="A6756" t="str">
            <v>20492.17677</v>
          </cell>
          <cell r="B6756" t="str">
            <v>CONTROLEUR DE CIRCULATION</v>
          </cell>
          <cell r="C6756" t="str">
            <v>DRESSER RAND PLAN 6R9439 REP 82</v>
          </cell>
          <cell r="D6756" t="str">
            <v>PE</v>
          </cell>
          <cell r="E6756" t="str">
            <v>515.51517</v>
          </cell>
          <cell r="F6756">
            <v>32393.7425</v>
          </cell>
          <cell r="G6756">
            <v>0</v>
          </cell>
          <cell r="H6756">
            <v>0</v>
          </cell>
          <cell r="I6756">
            <v>0</v>
          </cell>
          <cell r="J6756">
            <v>0</v>
          </cell>
          <cell r="K6756">
            <v>0</v>
          </cell>
          <cell r="L6756">
            <v>0</v>
          </cell>
        </row>
        <row r="6757">
          <cell r="A6757" t="str">
            <v>20492.17678</v>
          </cell>
          <cell r="B6757" t="str">
            <v>FILTRE A HUILE</v>
          </cell>
          <cell r="C6757" t="str">
            <v>DRESSER RAND PLAN 6R9439 REP 83</v>
          </cell>
          <cell r="D6757" t="str">
            <v>PE</v>
          </cell>
          <cell r="E6757" t="str">
            <v>515.51517</v>
          </cell>
          <cell r="F6757">
            <v>18512.4908</v>
          </cell>
          <cell r="G6757">
            <v>0</v>
          </cell>
          <cell r="H6757">
            <v>0</v>
          </cell>
          <cell r="I6757">
            <v>0</v>
          </cell>
          <cell r="J6757">
            <v>0</v>
          </cell>
          <cell r="K6757">
            <v>0</v>
          </cell>
          <cell r="L6757">
            <v>0</v>
          </cell>
        </row>
        <row r="6758">
          <cell r="A6758" t="str">
            <v>20492.17501</v>
          </cell>
          <cell r="B6758" t="str">
            <v>FOULOIR DE PRESSE ETOUPE</v>
          </cell>
          <cell r="C6758" t="str">
            <v>DRESSER RAND   1A6870-1   PLAN : 6R9412 ( OR29666 )   REP 13</v>
          </cell>
          <cell r="D6758" t="str">
            <v>PE</v>
          </cell>
          <cell r="E6758" t="str">
            <v>515.51517</v>
          </cell>
          <cell r="F6758">
            <v>11056.358099999999</v>
          </cell>
          <cell r="G6758">
            <v>0</v>
          </cell>
          <cell r="H6758">
            <v>0</v>
          </cell>
          <cell r="I6758">
            <v>0</v>
          </cell>
          <cell r="J6758">
            <v>0</v>
          </cell>
          <cell r="K6758">
            <v>0</v>
          </cell>
          <cell r="L6758">
            <v>2</v>
          </cell>
        </row>
        <row r="6759">
          <cell r="A6759" t="str">
            <v>20211.10368</v>
          </cell>
          <cell r="B6759" t="str">
            <v>JOINT</v>
          </cell>
          <cell r="C6759" t="str">
            <v>LV62380-09   TURBINE TYPE SST-400 ATP3 CE 190L-1 SERIE T6453 PLAN 1CW0049903</v>
          </cell>
          <cell r="D6759" t="str">
            <v>PE</v>
          </cell>
          <cell r="E6759" t="str">
            <v>512.51201</v>
          </cell>
          <cell r="F6759">
            <v>6651.29</v>
          </cell>
          <cell r="G6759">
            <v>0</v>
          </cell>
          <cell r="H6759">
            <v>0</v>
          </cell>
          <cell r="I6759">
            <v>0</v>
          </cell>
          <cell r="J6759">
            <v>0</v>
          </cell>
          <cell r="K6759">
            <v>0</v>
          </cell>
          <cell r="L6759">
            <v>0</v>
          </cell>
        </row>
        <row r="6760">
          <cell r="A6760" t="str">
            <v>20211.10369</v>
          </cell>
          <cell r="B6760" t="str">
            <v>JOINT</v>
          </cell>
          <cell r="C6760" t="str">
            <v>LV62380-10  TURBINE TYPE SST-400 ATP3 CE 190L-1 SERIE T6453 PLAN 1CW0049903</v>
          </cell>
          <cell r="D6760" t="str">
            <v>PE</v>
          </cell>
          <cell r="E6760" t="str">
            <v>512.51201</v>
          </cell>
          <cell r="F6760">
            <v>7120.77</v>
          </cell>
          <cell r="G6760">
            <v>0</v>
          </cell>
          <cell r="H6760">
            <v>0</v>
          </cell>
          <cell r="I6760">
            <v>0</v>
          </cell>
          <cell r="J6760">
            <v>0</v>
          </cell>
          <cell r="K6760">
            <v>0</v>
          </cell>
          <cell r="L6760">
            <v>0</v>
          </cell>
        </row>
        <row r="6761">
          <cell r="A6761" t="str">
            <v>20211.10370</v>
          </cell>
          <cell r="B6761" t="str">
            <v>JOINT</v>
          </cell>
          <cell r="C6761" t="str">
            <v>LV62380-11  TURBINE TYPE SST-400 ATP3 CE 190L-1 SERIE T6453 PLAN 1CW0049903</v>
          </cell>
          <cell r="D6761" t="str">
            <v>PE</v>
          </cell>
          <cell r="E6761" t="str">
            <v>512.51201</v>
          </cell>
          <cell r="F6761">
            <v>1048.57</v>
          </cell>
          <cell r="G6761">
            <v>0</v>
          </cell>
          <cell r="H6761">
            <v>0</v>
          </cell>
          <cell r="I6761">
            <v>0</v>
          </cell>
          <cell r="J6761">
            <v>0</v>
          </cell>
          <cell r="K6761">
            <v>0</v>
          </cell>
          <cell r="L6761">
            <v>0</v>
          </cell>
        </row>
        <row r="6762">
          <cell r="A6762" t="str">
            <v>20211.10371</v>
          </cell>
          <cell r="B6762" t="str">
            <v>JOINT</v>
          </cell>
          <cell r="C6762" t="str">
            <v>LV62380-12  TURBINE TYPE SST-400 ATP3 CE 190L-1 SERIE T6453 PLAN 1CW0049903</v>
          </cell>
          <cell r="D6762" t="str">
            <v>PE</v>
          </cell>
          <cell r="E6762" t="str">
            <v>512.51201</v>
          </cell>
          <cell r="F6762">
            <v>1048.57</v>
          </cell>
          <cell r="G6762">
            <v>0</v>
          </cell>
          <cell r="H6762">
            <v>0</v>
          </cell>
          <cell r="I6762">
            <v>0</v>
          </cell>
          <cell r="J6762">
            <v>0</v>
          </cell>
          <cell r="K6762">
            <v>0</v>
          </cell>
          <cell r="L6762">
            <v>0</v>
          </cell>
        </row>
        <row r="6763">
          <cell r="A6763" t="str">
            <v>20211.10372</v>
          </cell>
          <cell r="B6763" t="str">
            <v>POMPE A HUILE SANS MOTEUR</v>
          </cell>
          <cell r="C6763" t="str">
            <v>LV62380-13  TURBINE TYPE SST-400 ATP3 CE 190L-1 SERIE T6453 PLAN 1CW0049903</v>
          </cell>
          <cell r="D6763" t="str">
            <v>PE</v>
          </cell>
          <cell r="E6763" t="str">
            <v>512.51201</v>
          </cell>
          <cell r="F6763">
            <v>187793</v>
          </cell>
          <cell r="G6763">
            <v>0</v>
          </cell>
          <cell r="H6763">
            <v>0</v>
          </cell>
          <cell r="I6763">
            <v>0</v>
          </cell>
          <cell r="J6763">
            <v>0</v>
          </cell>
          <cell r="K6763">
            <v>0</v>
          </cell>
          <cell r="L6763">
            <v>1</v>
          </cell>
        </row>
        <row r="6764">
          <cell r="A6764" t="str">
            <v>20211.10364</v>
          </cell>
          <cell r="B6764" t="str">
            <v>POMPE A HUILE SANS MOTEUR</v>
          </cell>
          <cell r="C6764" t="str">
            <v>LV62380-05   TURBINE TYPE SST-400 ATP3 CE 190L-1 SERIE T6453 PLAN 1CW0049903</v>
          </cell>
          <cell r="D6764" t="str">
            <v>PE</v>
          </cell>
          <cell r="E6764" t="str">
            <v>512.51201</v>
          </cell>
          <cell r="F6764">
            <v>516429</v>
          </cell>
          <cell r="G6764">
            <v>0</v>
          </cell>
          <cell r="H6764">
            <v>1</v>
          </cell>
          <cell r="I6764">
            <v>0</v>
          </cell>
          <cell r="J6764">
            <v>0</v>
          </cell>
          <cell r="K6764">
            <v>0</v>
          </cell>
          <cell r="L6764">
            <v>0</v>
          </cell>
        </row>
        <row r="6765">
          <cell r="A6765" t="str">
            <v>20211.10365</v>
          </cell>
          <cell r="B6765" t="str">
            <v>DOUILLE DE COMPENSATION</v>
          </cell>
          <cell r="C6765" t="str">
            <v>LV62380-06  TURBINE TYPE SST-400 ATP3 CE 190L-1 SERIE T6453 PLAN 1CW0049903</v>
          </cell>
          <cell r="D6765" t="str">
            <v>PE</v>
          </cell>
          <cell r="E6765" t="str">
            <v>512.51201</v>
          </cell>
          <cell r="F6765">
            <v>19561.990000000002</v>
          </cell>
          <cell r="G6765">
            <v>0</v>
          </cell>
          <cell r="H6765">
            <v>0</v>
          </cell>
          <cell r="I6765">
            <v>0</v>
          </cell>
          <cell r="J6765">
            <v>0</v>
          </cell>
          <cell r="K6765">
            <v>0</v>
          </cell>
          <cell r="L6765">
            <v>0</v>
          </cell>
        </row>
        <row r="6766">
          <cell r="A6766" t="str">
            <v>20211.10366</v>
          </cell>
          <cell r="B6766" t="str">
            <v>ROULEMENT</v>
          </cell>
          <cell r="C6766" t="str">
            <v>LV62380-07   TURBINE TYPE SST-400 ATP3 CE 190L-1 SERIE T6453 PLAN 1CW0049903</v>
          </cell>
          <cell r="D6766" t="str">
            <v>PE</v>
          </cell>
          <cell r="E6766" t="str">
            <v>512.51201</v>
          </cell>
          <cell r="F6766">
            <v>5321.42</v>
          </cell>
          <cell r="G6766">
            <v>0</v>
          </cell>
          <cell r="H6766">
            <v>0</v>
          </cell>
          <cell r="I6766">
            <v>0</v>
          </cell>
          <cell r="J6766">
            <v>0</v>
          </cell>
          <cell r="K6766">
            <v>0</v>
          </cell>
          <cell r="L6766">
            <v>0</v>
          </cell>
        </row>
        <row r="6767">
          <cell r="A6767" t="str">
            <v>20211.10367</v>
          </cell>
          <cell r="B6767" t="str">
            <v>JOINT DE ROULEMENT</v>
          </cell>
          <cell r="C6767" t="str">
            <v>LV62380-08  TURBINE TYPE SST-400 ATP3 CE 190L-1 SERIE T6453 PLAN 1CW0049903</v>
          </cell>
          <cell r="D6767" t="str">
            <v>PE</v>
          </cell>
          <cell r="E6767" t="str">
            <v>512.51201</v>
          </cell>
          <cell r="F6767">
            <v>13772.06</v>
          </cell>
          <cell r="G6767">
            <v>0</v>
          </cell>
          <cell r="H6767">
            <v>0</v>
          </cell>
          <cell r="I6767">
            <v>0</v>
          </cell>
          <cell r="J6767">
            <v>0</v>
          </cell>
          <cell r="K6767">
            <v>0</v>
          </cell>
          <cell r="L6767">
            <v>1</v>
          </cell>
        </row>
        <row r="6768">
          <cell r="A6768" t="str">
            <v>20211.10520</v>
          </cell>
          <cell r="B6768" t="str">
            <v>JOINT PLAT</v>
          </cell>
          <cell r="C6768" t="str">
            <v>ERP00111672 P/TURBINE TYPE SST-400 ATP3 CE 190L-1 SERIE T6453</v>
          </cell>
          <cell r="D6768" t="str">
            <v>PE</v>
          </cell>
          <cell r="E6768" t="str">
            <v>512.51201</v>
          </cell>
          <cell r="F6768">
            <v>2103.9299999999998</v>
          </cell>
          <cell r="G6768">
            <v>0</v>
          </cell>
          <cell r="H6768">
            <v>0</v>
          </cell>
          <cell r="I6768">
            <v>0</v>
          </cell>
          <cell r="J6768">
            <v>0</v>
          </cell>
          <cell r="K6768">
            <v>0</v>
          </cell>
          <cell r="L6768">
            <v>0</v>
          </cell>
        </row>
        <row r="6769">
          <cell r="A6769" t="str">
            <v>20211.10521</v>
          </cell>
          <cell r="B6769" t="str">
            <v>PROFIL D'ETANCHEITE  PROTECTION  ARETE</v>
          </cell>
          <cell r="C6769" t="str">
            <v>ER120849 P/TURBINE TYPE SST -400 ATP3 CE 190L-1 SERIE T6453</v>
          </cell>
          <cell r="D6769" t="str">
            <v>PE</v>
          </cell>
          <cell r="E6769" t="str">
            <v>512.51201</v>
          </cell>
          <cell r="F6769">
            <v>215.34</v>
          </cell>
          <cell r="G6769">
            <v>0</v>
          </cell>
          <cell r="H6769">
            <v>0</v>
          </cell>
          <cell r="I6769">
            <v>0</v>
          </cell>
          <cell r="J6769">
            <v>0</v>
          </cell>
          <cell r="K6769">
            <v>0</v>
          </cell>
          <cell r="L6769">
            <v>0</v>
          </cell>
        </row>
        <row r="6770">
          <cell r="A6770" t="str">
            <v>20211.10522</v>
          </cell>
          <cell r="B6770" t="str">
            <v>GOUJON FILETE</v>
          </cell>
          <cell r="C6770" t="str">
            <v xml:space="preserve">KN55046  TURBINE TYPE SST-400 ATP3 CE 190-1 SERIE T6453 PLAN ZG047997.0 REP3 </v>
          </cell>
          <cell r="D6770" t="str">
            <v>PE</v>
          </cell>
          <cell r="E6770" t="str">
            <v>512.51201</v>
          </cell>
          <cell r="F6770">
            <v>235.71</v>
          </cell>
          <cell r="G6770">
            <v>0</v>
          </cell>
          <cell r="H6770">
            <v>0</v>
          </cell>
          <cell r="I6770">
            <v>0</v>
          </cell>
          <cell r="J6770">
            <v>0</v>
          </cell>
          <cell r="K6770">
            <v>0</v>
          </cell>
          <cell r="L6770">
            <v>0</v>
          </cell>
        </row>
        <row r="6771">
          <cell r="A6771" t="str">
            <v>20211.10516</v>
          </cell>
          <cell r="B6771" t="str">
            <v>BORNE DE MISE A LA TERRE</v>
          </cell>
          <cell r="C6771" t="str">
            <v>10 P/TURBINE TYPE SST -400 ATP3 CE 190L -1 SERIE T6453</v>
          </cell>
          <cell r="D6771" t="str">
            <v>PE</v>
          </cell>
          <cell r="E6771" t="str">
            <v>512.51201</v>
          </cell>
          <cell r="F6771">
            <v>1569.46</v>
          </cell>
          <cell r="G6771">
            <v>0</v>
          </cell>
          <cell r="H6771">
            <v>0</v>
          </cell>
          <cell r="I6771">
            <v>0</v>
          </cell>
          <cell r="J6771">
            <v>0</v>
          </cell>
          <cell r="K6771">
            <v>0</v>
          </cell>
          <cell r="L6771">
            <v>0</v>
          </cell>
        </row>
        <row r="6772">
          <cell r="A6772" t="str">
            <v>20211.10517</v>
          </cell>
          <cell r="B6772" t="str">
            <v>JOINT PLAT</v>
          </cell>
          <cell r="C6772" t="str">
            <v>ERP00111669 P/TURBINE TYPE SST -400 ATP3 CE 190L-1 SERIE T6453</v>
          </cell>
          <cell r="D6772" t="str">
            <v>PE</v>
          </cell>
          <cell r="E6772" t="str">
            <v>512.51201</v>
          </cell>
          <cell r="F6772">
            <v>1798.38</v>
          </cell>
          <cell r="G6772">
            <v>0</v>
          </cell>
          <cell r="H6772">
            <v>0</v>
          </cell>
          <cell r="I6772">
            <v>0</v>
          </cell>
          <cell r="J6772">
            <v>0</v>
          </cell>
          <cell r="K6772">
            <v>0</v>
          </cell>
          <cell r="L6772">
            <v>0</v>
          </cell>
        </row>
        <row r="6773">
          <cell r="A6773" t="str">
            <v>20211.10518</v>
          </cell>
          <cell r="B6773" t="str">
            <v>JOINT PLAT</v>
          </cell>
          <cell r="C6773" t="str">
            <v>ERP00082085 P/TURBINE TYPE SST-400 ATP3 CE 190L-1 SERIE T6453</v>
          </cell>
          <cell r="D6773" t="str">
            <v>PE</v>
          </cell>
          <cell r="E6773" t="str">
            <v>512.51201</v>
          </cell>
          <cell r="F6773">
            <v>1798.38</v>
          </cell>
          <cell r="G6773">
            <v>0</v>
          </cell>
          <cell r="H6773">
            <v>0</v>
          </cell>
          <cell r="I6773">
            <v>0</v>
          </cell>
          <cell r="J6773">
            <v>0</v>
          </cell>
          <cell r="K6773">
            <v>0</v>
          </cell>
          <cell r="L6773">
            <v>0</v>
          </cell>
        </row>
        <row r="6774">
          <cell r="A6774" t="str">
            <v>20211.10519</v>
          </cell>
          <cell r="B6774" t="str">
            <v>JOINT PLAT</v>
          </cell>
          <cell r="C6774" t="str">
            <v>ERP00082087 P/TURBINE TYPE SST -400 ATP3 CE 190L-1 SERIE T6453</v>
          </cell>
          <cell r="D6774" t="str">
            <v>PE</v>
          </cell>
          <cell r="E6774" t="str">
            <v>512.51201</v>
          </cell>
          <cell r="F6774">
            <v>2103.9299999999998</v>
          </cell>
          <cell r="G6774">
            <v>0</v>
          </cell>
          <cell r="H6774">
            <v>0</v>
          </cell>
          <cell r="I6774">
            <v>0</v>
          </cell>
          <cell r="J6774">
            <v>0</v>
          </cell>
          <cell r="K6774">
            <v>0</v>
          </cell>
          <cell r="L6774">
            <v>0</v>
          </cell>
        </row>
        <row r="6775">
          <cell r="A6775" t="str">
            <v>20211.10204</v>
          </cell>
          <cell r="B6775" t="str">
            <v>VIS D'AJUSTAGE</v>
          </cell>
          <cell r="C6775" t="str">
            <v>KN384412  TURBINE TYPE SST-400 ATP3 CE 190L-1 SERIE T6453 PLAN ZG048003.0 REP10</v>
          </cell>
          <cell r="D6775" t="str">
            <v>PE</v>
          </cell>
          <cell r="E6775" t="str">
            <v>512.51201</v>
          </cell>
          <cell r="F6775">
            <v>7120.77</v>
          </cell>
          <cell r="G6775">
            <v>0</v>
          </cell>
          <cell r="H6775">
            <v>0</v>
          </cell>
          <cell r="I6775">
            <v>0</v>
          </cell>
          <cell r="J6775">
            <v>0</v>
          </cell>
          <cell r="K6775">
            <v>0</v>
          </cell>
          <cell r="L6775">
            <v>0</v>
          </cell>
        </row>
        <row r="6776">
          <cell r="A6776" t="str">
            <v>20211.10205</v>
          </cell>
          <cell r="B6776" t="str">
            <v>RONDELLE</v>
          </cell>
          <cell r="C6776" t="str">
            <v>KN392669  TURBINE TYPE SST-400 ATP3 CE 190L-1 SERIE T6453 PLAN ZG035965.0 REP10</v>
          </cell>
          <cell r="D6776" t="str">
            <v>PE</v>
          </cell>
          <cell r="E6776" t="str">
            <v>512.51201</v>
          </cell>
          <cell r="F6776">
            <v>23865.88</v>
          </cell>
          <cell r="G6776">
            <v>0</v>
          </cell>
          <cell r="H6776">
            <v>0</v>
          </cell>
          <cell r="I6776">
            <v>0</v>
          </cell>
          <cell r="J6776">
            <v>0</v>
          </cell>
          <cell r="K6776">
            <v>0</v>
          </cell>
          <cell r="L6776">
            <v>1</v>
          </cell>
        </row>
        <row r="6777">
          <cell r="A6777" t="str">
            <v>20211.10195</v>
          </cell>
          <cell r="B6777" t="str">
            <v>RONDELLE EVENTAIL S16</v>
          </cell>
          <cell r="C6777" t="str">
            <v>KN28142  TURBINE TYPE SST-400 ATP3 CE 190L-1 SERIE T6453 PLAN ZG052978.1 REP24</v>
          </cell>
          <cell r="D6777" t="str">
            <v>PE</v>
          </cell>
          <cell r="E6777" t="str">
            <v>512.51201</v>
          </cell>
          <cell r="F6777">
            <v>78.569999999999993</v>
          </cell>
          <cell r="G6777">
            <v>0</v>
          </cell>
          <cell r="H6777">
            <v>0</v>
          </cell>
          <cell r="I6777">
            <v>0</v>
          </cell>
          <cell r="J6777">
            <v>0</v>
          </cell>
          <cell r="K6777">
            <v>0</v>
          </cell>
          <cell r="L6777">
            <v>0</v>
          </cell>
        </row>
        <row r="6778">
          <cell r="A6778" t="str">
            <v>20211.10196</v>
          </cell>
          <cell r="B6778" t="str">
            <v>GOUPILLE CYLINDRIQUE</v>
          </cell>
          <cell r="C6778" t="str">
            <v>KN29801  TURBINE TYPE SST-400 ATP3 CE 190L-1 SERIE T6453 PLAN ZG041492.0 REP53</v>
          </cell>
          <cell r="D6778" t="str">
            <v>PE</v>
          </cell>
          <cell r="E6778" t="str">
            <v>512.51201</v>
          </cell>
          <cell r="F6778">
            <v>78.569999999999993</v>
          </cell>
          <cell r="G6778">
            <v>0</v>
          </cell>
          <cell r="H6778">
            <v>0</v>
          </cell>
          <cell r="I6778">
            <v>0</v>
          </cell>
          <cell r="J6778">
            <v>0</v>
          </cell>
          <cell r="K6778">
            <v>0</v>
          </cell>
          <cell r="L6778">
            <v>0</v>
          </cell>
        </row>
        <row r="6779">
          <cell r="A6779" t="str">
            <v>20211.10203</v>
          </cell>
          <cell r="B6779" t="str">
            <v>GOUJON FILETE</v>
          </cell>
          <cell r="C6779" t="str">
            <v>KN358697  TURBINE TYPE SST-400 ATP3 CE 190L-1 SERIE T6453 PLAN ZG047999.0 REP5</v>
          </cell>
          <cell r="D6779" t="str">
            <v>PE</v>
          </cell>
          <cell r="E6779" t="str">
            <v>512.51201</v>
          </cell>
          <cell r="F6779">
            <v>5556.16</v>
          </cell>
          <cell r="G6779">
            <v>0</v>
          </cell>
          <cell r="H6779">
            <v>0</v>
          </cell>
          <cell r="I6779">
            <v>0</v>
          </cell>
          <cell r="J6779">
            <v>0</v>
          </cell>
          <cell r="K6779">
            <v>0</v>
          </cell>
          <cell r="L6779">
            <v>0</v>
          </cell>
        </row>
        <row r="6780">
          <cell r="A6780" t="str">
            <v>20211.10377</v>
          </cell>
          <cell r="B6780" t="str">
            <v>GARNITURE MECANIQUE</v>
          </cell>
          <cell r="C6780" t="str">
            <v>LV62380-19  TURBINE TYPE SST-400 ATP3 CE 190L-1 SERIE T6453 PLAN 1CW0049903</v>
          </cell>
          <cell r="D6780" t="str">
            <v>PE</v>
          </cell>
          <cell r="E6780" t="str">
            <v>512.51201</v>
          </cell>
          <cell r="F6780">
            <v>3443.5</v>
          </cell>
          <cell r="G6780">
            <v>0</v>
          </cell>
          <cell r="H6780">
            <v>0</v>
          </cell>
          <cell r="I6780">
            <v>0</v>
          </cell>
          <cell r="J6780">
            <v>0</v>
          </cell>
          <cell r="K6780">
            <v>0</v>
          </cell>
          <cell r="L6780">
            <v>0</v>
          </cell>
        </row>
        <row r="6781">
          <cell r="A6781" t="str">
            <v>20211.10378</v>
          </cell>
          <cell r="B6781" t="str">
            <v>JOINT PLAT</v>
          </cell>
          <cell r="C6781" t="str">
            <v>LV62380-20  TURBINE TYPE SST-400 ATP3 CE 190L-1 SERIE T6453 PLAN 1CW0049903</v>
          </cell>
          <cell r="D6781" t="str">
            <v>PE</v>
          </cell>
          <cell r="E6781" t="str">
            <v>512.51201</v>
          </cell>
          <cell r="F6781">
            <v>3724.8</v>
          </cell>
          <cell r="G6781">
            <v>0</v>
          </cell>
          <cell r="H6781">
            <v>0</v>
          </cell>
          <cell r="I6781">
            <v>0</v>
          </cell>
          <cell r="J6781">
            <v>0</v>
          </cell>
          <cell r="K6781">
            <v>0</v>
          </cell>
          <cell r="L6781">
            <v>0</v>
          </cell>
        </row>
        <row r="6782">
          <cell r="A6782" t="str">
            <v>20211.10379</v>
          </cell>
          <cell r="B6782" t="str">
            <v>JOINT PLAT</v>
          </cell>
          <cell r="C6782" t="str">
            <v>LV62380-21  TURBINE TYPE SST-400 ATP3 CE 190L-1 SERIE T6453 PLAN 1CW0049903</v>
          </cell>
          <cell r="D6782" t="str">
            <v>PE</v>
          </cell>
          <cell r="E6782" t="str">
            <v>512.51201</v>
          </cell>
          <cell r="F6782">
            <v>665.42</v>
          </cell>
          <cell r="G6782">
            <v>0</v>
          </cell>
          <cell r="H6782">
            <v>0</v>
          </cell>
          <cell r="I6782">
            <v>0</v>
          </cell>
          <cell r="J6782">
            <v>0</v>
          </cell>
          <cell r="K6782">
            <v>0</v>
          </cell>
          <cell r="L6782">
            <v>0</v>
          </cell>
        </row>
        <row r="6783">
          <cell r="A6783" t="str">
            <v>20211.10380</v>
          </cell>
          <cell r="B6783" t="str">
            <v>SEGMENT D'ARRET</v>
          </cell>
          <cell r="C6783" t="str">
            <v>LV62380-22  TURBINE TYPE SST-400 ATP3 CE 190L-1 SERIE T6453 PLAN 1CW0049903</v>
          </cell>
          <cell r="D6783" t="str">
            <v>PE</v>
          </cell>
          <cell r="E6783" t="str">
            <v>512.51201</v>
          </cell>
          <cell r="F6783">
            <v>391.88</v>
          </cell>
          <cell r="G6783">
            <v>0</v>
          </cell>
          <cell r="H6783">
            <v>0</v>
          </cell>
          <cell r="I6783">
            <v>0</v>
          </cell>
          <cell r="J6783">
            <v>0</v>
          </cell>
          <cell r="K6783">
            <v>0</v>
          </cell>
          <cell r="L6783">
            <v>0</v>
          </cell>
        </row>
        <row r="6784">
          <cell r="A6784" t="str">
            <v>20211.10373</v>
          </cell>
          <cell r="B6784" t="str">
            <v>RESSORT DE PRESSION</v>
          </cell>
          <cell r="C6784" t="str">
            <v>LV62380-15   TURBINE TYPE SST-400 ATP3 CE 190L-1 SERIE T6453 PLAN 1CW0049903</v>
          </cell>
          <cell r="D6784" t="str">
            <v>PE</v>
          </cell>
          <cell r="E6784" t="str">
            <v>512.51201</v>
          </cell>
          <cell r="F6784">
            <v>258.99</v>
          </cell>
          <cell r="G6784">
            <v>0</v>
          </cell>
          <cell r="H6784">
            <v>0</v>
          </cell>
          <cell r="I6784">
            <v>0</v>
          </cell>
          <cell r="J6784">
            <v>0</v>
          </cell>
          <cell r="K6784">
            <v>0</v>
          </cell>
          <cell r="L6784">
            <v>0</v>
          </cell>
        </row>
        <row r="6785">
          <cell r="A6785" t="str">
            <v>20211.10374</v>
          </cell>
          <cell r="B6785" t="str">
            <v>BAGUE D'ETANCHEITE</v>
          </cell>
          <cell r="C6785" t="str">
            <v>LV62380-16  TURBINE TYPE SST-400 ATP3 CE 190L-1 SERIE T6453 PLAN 1CW0049903</v>
          </cell>
          <cell r="D6785" t="str">
            <v>PE</v>
          </cell>
          <cell r="E6785" t="str">
            <v>512.51201</v>
          </cell>
          <cell r="F6785">
            <v>313.31</v>
          </cell>
          <cell r="G6785">
            <v>0</v>
          </cell>
          <cell r="H6785">
            <v>0</v>
          </cell>
          <cell r="I6785">
            <v>0</v>
          </cell>
          <cell r="J6785">
            <v>0</v>
          </cell>
          <cell r="K6785">
            <v>0</v>
          </cell>
          <cell r="L6785">
            <v>1</v>
          </cell>
        </row>
        <row r="6786">
          <cell r="A6786" t="str">
            <v>20211.10375</v>
          </cell>
          <cell r="B6786" t="str">
            <v>BILLE</v>
          </cell>
          <cell r="C6786" t="str">
            <v>LV62380-17   TURBINE TYPE SST-400 ATP3 CE 190L-1 SERIE T6453 PLAN 1CW0049903</v>
          </cell>
          <cell r="D6786" t="str">
            <v>PE</v>
          </cell>
          <cell r="E6786" t="str">
            <v>512.51201</v>
          </cell>
          <cell r="F6786">
            <v>3522.07</v>
          </cell>
          <cell r="G6786">
            <v>0</v>
          </cell>
          <cell r="H6786">
            <v>0</v>
          </cell>
          <cell r="I6786">
            <v>0</v>
          </cell>
          <cell r="J6786">
            <v>0</v>
          </cell>
          <cell r="K6786">
            <v>0</v>
          </cell>
          <cell r="L6786">
            <v>0</v>
          </cell>
        </row>
        <row r="6787">
          <cell r="A6787" t="str">
            <v>20211.10376</v>
          </cell>
          <cell r="B6787" t="str">
            <v>VIS DE BUTEE</v>
          </cell>
          <cell r="C6787" t="str">
            <v>LV62380-18  TURBINE TYPE SST-400 ATP3 CE 190L-1 SERIE T6453 PLAN 1CW0049903</v>
          </cell>
          <cell r="D6787" t="str">
            <v>PE</v>
          </cell>
          <cell r="E6787" t="str">
            <v>512.51201</v>
          </cell>
          <cell r="F6787">
            <v>3522.07</v>
          </cell>
          <cell r="G6787">
            <v>0</v>
          </cell>
          <cell r="H6787">
            <v>0</v>
          </cell>
          <cell r="I6787">
            <v>0</v>
          </cell>
          <cell r="J6787">
            <v>0</v>
          </cell>
          <cell r="K6787">
            <v>0</v>
          </cell>
          <cell r="L6787">
            <v>0</v>
          </cell>
        </row>
        <row r="6788">
          <cell r="A6788" t="str">
            <v>20211.10222</v>
          </cell>
          <cell r="B6788" t="str">
            <v>TRANSMETTEUR PRESSION</v>
          </cell>
          <cell r="C6788" t="str">
            <v>LV59153-03  TURBINE TYPE SST-400 ATP3 CE 190L-1 SERIE T6453 PLAN 1CW0052145 REP112-113-114</v>
          </cell>
          <cell r="D6788" t="str">
            <v>PE</v>
          </cell>
          <cell r="E6788" t="str">
            <v>512.51201</v>
          </cell>
          <cell r="F6788">
            <v>30594.77</v>
          </cell>
          <cell r="G6788">
            <v>0</v>
          </cell>
          <cell r="H6788">
            <v>0</v>
          </cell>
          <cell r="I6788">
            <v>0</v>
          </cell>
          <cell r="J6788">
            <v>0</v>
          </cell>
          <cell r="K6788">
            <v>0</v>
          </cell>
          <cell r="L6788">
            <v>1</v>
          </cell>
        </row>
        <row r="6789">
          <cell r="A6789" t="str">
            <v>20211.10228</v>
          </cell>
          <cell r="B6789" t="str">
            <v>CLAPET ANTI-RETOUR</v>
          </cell>
          <cell r="C6789" t="str">
            <v>LV60663-10  TURBINE TYPE SST-400 ATP3 CE 190L-1 SERIE T6453  PLAN 1CW0049905  REP21</v>
          </cell>
          <cell r="D6789" t="str">
            <v>PE</v>
          </cell>
          <cell r="E6789" t="str">
            <v>512.51201</v>
          </cell>
          <cell r="F6789">
            <v>3834.41</v>
          </cell>
          <cell r="G6789">
            <v>0</v>
          </cell>
          <cell r="H6789">
            <v>0</v>
          </cell>
          <cell r="I6789">
            <v>0</v>
          </cell>
          <cell r="J6789">
            <v>0</v>
          </cell>
          <cell r="K6789">
            <v>0</v>
          </cell>
          <cell r="L6789">
            <v>0</v>
          </cell>
        </row>
        <row r="6790">
          <cell r="A6790" t="str">
            <v>20211.10229</v>
          </cell>
          <cell r="B6790" t="str">
            <v>FILTRE PRESSION</v>
          </cell>
          <cell r="C6790" t="str">
            <v>LV60663-11  TURBINE TYPE SST-400 ATP3 CE 190L-1 SERIE T6453 PLAN 1CW0049905  REP22</v>
          </cell>
          <cell r="D6790" t="str">
            <v>PE</v>
          </cell>
          <cell r="E6790" t="str">
            <v>512.51201</v>
          </cell>
          <cell r="F6790">
            <v>26996.07</v>
          </cell>
          <cell r="G6790">
            <v>0</v>
          </cell>
          <cell r="H6790">
            <v>0</v>
          </cell>
          <cell r="I6790">
            <v>0</v>
          </cell>
          <cell r="J6790">
            <v>0</v>
          </cell>
          <cell r="K6790">
            <v>0</v>
          </cell>
          <cell r="L6790">
            <v>0</v>
          </cell>
        </row>
        <row r="6791">
          <cell r="A6791" t="str">
            <v>20211.10230</v>
          </cell>
          <cell r="B6791" t="str">
            <v>CLAPET ANTI-RETOUR</v>
          </cell>
          <cell r="C6791" t="str">
            <v>LV60663-14  TURBINE TYPE SST-400 ATP3 CE 190L-1 SERIE T6453 PLAN 1CW0049905  REP24</v>
          </cell>
          <cell r="D6791" t="str">
            <v>PE</v>
          </cell>
          <cell r="E6791" t="str">
            <v>512.51201</v>
          </cell>
          <cell r="F6791">
            <v>23396.400000000001</v>
          </cell>
          <cell r="G6791">
            <v>0</v>
          </cell>
          <cell r="H6791">
            <v>0</v>
          </cell>
          <cell r="I6791">
            <v>0</v>
          </cell>
          <cell r="J6791">
            <v>0</v>
          </cell>
          <cell r="K6791">
            <v>0</v>
          </cell>
          <cell r="L6791">
            <v>0</v>
          </cell>
        </row>
        <row r="6792">
          <cell r="A6792" t="str">
            <v>20211.10213</v>
          </cell>
          <cell r="B6792" t="str">
            <v>CAPTEUR DE MESURE</v>
          </cell>
          <cell r="C6792" t="str">
            <v>LV55645-21  TURBINE TYPE SST-400 ATP3 CE 190L-1 SERIE T6453 PLAN 1CW0052145 REP41-51</v>
          </cell>
          <cell r="D6792" t="str">
            <v>PE</v>
          </cell>
          <cell r="E6792" t="str">
            <v>512.51201</v>
          </cell>
          <cell r="F6792">
            <v>12911.67</v>
          </cell>
          <cell r="G6792">
            <v>0</v>
          </cell>
          <cell r="H6792">
            <v>0</v>
          </cell>
          <cell r="I6792">
            <v>0</v>
          </cell>
          <cell r="J6792">
            <v>0</v>
          </cell>
          <cell r="K6792">
            <v>0</v>
          </cell>
          <cell r="L6792">
            <v>1</v>
          </cell>
        </row>
        <row r="6793">
          <cell r="A6793" t="str">
            <v>20211.10219</v>
          </cell>
          <cell r="B6793" t="str">
            <v>CONVERTISSEUR DE MESURE</v>
          </cell>
          <cell r="C6793" t="str">
            <v>LV57957-01  TURBINE TYPE SST-400 ATP3 CE 190L-1 SERIE T6453 PLAN 1CW0052145 REP157-159</v>
          </cell>
          <cell r="D6793" t="str">
            <v>PE</v>
          </cell>
          <cell r="E6793" t="str">
            <v>512.51201</v>
          </cell>
          <cell r="F6793">
            <v>46557.09</v>
          </cell>
          <cell r="G6793">
            <v>0</v>
          </cell>
          <cell r="H6793">
            <v>0</v>
          </cell>
          <cell r="I6793">
            <v>0</v>
          </cell>
          <cell r="J6793">
            <v>0</v>
          </cell>
          <cell r="K6793">
            <v>0</v>
          </cell>
          <cell r="L6793">
            <v>1</v>
          </cell>
        </row>
        <row r="6794">
          <cell r="A6794" t="str">
            <v>20211.10220</v>
          </cell>
          <cell r="B6794" t="str">
            <v>TRANSMETTEUR PRESSION</v>
          </cell>
          <cell r="C6794" t="str">
            <v>LV59153-01  TURBINE TYPE SST-400 ATP3 CE 190L-1 SERIE T6453 PLAN 1CW0052145 REP76-77-78</v>
          </cell>
          <cell r="D6794" t="str">
            <v>PE</v>
          </cell>
          <cell r="E6794" t="str">
            <v>512.51201</v>
          </cell>
          <cell r="F6794">
            <v>35289.57</v>
          </cell>
          <cell r="G6794">
            <v>0</v>
          </cell>
          <cell r="H6794">
            <v>0</v>
          </cell>
          <cell r="I6794">
            <v>0</v>
          </cell>
          <cell r="J6794">
            <v>0</v>
          </cell>
          <cell r="K6794">
            <v>0</v>
          </cell>
          <cell r="L6794">
            <v>2</v>
          </cell>
        </row>
        <row r="6795">
          <cell r="A6795" t="str">
            <v>20211.10221</v>
          </cell>
          <cell r="B6795" t="str">
            <v>TRANSMETTEUR PRESSION</v>
          </cell>
          <cell r="C6795" t="str">
            <v>LV59153-02  TURBINE TYPE SST-400 ATP3 CE 190L-1 SERIE T6453 PLAN 1CW0052145 REP123</v>
          </cell>
          <cell r="D6795" t="str">
            <v>PE</v>
          </cell>
          <cell r="E6795" t="str">
            <v>512.51201</v>
          </cell>
          <cell r="F6795">
            <v>30125.29</v>
          </cell>
          <cell r="G6795">
            <v>0</v>
          </cell>
          <cell r="H6795">
            <v>0</v>
          </cell>
          <cell r="I6795">
            <v>0</v>
          </cell>
          <cell r="J6795">
            <v>0</v>
          </cell>
          <cell r="K6795">
            <v>0</v>
          </cell>
          <cell r="L6795">
            <v>1</v>
          </cell>
        </row>
        <row r="6796">
          <cell r="A6796" t="str">
            <v>20211.10386</v>
          </cell>
          <cell r="B6796" t="str">
            <v>AXE DE GUIDAGE</v>
          </cell>
          <cell r="C6796" t="str">
            <v>ST267250  TURBINE TYPE SST-400 ATP3 CE 190L-1 SERIE T6453 PLAN ZG053932.2</v>
          </cell>
          <cell r="D6796" t="str">
            <v>PE</v>
          </cell>
          <cell r="E6796" t="str">
            <v>512.51201</v>
          </cell>
          <cell r="F6796">
            <v>3678.24</v>
          </cell>
          <cell r="G6796">
            <v>0</v>
          </cell>
          <cell r="H6796">
            <v>0</v>
          </cell>
          <cell r="I6796">
            <v>0</v>
          </cell>
          <cell r="J6796">
            <v>0</v>
          </cell>
          <cell r="K6796">
            <v>0</v>
          </cell>
          <cell r="L6796">
            <v>3</v>
          </cell>
        </row>
        <row r="6797">
          <cell r="A6797" t="str">
            <v>20211.10381</v>
          </cell>
          <cell r="B6797" t="str">
            <v>ROULEMENT</v>
          </cell>
          <cell r="C6797" t="str">
            <v>LV62380-23  TURBINE TYPE SST-400 ATP3 CE 190L-1 SERIE T6453 PLAN 1CW0049903</v>
          </cell>
          <cell r="D6797" t="str">
            <v>PE</v>
          </cell>
          <cell r="E6797" t="str">
            <v>512.51201</v>
          </cell>
          <cell r="F6797">
            <v>1048.57</v>
          </cell>
          <cell r="G6797">
            <v>0</v>
          </cell>
          <cell r="H6797">
            <v>0</v>
          </cell>
          <cell r="I6797">
            <v>0</v>
          </cell>
          <cell r="J6797">
            <v>0</v>
          </cell>
          <cell r="K6797">
            <v>0</v>
          </cell>
          <cell r="L6797">
            <v>0</v>
          </cell>
        </row>
        <row r="6798">
          <cell r="A6798" t="str">
            <v>20211.10383</v>
          </cell>
          <cell r="B6798" t="str">
            <v>ELEMENT DE PLAN DE JOINT</v>
          </cell>
          <cell r="C6798" t="str">
            <v>ST267246  TURBINE TYPE SST-400 ATP3 CE 190L-1 SERIE T6453 PLAN ZG053932.2</v>
          </cell>
          <cell r="D6798" t="str">
            <v>PE</v>
          </cell>
          <cell r="E6798" t="str">
            <v>512.51201</v>
          </cell>
          <cell r="F6798">
            <v>3678.24</v>
          </cell>
          <cell r="G6798">
            <v>0</v>
          </cell>
          <cell r="H6798">
            <v>0</v>
          </cell>
          <cell r="I6798">
            <v>0</v>
          </cell>
          <cell r="J6798">
            <v>0</v>
          </cell>
          <cell r="K6798">
            <v>0</v>
          </cell>
          <cell r="L6798">
            <v>0</v>
          </cell>
        </row>
        <row r="6799">
          <cell r="A6799" t="str">
            <v>20211.10384</v>
          </cell>
          <cell r="B6799" t="str">
            <v>ELEMENT DE PLAN DE JOINT</v>
          </cell>
          <cell r="C6799" t="str">
            <v>ST267247  TURBINE TYPE SST-400 ATP3 CE 190L-1 SERIE T6453 PLAN ZG053932.2</v>
          </cell>
          <cell r="D6799" t="str">
            <v>PE</v>
          </cell>
          <cell r="E6799" t="str">
            <v>512.51201</v>
          </cell>
          <cell r="F6799">
            <v>5086.68</v>
          </cell>
          <cell r="G6799">
            <v>0</v>
          </cell>
          <cell r="H6799">
            <v>0</v>
          </cell>
          <cell r="I6799">
            <v>0</v>
          </cell>
          <cell r="J6799">
            <v>0</v>
          </cell>
          <cell r="K6799">
            <v>0</v>
          </cell>
          <cell r="L6799">
            <v>0</v>
          </cell>
        </row>
        <row r="6800">
          <cell r="A6800" t="str">
            <v>20211.10385</v>
          </cell>
          <cell r="B6800" t="str">
            <v>AXE DE GUIDAGE</v>
          </cell>
          <cell r="C6800" t="str">
            <v>ST267249 TURBINE TYPE SST-400 ATP3 CE 190-L1 SERIE T6453 PLAN ZG053932.2</v>
          </cell>
          <cell r="D6800" t="str">
            <v>PE</v>
          </cell>
          <cell r="E6800" t="str">
            <v>512.51201</v>
          </cell>
          <cell r="F6800">
            <v>2191.23</v>
          </cell>
          <cell r="G6800">
            <v>0</v>
          </cell>
          <cell r="H6800">
            <v>0</v>
          </cell>
          <cell r="I6800">
            <v>0</v>
          </cell>
          <cell r="J6800">
            <v>0</v>
          </cell>
          <cell r="K6800">
            <v>0</v>
          </cell>
          <cell r="L6800">
            <v>0</v>
          </cell>
        </row>
        <row r="6801">
          <cell r="A6801" t="str">
            <v>20211.10245</v>
          </cell>
          <cell r="B6801" t="str">
            <v>DOUILLE</v>
          </cell>
          <cell r="C6801" t="str">
            <v>ZG78247.3-02  TURBINE TYPE SST-400 ATP3 CE 190L-1 SERIE T6453 PLAN ZG078250.3 REP1</v>
          </cell>
          <cell r="D6801" t="str">
            <v>PE</v>
          </cell>
          <cell r="E6801" t="str">
            <v>512.51201</v>
          </cell>
          <cell r="F6801">
            <v>4617.2</v>
          </cell>
          <cell r="G6801">
            <v>0</v>
          </cell>
          <cell r="H6801">
            <v>0</v>
          </cell>
          <cell r="I6801">
            <v>0</v>
          </cell>
          <cell r="J6801">
            <v>0</v>
          </cell>
          <cell r="K6801">
            <v>0</v>
          </cell>
          <cell r="L6801">
            <v>0</v>
          </cell>
        </row>
        <row r="6802">
          <cell r="A6802" t="str">
            <v>20211.10246</v>
          </cell>
          <cell r="B6802" t="str">
            <v>PATIN DE PALIER</v>
          </cell>
          <cell r="C6802" t="str">
            <v>ZG85307.3-01  TURBINE TYPE SST-400 ATP3 CE 190L-1 SERIE T6453 PLAN ZG041922.0 REP51</v>
          </cell>
          <cell r="D6802" t="str">
            <v>PE</v>
          </cell>
          <cell r="E6802" t="str">
            <v>512.51201</v>
          </cell>
          <cell r="F6802">
            <v>27386.98</v>
          </cell>
          <cell r="G6802">
            <v>0</v>
          </cell>
          <cell r="H6802">
            <v>0</v>
          </cell>
          <cell r="I6802">
            <v>0</v>
          </cell>
          <cell r="J6802">
            <v>0</v>
          </cell>
          <cell r="K6802">
            <v>0</v>
          </cell>
          <cell r="L6802">
            <v>0</v>
          </cell>
        </row>
        <row r="6803">
          <cell r="A6803" t="str">
            <v>20211.10247</v>
          </cell>
          <cell r="B6803" t="str">
            <v>PATIN DE PALIER</v>
          </cell>
          <cell r="C6803" t="str">
            <v>ZG85309.3-01  TURBINE TYPE SST-400 ATP3 CE 190L-1 SERIE T6453 PLAN ZG041492.0 REP52</v>
          </cell>
          <cell r="D6803" t="str">
            <v>PE</v>
          </cell>
          <cell r="E6803" t="str">
            <v>512.51201</v>
          </cell>
          <cell r="F6803">
            <v>15415.24</v>
          </cell>
          <cell r="G6803">
            <v>0</v>
          </cell>
          <cell r="H6803">
            <v>0</v>
          </cell>
          <cell r="I6803">
            <v>0</v>
          </cell>
          <cell r="J6803">
            <v>0</v>
          </cell>
          <cell r="K6803">
            <v>0</v>
          </cell>
          <cell r="L6803">
            <v>0</v>
          </cell>
        </row>
        <row r="6804">
          <cell r="A6804" t="str">
            <v>20211.10248</v>
          </cell>
          <cell r="B6804" t="str">
            <v>BAGUE</v>
          </cell>
          <cell r="C6804" t="str">
            <v>ZG86030.3-06  TURBINE TYPE SST-400 ATP3 CE 190L-1 SERIE T6453 PLAN ZG044573.0 REP7</v>
          </cell>
          <cell r="D6804" t="str">
            <v>PE</v>
          </cell>
          <cell r="E6804" t="str">
            <v>512.51201</v>
          </cell>
          <cell r="F6804">
            <v>43740.21</v>
          </cell>
          <cell r="G6804">
            <v>0</v>
          </cell>
          <cell r="H6804">
            <v>0</v>
          </cell>
          <cell r="I6804">
            <v>0</v>
          </cell>
          <cell r="J6804">
            <v>0</v>
          </cell>
          <cell r="K6804">
            <v>0</v>
          </cell>
          <cell r="L6804">
            <v>0</v>
          </cell>
        </row>
        <row r="6805">
          <cell r="A6805" t="str">
            <v>20211.10237</v>
          </cell>
          <cell r="B6805" t="str">
            <v>POMPE AHUILE SANS MOTEUR</v>
          </cell>
          <cell r="C6805" t="str">
            <v>LV62380-01    TURBINE TYPE SST-400 ATP3 CE 190L-1 SERIE T6453</v>
          </cell>
          <cell r="D6805" t="str">
            <v>PE</v>
          </cell>
          <cell r="E6805" t="str">
            <v>512.51201</v>
          </cell>
          <cell r="F6805">
            <v>962435</v>
          </cell>
          <cell r="G6805">
            <v>0</v>
          </cell>
          <cell r="H6805">
            <v>1</v>
          </cell>
          <cell r="I6805">
            <v>0</v>
          </cell>
          <cell r="J6805">
            <v>0</v>
          </cell>
          <cell r="K6805">
            <v>0</v>
          </cell>
          <cell r="L6805">
            <v>0</v>
          </cell>
        </row>
        <row r="6806">
          <cell r="A6806" t="str">
            <v>20211.10238</v>
          </cell>
          <cell r="B6806" t="str">
            <v>ELEMENT DE PLAN DE JOINT</v>
          </cell>
          <cell r="C6806" t="str">
            <v>ST267404  TURBINE TYPE SST-400 ATP3 CE 190L-1 SERIE T6453 PLAN ZG078249.3</v>
          </cell>
          <cell r="D6806" t="str">
            <v>PE</v>
          </cell>
          <cell r="E6806" t="str">
            <v>512.51201</v>
          </cell>
          <cell r="F6806">
            <v>3678.24</v>
          </cell>
          <cell r="G6806">
            <v>0</v>
          </cell>
          <cell r="H6806">
            <v>0</v>
          </cell>
          <cell r="I6806">
            <v>0</v>
          </cell>
          <cell r="J6806">
            <v>0</v>
          </cell>
          <cell r="K6806">
            <v>0</v>
          </cell>
          <cell r="L6806">
            <v>0</v>
          </cell>
        </row>
        <row r="6807">
          <cell r="A6807" t="str">
            <v>20211.10239</v>
          </cell>
          <cell r="B6807" t="str">
            <v>RESSORT A LAMES</v>
          </cell>
          <cell r="C6807" t="str">
            <v>ZG102778.4-01  TURBINE TYPE SST-400 ATP3 CE 190L-1 SERIE T6453 PLAN ZG048003.0 REP22</v>
          </cell>
          <cell r="D6807" t="str">
            <v>PE</v>
          </cell>
          <cell r="E6807" t="str">
            <v>512.51201</v>
          </cell>
          <cell r="F6807">
            <v>8842.52</v>
          </cell>
          <cell r="G6807">
            <v>0</v>
          </cell>
          <cell r="H6807">
            <v>0</v>
          </cell>
          <cell r="I6807">
            <v>0</v>
          </cell>
          <cell r="J6807">
            <v>0</v>
          </cell>
          <cell r="K6807">
            <v>0</v>
          </cell>
          <cell r="L6807">
            <v>0</v>
          </cell>
        </row>
        <row r="6808">
          <cell r="A6808" t="str">
            <v>20211.10391</v>
          </cell>
          <cell r="B6808" t="str">
            <v>ELEMENT DE PLAN DE JOINT</v>
          </cell>
          <cell r="C6808" t="str">
            <v>ST267404  TURBINE TYPE SST-400 ATP3 CE 190L-1 SERIE T6453 PLAN ZG078249.3</v>
          </cell>
          <cell r="D6808" t="str">
            <v>PE</v>
          </cell>
          <cell r="E6808" t="str">
            <v>512.51201</v>
          </cell>
          <cell r="F6808">
            <v>3678.24</v>
          </cell>
          <cell r="G6808">
            <v>0</v>
          </cell>
          <cell r="H6808">
            <v>0</v>
          </cell>
          <cell r="I6808">
            <v>0</v>
          </cell>
          <cell r="J6808">
            <v>0</v>
          </cell>
          <cell r="K6808">
            <v>0</v>
          </cell>
          <cell r="L6808">
            <v>2</v>
          </cell>
        </row>
        <row r="6809">
          <cell r="A6809" t="str">
            <v>20211.10254</v>
          </cell>
          <cell r="B6809" t="str">
            <v>JOINT TORIQUE</v>
          </cell>
          <cell r="C6809" t="str">
            <v>KN135285  TURBINE TYPE SST-400 ATP3 CE 190L-1 SERIE T6453 PLAN ZG041661.0 REP56</v>
          </cell>
          <cell r="D6809" t="str">
            <v>PE</v>
          </cell>
          <cell r="E6809" t="str">
            <v>512.51201</v>
          </cell>
          <cell r="F6809">
            <v>313.31</v>
          </cell>
          <cell r="G6809">
            <v>0</v>
          </cell>
          <cell r="H6809">
            <v>0</v>
          </cell>
          <cell r="I6809">
            <v>0</v>
          </cell>
          <cell r="J6809">
            <v>0</v>
          </cell>
          <cell r="K6809">
            <v>0</v>
          </cell>
          <cell r="L6809">
            <v>0</v>
          </cell>
        </row>
        <row r="6810">
          <cell r="A6810" t="str">
            <v>20211.10255</v>
          </cell>
          <cell r="B6810" t="str">
            <v>BOULON HEXAGONAL</v>
          </cell>
          <cell r="C6810" t="str">
            <v>KN143362  TURBINE TYPE SST-400 ATP3 CE 190L-1 SERIE T6453 PLAN ZG055619.1 REP9</v>
          </cell>
          <cell r="D6810" t="str">
            <v>PE</v>
          </cell>
          <cell r="E6810" t="str">
            <v>512.51201</v>
          </cell>
          <cell r="F6810">
            <v>1644.15</v>
          </cell>
          <cell r="G6810">
            <v>0</v>
          </cell>
          <cell r="H6810">
            <v>0</v>
          </cell>
          <cell r="I6810">
            <v>0</v>
          </cell>
          <cell r="J6810">
            <v>0</v>
          </cell>
          <cell r="K6810">
            <v>0</v>
          </cell>
          <cell r="L6810">
            <v>0</v>
          </cell>
        </row>
        <row r="6811">
          <cell r="A6811" t="str">
            <v>20211.10256</v>
          </cell>
          <cell r="B6811" t="str">
            <v>BOULON HEXAGONAL</v>
          </cell>
          <cell r="C6811" t="str">
            <v>KN20198  TURBINE TYPE SST-400 ATP3 CE 190L-1 SERIE T6453 PLAN ZG052978.1 REP21</v>
          </cell>
          <cell r="D6811" t="str">
            <v>PE</v>
          </cell>
          <cell r="E6811" t="str">
            <v>512.51201</v>
          </cell>
          <cell r="F6811">
            <v>7.76</v>
          </cell>
          <cell r="G6811">
            <v>0</v>
          </cell>
          <cell r="H6811">
            <v>0</v>
          </cell>
          <cell r="I6811">
            <v>0</v>
          </cell>
          <cell r="J6811">
            <v>0</v>
          </cell>
          <cell r="K6811">
            <v>0</v>
          </cell>
          <cell r="L6811">
            <v>0</v>
          </cell>
        </row>
        <row r="6812">
          <cell r="A6812" t="str">
            <v>20211.10257</v>
          </cell>
          <cell r="B6812" t="str">
            <v>BOULON HEXAGONAL</v>
          </cell>
          <cell r="C6812" t="str">
            <v>KN20206  TURBINE TYPE SST-400 ATP3 CE 190L-1 SERIE T6453 PLAN ZG046138.0 REP20</v>
          </cell>
          <cell r="D6812" t="str">
            <v>PE</v>
          </cell>
          <cell r="E6812" t="str">
            <v>512.51201</v>
          </cell>
          <cell r="F6812">
            <v>78.569999999999993</v>
          </cell>
          <cell r="G6812">
            <v>0</v>
          </cell>
          <cell r="H6812">
            <v>0</v>
          </cell>
          <cell r="I6812">
            <v>0</v>
          </cell>
          <cell r="J6812">
            <v>0</v>
          </cell>
          <cell r="K6812">
            <v>0</v>
          </cell>
          <cell r="L6812">
            <v>0</v>
          </cell>
        </row>
        <row r="6813">
          <cell r="A6813" t="str">
            <v>20211.10253</v>
          </cell>
          <cell r="B6813" t="str">
            <v>RONDELLE JOINT</v>
          </cell>
          <cell r="C6813" t="str">
            <v>KN114157  TURBINE TYPE SST-400 ATP3 CE 190L-1 SERIE T6453 PLAN 1CW0052145 REP76-77-78</v>
          </cell>
          <cell r="D6813" t="str">
            <v>PE</v>
          </cell>
          <cell r="E6813" t="str">
            <v>512.51201</v>
          </cell>
          <cell r="F6813">
            <v>626.62</v>
          </cell>
          <cell r="G6813">
            <v>0</v>
          </cell>
          <cell r="H6813">
            <v>0</v>
          </cell>
          <cell r="I6813">
            <v>0</v>
          </cell>
          <cell r="J6813">
            <v>0</v>
          </cell>
          <cell r="K6813">
            <v>0</v>
          </cell>
          <cell r="L6813">
            <v>0</v>
          </cell>
        </row>
        <row r="6814">
          <cell r="A6814" t="str">
            <v>20211.10413</v>
          </cell>
          <cell r="B6814" t="str">
            <v>GARNITURE LABYRINTE</v>
          </cell>
          <cell r="C6814" t="str">
            <v>ST320363  TURBINE TYPE SST-400 ATP3 CE 190L-1 SERIE T6453 PLAN ZG047998.0 REP31-34</v>
          </cell>
          <cell r="D6814" t="str">
            <v>PE</v>
          </cell>
          <cell r="E6814" t="str">
            <v>512.51201</v>
          </cell>
          <cell r="F6814">
            <v>17136.990000000002</v>
          </cell>
          <cell r="G6814">
            <v>0</v>
          </cell>
          <cell r="H6814">
            <v>0</v>
          </cell>
          <cell r="I6814">
            <v>0</v>
          </cell>
          <cell r="J6814">
            <v>0</v>
          </cell>
          <cell r="K6814">
            <v>0</v>
          </cell>
          <cell r="L6814">
            <v>0</v>
          </cell>
        </row>
        <row r="6815">
          <cell r="A6815" t="str">
            <v>20211.10411</v>
          </cell>
          <cell r="B6815" t="str">
            <v>GARNITURE LABYRINTE</v>
          </cell>
          <cell r="C6815" t="str">
            <v>ST320361  TURBINE TYPE SST-400 ATP3 CE 190L-1 SERIE T6453 PLAN ZG047997.0 REP31-38</v>
          </cell>
          <cell r="D6815" t="str">
            <v>PE</v>
          </cell>
          <cell r="E6815" t="str">
            <v>512.51201</v>
          </cell>
          <cell r="F6815">
            <v>31221.39</v>
          </cell>
          <cell r="G6815">
            <v>0</v>
          </cell>
          <cell r="H6815">
            <v>0</v>
          </cell>
          <cell r="I6815">
            <v>0</v>
          </cell>
          <cell r="J6815">
            <v>0</v>
          </cell>
          <cell r="K6815">
            <v>0</v>
          </cell>
          <cell r="L6815">
            <v>0</v>
          </cell>
        </row>
        <row r="6816">
          <cell r="A6816" t="str">
            <v>20211.10263</v>
          </cell>
          <cell r="B6816" t="str">
            <v>ECROU HEXAGONAL</v>
          </cell>
          <cell r="C6816" t="str">
            <v>KN25379  TURBINE TYPE SST-400 ATP3 CE 190L-1 SERIE T6453 PLAN ZG47997.0 REP6</v>
          </cell>
          <cell r="D6816" t="str">
            <v>PE</v>
          </cell>
          <cell r="E6816" t="str">
            <v>512.51201</v>
          </cell>
          <cell r="F6816">
            <v>78.569999999999993</v>
          </cell>
          <cell r="G6816">
            <v>0</v>
          </cell>
          <cell r="H6816">
            <v>0</v>
          </cell>
          <cell r="I6816">
            <v>0</v>
          </cell>
          <cell r="J6816">
            <v>0</v>
          </cell>
          <cell r="K6816">
            <v>0</v>
          </cell>
          <cell r="L6816">
            <v>4</v>
          </cell>
        </row>
        <row r="6817">
          <cell r="A6817" t="str">
            <v>20211.10264</v>
          </cell>
          <cell r="B6817" t="str">
            <v>ECROU HEXAGONAL</v>
          </cell>
          <cell r="C6817" t="str">
            <v>KN25593  TURBINE TYPE SST-400 ATP3 CE 190L-1 SERIE T6453 PLAN ZG044573.0 REP26</v>
          </cell>
          <cell r="D6817" t="str">
            <v>PE</v>
          </cell>
          <cell r="E6817" t="str">
            <v>512.51201</v>
          </cell>
          <cell r="F6817">
            <v>235.71</v>
          </cell>
          <cell r="G6817">
            <v>0</v>
          </cell>
          <cell r="H6817">
            <v>0</v>
          </cell>
          <cell r="I6817">
            <v>0</v>
          </cell>
          <cell r="J6817">
            <v>0</v>
          </cell>
          <cell r="K6817">
            <v>0</v>
          </cell>
          <cell r="L6817">
            <v>0</v>
          </cell>
        </row>
        <row r="6818">
          <cell r="A6818" t="str">
            <v>20211.10265</v>
          </cell>
          <cell r="B6818" t="str">
            <v>RONDELLE A10,5</v>
          </cell>
          <cell r="C6818" t="str">
            <v>KN26807  TURBINE TYPE SST-400 ATP3 CE 190L-1 SERIE T6453 PLAN ZG47997.0 REP7</v>
          </cell>
          <cell r="D6818" t="str">
            <v>PE</v>
          </cell>
          <cell r="E6818" t="str">
            <v>512.51201</v>
          </cell>
          <cell r="F6818">
            <v>78.569999999999993</v>
          </cell>
          <cell r="G6818">
            <v>0</v>
          </cell>
          <cell r="H6818">
            <v>0</v>
          </cell>
          <cell r="I6818">
            <v>0</v>
          </cell>
          <cell r="J6818">
            <v>0</v>
          </cell>
          <cell r="K6818">
            <v>0</v>
          </cell>
          <cell r="L6818">
            <v>0</v>
          </cell>
        </row>
        <row r="6819">
          <cell r="A6819" t="str">
            <v>20211.10266</v>
          </cell>
          <cell r="B6819" t="str">
            <v>RONDELLE A13</v>
          </cell>
          <cell r="C6819" t="str">
            <v>KN26815  TURBINE TYPE SST-400 ATP3 CE 190L-1 SERIE T6453 PLAN ZG048122.0 REP7</v>
          </cell>
          <cell r="D6819" t="str">
            <v>PE</v>
          </cell>
          <cell r="E6819" t="str">
            <v>512.51201</v>
          </cell>
          <cell r="F6819">
            <v>78.569999999999993</v>
          </cell>
          <cell r="G6819">
            <v>0</v>
          </cell>
          <cell r="H6819">
            <v>0</v>
          </cell>
          <cell r="I6819">
            <v>0</v>
          </cell>
          <cell r="J6819">
            <v>0</v>
          </cell>
          <cell r="K6819">
            <v>2</v>
          </cell>
          <cell r="L6819">
            <v>0</v>
          </cell>
        </row>
        <row r="6820">
          <cell r="A6820" t="str">
            <v>20211.10258</v>
          </cell>
          <cell r="B6820" t="str">
            <v>VIS CYLINDRIQUE</v>
          </cell>
          <cell r="C6820" t="str">
            <v>KN20859  TURBINE TYPE SST-400 ATP3 CE 190L-1 SERIE T6453 PLAN ZG035965.0 REP11</v>
          </cell>
          <cell r="D6820" t="str">
            <v>PE</v>
          </cell>
          <cell r="E6820" t="str">
            <v>512.51201</v>
          </cell>
          <cell r="F6820">
            <v>78.569999999999993</v>
          </cell>
          <cell r="G6820">
            <v>0</v>
          </cell>
          <cell r="H6820">
            <v>0</v>
          </cell>
          <cell r="I6820">
            <v>0</v>
          </cell>
          <cell r="J6820">
            <v>0</v>
          </cell>
          <cell r="K6820">
            <v>0</v>
          </cell>
          <cell r="L6820">
            <v>0</v>
          </cell>
        </row>
        <row r="6821">
          <cell r="A6821" t="str">
            <v>20211.10259</v>
          </cell>
          <cell r="B6821" t="str">
            <v>VIS CYLINDRIQUE</v>
          </cell>
          <cell r="C6821" t="str">
            <v>KN20859  TURBINE TYPE SST-400 ATP3 CE 190L-1 SERIE T6453 PLAN ZG078249.3 REP2</v>
          </cell>
          <cell r="D6821" t="str">
            <v>PE</v>
          </cell>
          <cell r="E6821" t="str">
            <v>512.51201</v>
          </cell>
          <cell r="F6821">
            <v>78.569999999999993</v>
          </cell>
          <cell r="G6821">
            <v>0</v>
          </cell>
          <cell r="H6821">
            <v>0</v>
          </cell>
          <cell r="I6821">
            <v>0</v>
          </cell>
          <cell r="J6821">
            <v>0</v>
          </cell>
          <cell r="K6821">
            <v>0</v>
          </cell>
          <cell r="L6821">
            <v>0</v>
          </cell>
        </row>
        <row r="6822">
          <cell r="A6822" t="str">
            <v>20211.10260</v>
          </cell>
          <cell r="B6822" t="str">
            <v>VIS CYLINDRIQUE</v>
          </cell>
          <cell r="C6822" t="str">
            <v>KN20958  TURBINE TYPE SST-400 ATP3 CE 190L-1 SERIE T6453 PLAN ZG053043.1 REP23</v>
          </cell>
          <cell r="D6822" t="str">
            <v>PE</v>
          </cell>
          <cell r="E6822" t="str">
            <v>512.51201</v>
          </cell>
          <cell r="F6822">
            <v>78.569999999999993</v>
          </cell>
          <cell r="G6822">
            <v>0</v>
          </cell>
          <cell r="H6822">
            <v>0</v>
          </cell>
          <cell r="I6822">
            <v>0</v>
          </cell>
          <cell r="J6822">
            <v>0</v>
          </cell>
          <cell r="K6822">
            <v>0</v>
          </cell>
          <cell r="L6822">
            <v>0</v>
          </cell>
        </row>
        <row r="6823">
          <cell r="A6823" t="str">
            <v>20211.10261</v>
          </cell>
          <cell r="B6823" t="str">
            <v>VIS CYLINDRIQUE</v>
          </cell>
          <cell r="C6823" t="str">
            <v>KN20974  TURBINE TYPE SST-400 ATP3 CE 190L-1 SERIE T6453 PLAN ZG078249.3 REP2</v>
          </cell>
          <cell r="D6823" t="str">
            <v>PE</v>
          </cell>
          <cell r="E6823" t="str">
            <v>512.51201</v>
          </cell>
          <cell r="F6823">
            <v>78.569999999999993</v>
          </cell>
          <cell r="G6823">
            <v>0</v>
          </cell>
          <cell r="H6823">
            <v>0</v>
          </cell>
          <cell r="I6823">
            <v>0</v>
          </cell>
          <cell r="J6823">
            <v>0</v>
          </cell>
          <cell r="K6823">
            <v>0</v>
          </cell>
          <cell r="L6823">
            <v>0</v>
          </cell>
        </row>
        <row r="6824">
          <cell r="A6824" t="str">
            <v>20211.10262</v>
          </cell>
          <cell r="B6824" t="str">
            <v>TIGE FILETEE</v>
          </cell>
          <cell r="C6824" t="str">
            <v>KN22624  TURBINE TYPE SST-400 ATP3 CE 190L-1 SERIE T6453 PLAN ZG044573.0 REP31</v>
          </cell>
          <cell r="D6824" t="str">
            <v>PE</v>
          </cell>
          <cell r="E6824" t="str">
            <v>512.51201</v>
          </cell>
          <cell r="F6824">
            <v>78.569999999999993</v>
          </cell>
          <cell r="G6824">
            <v>0</v>
          </cell>
          <cell r="H6824">
            <v>0</v>
          </cell>
          <cell r="I6824">
            <v>0</v>
          </cell>
          <cell r="J6824">
            <v>0</v>
          </cell>
          <cell r="K6824">
            <v>2</v>
          </cell>
          <cell r="L6824">
            <v>0</v>
          </cell>
        </row>
        <row r="6825">
          <cell r="A6825" t="str">
            <v>20211.10422</v>
          </cell>
          <cell r="B6825" t="str">
            <v>AXE DE GUIDAGE</v>
          </cell>
          <cell r="C6825" t="str">
            <v>ZG101590.4-01 TURBINE TYPE SST-400 ATP3 CE 190L-1 SERIE T6453 PLAN ZG078249.3 REP3</v>
          </cell>
          <cell r="D6825" t="str">
            <v>PE</v>
          </cell>
          <cell r="E6825" t="str">
            <v>512.51201</v>
          </cell>
          <cell r="F6825">
            <v>2269.8000000000002</v>
          </cell>
          <cell r="G6825">
            <v>0</v>
          </cell>
          <cell r="H6825">
            <v>0</v>
          </cell>
          <cell r="I6825">
            <v>0</v>
          </cell>
          <cell r="J6825">
            <v>0</v>
          </cell>
          <cell r="K6825">
            <v>0</v>
          </cell>
          <cell r="L6825">
            <v>0</v>
          </cell>
        </row>
        <row r="6826">
          <cell r="A6826" t="str">
            <v>20211.10424</v>
          </cell>
          <cell r="B6826" t="str">
            <v>FOULOIR GUIDAGE BLINDE</v>
          </cell>
          <cell r="C6826" t="str">
            <v>ZG103745.3-07  TURBINE TYPE SST-400 ATP3 CE 190L-1 SERIE T6453 PLAN ZG046138.0 REP8</v>
          </cell>
          <cell r="D6826" t="str">
            <v>PE</v>
          </cell>
          <cell r="E6826" t="str">
            <v>512.51201</v>
          </cell>
          <cell r="F6826">
            <v>54695.39</v>
          </cell>
          <cell r="G6826">
            <v>0</v>
          </cell>
          <cell r="H6826">
            <v>0</v>
          </cell>
          <cell r="I6826">
            <v>0</v>
          </cell>
          <cell r="J6826">
            <v>0</v>
          </cell>
          <cell r="K6826">
            <v>0</v>
          </cell>
          <cell r="L6826">
            <v>0</v>
          </cell>
        </row>
        <row r="6827">
          <cell r="A6827" t="str">
            <v>20211.10425</v>
          </cell>
          <cell r="B6827" t="str">
            <v>FOULOIR GUIDAGE BLINDE</v>
          </cell>
          <cell r="C6827" t="str">
            <v>ZG103745.3-05  TURBINE TYPE SST-400 ATP3 CE 190L-1 SERIE T6453 PLAN ZG044573.0 REP9</v>
          </cell>
          <cell r="D6827" t="str">
            <v>PE</v>
          </cell>
          <cell r="E6827" t="str">
            <v>512.51201</v>
          </cell>
          <cell r="F6827">
            <v>57824.61</v>
          </cell>
          <cell r="G6827">
            <v>0</v>
          </cell>
          <cell r="H6827">
            <v>0</v>
          </cell>
          <cell r="I6827">
            <v>0</v>
          </cell>
          <cell r="J6827">
            <v>0</v>
          </cell>
          <cell r="K6827">
            <v>0</v>
          </cell>
          <cell r="L6827">
            <v>0</v>
          </cell>
        </row>
        <row r="6828">
          <cell r="A6828" t="str">
            <v>20211.10271</v>
          </cell>
          <cell r="B6828" t="str">
            <v>BAGUE D'ETANCHEITE</v>
          </cell>
          <cell r="C6828" t="str">
            <v>KN29553  TURBINE TYPE SST-400 ATP3 CE 190L-1 SERIE T6453 PLAN ZG048208.0 REP72</v>
          </cell>
          <cell r="D6828" t="str">
            <v>PE</v>
          </cell>
          <cell r="E6828" t="str">
            <v>512.51201</v>
          </cell>
          <cell r="F6828">
            <v>313.31</v>
          </cell>
          <cell r="G6828">
            <v>0</v>
          </cell>
          <cell r="H6828">
            <v>0</v>
          </cell>
          <cell r="I6828">
            <v>0</v>
          </cell>
          <cell r="J6828">
            <v>0</v>
          </cell>
          <cell r="K6828">
            <v>0</v>
          </cell>
          <cell r="L6828">
            <v>1</v>
          </cell>
        </row>
        <row r="6829">
          <cell r="A6829" t="str">
            <v>20211.10272</v>
          </cell>
          <cell r="B6829" t="str">
            <v>GOUPILLE CYLINDRIQUE</v>
          </cell>
          <cell r="C6829" t="str">
            <v>KN29769  TURBINE TYPE SST-400 ATP3 CE 190L-1 SERIE T6453 PLAN ZG044573.0 REP20</v>
          </cell>
          <cell r="D6829" t="str">
            <v>PE</v>
          </cell>
          <cell r="E6829" t="str">
            <v>512.51201</v>
          </cell>
          <cell r="F6829">
            <v>78.569999999999993</v>
          </cell>
          <cell r="G6829">
            <v>0</v>
          </cell>
          <cell r="H6829">
            <v>0</v>
          </cell>
          <cell r="I6829">
            <v>0</v>
          </cell>
          <cell r="J6829">
            <v>0</v>
          </cell>
          <cell r="K6829">
            <v>0</v>
          </cell>
          <cell r="L6829">
            <v>0</v>
          </cell>
        </row>
        <row r="6830">
          <cell r="A6830" t="str">
            <v>20211.10268</v>
          </cell>
          <cell r="B6830" t="str">
            <v>RONDELLE</v>
          </cell>
          <cell r="C6830" t="str">
            <v>KN27466   TURBINE TYPE SST-400 ATP3 CE 190L-1 SERIE T6453 PLAN ZG044573.0 REP28</v>
          </cell>
          <cell r="D6830" t="str">
            <v>PE</v>
          </cell>
          <cell r="E6830" t="str">
            <v>512.51201</v>
          </cell>
          <cell r="F6830">
            <v>78.569999999999993</v>
          </cell>
          <cell r="G6830">
            <v>0</v>
          </cell>
          <cell r="H6830">
            <v>0</v>
          </cell>
          <cell r="I6830">
            <v>0</v>
          </cell>
          <cell r="J6830">
            <v>0</v>
          </cell>
          <cell r="K6830">
            <v>0</v>
          </cell>
          <cell r="L6830">
            <v>8</v>
          </cell>
        </row>
        <row r="6831">
          <cell r="A6831" t="str">
            <v>20211.10269</v>
          </cell>
          <cell r="B6831" t="str">
            <v>RONDELLE EVENTAIL S16</v>
          </cell>
          <cell r="C6831" t="str">
            <v>KN28142  TURBINE TYPE SST-400 ATP3 CE 190L-1 SERIE T6453 PLAN ZG041492.0 REP58</v>
          </cell>
          <cell r="D6831" t="str">
            <v>PE</v>
          </cell>
          <cell r="E6831" t="str">
            <v>512.51201</v>
          </cell>
          <cell r="F6831">
            <v>78.569999999999993</v>
          </cell>
          <cell r="G6831">
            <v>0</v>
          </cell>
          <cell r="H6831">
            <v>0</v>
          </cell>
          <cell r="I6831">
            <v>0</v>
          </cell>
          <cell r="J6831">
            <v>0</v>
          </cell>
          <cell r="K6831">
            <v>0</v>
          </cell>
          <cell r="L6831">
            <v>0</v>
          </cell>
        </row>
        <row r="6832">
          <cell r="A6832" t="str">
            <v>20211.10270</v>
          </cell>
          <cell r="B6832" t="str">
            <v>BAGUE D'ETANCHEITE</v>
          </cell>
          <cell r="C6832" t="str">
            <v>KN29546  TURBINE TYPE SST-400 ATP3 CE 190L-1 SERIE T6453 PLAN ZG048208.0 REP78</v>
          </cell>
          <cell r="D6832" t="str">
            <v>PE</v>
          </cell>
          <cell r="E6832" t="str">
            <v>512.51201</v>
          </cell>
          <cell r="F6832">
            <v>235.71</v>
          </cell>
          <cell r="G6832">
            <v>0</v>
          </cell>
          <cell r="H6832">
            <v>0</v>
          </cell>
          <cell r="I6832">
            <v>0</v>
          </cell>
          <cell r="J6832">
            <v>0</v>
          </cell>
          <cell r="K6832">
            <v>0</v>
          </cell>
          <cell r="L6832">
            <v>0</v>
          </cell>
        </row>
        <row r="6833">
          <cell r="A6833" t="str">
            <v>20211.02546</v>
          </cell>
          <cell r="B6833" t="str">
            <v>CONTACTEUR AUXILIAIRE</v>
          </cell>
          <cell r="C6833" t="str">
            <v>3RH11 22 1AP00</v>
          </cell>
          <cell r="D6833" t="str">
            <v>PE</v>
          </cell>
          <cell r="E6833" t="str">
            <v>512.51201</v>
          </cell>
          <cell r="F6833">
            <v>112.9589</v>
          </cell>
          <cell r="G6833">
            <v>0</v>
          </cell>
          <cell r="H6833">
            <v>0</v>
          </cell>
          <cell r="I6833">
            <v>0</v>
          </cell>
          <cell r="J6833">
            <v>0</v>
          </cell>
          <cell r="K6833">
            <v>0</v>
          </cell>
          <cell r="L6833">
            <v>5</v>
          </cell>
        </row>
        <row r="6834">
          <cell r="A6834" t="str">
            <v>20211.10291</v>
          </cell>
          <cell r="B6834" t="str">
            <v>GOUGON FILETE</v>
          </cell>
          <cell r="C6834" t="str">
            <v>KN365379  TURBINE TYPE SST-400 ATP3 CE 190L-1 SERIE T6453 PLAN ZG055619.1 REP1  KN365379</v>
          </cell>
          <cell r="D6834" t="str">
            <v>PE</v>
          </cell>
          <cell r="E6834" t="str">
            <v>512.51201</v>
          </cell>
          <cell r="F6834">
            <v>21831.79</v>
          </cell>
          <cell r="G6834">
            <v>0</v>
          </cell>
          <cell r="H6834">
            <v>0</v>
          </cell>
          <cell r="I6834">
            <v>0</v>
          </cell>
          <cell r="J6834">
            <v>0</v>
          </cell>
          <cell r="K6834">
            <v>0</v>
          </cell>
          <cell r="L6834">
            <v>0</v>
          </cell>
        </row>
        <row r="6835">
          <cell r="A6835" t="str">
            <v>20211.10292</v>
          </cell>
          <cell r="B6835" t="str">
            <v>GOUGON FILETE</v>
          </cell>
          <cell r="C6835" t="str">
            <v>KN365387 TURBINE TYPE SST-400 ATP3 CE 190L-1 SERIE T6453 PLAN ZG055619.1 REP4</v>
          </cell>
          <cell r="D6835" t="str">
            <v>PE</v>
          </cell>
          <cell r="E6835" t="str">
            <v>512.51201</v>
          </cell>
          <cell r="F6835">
            <v>41080.47</v>
          </cell>
          <cell r="G6835">
            <v>0</v>
          </cell>
          <cell r="H6835">
            <v>0</v>
          </cell>
          <cell r="I6835">
            <v>0</v>
          </cell>
          <cell r="J6835">
            <v>0</v>
          </cell>
          <cell r="K6835">
            <v>0</v>
          </cell>
          <cell r="L6835">
            <v>0</v>
          </cell>
        </row>
        <row r="6836">
          <cell r="A6836" t="str">
            <v>20211.10293</v>
          </cell>
          <cell r="B6836" t="str">
            <v>BOULON TETE PLATE</v>
          </cell>
          <cell r="C6836" t="str">
            <v>KN366088  TURBINE TYPE SST-400 ATP3 CE 190L-1 SERIE T6453 PLAN ZG044841.0</v>
          </cell>
          <cell r="D6836" t="str">
            <v>PE</v>
          </cell>
          <cell r="E6836" t="str">
            <v>512.51201</v>
          </cell>
          <cell r="F6836">
            <v>235.71</v>
          </cell>
          <cell r="G6836">
            <v>0</v>
          </cell>
          <cell r="H6836">
            <v>0</v>
          </cell>
          <cell r="I6836">
            <v>0</v>
          </cell>
          <cell r="J6836">
            <v>0</v>
          </cell>
          <cell r="K6836">
            <v>0</v>
          </cell>
          <cell r="L6836">
            <v>0</v>
          </cell>
        </row>
        <row r="6837">
          <cell r="A6837" t="str">
            <v>20211.10275</v>
          </cell>
          <cell r="B6837" t="str">
            <v>VIS DE FERMETURE</v>
          </cell>
          <cell r="C6837" t="str">
            <v>KN300038  TURBINE TYPE SST-400 ATP3 CE 190L-1 SERIE T6453 PLAN ZG048208.0 REP73</v>
          </cell>
          <cell r="D6837" t="str">
            <v>PE</v>
          </cell>
          <cell r="E6837" t="str">
            <v>512.51201</v>
          </cell>
          <cell r="F6837">
            <v>313.31</v>
          </cell>
          <cell r="G6837">
            <v>0</v>
          </cell>
          <cell r="H6837">
            <v>0</v>
          </cell>
          <cell r="I6837">
            <v>0</v>
          </cell>
          <cell r="J6837">
            <v>0</v>
          </cell>
          <cell r="K6837">
            <v>0</v>
          </cell>
          <cell r="L6837">
            <v>2</v>
          </cell>
        </row>
        <row r="6838">
          <cell r="A6838" t="str">
            <v>20211.10284</v>
          </cell>
          <cell r="B6838" t="str">
            <v>FIL 3</v>
          </cell>
          <cell r="C6838" t="str">
            <v>KN343129  TURBINE TYPE SST-400 ATP3 CE 190L-1 SERIE T6453 PLAN ZG041492.0 REP55</v>
          </cell>
          <cell r="D6838" t="str">
            <v>PE</v>
          </cell>
          <cell r="E6838" t="str">
            <v>512.51201</v>
          </cell>
          <cell r="F6838">
            <v>1487.01</v>
          </cell>
          <cell r="G6838">
            <v>0</v>
          </cell>
          <cell r="H6838">
            <v>0</v>
          </cell>
          <cell r="I6838">
            <v>0</v>
          </cell>
          <cell r="J6838">
            <v>0</v>
          </cell>
          <cell r="K6838">
            <v>0</v>
          </cell>
          <cell r="L6838">
            <v>0</v>
          </cell>
        </row>
        <row r="6839">
          <cell r="A6839" t="str">
            <v>20211.10288</v>
          </cell>
          <cell r="B6839" t="str">
            <v>VIS SANS TETE</v>
          </cell>
          <cell r="C6839" t="str">
            <v>KN344614  TURBINE TYPE SST-400 ATP3 CE 190L-1 SERIE T6453 PLAN ZG041487.0</v>
          </cell>
          <cell r="D6839" t="str">
            <v>PE</v>
          </cell>
          <cell r="E6839" t="str">
            <v>512.51201</v>
          </cell>
          <cell r="F6839">
            <v>157.13999999999999</v>
          </cell>
          <cell r="G6839">
            <v>0</v>
          </cell>
          <cell r="H6839">
            <v>0</v>
          </cell>
          <cell r="I6839">
            <v>0</v>
          </cell>
          <cell r="J6839">
            <v>0</v>
          </cell>
          <cell r="K6839">
            <v>0</v>
          </cell>
          <cell r="L6839">
            <v>0</v>
          </cell>
        </row>
        <row r="6840">
          <cell r="A6840" t="str">
            <v>20211.10290</v>
          </cell>
          <cell r="B6840" t="str">
            <v>AIGUILLE</v>
          </cell>
          <cell r="C6840" t="str">
            <v>KN348912  TURBINE TYPE SST-400 ATP3 CE 190L-1 SERIE T6453 PLAN ZG048003.0 REP21</v>
          </cell>
          <cell r="D6840" t="str">
            <v>PE</v>
          </cell>
          <cell r="E6840" t="str">
            <v>512.51201</v>
          </cell>
          <cell r="F6840">
            <v>78.569999999999993</v>
          </cell>
          <cell r="G6840">
            <v>0</v>
          </cell>
          <cell r="H6840">
            <v>0</v>
          </cell>
          <cell r="I6840">
            <v>0</v>
          </cell>
          <cell r="J6840">
            <v>0</v>
          </cell>
          <cell r="K6840">
            <v>0</v>
          </cell>
          <cell r="L6840">
            <v>0</v>
          </cell>
        </row>
        <row r="6841">
          <cell r="A6841" t="str">
            <v>20211.10458</v>
          </cell>
          <cell r="B6841" t="str">
            <v>DOUILLE</v>
          </cell>
          <cell r="C6841" t="str">
            <v>ZG78245.3-03  TURBINE TYPE SST-400 ATP3 CE 190L-1 SERIE T6453 PLAN ZG078250.3 REP1</v>
          </cell>
          <cell r="D6841" t="str">
            <v>PE</v>
          </cell>
          <cell r="E6841" t="str">
            <v>512.51201</v>
          </cell>
          <cell r="F6841">
            <v>2895.45</v>
          </cell>
          <cell r="G6841">
            <v>0</v>
          </cell>
          <cell r="H6841">
            <v>0</v>
          </cell>
          <cell r="I6841">
            <v>0</v>
          </cell>
          <cell r="J6841">
            <v>0</v>
          </cell>
          <cell r="K6841">
            <v>0</v>
          </cell>
          <cell r="L6841">
            <v>0</v>
          </cell>
        </row>
        <row r="6842">
          <cell r="A6842" t="str">
            <v>20211.10459</v>
          </cell>
          <cell r="B6842" t="str">
            <v>DOUILLE</v>
          </cell>
          <cell r="C6842" t="str">
            <v>ZG78246.3-02  TURBINE TYPE SST-400 ATP3 CE 190L-1 SERIE T6453 PLAN ZG078250.3 REP1</v>
          </cell>
          <cell r="D6842" t="str">
            <v>PE</v>
          </cell>
          <cell r="E6842" t="str">
            <v>512.51201</v>
          </cell>
          <cell r="F6842">
            <v>3052.59</v>
          </cell>
          <cell r="G6842">
            <v>0</v>
          </cell>
          <cell r="H6842">
            <v>0</v>
          </cell>
          <cell r="I6842">
            <v>0</v>
          </cell>
          <cell r="J6842">
            <v>0</v>
          </cell>
          <cell r="K6842">
            <v>0</v>
          </cell>
          <cell r="L6842">
            <v>0</v>
          </cell>
        </row>
        <row r="6843">
          <cell r="A6843" t="str">
            <v>20211.10460</v>
          </cell>
          <cell r="B6843" t="str">
            <v>DOUILLE</v>
          </cell>
          <cell r="C6843" t="str">
            <v>ZG78247.3-02  TURBINE TYPE SST-400 ATP3 CE 190L-1 SERIE T6453 PLAN ZG078250.3 REP3</v>
          </cell>
          <cell r="D6843" t="str">
            <v>PE</v>
          </cell>
          <cell r="E6843" t="str">
            <v>512.51201</v>
          </cell>
          <cell r="F6843">
            <v>4617.2</v>
          </cell>
          <cell r="G6843">
            <v>0</v>
          </cell>
          <cell r="H6843">
            <v>0</v>
          </cell>
          <cell r="I6843">
            <v>0</v>
          </cell>
          <cell r="J6843">
            <v>0</v>
          </cell>
          <cell r="K6843">
            <v>0</v>
          </cell>
          <cell r="L6843">
            <v>0</v>
          </cell>
        </row>
        <row r="6844">
          <cell r="A6844" t="str">
            <v>20211.10461</v>
          </cell>
          <cell r="B6844" t="str">
            <v>DOUILLE G1</v>
          </cell>
          <cell r="C6844" t="str">
            <v>ZG80614.3-01  TURBINE TYPE SST-400 ATP3 CE 190L-1 SERIE T6453 PLAN ZG048208.0 REP71</v>
          </cell>
          <cell r="D6844" t="str">
            <v>PE</v>
          </cell>
          <cell r="E6844" t="str">
            <v>512.51201</v>
          </cell>
          <cell r="F6844">
            <v>5399.99</v>
          </cell>
          <cell r="G6844">
            <v>0</v>
          </cell>
          <cell r="H6844">
            <v>0</v>
          </cell>
          <cell r="I6844">
            <v>0</v>
          </cell>
          <cell r="J6844">
            <v>0</v>
          </cell>
          <cell r="K6844">
            <v>0</v>
          </cell>
          <cell r="L6844">
            <v>0</v>
          </cell>
        </row>
        <row r="6845">
          <cell r="A6845" t="str">
            <v>20211.10437</v>
          </cell>
          <cell r="B6845" t="str">
            <v>BAGUE</v>
          </cell>
          <cell r="C6845" t="str">
            <v>ZG106984.4-01  TURBINE TYPE SST-400 ATP3 CE 190L-1 SERIE T6453 PLAN ZG048208.0 REP40</v>
          </cell>
          <cell r="D6845" t="str">
            <v>PE</v>
          </cell>
          <cell r="E6845" t="str">
            <v>512.51201</v>
          </cell>
          <cell r="F6845">
            <v>2113.63</v>
          </cell>
          <cell r="G6845">
            <v>0</v>
          </cell>
          <cell r="H6845">
            <v>0</v>
          </cell>
          <cell r="I6845">
            <v>0</v>
          </cell>
          <cell r="J6845">
            <v>0</v>
          </cell>
          <cell r="K6845">
            <v>0</v>
          </cell>
          <cell r="L6845">
            <v>1</v>
          </cell>
        </row>
        <row r="6846">
          <cell r="A6846" t="str">
            <v>20211.10456</v>
          </cell>
          <cell r="B6846" t="str">
            <v>AXE DE GUIDAGE</v>
          </cell>
          <cell r="C6846" t="str">
            <v>ZG78242.3-02  TURBINE TYPE SST-400 ATP3 CE 190L-1 SERIE T6453 PLAN ZG078249.3 REP1</v>
          </cell>
          <cell r="D6846" t="str">
            <v>PE</v>
          </cell>
          <cell r="E6846" t="str">
            <v>512.51201</v>
          </cell>
          <cell r="F6846">
            <v>3364.93</v>
          </cell>
          <cell r="G6846">
            <v>0</v>
          </cell>
          <cell r="H6846">
            <v>0</v>
          </cell>
          <cell r="I6846">
            <v>0</v>
          </cell>
          <cell r="J6846">
            <v>0</v>
          </cell>
          <cell r="K6846">
            <v>0</v>
          </cell>
          <cell r="L6846">
            <v>0</v>
          </cell>
        </row>
        <row r="6847">
          <cell r="A6847" t="str">
            <v>20211.10301</v>
          </cell>
          <cell r="B6847" t="str">
            <v>GOUJON FILETE</v>
          </cell>
          <cell r="C6847" t="str">
            <v>KN54320  TURBINE TYPE SST-400 ATP3 CE 190L-1 SERIE T6453 PLAN ZG046138.0 REP15</v>
          </cell>
          <cell r="D6847" t="str">
            <v>PE</v>
          </cell>
          <cell r="E6847" t="str">
            <v>512.51201</v>
          </cell>
          <cell r="F6847">
            <v>470.45</v>
          </cell>
          <cell r="G6847">
            <v>0</v>
          </cell>
          <cell r="H6847">
            <v>0</v>
          </cell>
          <cell r="I6847">
            <v>0</v>
          </cell>
          <cell r="J6847">
            <v>0</v>
          </cell>
          <cell r="K6847">
            <v>0</v>
          </cell>
          <cell r="L6847">
            <v>0</v>
          </cell>
        </row>
        <row r="6848">
          <cell r="A6848" t="str">
            <v>20211.10302</v>
          </cell>
          <cell r="B6848" t="str">
            <v>GOUJON FILETE</v>
          </cell>
          <cell r="C6848" t="str">
            <v>KN54981  TURBINE TYPE SST-400 ATP3 CE 190L-1 SERIE T6453 PLAN ZG048122.0 REP3</v>
          </cell>
          <cell r="D6848" t="str">
            <v>PE</v>
          </cell>
          <cell r="E6848" t="str">
            <v>512.51201</v>
          </cell>
          <cell r="F6848">
            <v>235.71</v>
          </cell>
          <cell r="G6848">
            <v>0</v>
          </cell>
          <cell r="H6848">
            <v>0</v>
          </cell>
          <cell r="I6848">
            <v>0</v>
          </cell>
          <cell r="J6848">
            <v>0</v>
          </cell>
          <cell r="K6848">
            <v>0</v>
          </cell>
          <cell r="L6848">
            <v>0</v>
          </cell>
        </row>
        <row r="6849">
          <cell r="A6849" t="str">
            <v>20211.10312</v>
          </cell>
          <cell r="B6849" t="str">
            <v>THERMOCOUPLE</v>
          </cell>
          <cell r="C6849" t="str">
            <v>LV52271-07  TURBINE TYPE SST-400 ATP3 CE 190L-1 SERIE T6453 PLAN 1CW0052145 REP55</v>
          </cell>
          <cell r="D6849" t="str">
            <v>PE</v>
          </cell>
          <cell r="E6849" t="str">
            <v>512.51201</v>
          </cell>
          <cell r="F6849">
            <v>21205.17</v>
          </cell>
          <cell r="G6849">
            <v>0</v>
          </cell>
          <cell r="H6849">
            <v>0</v>
          </cell>
          <cell r="I6849">
            <v>0</v>
          </cell>
          <cell r="J6849">
            <v>0</v>
          </cell>
          <cell r="K6849">
            <v>0</v>
          </cell>
          <cell r="L6849">
            <v>1</v>
          </cell>
        </row>
        <row r="6850">
          <cell r="A6850" t="str">
            <v>20211.10297</v>
          </cell>
          <cell r="B6850" t="str">
            <v>TIGE FILETEE</v>
          </cell>
          <cell r="C6850" t="str">
            <v>KN388736  TURBINE TYPE SST-400 ATP3 CE 190L-1 SERIE T6453 PLAN ZG048003.0 REP26</v>
          </cell>
          <cell r="D6850" t="str">
            <v>PE</v>
          </cell>
          <cell r="E6850" t="str">
            <v>512.51201</v>
          </cell>
          <cell r="F6850">
            <v>3052.59</v>
          </cell>
          <cell r="G6850">
            <v>0</v>
          </cell>
          <cell r="H6850">
            <v>0</v>
          </cell>
          <cell r="I6850">
            <v>0</v>
          </cell>
          <cell r="J6850">
            <v>0</v>
          </cell>
          <cell r="K6850">
            <v>0</v>
          </cell>
          <cell r="L6850">
            <v>0</v>
          </cell>
        </row>
        <row r="6851">
          <cell r="A6851" t="str">
            <v>20211.10298</v>
          </cell>
          <cell r="B6851" t="str">
            <v>RONDELLE</v>
          </cell>
          <cell r="C6851" t="str">
            <v>KN392669  TURBINE TYPE SST-400 ATP3 CE 190L-1 SERIE T6453 PLAN ZG035965.0 REP10</v>
          </cell>
          <cell r="D6851" t="str">
            <v>PE</v>
          </cell>
          <cell r="E6851" t="str">
            <v>512.51201</v>
          </cell>
          <cell r="F6851">
            <v>23865.88</v>
          </cell>
          <cell r="G6851">
            <v>0</v>
          </cell>
          <cell r="H6851">
            <v>0</v>
          </cell>
          <cell r="I6851">
            <v>0</v>
          </cell>
          <cell r="J6851">
            <v>0</v>
          </cell>
          <cell r="K6851">
            <v>0</v>
          </cell>
          <cell r="L6851">
            <v>0</v>
          </cell>
        </row>
        <row r="6852">
          <cell r="A6852" t="str">
            <v>20211.10299</v>
          </cell>
          <cell r="B6852" t="str">
            <v>GOUPILLE CONIQUE</v>
          </cell>
          <cell r="C6852" t="str">
            <v>KN52860  TURBINE TYPE SST-400 ATP3 CE 190L-1 SERIE T6453 PLAN ZG048122.0 REP5</v>
          </cell>
          <cell r="D6852" t="str">
            <v>PE</v>
          </cell>
          <cell r="E6852" t="str">
            <v>512.51201</v>
          </cell>
          <cell r="F6852">
            <v>235.71</v>
          </cell>
          <cell r="G6852">
            <v>0</v>
          </cell>
          <cell r="H6852">
            <v>0</v>
          </cell>
          <cell r="I6852">
            <v>0</v>
          </cell>
          <cell r="J6852">
            <v>0</v>
          </cell>
          <cell r="K6852">
            <v>0</v>
          </cell>
          <cell r="L6852">
            <v>5</v>
          </cell>
        </row>
        <row r="6853">
          <cell r="A6853" t="str">
            <v>20211.10300</v>
          </cell>
          <cell r="B6853" t="str">
            <v>ECROU HEXAGONAL</v>
          </cell>
          <cell r="C6853" t="str">
            <v>KN54098  TURBINE TYPE SST-400 ATP3 CE 190L-1 SERIE T6453 PLAN ZG046138.0 REP16</v>
          </cell>
          <cell r="D6853" t="str">
            <v>PE</v>
          </cell>
          <cell r="E6853" t="str">
            <v>512.51201</v>
          </cell>
          <cell r="F6853">
            <v>391.88</v>
          </cell>
          <cell r="G6853">
            <v>0</v>
          </cell>
          <cell r="H6853">
            <v>0</v>
          </cell>
          <cell r="I6853">
            <v>0</v>
          </cell>
          <cell r="J6853">
            <v>0</v>
          </cell>
          <cell r="K6853">
            <v>0</v>
          </cell>
          <cell r="L6853">
            <v>0</v>
          </cell>
        </row>
        <row r="6854">
          <cell r="A6854" t="str">
            <v>20211.10467</v>
          </cell>
          <cell r="B6854" t="str">
            <v>BAGUE</v>
          </cell>
          <cell r="C6854" t="str">
            <v>ZG86814.3-01  TURBINE TYPE SST-400 ATP3 CE 190L-1 SERIE T6453 PLAN ZG041487.0</v>
          </cell>
          <cell r="D6854" t="str">
            <v>PE</v>
          </cell>
          <cell r="E6854" t="str">
            <v>512.51201</v>
          </cell>
          <cell r="F6854">
            <v>35289.57</v>
          </cell>
          <cell r="G6854">
            <v>0</v>
          </cell>
          <cell r="H6854">
            <v>0</v>
          </cell>
          <cell r="I6854">
            <v>0</v>
          </cell>
          <cell r="J6854">
            <v>0</v>
          </cell>
          <cell r="K6854">
            <v>0</v>
          </cell>
          <cell r="L6854">
            <v>0</v>
          </cell>
        </row>
        <row r="6855">
          <cell r="A6855" t="str">
            <v>20211.10468</v>
          </cell>
          <cell r="B6855" t="str">
            <v>BAGUE</v>
          </cell>
          <cell r="C6855" t="str">
            <v>ZG86884.3-03 TURBINE TYPE SST-400 ATP3 CE 190L-1 SERIE T6453 PLAN ZG044573.0 REP17</v>
          </cell>
          <cell r="D6855" t="str">
            <v>PE</v>
          </cell>
          <cell r="E6855" t="str">
            <v>512.51201</v>
          </cell>
          <cell r="F6855">
            <v>35289.57</v>
          </cell>
          <cell r="G6855">
            <v>0</v>
          </cell>
          <cell r="H6855">
            <v>0</v>
          </cell>
          <cell r="I6855">
            <v>0</v>
          </cell>
          <cell r="J6855">
            <v>0</v>
          </cell>
          <cell r="K6855">
            <v>0</v>
          </cell>
          <cell r="L6855">
            <v>0</v>
          </cell>
        </row>
        <row r="6856">
          <cell r="A6856" t="str">
            <v>20211.10462</v>
          </cell>
          <cell r="B6856" t="str">
            <v>PATIN DE PALIER</v>
          </cell>
          <cell r="C6856" t="str">
            <v>ZG85307.3-01  TURBINE TYPE SST-400 ATP3 CE 190L-1 SERIE T6453 PLAN ZG041661.0 REP51</v>
          </cell>
          <cell r="D6856" t="str">
            <v>PE</v>
          </cell>
          <cell r="E6856" t="str">
            <v>512.51201</v>
          </cell>
          <cell r="F6856">
            <v>27386.98</v>
          </cell>
          <cell r="G6856">
            <v>0</v>
          </cell>
          <cell r="H6856">
            <v>0</v>
          </cell>
          <cell r="I6856">
            <v>0</v>
          </cell>
          <cell r="J6856">
            <v>0</v>
          </cell>
          <cell r="K6856">
            <v>0</v>
          </cell>
          <cell r="L6856">
            <v>0</v>
          </cell>
        </row>
        <row r="6857">
          <cell r="A6857" t="str">
            <v>20211.10463</v>
          </cell>
          <cell r="B6857" t="str">
            <v>PATIN DE PALIER</v>
          </cell>
          <cell r="C6857" t="str">
            <v>ZG85308.3-01  TURBINE TYPE SST-400 ATP3 CE 190L-1 SERIE T6453 PLAN ZG041922.0 REP52</v>
          </cell>
          <cell r="D6857" t="str">
            <v>PE</v>
          </cell>
          <cell r="E6857" t="str">
            <v>512.51201</v>
          </cell>
          <cell r="F6857">
            <v>30751.91</v>
          </cell>
          <cell r="G6857">
            <v>0</v>
          </cell>
          <cell r="H6857">
            <v>0</v>
          </cell>
          <cell r="I6857">
            <v>0</v>
          </cell>
          <cell r="J6857">
            <v>0</v>
          </cell>
          <cell r="K6857">
            <v>0</v>
          </cell>
          <cell r="L6857">
            <v>0</v>
          </cell>
        </row>
        <row r="6858">
          <cell r="A6858" t="str">
            <v>20211.10465</v>
          </cell>
          <cell r="B6858" t="str">
            <v>DOUILLE</v>
          </cell>
          <cell r="C6858" t="str">
            <v>ZG85997.3-10  TURBINE TYPE SST-400 ATP3 CE 190L-1 SERIE T6453 PLAN ZG044573.0 REP12</v>
          </cell>
          <cell r="D6858" t="str">
            <v>PE</v>
          </cell>
          <cell r="E6858" t="str">
            <v>512.51201</v>
          </cell>
          <cell r="F6858">
            <v>21362.31</v>
          </cell>
          <cell r="G6858">
            <v>0</v>
          </cell>
          <cell r="H6858">
            <v>0</v>
          </cell>
          <cell r="I6858">
            <v>0</v>
          </cell>
          <cell r="J6858">
            <v>0</v>
          </cell>
          <cell r="K6858">
            <v>0</v>
          </cell>
          <cell r="L6858">
            <v>0</v>
          </cell>
        </row>
        <row r="6859">
          <cell r="A6859" t="str">
            <v>20211.10319</v>
          </cell>
          <cell r="B6859" t="str">
            <v>CONVERTISSEUR</v>
          </cell>
          <cell r="C6859" t="str">
            <v>LV52881-06   TURBINE TYPE SST-400 ATP3 CE 190L-1 SERIE T6453 PLAN 1CW0052145 REP42-52</v>
          </cell>
          <cell r="D6859" t="str">
            <v>PE</v>
          </cell>
          <cell r="E6859" t="str">
            <v>512.51201</v>
          </cell>
          <cell r="F6859">
            <v>18701.599999999999</v>
          </cell>
          <cell r="G6859">
            <v>0</v>
          </cell>
          <cell r="H6859">
            <v>0</v>
          </cell>
          <cell r="I6859">
            <v>0</v>
          </cell>
          <cell r="J6859">
            <v>0</v>
          </cell>
          <cell r="K6859">
            <v>0</v>
          </cell>
          <cell r="L6859">
            <v>0</v>
          </cell>
        </row>
        <row r="6860">
          <cell r="A6860" t="str">
            <v>20211.10320</v>
          </cell>
          <cell r="B6860" t="str">
            <v>BAGUE DE GARNITURE</v>
          </cell>
          <cell r="C6860" t="str">
            <v>LV54303-01  TURBINE TYPE SST-400 ATP3 CE 190L-1 SERIE T6453 PLAN ZG046138.0 REP14</v>
          </cell>
          <cell r="D6860" t="str">
            <v>PE</v>
          </cell>
          <cell r="E6860" t="str">
            <v>512.51201</v>
          </cell>
          <cell r="F6860">
            <v>8998.69</v>
          </cell>
          <cell r="G6860">
            <v>0</v>
          </cell>
          <cell r="H6860">
            <v>0</v>
          </cell>
          <cell r="I6860">
            <v>0</v>
          </cell>
          <cell r="J6860">
            <v>0</v>
          </cell>
          <cell r="K6860">
            <v>0</v>
          </cell>
          <cell r="L6860">
            <v>0</v>
          </cell>
        </row>
        <row r="6861">
          <cell r="A6861" t="str">
            <v>20211.10313</v>
          </cell>
          <cell r="B6861" t="str">
            <v>BAGUE DE GARNITURE</v>
          </cell>
          <cell r="C6861" t="str">
            <v>LV52768-01  TURBINE TYPE SST-400 ATP3 CE 190L-1 SERIE T6453 PLAN ZG052978.1 REP8</v>
          </cell>
          <cell r="D6861" t="str">
            <v>PE</v>
          </cell>
          <cell r="E6861" t="str">
            <v>512.51201</v>
          </cell>
          <cell r="F6861">
            <v>15415.24</v>
          </cell>
          <cell r="G6861">
            <v>0</v>
          </cell>
          <cell r="H6861">
            <v>0</v>
          </cell>
          <cell r="I6861">
            <v>0</v>
          </cell>
          <cell r="J6861">
            <v>0</v>
          </cell>
          <cell r="K6861">
            <v>0</v>
          </cell>
          <cell r="L6861">
            <v>0</v>
          </cell>
        </row>
        <row r="6862">
          <cell r="A6862" t="str">
            <v>20211.10315</v>
          </cell>
          <cell r="B6862" t="str">
            <v>BAGUE DE GARNITURE</v>
          </cell>
          <cell r="C6862" t="str">
            <v>LV52768-05  TURBINE TYPE SST-400 ATP3 CE 190L-1 SERIE T6453 PLAN ZG053043.1 REP8</v>
          </cell>
          <cell r="D6862" t="str">
            <v>PE</v>
          </cell>
          <cell r="E6862" t="str">
            <v>512.51201</v>
          </cell>
          <cell r="F6862">
            <v>15415.24</v>
          </cell>
          <cell r="G6862">
            <v>0</v>
          </cell>
          <cell r="H6862">
            <v>0</v>
          </cell>
          <cell r="I6862">
            <v>0</v>
          </cell>
          <cell r="J6862">
            <v>0</v>
          </cell>
          <cell r="K6862">
            <v>0</v>
          </cell>
          <cell r="L6862">
            <v>0</v>
          </cell>
        </row>
        <row r="6863">
          <cell r="A6863" t="str">
            <v>20211.10316</v>
          </cell>
          <cell r="B6863" t="str">
            <v>ELEMENT FILTRANT</v>
          </cell>
          <cell r="C6863" t="str">
            <v>LV52800-80  TURBINE TYPE SST-400 ATP3 CE 190L-1 SERIE T6453 PLAN W0049903</v>
          </cell>
          <cell r="D6863" t="str">
            <v>PE</v>
          </cell>
          <cell r="E6863" t="str">
            <v>512.51201</v>
          </cell>
          <cell r="F6863">
            <v>45305.79</v>
          </cell>
          <cell r="G6863">
            <v>0</v>
          </cell>
          <cell r="H6863">
            <v>0</v>
          </cell>
          <cell r="I6863">
            <v>0</v>
          </cell>
          <cell r="J6863">
            <v>0</v>
          </cell>
          <cell r="K6863">
            <v>0</v>
          </cell>
          <cell r="L6863">
            <v>0</v>
          </cell>
        </row>
        <row r="6864">
          <cell r="A6864" t="str">
            <v>20211.10317</v>
          </cell>
          <cell r="B6864" t="str">
            <v>JOINT DE COUVERCLE</v>
          </cell>
          <cell r="C6864" t="str">
            <v>LV52800-81  TURBINE TYPE SST-400 ATP3 CE 190L-1 SERIE T6453 PLAN 1CW0049903</v>
          </cell>
          <cell r="D6864" t="str">
            <v>PE</v>
          </cell>
          <cell r="E6864" t="str">
            <v>512.51201</v>
          </cell>
          <cell r="F6864">
            <v>2739.28</v>
          </cell>
          <cell r="G6864">
            <v>0</v>
          </cell>
          <cell r="H6864">
            <v>0</v>
          </cell>
          <cell r="I6864">
            <v>0</v>
          </cell>
          <cell r="J6864">
            <v>0</v>
          </cell>
          <cell r="K6864">
            <v>0</v>
          </cell>
          <cell r="L6864">
            <v>0</v>
          </cell>
        </row>
        <row r="6865">
          <cell r="A6865" t="str">
            <v>20211.10326</v>
          </cell>
          <cell r="B6865" t="str">
            <v>MESURE DE COURSE ELECT AVEC JOINT</v>
          </cell>
          <cell r="C6865" t="str">
            <v>LV56300-17   TURBINE TYPE SST-400 ATP3 CE 190L-1 SERIE T6453 PLAN A412141  REP E3</v>
          </cell>
          <cell r="D6865" t="str">
            <v>PE</v>
          </cell>
          <cell r="E6865" t="str">
            <v>512.51201</v>
          </cell>
          <cell r="F6865">
            <v>100077.8</v>
          </cell>
          <cell r="G6865">
            <v>0</v>
          </cell>
          <cell r="H6865">
            <v>0</v>
          </cell>
          <cell r="I6865">
            <v>0</v>
          </cell>
          <cell r="J6865">
            <v>0</v>
          </cell>
          <cell r="K6865">
            <v>0</v>
          </cell>
          <cell r="L6865">
            <v>0</v>
          </cell>
        </row>
        <row r="6866">
          <cell r="A6866" t="str">
            <v>20211.10327</v>
          </cell>
          <cell r="B6866" t="str">
            <v>JEU DE JOINTS</v>
          </cell>
          <cell r="C6866" t="str">
            <v>LV56300-18  TURBINE TYPE SST-400 ATP3 CE 190L-1 SERIE T6453 PLAN A412141  REP E4</v>
          </cell>
          <cell r="D6866" t="str">
            <v>PE</v>
          </cell>
          <cell r="E6866" t="str">
            <v>512.51201</v>
          </cell>
          <cell r="F6866">
            <v>20110.04</v>
          </cell>
          <cell r="G6866">
            <v>0</v>
          </cell>
          <cell r="H6866">
            <v>0</v>
          </cell>
          <cell r="I6866">
            <v>0</v>
          </cell>
          <cell r="J6866">
            <v>0</v>
          </cell>
          <cell r="K6866">
            <v>0</v>
          </cell>
          <cell r="L6866">
            <v>0</v>
          </cell>
        </row>
        <row r="6867">
          <cell r="A6867" t="str">
            <v>20211.10328</v>
          </cell>
          <cell r="B6867" t="str">
            <v>THERMOMETRE A RESISTANCE</v>
          </cell>
          <cell r="C6867" t="str">
            <v>LV57275-01  TURBINE TYPE SST-400 ATP3 CE 190L-1 SERIE T6453 PLAN 1CW0052145 REP68</v>
          </cell>
          <cell r="D6867" t="str">
            <v>PE</v>
          </cell>
          <cell r="E6867" t="str">
            <v>512.51201</v>
          </cell>
          <cell r="F6867">
            <v>19327.25</v>
          </cell>
          <cell r="G6867">
            <v>0</v>
          </cell>
          <cell r="H6867">
            <v>0</v>
          </cell>
          <cell r="I6867">
            <v>0</v>
          </cell>
          <cell r="J6867">
            <v>0</v>
          </cell>
          <cell r="K6867">
            <v>0</v>
          </cell>
          <cell r="L6867">
            <v>0</v>
          </cell>
        </row>
        <row r="6868">
          <cell r="A6868" t="str">
            <v>20211.10329</v>
          </cell>
          <cell r="B6868" t="str">
            <v>CONVERTISSEUR DE MESURE</v>
          </cell>
          <cell r="C6868" t="str">
            <v>LV57957-01  TURBINE TYPE SST-400 ATP3 CE 190L-1 SERIE T6453 PLAN 1CW0052145 REP61-63</v>
          </cell>
          <cell r="D6868" t="str">
            <v>PE</v>
          </cell>
          <cell r="E6868" t="str">
            <v>512.51201</v>
          </cell>
          <cell r="F6868">
            <v>46557.09</v>
          </cell>
          <cell r="G6868">
            <v>0</v>
          </cell>
          <cell r="H6868">
            <v>0</v>
          </cell>
          <cell r="I6868">
            <v>0</v>
          </cell>
          <cell r="J6868">
            <v>0</v>
          </cell>
          <cell r="K6868">
            <v>0</v>
          </cell>
          <cell r="L6868">
            <v>1</v>
          </cell>
        </row>
        <row r="6869">
          <cell r="A6869" t="str">
            <v>20211.10322</v>
          </cell>
          <cell r="B6869" t="str">
            <v>BAGUE DE GARNITURE</v>
          </cell>
          <cell r="C6869" t="str">
            <v>LV54305-01  TURBINE TYPE SST-400 ATP3 CE 190L-1 SERIE T6453 PLAN ZG044573.0 REP11</v>
          </cell>
          <cell r="D6869" t="str">
            <v>PE</v>
          </cell>
          <cell r="E6869" t="str">
            <v>512.51201</v>
          </cell>
          <cell r="F6869">
            <v>8998.69</v>
          </cell>
          <cell r="G6869">
            <v>0</v>
          </cell>
          <cell r="H6869">
            <v>0</v>
          </cell>
          <cell r="I6869">
            <v>0</v>
          </cell>
          <cell r="J6869">
            <v>0</v>
          </cell>
          <cell r="K6869">
            <v>0</v>
          </cell>
          <cell r="L6869">
            <v>0</v>
          </cell>
        </row>
        <row r="6870">
          <cell r="A6870" t="str">
            <v>20211.10323</v>
          </cell>
          <cell r="B6870" t="str">
            <v>BAGUE DE GARNITURE</v>
          </cell>
          <cell r="C6870" t="str">
            <v>LV54305-02  TURBINE TYPE SST-400 ATP3 CE 190L-1 SERIE T6453 PLAN ZG052978.1 REP11</v>
          </cell>
          <cell r="D6870" t="str">
            <v>PE</v>
          </cell>
          <cell r="E6870" t="str">
            <v>512.51201</v>
          </cell>
          <cell r="F6870">
            <v>15415.24</v>
          </cell>
          <cell r="G6870">
            <v>0</v>
          </cell>
          <cell r="H6870">
            <v>0</v>
          </cell>
          <cell r="I6870">
            <v>0</v>
          </cell>
          <cell r="J6870">
            <v>0</v>
          </cell>
          <cell r="K6870">
            <v>0</v>
          </cell>
          <cell r="L6870">
            <v>0</v>
          </cell>
        </row>
        <row r="6871">
          <cell r="A6871" t="str">
            <v>20211.10477</v>
          </cell>
          <cell r="B6871" t="str">
            <v>RONDELLE JOINT</v>
          </cell>
          <cell r="C6871" t="str">
            <v xml:space="preserve">TYPE SST-400 ATP3 CE 190-1 SERIE T6453 PLAN 1CW0052145 REP3 </v>
          </cell>
          <cell r="D6871" t="str">
            <v>PE</v>
          </cell>
          <cell r="E6871" t="str">
            <v>512.51201</v>
          </cell>
          <cell r="F6871">
            <v>626.62</v>
          </cell>
          <cell r="G6871">
            <v>0</v>
          </cell>
          <cell r="H6871">
            <v>0</v>
          </cell>
          <cell r="I6871">
            <v>0</v>
          </cell>
          <cell r="J6871">
            <v>0</v>
          </cell>
          <cell r="K6871">
            <v>0</v>
          </cell>
          <cell r="L6871">
            <v>2</v>
          </cell>
        </row>
        <row r="6872">
          <cell r="A6872" t="str">
            <v>20211.10473</v>
          </cell>
          <cell r="B6872" t="str">
            <v>BOULON HEXAGONAL</v>
          </cell>
          <cell r="C6872" t="str">
            <v>ZG95718.4-01  TURBINE TYPE SST-400 ATP3 CE 190L-1 SERIE T6453 PLAN ZG048003.0 REP7</v>
          </cell>
          <cell r="D6872" t="str">
            <v>PE</v>
          </cell>
          <cell r="E6872" t="str">
            <v>512.51201</v>
          </cell>
          <cell r="F6872">
            <v>9781.48</v>
          </cell>
          <cell r="G6872">
            <v>0</v>
          </cell>
          <cell r="H6872">
            <v>0</v>
          </cell>
          <cell r="I6872">
            <v>0</v>
          </cell>
          <cell r="J6872">
            <v>0</v>
          </cell>
          <cell r="K6872">
            <v>0</v>
          </cell>
          <cell r="L6872">
            <v>0</v>
          </cell>
        </row>
        <row r="6873">
          <cell r="A6873" t="str">
            <v>20211.10474</v>
          </cell>
          <cell r="B6873" t="str">
            <v>BOULON HEXAGONAL</v>
          </cell>
          <cell r="C6873" t="str">
            <v>ZG95884.4-04  TURBINE TYPE SST-400 ATP3 CE 190L-1 SERIE T6453 PLAN ZG047999.0 REP7</v>
          </cell>
          <cell r="D6873" t="str">
            <v>PE</v>
          </cell>
          <cell r="E6873" t="str">
            <v>512.51201</v>
          </cell>
          <cell r="F6873">
            <v>10407.129999999999</v>
          </cell>
          <cell r="G6873">
            <v>0</v>
          </cell>
          <cell r="H6873">
            <v>0</v>
          </cell>
          <cell r="I6873">
            <v>0</v>
          </cell>
          <cell r="J6873">
            <v>0</v>
          </cell>
          <cell r="K6873">
            <v>0</v>
          </cell>
          <cell r="L6873">
            <v>0</v>
          </cell>
        </row>
        <row r="6874">
          <cell r="A6874" t="str">
            <v>20211.10330</v>
          </cell>
          <cell r="B6874" t="str">
            <v>CONVERTISSEUR TEMP MESUREE</v>
          </cell>
          <cell r="C6874" t="str">
            <v>LV58161-01  TURBINE TYPE SST-400 ATP3 CE 190L-1 SERIE T6453 PLAN 1CW0052145 REP56</v>
          </cell>
          <cell r="D6874" t="str">
            <v>PE</v>
          </cell>
          <cell r="E6874" t="str">
            <v>512.51201</v>
          </cell>
          <cell r="F6874">
            <v>10876.61</v>
          </cell>
          <cell r="G6874">
            <v>0</v>
          </cell>
          <cell r="H6874">
            <v>0</v>
          </cell>
          <cell r="I6874">
            <v>0</v>
          </cell>
          <cell r="J6874">
            <v>0</v>
          </cell>
          <cell r="K6874">
            <v>0</v>
          </cell>
          <cell r="L6874">
            <v>0</v>
          </cell>
        </row>
        <row r="6875">
          <cell r="A6875" t="str">
            <v>20211.10332</v>
          </cell>
          <cell r="B6875" t="str">
            <v>TRANSMETTEUR PRESSION</v>
          </cell>
          <cell r="C6875" t="str">
            <v>LV59153-02  TURBINE TYPE SST-400 ATP3 CE 190L-1 SERIE T6453 PLAN 1CW0052145 REP120</v>
          </cell>
          <cell r="D6875" t="str">
            <v>PE</v>
          </cell>
          <cell r="E6875" t="str">
            <v>512.51201</v>
          </cell>
          <cell r="F6875">
            <v>30125.29</v>
          </cell>
          <cell r="G6875">
            <v>0</v>
          </cell>
          <cell r="H6875">
            <v>0</v>
          </cell>
          <cell r="I6875">
            <v>0</v>
          </cell>
          <cell r="J6875">
            <v>0</v>
          </cell>
          <cell r="K6875">
            <v>0</v>
          </cell>
          <cell r="L6875">
            <v>0</v>
          </cell>
        </row>
        <row r="6876">
          <cell r="A6876" t="str">
            <v>20211.10333</v>
          </cell>
          <cell r="B6876" t="str">
            <v>TRANSMETTEUR PRESSION</v>
          </cell>
          <cell r="C6876" t="str">
            <v>LV59153-08  TURBINE TYPE SST-400 ATP3 CE 190L-1 SERIE T6453 PLAN 1CW0052145 REP37</v>
          </cell>
          <cell r="D6876" t="str">
            <v>PE</v>
          </cell>
          <cell r="E6876" t="str">
            <v>512.51201</v>
          </cell>
          <cell r="F6876">
            <v>19796.73</v>
          </cell>
          <cell r="G6876">
            <v>0</v>
          </cell>
          <cell r="H6876">
            <v>0</v>
          </cell>
          <cell r="I6876">
            <v>0</v>
          </cell>
          <cell r="J6876">
            <v>0</v>
          </cell>
          <cell r="K6876">
            <v>0</v>
          </cell>
          <cell r="L6876">
            <v>0</v>
          </cell>
        </row>
        <row r="6877">
          <cell r="A6877" t="str">
            <v>20211.10480</v>
          </cell>
          <cell r="B6877" t="str">
            <v>GOUPILLE CONIQUE</v>
          </cell>
          <cell r="C6877" t="str">
            <v xml:space="preserve">KN30700  TURBINE TYPE SST-400 ATP3 CE 190L-1 SERIE T6453   REP5  </v>
          </cell>
          <cell r="D6877" t="str">
            <v>PE</v>
          </cell>
          <cell r="E6877" t="str">
            <v>512.51201</v>
          </cell>
          <cell r="F6877">
            <v>548.04999999999995</v>
          </cell>
          <cell r="G6877">
            <v>0</v>
          </cell>
          <cell r="H6877">
            <v>0</v>
          </cell>
          <cell r="I6877">
            <v>0</v>
          </cell>
          <cell r="J6877">
            <v>0</v>
          </cell>
          <cell r="K6877">
            <v>0</v>
          </cell>
          <cell r="L6877">
            <v>0</v>
          </cell>
        </row>
        <row r="6878">
          <cell r="A6878" t="str">
            <v>20211.10478</v>
          </cell>
          <cell r="B6878" t="str">
            <v>GOUJON FILETE</v>
          </cell>
          <cell r="C6878" t="str">
            <v xml:space="preserve">TYPE SST-400 ATP3 CE 190-1 SERIE T6453 PLAN ZG055619.1 REP30  </v>
          </cell>
          <cell r="D6878" t="str">
            <v>PE</v>
          </cell>
          <cell r="E6878" t="str">
            <v>512.51201</v>
          </cell>
          <cell r="F6878">
            <v>1096.0999999999999</v>
          </cell>
          <cell r="G6878">
            <v>0</v>
          </cell>
          <cell r="H6878">
            <v>0</v>
          </cell>
          <cell r="I6878">
            <v>0</v>
          </cell>
          <cell r="J6878">
            <v>0</v>
          </cell>
          <cell r="K6878">
            <v>0</v>
          </cell>
          <cell r="L6878">
            <v>0</v>
          </cell>
        </row>
        <row r="6879">
          <cell r="A6879" t="str">
            <v>20211.10483</v>
          </cell>
          <cell r="B6879" t="str">
            <v>ECROU A CHAPEAU</v>
          </cell>
          <cell r="C6879" t="str">
            <v xml:space="preserve">KN366310   TURBINE TYPE SST-400 ATP3 CE 190L-1 SERIE T6453   REP31  </v>
          </cell>
          <cell r="D6879" t="str">
            <v>PE</v>
          </cell>
          <cell r="E6879" t="str">
            <v>512.51201</v>
          </cell>
          <cell r="F6879">
            <v>939.93</v>
          </cell>
          <cell r="G6879">
            <v>0</v>
          </cell>
          <cell r="H6879">
            <v>0</v>
          </cell>
          <cell r="I6879">
            <v>0</v>
          </cell>
          <cell r="J6879">
            <v>0</v>
          </cell>
          <cell r="K6879">
            <v>0</v>
          </cell>
          <cell r="L6879">
            <v>0</v>
          </cell>
        </row>
        <row r="6880">
          <cell r="A6880" t="str">
            <v>20211.07006</v>
          </cell>
          <cell r="B6880" t="str">
            <v>BAGUE D'ETANCHEITE</v>
          </cell>
          <cell r="C6880" t="str">
            <v>PLAN  ZG044573.0  REP11   SECTION 1MAA10AA350</v>
          </cell>
          <cell r="D6880" t="str">
            <v>PE</v>
          </cell>
          <cell r="E6880" t="str">
            <v>512.51201</v>
          </cell>
          <cell r="F6880">
            <v>10359</v>
          </cell>
          <cell r="G6880">
            <v>0</v>
          </cell>
          <cell r="H6880">
            <v>0</v>
          </cell>
          <cell r="I6880">
            <v>0</v>
          </cell>
          <cell r="J6880">
            <v>0</v>
          </cell>
          <cell r="K6880">
            <v>0</v>
          </cell>
          <cell r="L6880">
            <v>0</v>
          </cell>
        </row>
        <row r="6881">
          <cell r="A6881" t="str">
            <v>20211.10343</v>
          </cell>
          <cell r="B6881" t="str">
            <v>MOTEUR ELECTRIQUE</v>
          </cell>
          <cell r="C6881" t="str">
            <v>LV60663-08  TURBINE TYPE SST-400 ATP3 CE 190L-1 SERIE T6453  REP17</v>
          </cell>
          <cell r="D6881" t="str">
            <v>PE</v>
          </cell>
          <cell r="E6881" t="str">
            <v>512.51201</v>
          </cell>
          <cell r="F6881">
            <v>133802.79999999999</v>
          </cell>
          <cell r="G6881">
            <v>0</v>
          </cell>
          <cell r="H6881">
            <v>0</v>
          </cell>
          <cell r="I6881">
            <v>0</v>
          </cell>
          <cell r="J6881">
            <v>0</v>
          </cell>
          <cell r="K6881">
            <v>0</v>
          </cell>
          <cell r="L6881">
            <v>0</v>
          </cell>
        </row>
        <row r="6882">
          <cell r="A6882" t="str">
            <v>20211.10344</v>
          </cell>
          <cell r="B6882" t="str">
            <v>CLAPET ANTI-RETOUR</v>
          </cell>
          <cell r="C6882" t="str">
            <v>LV60663-09  TURBINE TYPE SST-400 ATP3 CE 190L-1 SERIE T6453  REP20</v>
          </cell>
          <cell r="D6882" t="str">
            <v>PE</v>
          </cell>
          <cell r="E6882" t="str">
            <v>512.51201</v>
          </cell>
          <cell r="F6882">
            <v>6651.29</v>
          </cell>
          <cell r="G6882">
            <v>0</v>
          </cell>
          <cell r="H6882">
            <v>0</v>
          </cell>
          <cell r="I6882">
            <v>0</v>
          </cell>
          <cell r="J6882">
            <v>0</v>
          </cell>
          <cell r="K6882">
            <v>0</v>
          </cell>
          <cell r="L6882">
            <v>0</v>
          </cell>
        </row>
        <row r="6883">
          <cell r="A6883" t="str">
            <v>20211.10345</v>
          </cell>
          <cell r="B6883" t="str">
            <v>ELEMENT FILTRE A HUILE</v>
          </cell>
          <cell r="C6883" t="str">
            <v>LV60663-12  TURBINE TYPE SST-400 ATP3 CE 190L-1 SERIE T6453  REP22</v>
          </cell>
          <cell r="D6883" t="str">
            <v>PE</v>
          </cell>
          <cell r="E6883" t="str">
            <v>512.51201</v>
          </cell>
          <cell r="F6883">
            <v>9155.83</v>
          </cell>
          <cell r="G6883">
            <v>0</v>
          </cell>
          <cell r="H6883">
            <v>0</v>
          </cell>
          <cell r="I6883">
            <v>0</v>
          </cell>
          <cell r="J6883">
            <v>0</v>
          </cell>
          <cell r="K6883">
            <v>0</v>
          </cell>
          <cell r="L6883">
            <v>0</v>
          </cell>
        </row>
        <row r="6884">
          <cell r="A6884" t="str">
            <v>20211.10339</v>
          </cell>
          <cell r="B6884" t="str">
            <v>TRANSMETTEUR</v>
          </cell>
          <cell r="C6884" t="str">
            <v>LV60663-01  TURBINE TYPE SST-400 ATP3 CE 190L-1 SERIE T6453   REP4</v>
          </cell>
          <cell r="D6884" t="str">
            <v>PE</v>
          </cell>
          <cell r="E6884" t="str">
            <v>512.51201</v>
          </cell>
          <cell r="F6884">
            <v>151016.4</v>
          </cell>
          <cell r="G6884">
            <v>0</v>
          </cell>
          <cell r="H6884">
            <v>0</v>
          </cell>
          <cell r="I6884">
            <v>0</v>
          </cell>
          <cell r="J6884">
            <v>0</v>
          </cell>
          <cell r="K6884">
            <v>0</v>
          </cell>
          <cell r="L6884">
            <v>1</v>
          </cell>
        </row>
        <row r="6885">
          <cell r="A6885" t="str">
            <v>20211.10340</v>
          </cell>
          <cell r="B6885" t="str">
            <v>FILTRE A AIR</v>
          </cell>
          <cell r="C6885" t="str">
            <v>LV60663-02  TURBINE TYPE SST-400 ATP3 CE 190L-1 SERIE T6453  REP7</v>
          </cell>
          <cell r="D6885" t="str">
            <v>PE</v>
          </cell>
          <cell r="E6885" t="str">
            <v>512.51201</v>
          </cell>
          <cell r="F6885">
            <v>1644.15</v>
          </cell>
          <cell r="G6885">
            <v>0</v>
          </cell>
          <cell r="H6885">
            <v>0</v>
          </cell>
          <cell r="I6885">
            <v>0</v>
          </cell>
          <cell r="J6885">
            <v>0</v>
          </cell>
          <cell r="K6885">
            <v>0</v>
          </cell>
          <cell r="L6885">
            <v>0</v>
          </cell>
        </row>
        <row r="6886">
          <cell r="A6886" t="str">
            <v>20211.10341</v>
          </cell>
          <cell r="B6886" t="str">
            <v>THERMOMETRE A RESISTANCE</v>
          </cell>
          <cell r="C6886" t="str">
            <v>LV60663-03  TURBINE TYPE SST-400 ATP3 CE 190L-1 SERIE T6453  REP9</v>
          </cell>
          <cell r="D6886" t="str">
            <v>PE</v>
          </cell>
          <cell r="E6886" t="str">
            <v>512.51201</v>
          </cell>
          <cell r="F6886">
            <v>34820.089999999997</v>
          </cell>
          <cell r="G6886">
            <v>0</v>
          </cell>
          <cell r="H6886">
            <v>0</v>
          </cell>
          <cell r="I6886">
            <v>0</v>
          </cell>
          <cell r="J6886">
            <v>0</v>
          </cell>
          <cell r="K6886">
            <v>0</v>
          </cell>
          <cell r="L6886">
            <v>1</v>
          </cell>
        </row>
        <row r="6887">
          <cell r="A6887" t="str">
            <v>20211.10493</v>
          </cell>
          <cell r="B6887" t="str">
            <v>JOINT D'ETANCHEITE</v>
          </cell>
          <cell r="C6887" t="str">
            <v>ER120519 P/TURBINE TYPE SST-400 ATP3 CE 190L-1 SERIE T6453</v>
          </cell>
          <cell r="D6887" t="str">
            <v>PE</v>
          </cell>
          <cell r="E6887" t="str">
            <v>512.51201</v>
          </cell>
          <cell r="F6887">
            <v>39226.800000000003</v>
          </cell>
          <cell r="G6887">
            <v>0</v>
          </cell>
          <cell r="H6887">
            <v>0</v>
          </cell>
          <cell r="I6887">
            <v>0</v>
          </cell>
          <cell r="J6887">
            <v>0</v>
          </cell>
          <cell r="K6887">
            <v>0</v>
          </cell>
          <cell r="L6887">
            <v>0</v>
          </cell>
        </row>
        <row r="6888">
          <cell r="A6888" t="str">
            <v>20211.10494</v>
          </cell>
          <cell r="B6888" t="str">
            <v>JOINT D'ETANCHEITE</v>
          </cell>
          <cell r="C6888" t="str">
            <v>ER120520 P/TURBINE TYPE SST -400 ATP3 CE 190L-1 SERIE T6453</v>
          </cell>
          <cell r="D6888" t="str">
            <v>PE</v>
          </cell>
          <cell r="E6888" t="str">
            <v>512.51201</v>
          </cell>
          <cell r="F6888">
            <v>80023.06</v>
          </cell>
          <cell r="G6888">
            <v>0</v>
          </cell>
          <cell r="H6888">
            <v>0</v>
          </cell>
          <cell r="I6888">
            <v>0</v>
          </cell>
          <cell r="J6888">
            <v>0</v>
          </cell>
          <cell r="K6888">
            <v>0</v>
          </cell>
          <cell r="L6888">
            <v>0</v>
          </cell>
        </row>
        <row r="6889">
          <cell r="A6889" t="str">
            <v>20211.10495</v>
          </cell>
          <cell r="B6889" t="str">
            <v>MATERIAUX D'ETANCHEITE</v>
          </cell>
          <cell r="C6889" t="str">
            <v>GS00026 P/TURBINE TYPE SST-400 ATP3 CE 190L-1 SERIE T6453</v>
          </cell>
          <cell r="D6889" t="str">
            <v>PE</v>
          </cell>
          <cell r="E6889" t="str">
            <v>512.51201</v>
          </cell>
          <cell r="F6889">
            <v>784.73</v>
          </cell>
          <cell r="G6889">
            <v>0</v>
          </cell>
          <cell r="H6889">
            <v>0</v>
          </cell>
          <cell r="I6889">
            <v>0</v>
          </cell>
          <cell r="J6889">
            <v>0</v>
          </cell>
          <cell r="K6889">
            <v>0</v>
          </cell>
          <cell r="L6889">
            <v>0</v>
          </cell>
        </row>
        <row r="6890">
          <cell r="A6890" t="str">
            <v>20211.10496</v>
          </cell>
          <cell r="B6890" t="str">
            <v>PORTE BALAIS DOUBLE</v>
          </cell>
          <cell r="C6890" t="str">
            <v>ER105014 P/TURBINE TYPE SST-400 ATP3 CE 190L-1 SERIE T6453</v>
          </cell>
          <cell r="D6890" t="str">
            <v>PE</v>
          </cell>
          <cell r="E6890" t="str">
            <v>512.51201</v>
          </cell>
          <cell r="F6890">
            <v>7061.6</v>
          </cell>
          <cell r="G6890">
            <v>0</v>
          </cell>
          <cell r="H6890">
            <v>0</v>
          </cell>
          <cell r="I6890">
            <v>0</v>
          </cell>
          <cell r="J6890">
            <v>0</v>
          </cell>
          <cell r="K6890">
            <v>0</v>
          </cell>
          <cell r="L6890">
            <v>0</v>
          </cell>
        </row>
        <row r="6891">
          <cell r="A6891" t="str">
            <v>20211.10497</v>
          </cell>
          <cell r="B6891" t="str">
            <v>MISE A LA TERRE ( BALAI )</v>
          </cell>
          <cell r="C6891" t="str">
            <v>Z405037 P/TURBINE  TYPE SST -400 ATP3 CE 190L-1 SERIE T6453</v>
          </cell>
          <cell r="D6891" t="str">
            <v>PE</v>
          </cell>
          <cell r="E6891" t="str">
            <v>512.51201</v>
          </cell>
          <cell r="F6891">
            <v>2667.5</v>
          </cell>
          <cell r="G6891">
            <v>0</v>
          </cell>
          <cell r="H6891">
            <v>0</v>
          </cell>
          <cell r="I6891">
            <v>0</v>
          </cell>
          <cell r="J6891">
            <v>0</v>
          </cell>
          <cell r="K6891">
            <v>0</v>
          </cell>
          <cell r="L6891">
            <v>0</v>
          </cell>
        </row>
        <row r="6892">
          <cell r="A6892" t="str">
            <v>20211.10491</v>
          </cell>
          <cell r="B6892" t="str">
            <v>JOINT D'ETANCHEITE</v>
          </cell>
          <cell r="C6892" t="str">
            <v>ER120534 P/TURBINE TYPE SST-400 ATP3 CE 190L-1 SERIE T6453</v>
          </cell>
          <cell r="D6892" t="str">
            <v>PE</v>
          </cell>
          <cell r="E6892" t="str">
            <v>512.51201</v>
          </cell>
          <cell r="F6892">
            <v>128663.71</v>
          </cell>
          <cell r="G6892">
            <v>0</v>
          </cell>
          <cell r="H6892">
            <v>0</v>
          </cell>
          <cell r="I6892">
            <v>0</v>
          </cell>
          <cell r="J6892">
            <v>0</v>
          </cell>
          <cell r="K6892">
            <v>0</v>
          </cell>
          <cell r="L6892">
            <v>0</v>
          </cell>
        </row>
        <row r="6893">
          <cell r="A6893" t="str">
            <v>20211.10492</v>
          </cell>
          <cell r="B6893" t="str">
            <v>JOINT D'ETANCHEITE</v>
          </cell>
          <cell r="C6893" t="str">
            <v>ER120533 P/TURBINE TYPE SST-400 ATP3 CE 190L-1 SERIE T6453</v>
          </cell>
          <cell r="D6893" t="str">
            <v>PE</v>
          </cell>
          <cell r="E6893" t="str">
            <v>512.51201</v>
          </cell>
          <cell r="F6893">
            <v>58055.47</v>
          </cell>
          <cell r="G6893">
            <v>0</v>
          </cell>
          <cell r="H6893">
            <v>0</v>
          </cell>
          <cell r="I6893">
            <v>0</v>
          </cell>
          <cell r="J6893">
            <v>0</v>
          </cell>
          <cell r="K6893">
            <v>0</v>
          </cell>
          <cell r="L6893">
            <v>0</v>
          </cell>
        </row>
        <row r="6894">
          <cell r="A6894" t="str">
            <v>20211.10354</v>
          </cell>
          <cell r="B6894" t="str">
            <v>FILTRE DE RETOUR</v>
          </cell>
          <cell r="C6894" t="str">
            <v>LV60663-24  TURBINE TYPE SST-400 ATP3 CE 190L-1 SERIE T6453  REP40</v>
          </cell>
          <cell r="D6894" t="str">
            <v>PE</v>
          </cell>
          <cell r="E6894" t="str">
            <v>512.51201</v>
          </cell>
          <cell r="F6894">
            <v>15101.93</v>
          </cell>
          <cell r="G6894">
            <v>0</v>
          </cell>
          <cell r="H6894">
            <v>0</v>
          </cell>
          <cell r="I6894">
            <v>0</v>
          </cell>
          <cell r="J6894">
            <v>0</v>
          </cell>
          <cell r="K6894">
            <v>0</v>
          </cell>
          <cell r="L6894">
            <v>0</v>
          </cell>
        </row>
        <row r="6895">
          <cell r="A6895" t="str">
            <v>20211.10347</v>
          </cell>
          <cell r="B6895" t="str">
            <v>DISTRIBUTEUR</v>
          </cell>
          <cell r="C6895" t="str">
            <v>LV60663-17  TURBINE TYPE SST-400 ATP3 CE 190L-1 SERIE T6453  REP26</v>
          </cell>
          <cell r="D6895" t="str">
            <v>PE</v>
          </cell>
          <cell r="E6895" t="str">
            <v>512.51201</v>
          </cell>
          <cell r="F6895">
            <v>5399.99</v>
          </cell>
          <cell r="G6895">
            <v>0</v>
          </cell>
          <cell r="H6895">
            <v>0</v>
          </cell>
          <cell r="I6895">
            <v>0</v>
          </cell>
          <cell r="J6895">
            <v>0</v>
          </cell>
          <cell r="K6895">
            <v>0</v>
          </cell>
          <cell r="L6895">
            <v>0</v>
          </cell>
        </row>
        <row r="6896">
          <cell r="A6896" t="str">
            <v>20211.10349</v>
          </cell>
          <cell r="B6896" t="str">
            <v>ACCUMULATEUR BLOC SECURITE</v>
          </cell>
          <cell r="C6896" t="str">
            <v>LV60663-19  TURBINE TYPE SST-400 ATP3 CE 190L-1 SERIE T6453  REP30</v>
          </cell>
          <cell r="D6896" t="str">
            <v>PE</v>
          </cell>
          <cell r="E6896" t="str">
            <v>512.51201</v>
          </cell>
          <cell r="F6896">
            <v>31221.39</v>
          </cell>
          <cell r="G6896">
            <v>0</v>
          </cell>
          <cell r="H6896">
            <v>0</v>
          </cell>
          <cell r="I6896">
            <v>0</v>
          </cell>
          <cell r="J6896">
            <v>0</v>
          </cell>
          <cell r="K6896">
            <v>0</v>
          </cell>
          <cell r="L6896">
            <v>0</v>
          </cell>
        </row>
        <row r="6897">
          <cell r="A6897" t="str">
            <v>20211.10350</v>
          </cell>
          <cell r="B6897" t="str">
            <v>ACCUMULATEUR A VESSIE</v>
          </cell>
          <cell r="C6897" t="str">
            <v>LV60663-20  TURBINE TYPE SST-400 ATP3 CE 190L-1 SERIE T6453  REP31</v>
          </cell>
          <cell r="D6897" t="str">
            <v>PE</v>
          </cell>
          <cell r="E6897" t="str">
            <v>512.51201</v>
          </cell>
          <cell r="F6897">
            <v>56260</v>
          </cell>
          <cell r="G6897">
            <v>0</v>
          </cell>
          <cell r="H6897">
            <v>0</v>
          </cell>
          <cell r="I6897">
            <v>0</v>
          </cell>
          <cell r="J6897">
            <v>0</v>
          </cell>
          <cell r="K6897">
            <v>0</v>
          </cell>
          <cell r="L6897">
            <v>1</v>
          </cell>
        </row>
        <row r="6898">
          <cell r="A6898" t="str">
            <v>20211.10503</v>
          </cell>
          <cell r="B6898" t="str">
            <v>CAPTEUR</v>
          </cell>
          <cell r="C6898" t="str">
            <v>ER120394 P/TURBINE TYPE SST -400 ATP3 CE 190L-1 SERIE T6453</v>
          </cell>
          <cell r="D6898" t="str">
            <v>PE</v>
          </cell>
          <cell r="E6898" t="str">
            <v>512.51201</v>
          </cell>
          <cell r="F6898">
            <v>10199.549999999999</v>
          </cell>
          <cell r="G6898">
            <v>0</v>
          </cell>
          <cell r="H6898">
            <v>0</v>
          </cell>
          <cell r="I6898">
            <v>0</v>
          </cell>
          <cell r="J6898">
            <v>0</v>
          </cell>
          <cell r="K6898">
            <v>0</v>
          </cell>
          <cell r="L6898">
            <v>0</v>
          </cell>
        </row>
        <row r="6899">
          <cell r="A6899" t="str">
            <v>20211.10504</v>
          </cell>
          <cell r="B6899" t="str">
            <v>RELAIS D'ELECTRODE</v>
          </cell>
          <cell r="C6899" t="str">
            <v>ER119080 P/TURBINE TYPE SST -400 ATP3CE 190L-1 SERIE T6453</v>
          </cell>
          <cell r="D6899" t="str">
            <v>PE</v>
          </cell>
          <cell r="E6899" t="str">
            <v>512.51201</v>
          </cell>
          <cell r="F6899">
            <v>7061.6</v>
          </cell>
          <cell r="G6899">
            <v>0</v>
          </cell>
          <cell r="H6899">
            <v>0</v>
          </cell>
          <cell r="I6899">
            <v>0</v>
          </cell>
          <cell r="J6899">
            <v>0</v>
          </cell>
          <cell r="K6899">
            <v>0</v>
          </cell>
          <cell r="L6899">
            <v>0</v>
          </cell>
        </row>
        <row r="6900">
          <cell r="A6900" t="str">
            <v>20211.10505</v>
          </cell>
          <cell r="B6900" t="str">
            <v>PORTE BALAIS</v>
          </cell>
          <cell r="C6900" t="str">
            <v>ER115152 P/ TURBINE  TYPE SST -400 ATP3 CE 190L-1 SERIE T6453</v>
          </cell>
          <cell r="D6900" t="str">
            <v>PE</v>
          </cell>
          <cell r="E6900" t="str">
            <v>512.51201</v>
          </cell>
          <cell r="F6900">
            <v>3138.92</v>
          </cell>
          <cell r="G6900">
            <v>0</v>
          </cell>
          <cell r="H6900">
            <v>0</v>
          </cell>
          <cell r="I6900">
            <v>0</v>
          </cell>
          <cell r="J6900">
            <v>0</v>
          </cell>
          <cell r="K6900">
            <v>0</v>
          </cell>
          <cell r="L6900">
            <v>0</v>
          </cell>
        </row>
        <row r="6901">
          <cell r="A6901" t="str">
            <v>20211.10506</v>
          </cell>
          <cell r="B6901" t="str">
            <v>DIODE-RR</v>
          </cell>
          <cell r="C6901" t="str">
            <v>ER243930 P/TURBINE TYPE SST -400 ATP3 CE 190L-1 SERIE T6453</v>
          </cell>
          <cell r="D6901" t="str">
            <v>PE</v>
          </cell>
          <cell r="E6901" t="str">
            <v>512.51201</v>
          </cell>
          <cell r="F6901">
            <v>6276.87</v>
          </cell>
          <cell r="G6901">
            <v>0</v>
          </cell>
          <cell r="H6901">
            <v>0</v>
          </cell>
          <cell r="I6901">
            <v>0</v>
          </cell>
          <cell r="J6901">
            <v>0</v>
          </cell>
          <cell r="K6901">
            <v>0</v>
          </cell>
          <cell r="L6901">
            <v>0</v>
          </cell>
        </row>
        <row r="6902">
          <cell r="A6902" t="str">
            <v>20211.10498</v>
          </cell>
          <cell r="B6902" t="str">
            <v>ARBRE DE CAPTURE DE VIBRATION</v>
          </cell>
          <cell r="C6902" t="str">
            <v>ER114624 P/TURBINE TYPE SST-400 ATP3 CE 190L-1 SERIE T6453</v>
          </cell>
          <cell r="D6902" t="str">
            <v>PE</v>
          </cell>
          <cell r="E6902" t="str">
            <v>512.51201</v>
          </cell>
          <cell r="F6902">
            <v>10199.549999999999</v>
          </cell>
          <cell r="G6902">
            <v>0</v>
          </cell>
          <cell r="H6902">
            <v>0</v>
          </cell>
          <cell r="I6902">
            <v>0</v>
          </cell>
          <cell r="J6902">
            <v>0</v>
          </cell>
          <cell r="K6902">
            <v>0</v>
          </cell>
          <cell r="L6902">
            <v>1</v>
          </cell>
        </row>
        <row r="6903">
          <cell r="A6903" t="str">
            <v>20211.10499</v>
          </cell>
          <cell r="B6903" t="str">
            <v>VIS DE RESISTANCE</v>
          </cell>
          <cell r="C6903" t="str">
            <v>ER111723 P/TURBINE TYPE SST -400 ATP3 CE 190L-1 SERIE T6453</v>
          </cell>
          <cell r="D6903" t="str">
            <v>PE</v>
          </cell>
          <cell r="E6903" t="str">
            <v>512.51201</v>
          </cell>
          <cell r="F6903">
            <v>9414.82</v>
          </cell>
          <cell r="G6903">
            <v>0</v>
          </cell>
          <cell r="H6903">
            <v>0</v>
          </cell>
          <cell r="I6903">
            <v>0</v>
          </cell>
          <cell r="J6903">
            <v>0</v>
          </cell>
          <cell r="K6903">
            <v>0</v>
          </cell>
          <cell r="L6903">
            <v>1</v>
          </cell>
        </row>
        <row r="6904">
          <cell r="A6904" t="str">
            <v>20492.17763</v>
          </cell>
          <cell r="B6904" t="str">
            <v>PULVERISATEUR EN TEFLON</v>
          </cell>
          <cell r="C6904" t="str">
            <v>BETE PLAN 3NCFL-46897</v>
          </cell>
          <cell r="D6904" t="str">
            <v>PE</v>
          </cell>
          <cell r="E6904" t="str">
            <v>515.51502</v>
          </cell>
          <cell r="F6904">
            <v>89020</v>
          </cell>
          <cell r="G6904">
            <v>0</v>
          </cell>
          <cell r="H6904">
            <v>0</v>
          </cell>
          <cell r="I6904">
            <v>0</v>
          </cell>
          <cell r="J6904">
            <v>1</v>
          </cell>
          <cell r="K6904">
            <v>0</v>
          </cell>
          <cell r="L6904">
            <v>1</v>
          </cell>
        </row>
        <row r="6905">
          <cell r="A6905" t="str">
            <v>20492.17764</v>
          </cell>
          <cell r="B6905" t="str">
            <v>PULVERISATEUR EN POLYPROPYLENE</v>
          </cell>
          <cell r="C6905" t="str">
            <v>BETE PLAN 3NCFL-7026 REV A</v>
          </cell>
          <cell r="D6905" t="str">
            <v>PE</v>
          </cell>
          <cell r="E6905" t="str">
            <v>515.51502</v>
          </cell>
          <cell r="F6905">
            <v>10060</v>
          </cell>
          <cell r="G6905">
            <v>1</v>
          </cell>
          <cell r="H6905">
            <v>2</v>
          </cell>
          <cell r="I6905">
            <v>3</v>
          </cell>
          <cell r="J6905">
            <v>0</v>
          </cell>
          <cell r="K6905">
            <v>0</v>
          </cell>
          <cell r="L6905">
            <v>4</v>
          </cell>
        </row>
        <row r="6906">
          <cell r="A6906" t="str">
            <v>20492.17765</v>
          </cell>
          <cell r="B6906" t="str">
            <v>PULVERISATEUR EN POLYPROPYLENE</v>
          </cell>
          <cell r="C6906" t="str">
            <v>BETE PLAN 3NCFL-5459 REV B</v>
          </cell>
          <cell r="D6906" t="str">
            <v>PE</v>
          </cell>
          <cell r="E6906" t="str">
            <v>515.51502</v>
          </cell>
          <cell r="F6906">
            <v>26090</v>
          </cell>
          <cell r="G6906">
            <v>0</v>
          </cell>
          <cell r="H6906">
            <v>0</v>
          </cell>
          <cell r="I6906">
            <v>0</v>
          </cell>
          <cell r="J6906">
            <v>0</v>
          </cell>
          <cell r="K6906">
            <v>0</v>
          </cell>
          <cell r="L6906">
            <v>1</v>
          </cell>
        </row>
        <row r="6907">
          <cell r="A6907" t="str">
            <v>20211.10360</v>
          </cell>
          <cell r="B6907" t="str">
            <v>DISTRIBUTEUR</v>
          </cell>
          <cell r="C6907" t="str">
            <v>LV60663-32  TURBINE TYPE SST-400 ATP3 CE 190L-1 SERIE T6453  REP60</v>
          </cell>
          <cell r="D6907" t="str">
            <v>PE</v>
          </cell>
          <cell r="E6907" t="str">
            <v>512.51201</v>
          </cell>
          <cell r="F6907">
            <v>6964.6</v>
          </cell>
          <cell r="G6907">
            <v>0</v>
          </cell>
          <cell r="H6907">
            <v>0</v>
          </cell>
          <cell r="I6907">
            <v>0</v>
          </cell>
          <cell r="J6907">
            <v>0</v>
          </cell>
          <cell r="K6907">
            <v>0</v>
          </cell>
          <cell r="L6907">
            <v>0</v>
          </cell>
        </row>
        <row r="6908">
          <cell r="A6908" t="str">
            <v>20211.10361</v>
          </cell>
          <cell r="B6908" t="str">
            <v>DOUILLE DE COMPENSATION</v>
          </cell>
          <cell r="C6908" t="str">
            <v>LV62380-02   TURBINE TYPE SST-400 ATP3 CE 190L-1 SERIE T6453 PLAN 1CW0049903</v>
          </cell>
          <cell r="D6908" t="str">
            <v>PE</v>
          </cell>
          <cell r="E6908" t="str">
            <v>512.51201</v>
          </cell>
          <cell r="F6908">
            <v>25049.279999999999</v>
          </cell>
          <cell r="G6908">
            <v>0</v>
          </cell>
          <cell r="H6908">
            <v>0</v>
          </cell>
          <cell r="I6908">
            <v>0</v>
          </cell>
          <cell r="J6908">
            <v>0</v>
          </cell>
          <cell r="K6908">
            <v>0</v>
          </cell>
          <cell r="L6908">
            <v>0</v>
          </cell>
        </row>
        <row r="6909">
          <cell r="A6909" t="str">
            <v>20211.10362</v>
          </cell>
          <cell r="B6909" t="str">
            <v>ROULEMENT</v>
          </cell>
          <cell r="C6909" t="str">
            <v>LV62380-03   TURBINE TYPE SST-400 ATP3 CE 190L-1 SERIE T6453 PLAN 1CW0049903</v>
          </cell>
          <cell r="D6909" t="str">
            <v>PE</v>
          </cell>
          <cell r="E6909" t="str">
            <v>512.51201</v>
          </cell>
          <cell r="F6909">
            <v>5321.42</v>
          </cell>
          <cell r="G6909">
            <v>0</v>
          </cell>
          <cell r="H6909">
            <v>0</v>
          </cell>
          <cell r="I6909">
            <v>0</v>
          </cell>
          <cell r="J6909">
            <v>0</v>
          </cell>
          <cell r="K6909">
            <v>0</v>
          </cell>
          <cell r="L6909">
            <v>0</v>
          </cell>
        </row>
        <row r="6910">
          <cell r="A6910" t="str">
            <v>20211.10363</v>
          </cell>
          <cell r="B6910" t="str">
            <v>JOINT</v>
          </cell>
          <cell r="C6910" t="str">
            <v>LV62380-04  TURBINE TYPE SST-400 ATP3 CE 190L-1 SERIE T6453 PLAN 1CW0049903</v>
          </cell>
          <cell r="D6910" t="str">
            <v>PE</v>
          </cell>
          <cell r="E6910" t="str">
            <v>512.51201</v>
          </cell>
          <cell r="F6910">
            <v>10268.42</v>
          </cell>
          <cell r="G6910">
            <v>0</v>
          </cell>
          <cell r="H6910">
            <v>0</v>
          </cell>
          <cell r="I6910">
            <v>0</v>
          </cell>
          <cell r="J6910">
            <v>0</v>
          </cell>
          <cell r="K6910">
            <v>0</v>
          </cell>
          <cell r="L6910">
            <v>0</v>
          </cell>
        </row>
        <row r="6911">
          <cell r="A6911" t="str">
            <v>20211.10356</v>
          </cell>
          <cell r="B6911" t="str">
            <v>ELEMENT FILTRE A HUILE</v>
          </cell>
          <cell r="C6911" t="str">
            <v>LV60663-26  TURBINE TYPE SST-400 ATP3 CE 190L-1 SERIE T6453  REP40</v>
          </cell>
          <cell r="D6911" t="str">
            <v>PE</v>
          </cell>
          <cell r="E6911" t="str">
            <v>512.51201</v>
          </cell>
          <cell r="F6911">
            <v>6181.81</v>
          </cell>
          <cell r="G6911">
            <v>0</v>
          </cell>
          <cell r="H6911">
            <v>0</v>
          </cell>
          <cell r="I6911">
            <v>0</v>
          </cell>
          <cell r="J6911">
            <v>0</v>
          </cell>
          <cell r="K6911">
            <v>0</v>
          </cell>
          <cell r="L6911">
            <v>0</v>
          </cell>
        </row>
        <row r="6912">
          <cell r="A6912" t="str">
            <v>20211.10359</v>
          </cell>
          <cell r="B6912" t="str">
            <v>DISTRIBUTEUR 3 VOIES</v>
          </cell>
          <cell r="C6912" t="str">
            <v>LV60663-31  TURBINE TYPE SST-400 ATP3 CE 190L-1 SERIE T6453  REP59</v>
          </cell>
          <cell r="D6912" t="str">
            <v>PE</v>
          </cell>
          <cell r="E6912" t="str">
            <v>512.51201</v>
          </cell>
          <cell r="F6912">
            <v>21205.17</v>
          </cell>
          <cell r="G6912">
            <v>0</v>
          </cell>
          <cell r="H6912">
            <v>0</v>
          </cell>
          <cell r="I6912">
            <v>0</v>
          </cell>
          <cell r="J6912">
            <v>0</v>
          </cell>
          <cell r="K6912">
            <v>0</v>
          </cell>
          <cell r="L6912">
            <v>0</v>
          </cell>
        </row>
        <row r="6913">
          <cell r="A6913" t="str">
            <v>20211.10511</v>
          </cell>
          <cell r="B6913" t="str">
            <v>FLEXIBLE HYDRAULIQUE</v>
          </cell>
          <cell r="C6913" t="str">
            <v>ER122677 P/TURBINE TYPE SST-400 ATP3 CE 190L-1 SERIE T6453</v>
          </cell>
          <cell r="D6913" t="str">
            <v>PE</v>
          </cell>
          <cell r="E6913" t="str">
            <v>512.51201</v>
          </cell>
          <cell r="F6913">
            <v>4311.6499999999996</v>
          </cell>
          <cell r="G6913">
            <v>0</v>
          </cell>
          <cell r="H6913">
            <v>0</v>
          </cell>
          <cell r="I6913">
            <v>0</v>
          </cell>
          <cell r="J6913">
            <v>0</v>
          </cell>
          <cell r="K6913">
            <v>0</v>
          </cell>
          <cell r="L6913">
            <v>0</v>
          </cell>
        </row>
        <row r="6914">
          <cell r="A6914" t="str">
            <v>20211.10512</v>
          </cell>
          <cell r="B6914" t="str">
            <v>PROFIL DE CAOUTCHOUC</v>
          </cell>
          <cell r="C6914" t="str">
            <v>ER115599 P/TURBINE TYPE SST-400 ATP3 CE 190L-1 SERIE T6453</v>
          </cell>
          <cell r="D6914" t="str">
            <v>PE</v>
          </cell>
          <cell r="E6914" t="str">
            <v>512.51201</v>
          </cell>
          <cell r="F6914">
            <v>104.76</v>
          </cell>
          <cell r="G6914">
            <v>0</v>
          </cell>
          <cell r="H6914">
            <v>0</v>
          </cell>
          <cell r="I6914">
            <v>0</v>
          </cell>
          <cell r="J6914">
            <v>0</v>
          </cell>
          <cell r="K6914">
            <v>0</v>
          </cell>
          <cell r="L6914">
            <v>0</v>
          </cell>
        </row>
        <row r="6915">
          <cell r="A6915" t="str">
            <v>20211.10513</v>
          </cell>
          <cell r="B6915" t="str">
            <v>JOINT</v>
          </cell>
          <cell r="C6915" t="str">
            <v>ER120385 P/TURBINE  TYPE SST -400 ATP3 CE 190L-1 SERIE T6453</v>
          </cell>
          <cell r="D6915" t="str">
            <v>PE</v>
          </cell>
          <cell r="E6915" t="str">
            <v>512.51201</v>
          </cell>
          <cell r="F6915">
            <v>137.74</v>
          </cell>
          <cell r="G6915">
            <v>0</v>
          </cell>
          <cell r="H6915">
            <v>0</v>
          </cell>
          <cell r="I6915">
            <v>0</v>
          </cell>
          <cell r="J6915">
            <v>0</v>
          </cell>
          <cell r="K6915">
            <v>0</v>
          </cell>
          <cell r="L6915">
            <v>14</v>
          </cell>
        </row>
        <row r="6916">
          <cell r="A6916" t="str">
            <v>20211.10514</v>
          </cell>
          <cell r="B6916" t="str">
            <v>PROFIL DE CAOUTCHOUC</v>
          </cell>
          <cell r="C6916" t="str">
            <v>ER115598 P/TURBINE TYPE SST-400 ATP3 CE 190L-1 SERIE T6453</v>
          </cell>
          <cell r="D6916" t="str">
            <v>PE</v>
          </cell>
          <cell r="E6916" t="str">
            <v>512.51201</v>
          </cell>
          <cell r="F6916">
            <v>273.54000000000002</v>
          </cell>
          <cell r="G6916">
            <v>0</v>
          </cell>
          <cell r="H6916">
            <v>0</v>
          </cell>
          <cell r="I6916">
            <v>0</v>
          </cell>
          <cell r="J6916">
            <v>0</v>
          </cell>
          <cell r="K6916">
            <v>0</v>
          </cell>
          <cell r="L6916">
            <v>0</v>
          </cell>
        </row>
        <row r="6917">
          <cell r="A6917" t="str">
            <v>20211.10515</v>
          </cell>
          <cell r="B6917" t="str">
            <v>PROFIL DE CAOUTCHOUC</v>
          </cell>
          <cell r="C6917" t="str">
            <v>ER106317 P/TURBINE TYPE SST -400 ATP3 CE 190L-1 SERIE T6453</v>
          </cell>
          <cell r="D6917" t="str">
            <v>PE</v>
          </cell>
          <cell r="E6917" t="str">
            <v>512.51201</v>
          </cell>
          <cell r="F6917">
            <v>87.3</v>
          </cell>
          <cell r="G6917">
            <v>0</v>
          </cell>
          <cell r="H6917">
            <v>0</v>
          </cell>
          <cell r="I6917">
            <v>0</v>
          </cell>
          <cell r="J6917">
            <v>0</v>
          </cell>
          <cell r="K6917">
            <v>0</v>
          </cell>
          <cell r="L6917">
            <v>0</v>
          </cell>
        </row>
        <row r="6918">
          <cell r="A6918" t="str">
            <v>20211.10507</v>
          </cell>
          <cell r="B6918" t="str">
            <v>VARISISTANCE</v>
          </cell>
          <cell r="C6918" t="str">
            <v>ER112939 P/TURBINE TYPE SST-400 ATP3 CE 190L-1 SERIE T6453</v>
          </cell>
          <cell r="D6918" t="str">
            <v>PE</v>
          </cell>
          <cell r="E6918" t="str">
            <v>512.51201</v>
          </cell>
          <cell r="F6918">
            <v>5164.28</v>
          </cell>
          <cell r="G6918">
            <v>0</v>
          </cell>
          <cell r="H6918">
            <v>0</v>
          </cell>
          <cell r="I6918">
            <v>0</v>
          </cell>
          <cell r="J6918">
            <v>0</v>
          </cell>
          <cell r="K6918">
            <v>0</v>
          </cell>
          <cell r="L6918">
            <v>1</v>
          </cell>
        </row>
        <row r="6919">
          <cell r="A6919" t="str">
            <v>20211.10508</v>
          </cell>
          <cell r="B6919" t="str">
            <v>CONDENSEUR</v>
          </cell>
          <cell r="C6919" t="str">
            <v>ER115711 P/TURBINE TYPE SST-400 ATP3 CE 190L-1 SERIE T6453</v>
          </cell>
          <cell r="D6919" t="str">
            <v>PE</v>
          </cell>
          <cell r="E6919" t="str">
            <v>512.51201</v>
          </cell>
          <cell r="F6919">
            <v>2354.19</v>
          </cell>
          <cell r="G6919">
            <v>0</v>
          </cell>
          <cell r="H6919">
            <v>0</v>
          </cell>
          <cell r="I6919">
            <v>0</v>
          </cell>
          <cell r="J6919">
            <v>0</v>
          </cell>
          <cell r="K6919">
            <v>0</v>
          </cell>
          <cell r="L6919">
            <v>1</v>
          </cell>
        </row>
        <row r="6920">
          <cell r="A6920" t="str">
            <v>20211.10509</v>
          </cell>
          <cell r="B6920" t="str">
            <v>PARTIE DE FUITE</v>
          </cell>
          <cell r="C6920" t="str">
            <v>ER123386 P/TURBINE TYPE SST-400 ATP3 CE 190L-1 SERIE T6453</v>
          </cell>
          <cell r="D6920" t="str">
            <v>PE</v>
          </cell>
          <cell r="E6920" t="str">
            <v>512.51201</v>
          </cell>
          <cell r="F6920">
            <v>3922.68</v>
          </cell>
          <cell r="G6920">
            <v>0</v>
          </cell>
          <cell r="H6920">
            <v>0</v>
          </cell>
          <cell r="I6920">
            <v>0</v>
          </cell>
          <cell r="J6920">
            <v>0</v>
          </cell>
          <cell r="K6920">
            <v>0</v>
          </cell>
          <cell r="L6920">
            <v>0</v>
          </cell>
        </row>
        <row r="6921">
          <cell r="A6921" t="str">
            <v>20211.10510</v>
          </cell>
          <cell r="B6921" t="str">
            <v>FLEXIBLE HYDRAULIQUE</v>
          </cell>
          <cell r="C6921" t="str">
            <v>ER122676 P/TURBINE TYPE SST -400 ATP3 CE 190L-1 SERIE T6453</v>
          </cell>
          <cell r="D6921" t="str">
            <v>PE</v>
          </cell>
          <cell r="E6921" t="str">
            <v>512.51201</v>
          </cell>
          <cell r="F6921">
            <v>4311.6499999999996</v>
          </cell>
          <cell r="G6921">
            <v>0</v>
          </cell>
          <cell r="H6921">
            <v>0</v>
          </cell>
          <cell r="I6921">
            <v>0</v>
          </cell>
          <cell r="J6921">
            <v>0</v>
          </cell>
          <cell r="K6921">
            <v>0</v>
          </cell>
          <cell r="L6921">
            <v>0</v>
          </cell>
        </row>
        <row r="6922">
          <cell r="A6922" t="str">
            <v>20492.16043</v>
          </cell>
          <cell r="B6922" t="str">
            <v>BOBINE DU CHARGEUR</v>
          </cell>
          <cell r="C6922" t="str">
            <v>APC 420-3400146500AH P/ONDULEUR TYPE GALAXY 5000.</v>
          </cell>
          <cell r="D6922" t="str">
            <v>PE</v>
          </cell>
          <cell r="E6922" t="str">
            <v>512.51201</v>
          </cell>
          <cell r="F6922">
            <v>2825</v>
          </cell>
          <cell r="G6922">
            <v>0</v>
          </cell>
          <cell r="H6922">
            <v>0</v>
          </cell>
          <cell r="I6922">
            <v>0</v>
          </cell>
          <cell r="J6922">
            <v>0</v>
          </cell>
          <cell r="K6922">
            <v>0</v>
          </cell>
          <cell r="L6922">
            <v>1</v>
          </cell>
        </row>
        <row r="6923">
          <cell r="A6923" t="str">
            <v>20492.20169</v>
          </cell>
          <cell r="B6923" t="str">
            <v>TRANSFORMATEUR DE COURANT 400A</v>
          </cell>
          <cell r="C6923" t="str">
            <v>IME TAIG10C400</v>
          </cell>
          <cell r="D6923" t="str">
            <v>PE</v>
          </cell>
          <cell r="E6923" t="str">
            <v>522.52206</v>
          </cell>
          <cell r="F6923">
            <v>281.70999999999998</v>
          </cell>
          <cell r="G6923">
            <v>0</v>
          </cell>
          <cell r="H6923">
            <v>0</v>
          </cell>
          <cell r="I6923">
            <v>0</v>
          </cell>
          <cell r="J6923">
            <v>0</v>
          </cell>
          <cell r="K6923">
            <v>0</v>
          </cell>
          <cell r="L6923">
            <v>14</v>
          </cell>
        </row>
        <row r="6924">
          <cell r="A6924" t="str">
            <v>20492.20170</v>
          </cell>
          <cell r="B6924" t="str">
            <v>AMPERMETRE 100A</v>
          </cell>
          <cell r="C6924" t="str">
            <v xml:space="preserve">IME AN22D1C100 </v>
          </cell>
          <cell r="D6924" t="str">
            <v>PE</v>
          </cell>
          <cell r="E6924" t="str">
            <v>522.52206</v>
          </cell>
          <cell r="F6924">
            <v>152.66999999999999</v>
          </cell>
          <cell r="G6924">
            <v>0</v>
          </cell>
          <cell r="H6924">
            <v>0</v>
          </cell>
          <cell r="I6924">
            <v>0</v>
          </cell>
          <cell r="J6924">
            <v>0</v>
          </cell>
          <cell r="K6924">
            <v>0</v>
          </cell>
          <cell r="L6924">
            <v>4</v>
          </cell>
        </row>
        <row r="6925">
          <cell r="A6925" t="str">
            <v>20492.20171</v>
          </cell>
          <cell r="B6925" t="str">
            <v>AMPERMETRE 200A</v>
          </cell>
          <cell r="C6925" t="str">
            <v>IME AN160C2002</v>
          </cell>
          <cell r="D6925" t="str">
            <v>PE</v>
          </cell>
          <cell r="E6925" t="str">
            <v>522.52206</v>
          </cell>
          <cell r="F6925">
            <v>313.23</v>
          </cell>
          <cell r="G6925">
            <v>0</v>
          </cell>
          <cell r="H6925">
            <v>0</v>
          </cell>
          <cell r="I6925">
            <v>0</v>
          </cell>
          <cell r="J6925">
            <v>0</v>
          </cell>
          <cell r="K6925">
            <v>0</v>
          </cell>
          <cell r="L6925">
            <v>6</v>
          </cell>
        </row>
        <row r="6926">
          <cell r="A6926" t="str">
            <v>20492.16036</v>
          </cell>
          <cell r="B6926" t="str">
            <v>CARTE FILTRE CEM POUR CABLAGE DC</v>
          </cell>
          <cell r="C6926" t="str">
            <v>APC 34001173SE P/ONDULEUR TYPE GALAXY 5000.</v>
          </cell>
          <cell r="D6926" t="str">
            <v>PE</v>
          </cell>
          <cell r="E6926" t="str">
            <v>512.51201</v>
          </cell>
          <cell r="F6926">
            <v>1162.5</v>
          </cell>
          <cell r="G6926">
            <v>0</v>
          </cell>
          <cell r="H6926">
            <v>0</v>
          </cell>
          <cell r="I6926">
            <v>0</v>
          </cell>
          <cell r="J6926">
            <v>0</v>
          </cell>
          <cell r="K6926">
            <v>0</v>
          </cell>
          <cell r="L6926">
            <v>1</v>
          </cell>
        </row>
        <row r="6927">
          <cell r="A6927" t="str">
            <v>20492.16037</v>
          </cell>
          <cell r="B6927" t="str">
            <v>CARTE FILTRE CEM POUR UTILISATION ET RESEAU BY-PASS</v>
          </cell>
          <cell r="C6927" t="str">
            <v>APC 34001151SE P/ONDULEUR TYPE GALAXY 5000.</v>
          </cell>
          <cell r="D6927" t="str">
            <v>PE</v>
          </cell>
          <cell r="E6927" t="str">
            <v>512.51201</v>
          </cell>
          <cell r="F6927">
            <v>900</v>
          </cell>
          <cell r="G6927">
            <v>0</v>
          </cell>
          <cell r="H6927">
            <v>0</v>
          </cell>
          <cell r="I6927">
            <v>0</v>
          </cell>
          <cell r="J6927">
            <v>0</v>
          </cell>
          <cell r="K6927">
            <v>0</v>
          </cell>
          <cell r="L6927">
            <v>1</v>
          </cell>
        </row>
        <row r="6928">
          <cell r="A6928" t="str">
            <v>20492.16038</v>
          </cell>
          <cell r="B6928" t="str">
            <v>CAPACITE DC</v>
          </cell>
          <cell r="C6928" t="str">
            <v>APC 34001104SE P/ONDULEUR TYPE GALAXY 5000.</v>
          </cell>
          <cell r="D6928" t="str">
            <v>PE</v>
          </cell>
          <cell r="E6928" t="str">
            <v>512.51201</v>
          </cell>
          <cell r="F6928">
            <v>26475</v>
          </cell>
          <cell r="G6928">
            <v>0</v>
          </cell>
          <cell r="H6928">
            <v>0</v>
          </cell>
          <cell r="I6928">
            <v>0</v>
          </cell>
          <cell r="J6928">
            <v>0</v>
          </cell>
          <cell r="K6928">
            <v>0</v>
          </cell>
          <cell r="L6928">
            <v>0</v>
          </cell>
        </row>
        <row r="6929">
          <cell r="A6929" t="str">
            <v>20492.16039</v>
          </cell>
          <cell r="B6929" t="str">
            <v>ENSEMBLE FILTRE CAPAS AC DE SORTIE</v>
          </cell>
          <cell r="C6929" t="str">
            <v>APC 34001349SE P/ONDULEUR TYPE GALAXY 5000.</v>
          </cell>
          <cell r="D6929" t="str">
            <v>PE</v>
          </cell>
          <cell r="E6929" t="str">
            <v>512.51201</v>
          </cell>
          <cell r="F6929">
            <v>6412.5</v>
          </cell>
          <cell r="G6929">
            <v>0</v>
          </cell>
          <cell r="H6929">
            <v>0</v>
          </cell>
          <cell r="I6929">
            <v>0</v>
          </cell>
          <cell r="J6929">
            <v>0</v>
          </cell>
          <cell r="K6929">
            <v>0</v>
          </cell>
          <cell r="L6929">
            <v>1</v>
          </cell>
        </row>
        <row r="6930">
          <cell r="A6930" t="str">
            <v>20492.16034</v>
          </cell>
          <cell r="B6930" t="str">
            <v>CARTE CONTRÔLE REGULATION ET ACQUISITION MESURES</v>
          </cell>
          <cell r="C6930" t="str">
            <v>APC 34001177SE P/ONDULEUR TYPE GALAXY 5000.</v>
          </cell>
          <cell r="D6930" t="str">
            <v>PE</v>
          </cell>
          <cell r="E6930" t="str">
            <v>512.51201</v>
          </cell>
          <cell r="F6930">
            <v>7750</v>
          </cell>
          <cell r="G6930">
            <v>0</v>
          </cell>
          <cell r="H6930">
            <v>0</v>
          </cell>
          <cell r="I6930">
            <v>0</v>
          </cell>
          <cell r="J6930">
            <v>0</v>
          </cell>
          <cell r="K6930">
            <v>0</v>
          </cell>
          <cell r="L6930">
            <v>0</v>
          </cell>
        </row>
        <row r="6931">
          <cell r="A6931" t="str">
            <v>20492.16035</v>
          </cell>
          <cell r="B6931" t="str">
            <v>CARTE POUR MISE EN PARALLELE</v>
          </cell>
          <cell r="C6931" t="str">
            <v>APC 34001175SE P/ONDULEUR TYPE GALAXY 5000.</v>
          </cell>
          <cell r="D6931" t="str">
            <v>PE</v>
          </cell>
          <cell r="E6931" t="str">
            <v>512.51201</v>
          </cell>
          <cell r="F6931">
            <v>312.5</v>
          </cell>
          <cell r="G6931">
            <v>0</v>
          </cell>
          <cell r="H6931">
            <v>0</v>
          </cell>
          <cell r="I6931">
            <v>0</v>
          </cell>
          <cell r="J6931">
            <v>0</v>
          </cell>
          <cell r="K6931">
            <v>0</v>
          </cell>
          <cell r="L6931">
            <v>1</v>
          </cell>
        </row>
        <row r="6932">
          <cell r="A6932" t="str">
            <v>20492.16040</v>
          </cell>
          <cell r="B6932" t="str">
            <v>BOBINE DU NEUTRE</v>
          </cell>
          <cell r="C6932" t="str">
            <v>APC 420-3400146400AH P/ONDULEUR TYPE GALAXY 5000.</v>
          </cell>
          <cell r="D6932" t="str">
            <v>PE</v>
          </cell>
          <cell r="E6932" t="str">
            <v>512.51201</v>
          </cell>
          <cell r="F6932">
            <v>2625</v>
          </cell>
          <cell r="G6932">
            <v>0</v>
          </cell>
          <cell r="H6932">
            <v>0</v>
          </cell>
          <cell r="I6932">
            <v>0</v>
          </cell>
          <cell r="J6932">
            <v>0</v>
          </cell>
          <cell r="K6932">
            <v>0</v>
          </cell>
          <cell r="L6932">
            <v>1</v>
          </cell>
        </row>
        <row r="6933">
          <cell r="A6933" t="str">
            <v>20492.16041</v>
          </cell>
          <cell r="B6933" t="str">
            <v>BOBINE D'ENTREE</v>
          </cell>
          <cell r="C6933" t="str">
            <v>APC 420-3400125800AD P/ONDULEUR TYPE GALAXY 5000.</v>
          </cell>
          <cell r="D6933" t="str">
            <v>PE</v>
          </cell>
          <cell r="E6933" t="str">
            <v>512.51201</v>
          </cell>
          <cell r="F6933">
            <v>3800</v>
          </cell>
          <cell r="G6933">
            <v>0</v>
          </cell>
          <cell r="H6933">
            <v>0</v>
          </cell>
          <cell r="I6933">
            <v>0</v>
          </cell>
          <cell r="J6933">
            <v>0</v>
          </cell>
          <cell r="K6933">
            <v>0</v>
          </cell>
          <cell r="L6933">
            <v>1</v>
          </cell>
        </row>
        <row r="6934">
          <cell r="A6934" t="str">
            <v>20492.16042</v>
          </cell>
          <cell r="B6934" t="str">
            <v>BOBINE D'ENTREE</v>
          </cell>
          <cell r="C6934" t="str">
            <v>APC 420-3400125900AD P/ONDULEUR TYPE GALAXY 5000.</v>
          </cell>
          <cell r="D6934" t="str">
            <v>PE</v>
          </cell>
          <cell r="E6934" t="str">
            <v>512.51201</v>
          </cell>
          <cell r="F6934">
            <v>4775</v>
          </cell>
          <cell r="G6934">
            <v>0</v>
          </cell>
          <cell r="H6934">
            <v>0</v>
          </cell>
          <cell r="I6934">
            <v>0</v>
          </cell>
          <cell r="J6934">
            <v>0</v>
          </cell>
          <cell r="K6934">
            <v>0</v>
          </cell>
          <cell r="L6934">
            <v>1</v>
          </cell>
        </row>
        <row r="6935">
          <cell r="A6935" t="str">
            <v>20492.15816</v>
          </cell>
          <cell r="B6935" t="str">
            <v>SYSTEME UNIVERSEL DE CONDAMNATION GRAND</v>
          </cell>
          <cell r="C6935" t="str">
            <v>BRADY REF 050899</v>
          </cell>
          <cell r="D6935" t="str">
            <v>PE</v>
          </cell>
          <cell r="E6935" t="str">
            <v>522.52203</v>
          </cell>
          <cell r="F6935">
            <v>270</v>
          </cell>
          <cell r="G6935">
            <v>0</v>
          </cell>
          <cell r="H6935">
            <v>0</v>
          </cell>
          <cell r="I6935">
            <v>0</v>
          </cell>
          <cell r="J6935">
            <v>0</v>
          </cell>
          <cell r="K6935">
            <v>0</v>
          </cell>
          <cell r="L6935">
            <v>10</v>
          </cell>
        </row>
        <row r="6936">
          <cell r="A6936" t="str">
            <v>20431.00656</v>
          </cell>
          <cell r="B6936" t="str">
            <v>CLAPET DE PILOTE</v>
          </cell>
          <cell r="C6936" t="str">
            <v>MILTON ROY 0070055006N</v>
          </cell>
          <cell r="D6936" t="str">
            <v>PE</v>
          </cell>
          <cell r="E6936" t="str">
            <v>515.51511</v>
          </cell>
          <cell r="F6936">
            <v>5762.4</v>
          </cell>
          <cell r="G6936">
            <v>0</v>
          </cell>
          <cell r="H6936">
            <v>0</v>
          </cell>
          <cell r="I6936">
            <v>0</v>
          </cell>
          <cell r="J6936">
            <v>0</v>
          </cell>
          <cell r="K6936">
            <v>0</v>
          </cell>
          <cell r="L6936">
            <v>0</v>
          </cell>
        </row>
        <row r="6937">
          <cell r="A6937" t="str">
            <v>20431.00657</v>
          </cell>
          <cell r="B6937" t="str">
            <v>VIS ACCROCHAGE PISTON</v>
          </cell>
          <cell r="C6937" t="str">
            <v>MILTON ROY 0090006006N</v>
          </cell>
          <cell r="D6937" t="str">
            <v>PE</v>
          </cell>
          <cell r="E6937" t="str">
            <v>515.51511</v>
          </cell>
          <cell r="F6937">
            <v>964.32</v>
          </cell>
          <cell r="G6937">
            <v>0</v>
          </cell>
          <cell r="H6937">
            <v>0</v>
          </cell>
          <cell r="I6937">
            <v>0</v>
          </cell>
          <cell r="J6937">
            <v>0</v>
          </cell>
          <cell r="K6937">
            <v>0</v>
          </cell>
          <cell r="L6937">
            <v>2</v>
          </cell>
        </row>
        <row r="6938">
          <cell r="A6938" t="str">
            <v>20431.00658</v>
          </cell>
          <cell r="B6938" t="str">
            <v>TETE DE PISTON D100</v>
          </cell>
          <cell r="C6938" t="str">
            <v>MILTON ROY 0120302062N</v>
          </cell>
          <cell r="D6938" t="str">
            <v>PE</v>
          </cell>
          <cell r="E6938" t="str">
            <v>515.51511</v>
          </cell>
          <cell r="F6938">
            <v>6174</v>
          </cell>
          <cell r="G6938">
            <v>0</v>
          </cell>
          <cell r="H6938">
            <v>0</v>
          </cell>
          <cell r="I6938">
            <v>0</v>
          </cell>
          <cell r="J6938">
            <v>0</v>
          </cell>
          <cell r="K6938">
            <v>0</v>
          </cell>
          <cell r="L6938">
            <v>2</v>
          </cell>
        </row>
        <row r="6939">
          <cell r="A6939" t="str">
            <v>20431.00659</v>
          </cell>
          <cell r="B6939" t="str">
            <v>BAGUE DE MAINTIEN</v>
          </cell>
          <cell r="C6939" t="str">
            <v>MILTON ROY 0250196075N</v>
          </cell>
          <cell r="D6939" t="str">
            <v>PE</v>
          </cell>
          <cell r="E6939" t="str">
            <v>515.51511</v>
          </cell>
          <cell r="F6939">
            <v>37.631999999999998</v>
          </cell>
          <cell r="G6939">
            <v>0</v>
          </cell>
          <cell r="H6939">
            <v>0</v>
          </cell>
          <cell r="I6939">
            <v>0</v>
          </cell>
          <cell r="J6939">
            <v>0</v>
          </cell>
          <cell r="K6939">
            <v>4</v>
          </cell>
          <cell r="L6939">
            <v>0</v>
          </cell>
        </row>
        <row r="6940">
          <cell r="A6940" t="str">
            <v>20431.00660</v>
          </cell>
          <cell r="B6940" t="str">
            <v>TOILE FILTRANTE (DM) D43 EP1</v>
          </cell>
          <cell r="C6940" t="str">
            <v>MILTON ROY 0470396073N</v>
          </cell>
          <cell r="D6940" t="str">
            <v>PE</v>
          </cell>
          <cell r="E6940" t="str">
            <v>515.51511</v>
          </cell>
          <cell r="F6940">
            <v>112.896</v>
          </cell>
          <cell r="G6940">
            <v>0</v>
          </cell>
          <cell r="H6940">
            <v>0</v>
          </cell>
          <cell r="I6940">
            <v>0</v>
          </cell>
          <cell r="J6940">
            <v>0</v>
          </cell>
          <cell r="K6940">
            <v>0</v>
          </cell>
          <cell r="L6940">
            <v>4</v>
          </cell>
        </row>
        <row r="6941">
          <cell r="A6941" t="str">
            <v>20431.00661</v>
          </cell>
          <cell r="B6941" t="str">
            <v>AXE DE COMPENSATEUR</v>
          </cell>
          <cell r="C6941" t="str">
            <v>MILTON ROY 0680187006N</v>
          </cell>
          <cell r="D6941" t="str">
            <v>PE</v>
          </cell>
          <cell r="E6941" t="str">
            <v>515.51511</v>
          </cell>
          <cell r="F6941">
            <v>2693.04</v>
          </cell>
          <cell r="G6941">
            <v>0</v>
          </cell>
          <cell r="H6941">
            <v>0</v>
          </cell>
          <cell r="I6941">
            <v>0</v>
          </cell>
          <cell r="J6941">
            <v>0</v>
          </cell>
          <cell r="K6941">
            <v>0</v>
          </cell>
          <cell r="L6941">
            <v>2</v>
          </cell>
        </row>
        <row r="6942">
          <cell r="A6942" t="str">
            <v>20431.00662</v>
          </cell>
          <cell r="B6942" t="str">
            <v>RESSORT</v>
          </cell>
          <cell r="C6942" t="str">
            <v>MILTON ROY 0800074006N</v>
          </cell>
          <cell r="D6942" t="str">
            <v>PE</v>
          </cell>
          <cell r="E6942" t="str">
            <v>515.51511</v>
          </cell>
          <cell r="F6942">
            <v>1528.8</v>
          </cell>
          <cell r="G6942">
            <v>0</v>
          </cell>
          <cell r="H6942">
            <v>0</v>
          </cell>
          <cell r="I6942">
            <v>0</v>
          </cell>
          <cell r="J6942">
            <v>0</v>
          </cell>
          <cell r="K6942">
            <v>0</v>
          </cell>
          <cell r="L6942">
            <v>2</v>
          </cell>
        </row>
        <row r="6943">
          <cell r="A6943" t="str">
            <v>20431.00663</v>
          </cell>
          <cell r="B6943" t="str">
            <v>RESSORT</v>
          </cell>
          <cell r="C6943" t="str">
            <v>MILTON ROY 0800102006N</v>
          </cell>
          <cell r="D6943" t="str">
            <v>PE</v>
          </cell>
          <cell r="E6943" t="str">
            <v>515.51511</v>
          </cell>
          <cell r="F6943">
            <v>1528.8</v>
          </cell>
          <cell r="G6943">
            <v>0</v>
          </cell>
          <cell r="H6943">
            <v>0</v>
          </cell>
          <cell r="I6943">
            <v>0</v>
          </cell>
          <cell r="J6943">
            <v>0</v>
          </cell>
          <cell r="K6943">
            <v>0</v>
          </cell>
          <cell r="L6943">
            <v>2</v>
          </cell>
        </row>
        <row r="6944">
          <cell r="A6944" t="str">
            <v>20431.00664</v>
          </cell>
          <cell r="B6944" t="str">
            <v>RACCORD UNION D10-G 3/8*</v>
          </cell>
          <cell r="C6944" t="str">
            <v>MILTON ROY  4320357062N</v>
          </cell>
          <cell r="D6944" t="str">
            <v>PE</v>
          </cell>
          <cell r="E6944" t="str">
            <v>515.51511</v>
          </cell>
          <cell r="F6944">
            <v>246.96</v>
          </cell>
          <cell r="G6944">
            <v>0</v>
          </cell>
          <cell r="H6944">
            <v>0</v>
          </cell>
          <cell r="I6944">
            <v>0</v>
          </cell>
          <cell r="J6944">
            <v>0</v>
          </cell>
          <cell r="K6944">
            <v>0</v>
          </cell>
          <cell r="L6944">
            <v>2</v>
          </cell>
        </row>
        <row r="6945">
          <cell r="A6945" t="str">
            <v>20431.00649</v>
          </cell>
          <cell r="B6945" t="str">
            <v>1/2 ACCOUPLEMENT D24</v>
          </cell>
          <cell r="C6945" t="str">
            <v>MILTON ROY 05203200361N REP 052</v>
          </cell>
          <cell r="D6945" t="str">
            <v>PE</v>
          </cell>
          <cell r="E6945" t="str">
            <v>515.51511</v>
          </cell>
          <cell r="F6945">
            <v>11319</v>
          </cell>
          <cell r="G6945">
            <v>0</v>
          </cell>
          <cell r="H6945">
            <v>0</v>
          </cell>
          <cell r="I6945">
            <v>0</v>
          </cell>
          <cell r="J6945">
            <v>0</v>
          </cell>
          <cell r="K6945">
            <v>0</v>
          </cell>
          <cell r="L6945">
            <v>2</v>
          </cell>
        </row>
        <row r="6946">
          <cell r="A6946" t="str">
            <v>20431.00650</v>
          </cell>
          <cell r="B6946" t="str">
            <v>1/2 ACCOUPLEMENT D28</v>
          </cell>
          <cell r="C6946" t="str">
            <v>MILTON ROY 05203201361N REP 052A</v>
          </cell>
          <cell r="D6946" t="str">
            <v>PE</v>
          </cell>
          <cell r="E6946" t="str">
            <v>515.51511</v>
          </cell>
          <cell r="F6946">
            <v>11319</v>
          </cell>
          <cell r="G6946">
            <v>0</v>
          </cell>
          <cell r="H6946">
            <v>0</v>
          </cell>
          <cell r="I6946">
            <v>0</v>
          </cell>
          <cell r="J6946">
            <v>0</v>
          </cell>
          <cell r="K6946">
            <v>0</v>
          </cell>
          <cell r="L6946">
            <v>2</v>
          </cell>
        </row>
        <row r="6947">
          <cell r="A6947" t="str">
            <v>20431.00652</v>
          </cell>
          <cell r="B6947" t="str">
            <v>AMORTISSEUR D'ACCOUPLEMENT /FLECTOR</v>
          </cell>
          <cell r="C6947" t="str">
            <v>MILTON ROY 4400066050N</v>
          </cell>
          <cell r="D6947" t="str">
            <v>PE</v>
          </cell>
          <cell r="E6947" t="str">
            <v>515.51511</v>
          </cell>
          <cell r="F6947">
            <v>352.8</v>
          </cell>
          <cell r="G6947">
            <v>2</v>
          </cell>
          <cell r="H6947">
            <v>0</v>
          </cell>
          <cell r="I6947">
            <v>0</v>
          </cell>
          <cell r="J6947">
            <v>0</v>
          </cell>
          <cell r="K6947">
            <v>0</v>
          </cell>
          <cell r="L6947">
            <v>6</v>
          </cell>
        </row>
        <row r="6948">
          <cell r="A6948" t="str">
            <v>20431.00665</v>
          </cell>
          <cell r="B6948" t="str">
            <v>JOINT TORIQUE 69,22X5,33</v>
          </cell>
          <cell r="C6948" t="str">
            <v>MILTON ROY  4380006405N</v>
          </cell>
          <cell r="D6948" t="str">
            <v>PE</v>
          </cell>
          <cell r="E6948" t="str">
            <v>515.51511</v>
          </cell>
          <cell r="F6948">
            <v>199.92</v>
          </cell>
          <cell r="G6948">
            <v>0</v>
          </cell>
          <cell r="H6948">
            <v>0</v>
          </cell>
          <cell r="I6948">
            <v>0</v>
          </cell>
          <cell r="J6948">
            <v>0</v>
          </cell>
          <cell r="K6948">
            <v>0</v>
          </cell>
          <cell r="L6948">
            <v>2</v>
          </cell>
        </row>
        <row r="6949">
          <cell r="A6949" t="str">
            <v>20431.00666</v>
          </cell>
          <cell r="B6949" t="str">
            <v>JOINT TORIQUE 274X3</v>
          </cell>
          <cell r="C6949" t="str">
            <v>MILTON ROY 4380019371N</v>
          </cell>
          <cell r="D6949" t="str">
            <v>PE</v>
          </cell>
          <cell r="E6949" t="str">
            <v>515.51511</v>
          </cell>
          <cell r="F6949">
            <v>921.98400000000004</v>
          </cell>
          <cell r="G6949">
            <v>0</v>
          </cell>
          <cell r="H6949">
            <v>0</v>
          </cell>
          <cell r="I6949">
            <v>0</v>
          </cell>
          <cell r="J6949">
            <v>0</v>
          </cell>
          <cell r="K6949">
            <v>0</v>
          </cell>
          <cell r="L6949">
            <v>4</v>
          </cell>
        </row>
        <row r="6950">
          <cell r="A6950" t="str">
            <v>20431.00667</v>
          </cell>
          <cell r="B6950" t="str">
            <v>JOINT TORIQUE 42,52X2,6</v>
          </cell>
          <cell r="C6950" t="str">
            <v>MILTON ROY 4380018061N</v>
          </cell>
          <cell r="D6950" t="str">
            <v>PE</v>
          </cell>
          <cell r="E6950" t="str">
            <v>515.51511</v>
          </cell>
          <cell r="F6950">
            <v>926.68799999999999</v>
          </cell>
          <cell r="G6950">
            <v>0</v>
          </cell>
          <cell r="H6950">
            <v>0</v>
          </cell>
          <cell r="I6950">
            <v>0</v>
          </cell>
          <cell r="J6950">
            <v>0</v>
          </cell>
          <cell r="K6950">
            <v>0</v>
          </cell>
          <cell r="L6950">
            <v>4</v>
          </cell>
        </row>
        <row r="6951">
          <cell r="A6951" t="str">
            <v>20431.00668</v>
          </cell>
          <cell r="B6951" t="str">
            <v>JOINT PISTON D100</v>
          </cell>
          <cell r="C6951" t="str">
            <v>MILTON ROY 4380233230N</v>
          </cell>
          <cell r="D6951" t="str">
            <v>PE</v>
          </cell>
          <cell r="E6951" t="str">
            <v>515.51511</v>
          </cell>
          <cell r="F6951">
            <v>223.44</v>
          </cell>
          <cell r="G6951">
            <v>0</v>
          </cell>
          <cell r="H6951">
            <v>0</v>
          </cell>
          <cell r="I6951">
            <v>0</v>
          </cell>
          <cell r="J6951">
            <v>0</v>
          </cell>
          <cell r="K6951">
            <v>0</v>
          </cell>
          <cell r="L6951">
            <v>2</v>
          </cell>
        </row>
        <row r="6952">
          <cell r="A6952" t="str">
            <v>20431.00669</v>
          </cell>
          <cell r="B6952" t="str">
            <v>JOINT TORIQUE</v>
          </cell>
          <cell r="C6952" t="str">
            <v>MILTON ROY 4380019091N</v>
          </cell>
          <cell r="D6952" t="str">
            <v>PE</v>
          </cell>
          <cell r="E6952" t="str">
            <v>515.51511</v>
          </cell>
          <cell r="F6952">
            <v>305.76</v>
          </cell>
          <cell r="G6952">
            <v>0</v>
          </cell>
          <cell r="H6952">
            <v>0</v>
          </cell>
          <cell r="I6952">
            <v>0</v>
          </cell>
          <cell r="J6952">
            <v>0</v>
          </cell>
          <cell r="K6952">
            <v>0</v>
          </cell>
          <cell r="L6952">
            <v>4</v>
          </cell>
        </row>
        <row r="6953">
          <cell r="A6953" t="str">
            <v>20431.00670</v>
          </cell>
          <cell r="B6953" t="str">
            <v>CLAPET DE SOUPAPE</v>
          </cell>
          <cell r="C6953" t="str">
            <v>MILTON ROY 0120317006N</v>
          </cell>
          <cell r="D6953" t="str">
            <v>PE</v>
          </cell>
          <cell r="E6953" t="str">
            <v>515.51511</v>
          </cell>
          <cell r="F6953">
            <v>5292</v>
          </cell>
          <cell r="G6953">
            <v>0</v>
          </cell>
          <cell r="H6953">
            <v>0</v>
          </cell>
          <cell r="I6953">
            <v>0</v>
          </cell>
          <cell r="J6953">
            <v>0</v>
          </cell>
          <cell r="K6953">
            <v>0</v>
          </cell>
          <cell r="L6953">
            <v>4</v>
          </cell>
        </row>
        <row r="6954">
          <cell r="A6954" t="str">
            <v>20431.00671</v>
          </cell>
          <cell r="B6954" t="str">
            <v>CLAPET DE SOUPAPE</v>
          </cell>
          <cell r="C6954" t="str">
            <v>MILTON ROY 0120318006N</v>
          </cell>
          <cell r="D6954" t="str">
            <v>PE</v>
          </cell>
          <cell r="E6954" t="str">
            <v>515.51511</v>
          </cell>
          <cell r="F6954">
            <v>2716.56</v>
          </cell>
          <cell r="G6954">
            <v>0</v>
          </cell>
          <cell r="H6954">
            <v>0</v>
          </cell>
          <cell r="I6954">
            <v>0</v>
          </cell>
          <cell r="J6954">
            <v>0</v>
          </cell>
          <cell r="K6954">
            <v>0</v>
          </cell>
          <cell r="L6954">
            <v>4</v>
          </cell>
        </row>
        <row r="6955">
          <cell r="A6955" t="str">
            <v>20431.00672</v>
          </cell>
          <cell r="B6955" t="str">
            <v>RESSORT</v>
          </cell>
          <cell r="C6955" t="str">
            <v>MILTON ROY 0800154006N</v>
          </cell>
          <cell r="D6955" t="str">
            <v>PE</v>
          </cell>
          <cell r="E6955" t="str">
            <v>515.51511</v>
          </cell>
          <cell r="F6955">
            <v>519.79200000000003</v>
          </cell>
          <cell r="G6955">
            <v>0</v>
          </cell>
          <cell r="H6955">
            <v>0</v>
          </cell>
          <cell r="I6955">
            <v>0</v>
          </cell>
          <cell r="J6955">
            <v>0</v>
          </cell>
          <cell r="K6955">
            <v>0</v>
          </cell>
          <cell r="L6955">
            <v>4</v>
          </cell>
        </row>
        <row r="6956">
          <cell r="A6956" t="str">
            <v>20431.00673</v>
          </cell>
          <cell r="B6956" t="str">
            <v>RESSORT</v>
          </cell>
          <cell r="C6956" t="str">
            <v>MILTON ROY 0800153006N</v>
          </cell>
          <cell r="D6956" t="str">
            <v>PE</v>
          </cell>
          <cell r="E6956" t="str">
            <v>515.51511</v>
          </cell>
          <cell r="F6956">
            <v>588</v>
          </cell>
          <cell r="G6956">
            <v>0</v>
          </cell>
          <cell r="H6956">
            <v>0</v>
          </cell>
          <cell r="I6956">
            <v>0</v>
          </cell>
          <cell r="J6956">
            <v>0</v>
          </cell>
          <cell r="K6956">
            <v>0</v>
          </cell>
          <cell r="L6956">
            <v>4</v>
          </cell>
        </row>
        <row r="6957">
          <cell r="A6957" t="str">
            <v>20430.00220</v>
          </cell>
          <cell r="B6957" t="str">
            <v>FILTRE A HUILE</v>
          </cell>
          <cell r="C6957" t="str">
            <v>FLEETGUARD REF LF3417</v>
          </cell>
          <cell r="D6957" t="str">
            <v>PE</v>
          </cell>
          <cell r="E6957" t="str">
            <v>516.51602</v>
          </cell>
          <cell r="F6957">
            <v>83.578000000000003</v>
          </cell>
          <cell r="G6957">
            <v>0</v>
          </cell>
          <cell r="H6957">
            <v>0</v>
          </cell>
          <cell r="I6957">
            <v>0</v>
          </cell>
          <cell r="J6957">
            <v>0</v>
          </cell>
          <cell r="K6957">
            <v>0</v>
          </cell>
          <cell r="L6957">
            <v>0</v>
          </cell>
        </row>
        <row r="6958">
          <cell r="A6958" t="str">
            <v>20431.00625</v>
          </cell>
          <cell r="B6958" t="str">
            <v>BIELLE</v>
          </cell>
          <cell r="C6958" t="str">
            <v>MILTON ROY 01400130361N REP 014</v>
          </cell>
          <cell r="D6958" t="str">
            <v>PE</v>
          </cell>
          <cell r="E6958" t="str">
            <v>515.51511</v>
          </cell>
          <cell r="F6958">
            <v>3669.12</v>
          </cell>
          <cell r="G6958">
            <v>0</v>
          </cell>
          <cell r="H6958">
            <v>0</v>
          </cell>
          <cell r="I6958">
            <v>0</v>
          </cell>
          <cell r="J6958">
            <v>0</v>
          </cell>
          <cell r="K6958">
            <v>0</v>
          </cell>
          <cell r="L6958">
            <v>4</v>
          </cell>
        </row>
        <row r="6959">
          <cell r="A6959" t="str">
            <v>20431.00626</v>
          </cell>
          <cell r="B6959" t="str">
            <v>COULISSEAU</v>
          </cell>
          <cell r="C6959" t="str">
            <v>MILTON ROY 01600310192N REP 016</v>
          </cell>
          <cell r="D6959" t="str">
            <v>PE</v>
          </cell>
          <cell r="E6959" t="str">
            <v>515.51511</v>
          </cell>
          <cell r="F6959">
            <v>18710.16</v>
          </cell>
          <cell r="G6959">
            <v>0</v>
          </cell>
          <cell r="H6959">
            <v>0</v>
          </cell>
          <cell r="I6959">
            <v>0</v>
          </cell>
          <cell r="J6959">
            <v>0</v>
          </cell>
          <cell r="K6959">
            <v>0</v>
          </cell>
          <cell r="L6959">
            <v>2</v>
          </cell>
        </row>
        <row r="6960">
          <cell r="A6960" t="str">
            <v>20431.00627</v>
          </cell>
          <cell r="B6960" t="str">
            <v>EXENTIQUE FEMELLE</v>
          </cell>
          <cell r="C6960" t="str">
            <v>MILTON ROY 01600320011N REP 016A</v>
          </cell>
          <cell r="D6960" t="str">
            <v>PE</v>
          </cell>
          <cell r="E6960" t="str">
            <v>515.51511</v>
          </cell>
          <cell r="F6960">
            <v>7691.04</v>
          </cell>
          <cell r="G6960">
            <v>0</v>
          </cell>
          <cell r="H6960">
            <v>0</v>
          </cell>
          <cell r="I6960">
            <v>0</v>
          </cell>
          <cell r="J6960">
            <v>0</v>
          </cell>
          <cell r="K6960">
            <v>0</v>
          </cell>
          <cell r="L6960">
            <v>2</v>
          </cell>
        </row>
        <row r="6961">
          <cell r="A6961" t="str">
            <v>20431.00628</v>
          </cell>
          <cell r="B6961" t="str">
            <v>JOINT PLAT</v>
          </cell>
          <cell r="C6961" t="str">
            <v>MILTON ROY 0250117099N REP 025</v>
          </cell>
          <cell r="D6961" t="str">
            <v>PE</v>
          </cell>
          <cell r="E6961" t="str">
            <v>515.51511</v>
          </cell>
          <cell r="F6961">
            <v>241.08</v>
          </cell>
          <cell r="G6961">
            <v>0</v>
          </cell>
          <cell r="H6961">
            <v>0</v>
          </cell>
          <cell r="I6961">
            <v>0</v>
          </cell>
          <cell r="J6961">
            <v>0</v>
          </cell>
          <cell r="K6961">
            <v>0</v>
          </cell>
          <cell r="L6961">
            <v>4</v>
          </cell>
        </row>
        <row r="6962">
          <cell r="A6962" t="str">
            <v>20431.00629</v>
          </cell>
          <cell r="B6962" t="str">
            <v>DOIGT DE REGLAGE</v>
          </cell>
          <cell r="C6962" t="str">
            <v>MILTON ROY 03701390036N REP 037A</v>
          </cell>
          <cell r="D6962" t="str">
            <v>PE</v>
          </cell>
          <cell r="E6962" t="str">
            <v>515.51511</v>
          </cell>
          <cell r="F6962">
            <v>2293.1999999999998</v>
          </cell>
          <cell r="G6962">
            <v>0</v>
          </cell>
          <cell r="H6962">
            <v>0</v>
          </cell>
          <cell r="I6962">
            <v>0</v>
          </cell>
          <cell r="J6962">
            <v>0</v>
          </cell>
          <cell r="K6962">
            <v>0</v>
          </cell>
          <cell r="L6962">
            <v>2</v>
          </cell>
        </row>
        <row r="6963">
          <cell r="A6963" t="str">
            <v>20431.00624</v>
          </cell>
          <cell r="B6963" t="str">
            <v>COULISSEAU</v>
          </cell>
          <cell r="C6963" t="str">
            <v>MILTON ROY 01000300015N REP 010</v>
          </cell>
          <cell r="D6963" t="str">
            <v>PE</v>
          </cell>
          <cell r="E6963" t="str">
            <v>515.51511</v>
          </cell>
          <cell r="F6963">
            <v>6938.4</v>
          </cell>
          <cell r="G6963">
            <v>0</v>
          </cell>
          <cell r="H6963">
            <v>0</v>
          </cell>
          <cell r="I6963">
            <v>0</v>
          </cell>
          <cell r="J6963">
            <v>0</v>
          </cell>
          <cell r="K6963">
            <v>0</v>
          </cell>
          <cell r="L6963">
            <v>4</v>
          </cell>
        </row>
        <row r="6964">
          <cell r="A6964" t="str">
            <v>20431.00638</v>
          </cell>
          <cell r="B6964" t="str">
            <v>JOINT TORIQUE D164,5X3</v>
          </cell>
          <cell r="C6964" t="str">
            <v>MILTON ROY 4380019391N REP 438A</v>
          </cell>
          <cell r="D6964" t="str">
            <v>PE</v>
          </cell>
          <cell r="E6964" t="str">
            <v>515.51511</v>
          </cell>
          <cell r="F6964">
            <v>529.20000000000005</v>
          </cell>
          <cell r="G6964">
            <v>0</v>
          </cell>
          <cell r="H6964">
            <v>0</v>
          </cell>
          <cell r="I6964">
            <v>0</v>
          </cell>
          <cell r="J6964">
            <v>0</v>
          </cell>
          <cell r="K6964">
            <v>0</v>
          </cell>
          <cell r="L6964">
            <v>12</v>
          </cell>
        </row>
        <row r="6965">
          <cell r="A6965" t="str">
            <v>20431.00639</v>
          </cell>
          <cell r="B6965" t="str">
            <v>JOINT TORIQUE 75,87X2,62</v>
          </cell>
          <cell r="C6965" t="str">
            <v>MILTON ROY 4380051055N REP 438B</v>
          </cell>
          <cell r="D6965" t="str">
            <v>PE</v>
          </cell>
          <cell r="E6965" t="str">
            <v>515.51511</v>
          </cell>
          <cell r="F6965">
            <v>210</v>
          </cell>
          <cell r="G6965">
            <v>0</v>
          </cell>
          <cell r="H6965">
            <v>0</v>
          </cell>
          <cell r="I6965">
            <v>0</v>
          </cell>
          <cell r="J6965">
            <v>0</v>
          </cell>
          <cell r="K6965">
            <v>4</v>
          </cell>
          <cell r="L6965">
            <v>0</v>
          </cell>
        </row>
        <row r="6966">
          <cell r="A6966" t="str">
            <v>20431.00640</v>
          </cell>
          <cell r="B6966" t="str">
            <v>JOINT A LEVRE</v>
          </cell>
          <cell r="C6966" t="str">
            <v>MILTON ROY 4380236000N REP 438C</v>
          </cell>
          <cell r="D6966" t="str">
            <v>PE</v>
          </cell>
          <cell r="E6966" t="str">
            <v>515.51511</v>
          </cell>
          <cell r="F6966">
            <v>940.8</v>
          </cell>
          <cell r="G6966">
            <v>0</v>
          </cell>
          <cell r="H6966">
            <v>1</v>
          </cell>
          <cell r="I6966">
            <v>0</v>
          </cell>
          <cell r="J6966">
            <v>0</v>
          </cell>
          <cell r="K6966">
            <v>0</v>
          </cell>
          <cell r="L6966">
            <v>0</v>
          </cell>
        </row>
        <row r="6967">
          <cell r="A6967" t="str">
            <v>20431.00641</v>
          </cell>
          <cell r="B6967" t="str">
            <v>JOINT TORIQUE 27,8X3,6 R21</v>
          </cell>
          <cell r="C6967" t="str">
            <v>MILTON ROY 4380006231N REP 438D</v>
          </cell>
          <cell r="D6967" t="str">
            <v>PE</v>
          </cell>
          <cell r="E6967" t="str">
            <v>515.51511</v>
          </cell>
          <cell r="F6967">
            <v>105.84</v>
          </cell>
          <cell r="G6967">
            <v>0</v>
          </cell>
          <cell r="H6967">
            <v>0</v>
          </cell>
          <cell r="I6967">
            <v>0</v>
          </cell>
          <cell r="J6967">
            <v>0</v>
          </cell>
          <cell r="K6967">
            <v>4</v>
          </cell>
          <cell r="L6967">
            <v>0</v>
          </cell>
        </row>
        <row r="6968">
          <cell r="A6968" t="str">
            <v>20431.00642</v>
          </cell>
          <cell r="B6968" t="str">
            <v>JOINT TORIQUE 139X3,53</v>
          </cell>
          <cell r="C6968" t="str">
            <v>MILTON ROY 4380065311N REP 438F</v>
          </cell>
          <cell r="D6968" t="str">
            <v>PE</v>
          </cell>
          <cell r="E6968" t="str">
            <v>515.51511</v>
          </cell>
          <cell r="F6968">
            <v>646.79999999999995</v>
          </cell>
          <cell r="G6968">
            <v>0</v>
          </cell>
          <cell r="H6968">
            <v>0</v>
          </cell>
          <cell r="I6968">
            <v>0</v>
          </cell>
          <cell r="J6968">
            <v>0</v>
          </cell>
          <cell r="K6968">
            <v>0</v>
          </cell>
          <cell r="L6968">
            <v>12</v>
          </cell>
        </row>
        <row r="6969">
          <cell r="A6969" t="str">
            <v>20431.00643</v>
          </cell>
          <cell r="B6969" t="str">
            <v>JOINT A LEVRE 30X62X7</v>
          </cell>
          <cell r="C6969" t="str">
            <v>MILTON ROY 4380255000N 438G</v>
          </cell>
          <cell r="D6969" t="str">
            <v>PE</v>
          </cell>
          <cell r="E6969" t="str">
            <v>515.51511</v>
          </cell>
          <cell r="F6969">
            <v>435.12</v>
          </cell>
          <cell r="G6969">
            <v>0</v>
          </cell>
          <cell r="H6969">
            <v>0</v>
          </cell>
          <cell r="I6969">
            <v>0</v>
          </cell>
          <cell r="J6969">
            <v>0</v>
          </cell>
          <cell r="K6969">
            <v>0</v>
          </cell>
          <cell r="L6969">
            <v>2</v>
          </cell>
        </row>
        <row r="6970">
          <cell r="A6970" t="str">
            <v>20431.00644</v>
          </cell>
          <cell r="B6970" t="str">
            <v>JOINT TORIQUE 30,8X3,6 R23</v>
          </cell>
          <cell r="C6970" t="str">
            <v>MILTON ROY 4380006251N REP 438</v>
          </cell>
          <cell r="D6970" t="str">
            <v>PE</v>
          </cell>
          <cell r="E6970" t="str">
            <v>515.51511</v>
          </cell>
          <cell r="F6970">
            <v>141.12</v>
          </cell>
          <cell r="G6970">
            <v>0</v>
          </cell>
          <cell r="H6970">
            <v>0</v>
          </cell>
          <cell r="I6970">
            <v>0</v>
          </cell>
          <cell r="J6970">
            <v>0</v>
          </cell>
          <cell r="K6970">
            <v>0</v>
          </cell>
          <cell r="L6970">
            <v>4</v>
          </cell>
        </row>
        <row r="6971">
          <cell r="A6971" t="str">
            <v>20431.00645</v>
          </cell>
          <cell r="B6971" t="str">
            <v>JOINT TORIQUE 9,25X1,78</v>
          </cell>
          <cell r="C6971" t="str">
            <v>MILTON ROY 4380015011N REP 438A</v>
          </cell>
          <cell r="D6971" t="str">
            <v>PE</v>
          </cell>
          <cell r="E6971" t="str">
            <v>515.51511</v>
          </cell>
          <cell r="F6971">
            <v>35.28</v>
          </cell>
          <cell r="G6971">
            <v>0</v>
          </cell>
          <cell r="H6971">
            <v>0</v>
          </cell>
          <cell r="I6971">
            <v>0</v>
          </cell>
          <cell r="J6971">
            <v>0</v>
          </cell>
          <cell r="K6971">
            <v>4</v>
          </cell>
          <cell r="L6971">
            <v>0</v>
          </cell>
        </row>
        <row r="6972">
          <cell r="A6972" t="str">
            <v>20431.00646</v>
          </cell>
          <cell r="B6972" t="str">
            <v>JOINT DN55</v>
          </cell>
          <cell r="C6972" t="str">
            <v>MILTON ROY 43802539000N REP 438B</v>
          </cell>
          <cell r="D6972" t="str">
            <v>PE</v>
          </cell>
          <cell r="E6972" t="str">
            <v>515.51511</v>
          </cell>
          <cell r="F6972">
            <v>400</v>
          </cell>
          <cell r="G6972">
            <v>0</v>
          </cell>
          <cell r="H6972">
            <v>0</v>
          </cell>
          <cell r="I6972">
            <v>0</v>
          </cell>
          <cell r="J6972">
            <v>0</v>
          </cell>
          <cell r="K6972">
            <v>0</v>
          </cell>
          <cell r="L6972">
            <v>2</v>
          </cell>
        </row>
        <row r="6973">
          <cell r="A6973" t="str">
            <v>20431.00674</v>
          </cell>
          <cell r="B6973" t="str">
            <v>CLIPS</v>
          </cell>
          <cell r="C6973" t="str">
            <v>MILTON ROY 0800108026N</v>
          </cell>
          <cell r="D6973" t="str">
            <v>PE</v>
          </cell>
          <cell r="E6973" t="str">
            <v>515.51511</v>
          </cell>
          <cell r="F6973">
            <v>611.52</v>
          </cell>
          <cell r="G6973">
            <v>0</v>
          </cell>
          <cell r="H6973">
            <v>0</v>
          </cell>
          <cell r="I6973">
            <v>0</v>
          </cell>
          <cell r="J6973">
            <v>0</v>
          </cell>
          <cell r="K6973">
            <v>0</v>
          </cell>
          <cell r="L6973">
            <v>4</v>
          </cell>
        </row>
        <row r="6974">
          <cell r="A6974" t="str">
            <v>20431.00675</v>
          </cell>
          <cell r="B6974" t="str">
            <v>BILLE D6,35</v>
          </cell>
          <cell r="C6974" t="str">
            <v>MILTON ROY 4070014070N</v>
          </cell>
          <cell r="D6974" t="str">
            <v>PE</v>
          </cell>
          <cell r="E6974" t="str">
            <v>515.51511</v>
          </cell>
          <cell r="F6974">
            <v>29.4</v>
          </cell>
          <cell r="G6974">
            <v>0</v>
          </cell>
          <cell r="H6974">
            <v>0</v>
          </cell>
          <cell r="I6974">
            <v>0</v>
          </cell>
          <cell r="J6974">
            <v>0</v>
          </cell>
          <cell r="K6974">
            <v>5</v>
          </cell>
          <cell r="L6974">
            <v>0</v>
          </cell>
        </row>
        <row r="6975">
          <cell r="A6975" t="str">
            <v>20431.00676</v>
          </cell>
          <cell r="B6975" t="str">
            <v>VIS HC M6X30TR</v>
          </cell>
          <cell r="C6975" t="str">
            <v>MILTON ROY 4350120251N</v>
          </cell>
          <cell r="D6975" t="str">
            <v>PE</v>
          </cell>
          <cell r="E6975" t="str">
            <v>515.51511</v>
          </cell>
          <cell r="F6975">
            <v>270.48</v>
          </cell>
          <cell r="G6975">
            <v>0</v>
          </cell>
          <cell r="H6975">
            <v>0</v>
          </cell>
          <cell r="I6975">
            <v>0</v>
          </cell>
          <cell r="J6975">
            <v>0</v>
          </cell>
          <cell r="K6975">
            <v>0</v>
          </cell>
          <cell r="L6975">
            <v>4</v>
          </cell>
        </row>
        <row r="6976">
          <cell r="A6976" t="str">
            <v>20431.00677</v>
          </cell>
          <cell r="B6976" t="str">
            <v>JOINT TORIQUE 50,17X5,33</v>
          </cell>
          <cell r="C6976" t="str">
            <v>MILTON ROY 4380006341N</v>
          </cell>
          <cell r="D6976" t="str">
            <v>PE</v>
          </cell>
          <cell r="E6976" t="str">
            <v>515.51511</v>
          </cell>
          <cell r="F6976">
            <v>1922.76</v>
          </cell>
          <cell r="G6976">
            <v>0</v>
          </cell>
          <cell r="H6976">
            <v>0</v>
          </cell>
          <cell r="I6976">
            <v>0</v>
          </cell>
          <cell r="J6976">
            <v>0</v>
          </cell>
          <cell r="K6976">
            <v>0</v>
          </cell>
          <cell r="L6976">
            <v>4</v>
          </cell>
        </row>
        <row r="6977">
          <cell r="A6977" t="str">
            <v>20431.00678</v>
          </cell>
          <cell r="B6977" t="str">
            <v>JOINT TORIQUE 23X3,6</v>
          </cell>
          <cell r="C6977" t="str">
            <v>MILTON ROY 4380006201N</v>
          </cell>
          <cell r="D6977" t="str">
            <v>PE</v>
          </cell>
          <cell r="E6977" t="str">
            <v>515.51511</v>
          </cell>
          <cell r="F6977">
            <v>2304.96</v>
          </cell>
          <cell r="G6977">
            <v>0</v>
          </cell>
          <cell r="H6977">
            <v>0</v>
          </cell>
          <cell r="I6977">
            <v>0</v>
          </cell>
          <cell r="J6977">
            <v>0</v>
          </cell>
          <cell r="K6977">
            <v>0</v>
          </cell>
          <cell r="L6977">
            <v>4</v>
          </cell>
        </row>
        <row r="6978">
          <cell r="A6978" t="str">
            <v>20431.00679</v>
          </cell>
          <cell r="B6978" t="str">
            <v>JOINT TORIQUE 43,82X5,33</v>
          </cell>
          <cell r="C6978" t="str">
            <v>MILTON ROY 4380006321N</v>
          </cell>
          <cell r="D6978" t="str">
            <v>PE</v>
          </cell>
          <cell r="E6978" t="str">
            <v>515.51511</v>
          </cell>
          <cell r="F6978">
            <v>805.56</v>
          </cell>
          <cell r="G6978">
            <v>0</v>
          </cell>
          <cell r="H6978">
            <v>0</v>
          </cell>
          <cell r="I6978">
            <v>0</v>
          </cell>
          <cell r="J6978">
            <v>0</v>
          </cell>
          <cell r="K6978">
            <v>0</v>
          </cell>
          <cell r="L6978">
            <v>4</v>
          </cell>
        </row>
        <row r="6979">
          <cell r="A6979" t="str">
            <v>20431.00680</v>
          </cell>
          <cell r="B6979" t="str">
            <v>JOINT TORIQUE 14X2</v>
          </cell>
          <cell r="C6979" t="str">
            <v>MILTON ROY 4380008231N</v>
          </cell>
          <cell r="D6979" t="str">
            <v>PE</v>
          </cell>
          <cell r="E6979" t="str">
            <v>515.51511</v>
          </cell>
          <cell r="F6979">
            <v>262.24799999999999</v>
          </cell>
          <cell r="G6979">
            <v>0</v>
          </cell>
          <cell r="H6979">
            <v>0</v>
          </cell>
          <cell r="I6979">
            <v>0</v>
          </cell>
          <cell r="J6979">
            <v>0</v>
          </cell>
          <cell r="K6979">
            <v>0</v>
          </cell>
          <cell r="L6979">
            <v>4</v>
          </cell>
        </row>
        <row r="6980">
          <cell r="A6980" t="str">
            <v>20431.00681</v>
          </cell>
          <cell r="B6980" t="str">
            <v>SIEGE</v>
          </cell>
          <cell r="C6980" t="str">
            <v>MILTON ROY 0240173073N</v>
          </cell>
          <cell r="D6980" t="str">
            <v>PE</v>
          </cell>
          <cell r="E6980" t="str">
            <v>515.51511</v>
          </cell>
          <cell r="F6980">
            <v>894.93600000000004</v>
          </cell>
          <cell r="G6980">
            <v>0</v>
          </cell>
          <cell r="H6980">
            <v>0</v>
          </cell>
          <cell r="I6980">
            <v>0</v>
          </cell>
          <cell r="J6980">
            <v>0</v>
          </cell>
          <cell r="K6980">
            <v>0</v>
          </cell>
          <cell r="L6980">
            <v>8</v>
          </cell>
        </row>
        <row r="6981">
          <cell r="A6981" t="str">
            <v>20431.00682</v>
          </cell>
          <cell r="B6981" t="str">
            <v>BILLE D15,9</v>
          </cell>
          <cell r="C6981" t="str">
            <v>MILTON ROY 4370000169N</v>
          </cell>
          <cell r="D6981" t="str">
            <v>PE</v>
          </cell>
          <cell r="E6981" t="str">
            <v>515.51511</v>
          </cell>
          <cell r="F6981">
            <v>199.92</v>
          </cell>
          <cell r="G6981">
            <v>0</v>
          </cell>
          <cell r="H6981">
            <v>0</v>
          </cell>
          <cell r="I6981">
            <v>0</v>
          </cell>
          <cell r="J6981">
            <v>0</v>
          </cell>
          <cell r="K6981">
            <v>0</v>
          </cell>
          <cell r="L6981">
            <v>8</v>
          </cell>
        </row>
        <row r="6982">
          <cell r="A6982" t="str">
            <v>20431.00683</v>
          </cell>
          <cell r="B6982" t="str">
            <v>JOINT TORIQUE 20,29X2,62</v>
          </cell>
          <cell r="C6982" t="str">
            <v>MILTON ROY 4380051072N</v>
          </cell>
          <cell r="D6982" t="str">
            <v>PE</v>
          </cell>
          <cell r="E6982" t="str">
            <v>515.51511</v>
          </cell>
          <cell r="F6982">
            <v>104.664</v>
          </cell>
          <cell r="G6982">
            <v>0</v>
          </cell>
          <cell r="H6982">
            <v>0</v>
          </cell>
          <cell r="I6982">
            <v>0</v>
          </cell>
          <cell r="J6982">
            <v>0</v>
          </cell>
          <cell r="K6982">
            <v>0</v>
          </cell>
          <cell r="L6982">
            <v>8</v>
          </cell>
        </row>
        <row r="6983">
          <cell r="A6983" t="str">
            <v>20431.00684</v>
          </cell>
          <cell r="B6983" t="str">
            <v>SIEGE D40</v>
          </cell>
          <cell r="C6983" t="str">
            <v>MILTON ROY 0240130073N</v>
          </cell>
          <cell r="D6983" t="str">
            <v>PE</v>
          </cell>
          <cell r="E6983" t="str">
            <v>515.51511</v>
          </cell>
          <cell r="F6983">
            <v>5656.56</v>
          </cell>
          <cell r="G6983">
            <v>0</v>
          </cell>
          <cell r="H6983">
            <v>0</v>
          </cell>
          <cell r="I6983">
            <v>0</v>
          </cell>
          <cell r="J6983">
            <v>0</v>
          </cell>
          <cell r="K6983">
            <v>0</v>
          </cell>
          <cell r="L6983">
            <v>6</v>
          </cell>
        </row>
        <row r="6984">
          <cell r="A6984" t="str">
            <v>20431.00685</v>
          </cell>
          <cell r="B6984" t="str">
            <v>BILLE D40</v>
          </cell>
          <cell r="C6984" t="str">
            <v>MILTON ROY 4370002402N</v>
          </cell>
          <cell r="D6984" t="str">
            <v>PE</v>
          </cell>
          <cell r="E6984" t="str">
            <v>515.51511</v>
          </cell>
          <cell r="F6984">
            <v>964.32</v>
          </cell>
          <cell r="G6984">
            <v>0</v>
          </cell>
          <cell r="H6984">
            <v>0</v>
          </cell>
          <cell r="I6984">
            <v>0</v>
          </cell>
          <cell r="J6984">
            <v>0</v>
          </cell>
          <cell r="K6984">
            <v>0</v>
          </cell>
          <cell r="L6984">
            <v>4</v>
          </cell>
        </row>
        <row r="6985">
          <cell r="A6985" t="str">
            <v>20431.00686</v>
          </cell>
          <cell r="B6985" t="str">
            <v>JOINT TORIQUE 59,92X3,53</v>
          </cell>
          <cell r="C6985" t="str">
            <v>MILTON ROY 4380065062N</v>
          </cell>
          <cell r="D6985" t="str">
            <v>PE</v>
          </cell>
          <cell r="E6985" t="str">
            <v>515.51511</v>
          </cell>
          <cell r="F6985">
            <v>470.4</v>
          </cell>
          <cell r="G6985">
            <v>0</v>
          </cell>
          <cell r="H6985">
            <v>0</v>
          </cell>
          <cell r="I6985">
            <v>0</v>
          </cell>
          <cell r="J6985">
            <v>0</v>
          </cell>
          <cell r="K6985">
            <v>0</v>
          </cell>
          <cell r="L6985">
            <v>13</v>
          </cell>
        </row>
        <row r="6986">
          <cell r="A6986" t="str">
            <v>20431.00687</v>
          </cell>
          <cell r="B6986" t="str">
            <v>MEMBRANE D266</v>
          </cell>
          <cell r="C6986" t="str">
            <v>MILTON ROY 0980130099N</v>
          </cell>
          <cell r="D6986" t="str">
            <v>PE</v>
          </cell>
          <cell r="E6986" t="str">
            <v>515.51511</v>
          </cell>
          <cell r="F6986">
            <v>12383.28</v>
          </cell>
          <cell r="G6986">
            <v>0</v>
          </cell>
          <cell r="H6986">
            <v>0</v>
          </cell>
          <cell r="I6986">
            <v>0</v>
          </cell>
          <cell r="J6986">
            <v>0</v>
          </cell>
          <cell r="K6986">
            <v>0</v>
          </cell>
          <cell r="L6986">
            <v>6</v>
          </cell>
        </row>
        <row r="6987">
          <cell r="A6987" t="str">
            <v>20431.00688</v>
          </cell>
          <cell r="B6987" t="str">
            <v>BRIDE</v>
          </cell>
          <cell r="C6987" t="str">
            <v>MILTON ROY 0040297001N</v>
          </cell>
          <cell r="D6987" t="str">
            <v>PE</v>
          </cell>
          <cell r="E6987" t="str">
            <v>515.51511</v>
          </cell>
          <cell r="F6987">
            <v>5962.32</v>
          </cell>
          <cell r="G6987">
            <v>0</v>
          </cell>
          <cell r="H6987">
            <v>0</v>
          </cell>
          <cell r="I6987">
            <v>0</v>
          </cell>
          <cell r="J6987">
            <v>0</v>
          </cell>
          <cell r="K6987">
            <v>0</v>
          </cell>
          <cell r="L6987">
            <v>2</v>
          </cell>
        </row>
        <row r="6988">
          <cell r="A6988" t="str">
            <v>20431.00689</v>
          </cell>
          <cell r="B6988" t="str">
            <v>MANCHON 1*1/2</v>
          </cell>
          <cell r="C6988" t="str">
            <v>MILTON ROY 0450109116N</v>
          </cell>
          <cell r="D6988" t="str">
            <v>PE</v>
          </cell>
          <cell r="E6988" t="str">
            <v>515.51511</v>
          </cell>
          <cell r="F6988">
            <v>11760</v>
          </cell>
          <cell r="G6988">
            <v>0</v>
          </cell>
          <cell r="H6988">
            <v>0</v>
          </cell>
          <cell r="I6988">
            <v>0</v>
          </cell>
          <cell r="J6988">
            <v>0</v>
          </cell>
          <cell r="K6988">
            <v>0</v>
          </cell>
          <cell r="L6988">
            <v>2</v>
          </cell>
        </row>
        <row r="6989">
          <cell r="A6989" t="str">
            <v>20431.00690</v>
          </cell>
          <cell r="B6989" t="str">
            <v>EXENTIQUE FEMELLE 8mm</v>
          </cell>
          <cell r="C6989" t="str">
            <v>MILTON ROY 01600272192N</v>
          </cell>
          <cell r="D6989" t="str">
            <v>PE</v>
          </cell>
          <cell r="E6989" t="str">
            <v>515.51511</v>
          </cell>
          <cell r="F6989">
            <v>646.79999999999995</v>
          </cell>
          <cell r="G6989">
            <v>0</v>
          </cell>
          <cell r="H6989">
            <v>0</v>
          </cell>
          <cell r="I6989">
            <v>0</v>
          </cell>
          <cell r="J6989">
            <v>0</v>
          </cell>
          <cell r="K6989">
            <v>0</v>
          </cell>
          <cell r="L6989">
            <v>1</v>
          </cell>
        </row>
        <row r="6990">
          <cell r="A6990" t="str">
            <v>20431.00691</v>
          </cell>
          <cell r="B6990" t="str">
            <v>EXENTIQUE FEMELLE</v>
          </cell>
          <cell r="C6990" t="str">
            <v>MILTON ROY 01600260071N</v>
          </cell>
          <cell r="D6990" t="str">
            <v>PE</v>
          </cell>
          <cell r="E6990" t="str">
            <v>515.51511</v>
          </cell>
          <cell r="F6990">
            <v>599.76</v>
          </cell>
          <cell r="G6990">
            <v>0</v>
          </cell>
          <cell r="H6990">
            <v>0</v>
          </cell>
          <cell r="I6990">
            <v>0</v>
          </cell>
          <cell r="J6990">
            <v>0</v>
          </cell>
          <cell r="K6990">
            <v>1</v>
          </cell>
          <cell r="L6990">
            <v>0</v>
          </cell>
        </row>
        <row r="6991">
          <cell r="A6991" t="str">
            <v>20431.00692</v>
          </cell>
          <cell r="B6991" t="str">
            <v>DOIGT DE PUISSANCE</v>
          </cell>
          <cell r="C6991" t="str">
            <v>MILTON ROY 03701300039N</v>
          </cell>
          <cell r="D6991" t="str">
            <v>PE</v>
          </cell>
          <cell r="E6991" t="str">
            <v>515.51511</v>
          </cell>
          <cell r="F6991">
            <v>176.4</v>
          </cell>
          <cell r="G6991">
            <v>0</v>
          </cell>
          <cell r="H6991">
            <v>0</v>
          </cell>
          <cell r="I6991">
            <v>0</v>
          </cell>
          <cell r="J6991">
            <v>0</v>
          </cell>
          <cell r="K6991">
            <v>1</v>
          </cell>
          <cell r="L6991">
            <v>0</v>
          </cell>
        </row>
        <row r="6992">
          <cell r="A6992" t="str">
            <v>20431.00693</v>
          </cell>
          <cell r="B6992" t="str">
            <v>DOIGT DE REGLAGE</v>
          </cell>
          <cell r="C6992" t="str">
            <v>MILTON ROY 03701310039N</v>
          </cell>
          <cell r="D6992" t="str">
            <v>PE</v>
          </cell>
          <cell r="E6992" t="str">
            <v>515.51511</v>
          </cell>
          <cell r="F6992">
            <v>282.24</v>
          </cell>
          <cell r="G6992">
            <v>0</v>
          </cell>
          <cell r="H6992">
            <v>0</v>
          </cell>
          <cell r="I6992">
            <v>0</v>
          </cell>
          <cell r="J6992">
            <v>0</v>
          </cell>
          <cell r="K6992">
            <v>0</v>
          </cell>
          <cell r="L6992">
            <v>1</v>
          </cell>
        </row>
        <row r="6993">
          <cell r="A6993" t="str">
            <v>20431.00694</v>
          </cell>
          <cell r="B6993" t="str">
            <v>VIS SANS FIN 1/10</v>
          </cell>
          <cell r="C6993" t="str">
            <v>MILTON ROY 05203102015N</v>
          </cell>
          <cell r="D6993" t="str">
            <v>PE</v>
          </cell>
          <cell r="E6993" t="str">
            <v>515.51511</v>
          </cell>
          <cell r="F6993">
            <v>4174.8</v>
          </cell>
          <cell r="G6993">
            <v>0</v>
          </cell>
          <cell r="H6993">
            <v>0</v>
          </cell>
          <cell r="I6993">
            <v>0</v>
          </cell>
          <cell r="J6993">
            <v>0</v>
          </cell>
          <cell r="K6993">
            <v>0</v>
          </cell>
          <cell r="L6993">
            <v>1</v>
          </cell>
        </row>
        <row r="6994">
          <cell r="A6994" t="str">
            <v>20431.00695</v>
          </cell>
          <cell r="B6994" t="str">
            <v>AXE</v>
          </cell>
          <cell r="C6994" t="str">
            <v>MILTON ROY 06802090015N</v>
          </cell>
          <cell r="D6994" t="str">
            <v>PE</v>
          </cell>
          <cell r="E6994" t="str">
            <v>515.51511</v>
          </cell>
          <cell r="F6994">
            <v>470.4</v>
          </cell>
          <cell r="G6994">
            <v>0</v>
          </cell>
          <cell r="H6994">
            <v>0</v>
          </cell>
          <cell r="I6994">
            <v>0</v>
          </cell>
          <cell r="J6994">
            <v>0</v>
          </cell>
          <cell r="K6994">
            <v>0</v>
          </cell>
          <cell r="L6994">
            <v>1</v>
          </cell>
        </row>
        <row r="6995">
          <cell r="A6995" t="str">
            <v>20431.00696</v>
          </cell>
          <cell r="B6995" t="str">
            <v>SOUFFLET</v>
          </cell>
          <cell r="C6995" t="str">
            <v>MILTON ROY 35330</v>
          </cell>
          <cell r="D6995" t="str">
            <v>PE</v>
          </cell>
          <cell r="E6995" t="str">
            <v>515.51511</v>
          </cell>
          <cell r="F6995">
            <v>294</v>
          </cell>
          <cell r="G6995">
            <v>0</v>
          </cell>
          <cell r="H6995">
            <v>0</v>
          </cell>
          <cell r="I6995">
            <v>0</v>
          </cell>
          <cell r="J6995">
            <v>0</v>
          </cell>
          <cell r="K6995">
            <v>0</v>
          </cell>
          <cell r="L6995">
            <v>1</v>
          </cell>
        </row>
        <row r="6996">
          <cell r="A6996" t="str">
            <v>20431.00697</v>
          </cell>
          <cell r="B6996" t="str">
            <v>GOUPILLE G02 D3*14</v>
          </cell>
          <cell r="C6996" t="str">
            <v>MILTON ROY 4310006455N</v>
          </cell>
          <cell r="D6996" t="str">
            <v>PE</v>
          </cell>
          <cell r="E6996" t="str">
            <v>515.51511</v>
          </cell>
          <cell r="F6996">
            <v>117.6</v>
          </cell>
          <cell r="G6996">
            <v>0</v>
          </cell>
          <cell r="H6996">
            <v>0</v>
          </cell>
          <cell r="I6996">
            <v>0</v>
          </cell>
          <cell r="J6996">
            <v>0</v>
          </cell>
          <cell r="K6996">
            <v>1</v>
          </cell>
          <cell r="L6996">
            <v>0</v>
          </cell>
        </row>
        <row r="6997">
          <cell r="A6997" t="str">
            <v>20431.00698</v>
          </cell>
          <cell r="B6997" t="str">
            <v>CIRCLIPS</v>
          </cell>
          <cell r="C6997" t="str">
            <v>MILTON ROY 4340020471N</v>
          </cell>
          <cell r="D6997" t="str">
            <v>PE</v>
          </cell>
          <cell r="E6997" t="str">
            <v>515.51511</v>
          </cell>
          <cell r="F6997">
            <v>5.88</v>
          </cell>
          <cell r="G6997">
            <v>0</v>
          </cell>
          <cell r="H6997">
            <v>0</v>
          </cell>
          <cell r="I6997">
            <v>0</v>
          </cell>
          <cell r="J6997">
            <v>0</v>
          </cell>
          <cell r="K6997">
            <v>4</v>
          </cell>
          <cell r="L6997">
            <v>0</v>
          </cell>
        </row>
        <row r="6998">
          <cell r="A6998" t="str">
            <v>20431.00699</v>
          </cell>
          <cell r="B6998" t="str">
            <v>CIRCLIPS</v>
          </cell>
          <cell r="C6998" t="str">
            <v>MILTON ROY 4340031011N</v>
          </cell>
          <cell r="D6998" t="str">
            <v>PE</v>
          </cell>
          <cell r="E6998" t="str">
            <v>515.51511</v>
          </cell>
          <cell r="F6998">
            <v>40</v>
          </cell>
          <cell r="G6998">
            <v>0</v>
          </cell>
          <cell r="H6998">
            <v>0</v>
          </cell>
          <cell r="I6998">
            <v>0</v>
          </cell>
          <cell r="J6998">
            <v>0</v>
          </cell>
          <cell r="K6998">
            <v>1</v>
          </cell>
          <cell r="L6998">
            <v>2</v>
          </cell>
        </row>
        <row r="6999">
          <cell r="A6999" t="str">
            <v>20431.00700</v>
          </cell>
          <cell r="B6999" t="str">
            <v>BIELLE</v>
          </cell>
          <cell r="C6999" t="str">
            <v>MILTON ROY 70003</v>
          </cell>
          <cell r="D6999" t="str">
            <v>PE</v>
          </cell>
          <cell r="E6999" t="str">
            <v>515.51511</v>
          </cell>
          <cell r="F6999">
            <v>646.79999999999995</v>
          </cell>
          <cell r="G6999">
            <v>0</v>
          </cell>
          <cell r="H6999">
            <v>0</v>
          </cell>
          <cell r="I6999">
            <v>0</v>
          </cell>
          <cell r="J6999">
            <v>0</v>
          </cell>
          <cell r="K6999">
            <v>1</v>
          </cell>
          <cell r="L6999">
            <v>0</v>
          </cell>
        </row>
        <row r="7000">
          <cell r="A7000" t="str">
            <v>20492.19727</v>
          </cell>
          <cell r="B7000" t="str">
            <v>FUSIBLE POUR VES24-24.IN=3,15A</v>
          </cell>
          <cell r="C7000" t="str">
            <v>NATUS 422779</v>
          </cell>
          <cell r="D7000" t="str">
            <v>PE</v>
          </cell>
          <cell r="E7000" t="str">
            <v>522.52206</v>
          </cell>
          <cell r="F7000">
            <v>2520</v>
          </cell>
          <cell r="G7000">
            <v>0</v>
          </cell>
          <cell r="H7000">
            <v>0</v>
          </cell>
          <cell r="I7000">
            <v>0</v>
          </cell>
          <cell r="J7000">
            <v>0</v>
          </cell>
          <cell r="K7000">
            <v>0</v>
          </cell>
          <cell r="L7000">
            <v>6</v>
          </cell>
        </row>
        <row r="7001">
          <cell r="A7001" t="str">
            <v>20431.00701</v>
          </cell>
          <cell r="B7001" t="str">
            <v>BILLE 3/16</v>
          </cell>
          <cell r="C7001" t="str">
            <v>MILTON ROY 4370040050N</v>
          </cell>
          <cell r="D7001" t="str">
            <v>PE</v>
          </cell>
          <cell r="E7001" t="str">
            <v>515.51511</v>
          </cell>
          <cell r="F7001">
            <v>112.896</v>
          </cell>
          <cell r="G7001">
            <v>0</v>
          </cell>
          <cell r="H7001">
            <v>0</v>
          </cell>
          <cell r="I7001">
            <v>0</v>
          </cell>
          <cell r="J7001">
            <v>0</v>
          </cell>
          <cell r="K7001">
            <v>2</v>
          </cell>
          <cell r="L7001">
            <v>0</v>
          </cell>
        </row>
        <row r="7002">
          <cell r="A7002" t="str">
            <v>20431.00702</v>
          </cell>
          <cell r="B7002" t="str">
            <v>VIS DE REGLAGE</v>
          </cell>
          <cell r="C7002" t="str">
            <v>MILTON ROY 05600390071N</v>
          </cell>
          <cell r="D7002" t="str">
            <v>PE</v>
          </cell>
          <cell r="E7002" t="str">
            <v>515.51511</v>
          </cell>
          <cell r="F7002">
            <v>658.56</v>
          </cell>
          <cell r="G7002">
            <v>0</v>
          </cell>
          <cell r="H7002">
            <v>0</v>
          </cell>
          <cell r="I7002">
            <v>0</v>
          </cell>
          <cell r="J7002">
            <v>0</v>
          </cell>
          <cell r="K7002">
            <v>0</v>
          </cell>
          <cell r="L7002">
            <v>2</v>
          </cell>
        </row>
        <row r="7003">
          <cell r="A7003" t="str">
            <v>20431.00703</v>
          </cell>
          <cell r="B7003" t="str">
            <v>VIS DE BLOCAGE</v>
          </cell>
          <cell r="C7003" t="str">
            <v>MILTON ROY 05600400022N</v>
          </cell>
          <cell r="D7003" t="str">
            <v>PE</v>
          </cell>
          <cell r="E7003" t="str">
            <v>515.51511</v>
          </cell>
          <cell r="F7003">
            <v>552.72</v>
          </cell>
          <cell r="G7003">
            <v>0</v>
          </cell>
          <cell r="H7003">
            <v>0</v>
          </cell>
          <cell r="I7003">
            <v>0</v>
          </cell>
          <cell r="J7003">
            <v>0</v>
          </cell>
          <cell r="K7003">
            <v>0</v>
          </cell>
          <cell r="L7003">
            <v>2</v>
          </cell>
        </row>
        <row r="7004">
          <cell r="A7004" t="str">
            <v>20431.00704</v>
          </cell>
          <cell r="B7004" t="str">
            <v>JOINT</v>
          </cell>
          <cell r="C7004" t="str">
            <v>MILTON ROY 02502110067N</v>
          </cell>
          <cell r="D7004" t="str">
            <v>PE</v>
          </cell>
          <cell r="E7004" t="str">
            <v>515.51511</v>
          </cell>
          <cell r="F7004">
            <v>157.584</v>
          </cell>
          <cell r="G7004">
            <v>0</v>
          </cell>
          <cell r="H7004">
            <v>0</v>
          </cell>
          <cell r="I7004">
            <v>0</v>
          </cell>
          <cell r="J7004">
            <v>0</v>
          </cell>
          <cell r="K7004">
            <v>0</v>
          </cell>
          <cell r="L7004">
            <v>2</v>
          </cell>
        </row>
        <row r="7005">
          <cell r="A7005" t="str">
            <v>20431.00705</v>
          </cell>
          <cell r="B7005" t="str">
            <v>JOINT TORIQUE 4,1X1,6</v>
          </cell>
          <cell r="C7005" t="str">
            <v>MILTON ROY 4380249031N</v>
          </cell>
          <cell r="D7005" t="str">
            <v>PE</v>
          </cell>
          <cell r="E7005" t="str">
            <v>515.51511</v>
          </cell>
          <cell r="F7005">
            <v>211.68</v>
          </cell>
          <cell r="G7005">
            <v>0</v>
          </cell>
          <cell r="H7005">
            <v>0</v>
          </cell>
          <cell r="I7005">
            <v>0</v>
          </cell>
          <cell r="J7005">
            <v>0</v>
          </cell>
          <cell r="K7005">
            <v>0</v>
          </cell>
          <cell r="L7005">
            <v>2</v>
          </cell>
        </row>
        <row r="7006">
          <cell r="A7006" t="str">
            <v>20431.00706</v>
          </cell>
          <cell r="B7006" t="str">
            <v>BOUTON DE REGLAGE</v>
          </cell>
          <cell r="C7006" t="str">
            <v>MILTON ROY 70066</v>
          </cell>
          <cell r="D7006" t="str">
            <v>PE</v>
          </cell>
          <cell r="E7006" t="str">
            <v>515.51511</v>
          </cell>
          <cell r="F7006">
            <v>2375.52</v>
          </cell>
          <cell r="G7006">
            <v>0</v>
          </cell>
          <cell r="H7006">
            <v>0</v>
          </cell>
          <cell r="I7006">
            <v>0</v>
          </cell>
          <cell r="J7006">
            <v>0</v>
          </cell>
          <cell r="K7006">
            <v>0</v>
          </cell>
          <cell r="L7006">
            <v>2</v>
          </cell>
        </row>
        <row r="7007">
          <cell r="A7007" t="str">
            <v>20431.00707</v>
          </cell>
          <cell r="B7007" t="str">
            <v>JOINT TORIQUE 102X4</v>
          </cell>
          <cell r="C7007" t="str">
            <v>MILTON ROY 4380024051N</v>
          </cell>
          <cell r="D7007" t="str">
            <v>PE</v>
          </cell>
          <cell r="E7007" t="str">
            <v>515.51511</v>
          </cell>
          <cell r="F7007">
            <v>164.64</v>
          </cell>
          <cell r="G7007">
            <v>0</v>
          </cell>
          <cell r="H7007">
            <v>0</v>
          </cell>
          <cell r="I7007">
            <v>0</v>
          </cell>
          <cell r="J7007">
            <v>0</v>
          </cell>
          <cell r="K7007">
            <v>0</v>
          </cell>
          <cell r="L7007">
            <v>10</v>
          </cell>
        </row>
        <row r="7008">
          <cell r="A7008" t="str">
            <v>20431.00708</v>
          </cell>
          <cell r="B7008" t="str">
            <v>CANULE DE PURGE</v>
          </cell>
          <cell r="C7008" t="str">
            <v>MILTON ROY 04708200055N</v>
          </cell>
          <cell r="D7008" t="str">
            <v>PE</v>
          </cell>
          <cell r="E7008" t="str">
            <v>515.51511</v>
          </cell>
          <cell r="F7008">
            <v>1711.08</v>
          </cell>
          <cell r="G7008">
            <v>0</v>
          </cell>
          <cell r="H7008">
            <v>0</v>
          </cell>
          <cell r="I7008">
            <v>0</v>
          </cell>
          <cell r="J7008">
            <v>0</v>
          </cell>
          <cell r="K7008">
            <v>0</v>
          </cell>
          <cell r="L7008">
            <v>2</v>
          </cell>
        </row>
        <row r="7009">
          <cell r="A7009" t="str">
            <v>20431.00709</v>
          </cell>
          <cell r="B7009" t="str">
            <v>RESSORT</v>
          </cell>
          <cell r="C7009" t="str">
            <v>MILTON ROY 08001870017N</v>
          </cell>
          <cell r="D7009" t="str">
            <v>PE</v>
          </cell>
          <cell r="E7009" t="str">
            <v>515.51511</v>
          </cell>
          <cell r="F7009">
            <v>388.08</v>
          </cell>
          <cell r="G7009">
            <v>0</v>
          </cell>
          <cell r="H7009">
            <v>0</v>
          </cell>
          <cell r="I7009">
            <v>0</v>
          </cell>
          <cell r="J7009">
            <v>0</v>
          </cell>
          <cell r="K7009">
            <v>0</v>
          </cell>
          <cell r="L7009">
            <v>2</v>
          </cell>
        </row>
        <row r="7010">
          <cell r="A7010" t="str">
            <v>20492.16579</v>
          </cell>
          <cell r="B7010" t="str">
            <v>FILTRE A AIR</v>
          </cell>
          <cell r="C7010" t="str">
            <v>HYDAC ELFP 5G10W4.0X</v>
          </cell>
          <cell r="D7010" t="str">
            <v>PE</v>
          </cell>
          <cell r="E7010" t="str">
            <v>222.22209</v>
          </cell>
          <cell r="F7010">
            <v>2139</v>
          </cell>
          <cell r="G7010">
            <v>1</v>
          </cell>
          <cell r="H7010">
            <v>0</v>
          </cell>
          <cell r="I7010">
            <v>0</v>
          </cell>
          <cell r="J7010">
            <v>0</v>
          </cell>
          <cell r="K7010">
            <v>0</v>
          </cell>
          <cell r="L7010">
            <v>1</v>
          </cell>
        </row>
        <row r="7011">
          <cell r="A7011" t="str">
            <v>20431.00633</v>
          </cell>
          <cell r="B7011" t="str">
            <v>SUPPORT DE ROUE</v>
          </cell>
          <cell r="C7011" t="str">
            <v>MILTON ROY 07204610192N REP 072A</v>
          </cell>
          <cell r="D7011" t="str">
            <v>PE</v>
          </cell>
          <cell r="E7011" t="str">
            <v>515.51511</v>
          </cell>
          <cell r="F7011">
            <v>12583.2</v>
          </cell>
          <cell r="G7011">
            <v>0</v>
          </cell>
          <cell r="H7011">
            <v>0</v>
          </cell>
          <cell r="I7011">
            <v>0</v>
          </cell>
          <cell r="J7011">
            <v>0</v>
          </cell>
          <cell r="K7011">
            <v>0</v>
          </cell>
          <cell r="L7011">
            <v>2</v>
          </cell>
        </row>
        <row r="7012">
          <cell r="A7012" t="str">
            <v>20431.00634</v>
          </cell>
          <cell r="B7012" t="str">
            <v>SUPPORT JOINT COULISSEAU</v>
          </cell>
          <cell r="C7012" t="str">
            <v>MILTON ROY 07204630011N REP 072C</v>
          </cell>
          <cell r="D7012" t="str">
            <v>PE</v>
          </cell>
          <cell r="E7012" t="str">
            <v>515.51511</v>
          </cell>
          <cell r="F7012">
            <v>1481.76</v>
          </cell>
          <cell r="G7012">
            <v>0</v>
          </cell>
          <cell r="H7012">
            <v>0</v>
          </cell>
          <cell r="I7012">
            <v>0</v>
          </cell>
          <cell r="J7012">
            <v>0</v>
          </cell>
          <cell r="K7012">
            <v>0</v>
          </cell>
          <cell r="L7012">
            <v>2</v>
          </cell>
        </row>
        <row r="7013">
          <cell r="A7013" t="str">
            <v>20431.00635</v>
          </cell>
          <cell r="B7013" t="str">
            <v>INDICATEUR DE NIVEAU DE HUILE</v>
          </cell>
          <cell r="C7013" t="str">
            <v>MILTON ROY 4320264020N REP 432</v>
          </cell>
          <cell r="D7013" t="str">
            <v>PE</v>
          </cell>
          <cell r="E7013" t="str">
            <v>515.51511</v>
          </cell>
          <cell r="F7013">
            <v>630</v>
          </cell>
          <cell r="G7013">
            <v>0</v>
          </cell>
          <cell r="H7013">
            <v>0</v>
          </cell>
          <cell r="I7013">
            <v>0</v>
          </cell>
          <cell r="J7013">
            <v>0</v>
          </cell>
          <cell r="K7013">
            <v>6</v>
          </cell>
          <cell r="L7013">
            <v>0</v>
          </cell>
        </row>
        <row r="7014">
          <cell r="A7014" t="str">
            <v>20431.00636</v>
          </cell>
          <cell r="B7014" t="str">
            <v>BOUCHON 3/4G</v>
          </cell>
          <cell r="C7014" t="str">
            <v>MILTON ROY 4320590050N REP 432B</v>
          </cell>
          <cell r="D7014" t="str">
            <v>PE</v>
          </cell>
          <cell r="E7014" t="str">
            <v>515.51511</v>
          </cell>
          <cell r="F7014">
            <v>403.2</v>
          </cell>
          <cell r="G7014">
            <v>0</v>
          </cell>
          <cell r="H7014">
            <v>0</v>
          </cell>
          <cell r="I7014">
            <v>0</v>
          </cell>
          <cell r="J7014">
            <v>0</v>
          </cell>
          <cell r="K7014">
            <v>2</v>
          </cell>
          <cell r="L7014">
            <v>0</v>
          </cell>
        </row>
        <row r="7015">
          <cell r="A7015" t="str">
            <v>20431.00637</v>
          </cell>
          <cell r="B7015" t="str">
            <v>JOINT TORIQUE 12,1X2,7</v>
          </cell>
          <cell r="C7015" t="str">
            <v>MILTON ROY 4380006121N REP 438</v>
          </cell>
          <cell r="D7015" t="str">
            <v>PE</v>
          </cell>
          <cell r="E7015" t="str">
            <v>515.51511</v>
          </cell>
          <cell r="F7015">
            <v>58.8</v>
          </cell>
          <cell r="G7015">
            <v>0</v>
          </cell>
          <cell r="H7015">
            <v>0</v>
          </cell>
          <cell r="I7015">
            <v>0</v>
          </cell>
          <cell r="J7015">
            <v>0</v>
          </cell>
          <cell r="K7015">
            <v>4</v>
          </cell>
          <cell r="L7015">
            <v>0</v>
          </cell>
        </row>
        <row r="7016">
          <cell r="A7016" t="str">
            <v>20431.00647</v>
          </cell>
          <cell r="B7016" t="str">
            <v>ECROU M6X20</v>
          </cell>
          <cell r="C7016" t="str">
            <v>MILTON ROY 4400100000N REP 440A</v>
          </cell>
          <cell r="D7016" t="str">
            <v>PE</v>
          </cell>
          <cell r="E7016" t="str">
            <v>515.51511</v>
          </cell>
          <cell r="F7016">
            <v>105.84</v>
          </cell>
          <cell r="G7016">
            <v>0</v>
          </cell>
          <cell r="H7016">
            <v>0</v>
          </cell>
          <cell r="I7016">
            <v>0</v>
          </cell>
          <cell r="J7016">
            <v>0</v>
          </cell>
          <cell r="K7016">
            <v>1</v>
          </cell>
          <cell r="L7016">
            <v>0</v>
          </cell>
        </row>
        <row r="7017">
          <cell r="A7017" t="str">
            <v>20431.00648</v>
          </cell>
          <cell r="B7017" t="str">
            <v>PLOT DE FREINAGE POLYAMIDE</v>
          </cell>
          <cell r="C7017" t="str">
            <v>MILTON ROY 60152 REP60</v>
          </cell>
          <cell r="D7017" t="str">
            <v>PE</v>
          </cell>
          <cell r="E7017" t="str">
            <v>515.51511</v>
          </cell>
          <cell r="F7017">
            <v>129.36000000000001</v>
          </cell>
          <cell r="G7017">
            <v>0</v>
          </cell>
          <cell r="H7017">
            <v>0</v>
          </cell>
          <cell r="I7017">
            <v>0</v>
          </cell>
          <cell r="J7017">
            <v>0</v>
          </cell>
          <cell r="K7017">
            <v>0</v>
          </cell>
          <cell r="L7017">
            <v>4</v>
          </cell>
        </row>
        <row r="7018">
          <cell r="A7018" t="str">
            <v>20431.00710</v>
          </cell>
          <cell r="B7018" t="str">
            <v>RONDELLE</v>
          </cell>
          <cell r="C7018" t="str">
            <v>MILTON ROY 70029</v>
          </cell>
          <cell r="D7018" t="str">
            <v>PE</v>
          </cell>
          <cell r="E7018" t="str">
            <v>515.51511</v>
          </cell>
          <cell r="F7018">
            <v>111.72</v>
          </cell>
          <cell r="G7018">
            <v>0</v>
          </cell>
          <cell r="H7018">
            <v>0</v>
          </cell>
          <cell r="I7018">
            <v>0</v>
          </cell>
          <cell r="J7018">
            <v>0</v>
          </cell>
          <cell r="K7018">
            <v>2</v>
          </cell>
          <cell r="L7018">
            <v>0</v>
          </cell>
        </row>
        <row r="7019">
          <cell r="A7019" t="str">
            <v>20431.00711</v>
          </cell>
          <cell r="B7019" t="str">
            <v>ENS.MEMBRANE</v>
          </cell>
          <cell r="C7019" t="str">
            <v>MILTON ROY 3050976111N</v>
          </cell>
          <cell r="D7019" t="str">
            <v>PE</v>
          </cell>
          <cell r="E7019" t="str">
            <v>515.51511</v>
          </cell>
          <cell r="F7019">
            <v>2775.36</v>
          </cell>
          <cell r="G7019">
            <v>0</v>
          </cell>
          <cell r="H7019">
            <v>0</v>
          </cell>
          <cell r="I7019">
            <v>0</v>
          </cell>
          <cell r="J7019">
            <v>0</v>
          </cell>
          <cell r="K7019">
            <v>0</v>
          </cell>
          <cell r="L7019">
            <v>0</v>
          </cell>
        </row>
        <row r="7020">
          <cell r="A7020" t="str">
            <v>20431.00712</v>
          </cell>
          <cell r="B7020" t="str">
            <v>ECROU 1*</v>
          </cell>
          <cell r="C7020" t="str">
            <v>MILTON ROY 4320236038N</v>
          </cell>
          <cell r="D7020" t="str">
            <v>PE</v>
          </cell>
          <cell r="E7020" t="str">
            <v>515.51511</v>
          </cell>
          <cell r="F7020">
            <v>199.92</v>
          </cell>
          <cell r="G7020">
            <v>0</v>
          </cell>
          <cell r="H7020">
            <v>0</v>
          </cell>
          <cell r="I7020">
            <v>0</v>
          </cell>
          <cell r="J7020">
            <v>0</v>
          </cell>
          <cell r="K7020">
            <v>0</v>
          </cell>
          <cell r="L7020">
            <v>8</v>
          </cell>
        </row>
        <row r="7021">
          <cell r="A7021" t="str">
            <v>20431.00713</v>
          </cell>
          <cell r="B7021" t="str">
            <v>COLLET LISSE DN15XD20</v>
          </cell>
          <cell r="C7021" t="str">
            <v>MILTON ROY 4320350028N</v>
          </cell>
          <cell r="D7021" t="str">
            <v>PE</v>
          </cell>
          <cell r="E7021" t="str">
            <v>515.51511</v>
          </cell>
          <cell r="F7021">
            <v>188.16</v>
          </cell>
          <cell r="G7021">
            <v>0</v>
          </cell>
          <cell r="H7021">
            <v>0</v>
          </cell>
          <cell r="I7021">
            <v>0</v>
          </cell>
          <cell r="J7021">
            <v>0</v>
          </cell>
          <cell r="K7021">
            <v>0</v>
          </cell>
          <cell r="L7021">
            <v>8</v>
          </cell>
        </row>
        <row r="7022">
          <cell r="A7022" t="str">
            <v>20431.00714</v>
          </cell>
          <cell r="B7022" t="str">
            <v>ANNEAU DE BLOCAGE</v>
          </cell>
          <cell r="C7022" t="str">
            <v>MILTON ROY 0190269062N</v>
          </cell>
          <cell r="D7022" t="str">
            <v>PE</v>
          </cell>
          <cell r="E7022" t="str">
            <v>515.51511</v>
          </cell>
          <cell r="F7022">
            <v>516.26400000000001</v>
          </cell>
          <cell r="G7022">
            <v>0</v>
          </cell>
          <cell r="H7022">
            <v>0</v>
          </cell>
          <cell r="I7022">
            <v>0</v>
          </cell>
          <cell r="J7022">
            <v>0</v>
          </cell>
          <cell r="K7022">
            <v>0</v>
          </cell>
          <cell r="L7022">
            <v>2</v>
          </cell>
        </row>
        <row r="7023">
          <cell r="A7023" t="str">
            <v>20431.00715</v>
          </cell>
          <cell r="B7023" t="str">
            <v>ROUE EXCENTRIQUE 1/10</v>
          </cell>
          <cell r="C7023" t="str">
            <v>MILTON ROY 0520236101N</v>
          </cell>
          <cell r="D7023" t="str">
            <v>PE</v>
          </cell>
          <cell r="E7023" t="str">
            <v>515.51511</v>
          </cell>
          <cell r="F7023">
            <v>7644</v>
          </cell>
          <cell r="G7023">
            <v>0</v>
          </cell>
          <cell r="H7023">
            <v>0</v>
          </cell>
          <cell r="I7023">
            <v>0</v>
          </cell>
          <cell r="J7023">
            <v>0</v>
          </cell>
          <cell r="K7023">
            <v>0</v>
          </cell>
          <cell r="L7023">
            <v>2</v>
          </cell>
        </row>
        <row r="7024">
          <cell r="A7024" t="str">
            <v>20431.00716</v>
          </cell>
          <cell r="B7024" t="str">
            <v>VIS SANS FIN 1/10 BA24</v>
          </cell>
          <cell r="C7024" t="str">
            <v>MILTON ROY 0520269106N</v>
          </cell>
          <cell r="D7024" t="str">
            <v>PE</v>
          </cell>
          <cell r="E7024" t="str">
            <v>515.51511</v>
          </cell>
          <cell r="F7024">
            <v>4539.3599999999997</v>
          </cell>
          <cell r="G7024">
            <v>0</v>
          </cell>
          <cell r="H7024">
            <v>0</v>
          </cell>
          <cell r="I7024">
            <v>0</v>
          </cell>
          <cell r="J7024">
            <v>0</v>
          </cell>
          <cell r="K7024">
            <v>0</v>
          </cell>
          <cell r="L7024">
            <v>2</v>
          </cell>
        </row>
        <row r="7025">
          <cell r="A7025" t="str">
            <v>20431.00718</v>
          </cell>
          <cell r="B7025" t="str">
            <v>VERNIER</v>
          </cell>
          <cell r="C7025" t="str">
            <v>MILTON ROY 0550026077N</v>
          </cell>
          <cell r="D7025" t="str">
            <v>PE</v>
          </cell>
          <cell r="E7025" t="str">
            <v>515.51511</v>
          </cell>
          <cell r="F7025">
            <v>470.4</v>
          </cell>
          <cell r="G7025">
            <v>0</v>
          </cell>
          <cell r="H7025">
            <v>0</v>
          </cell>
          <cell r="I7025">
            <v>0</v>
          </cell>
          <cell r="J7025">
            <v>0</v>
          </cell>
          <cell r="K7025">
            <v>0</v>
          </cell>
          <cell r="L7025">
            <v>2</v>
          </cell>
        </row>
        <row r="7026">
          <cell r="A7026" t="str">
            <v>20431.00719</v>
          </cell>
          <cell r="B7026" t="str">
            <v>AXE EXCENTRIQUE</v>
          </cell>
          <cell r="C7026" t="str">
            <v xml:space="preserve">0680111006N   POUR POMPE : RB96J7H10/9.HS.VV3  </v>
          </cell>
          <cell r="D7026" t="str">
            <v>PE</v>
          </cell>
          <cell r="E7026" t="str">
            <v>515.51511</v>
          </cell>
          <cell r="F7026">
            <v>1599.36</v>
          </cell>
          <cell r="G7026">
            <v>0</v>
          </cell>
          <cell r="H7026">
            <v>0</v>
          </cell>
          <cell r="I7026">
            <v>0</v>
          </cell>
          <cell r="J7026">
            <v>0</v>
          </cell>
          <cell r="K7026">
            <v>0</v>
          </cell>
          <cell r="L7026">
            <v>4</v>
          </cell>
        </row>
        <row r="7027">
          <cell r="A7027" t="str">
            <v>20431.00721</v>
          </cell>
          <cell r="B7027" t="str">
            <v>GOUPILLE NF EN 28739-10,0X26</v>
          </cell>
          <cell r="C7027" t="str">
            <v>MILTON ROY 4310008782N</v>
          </cell>
          <cell r="D7027" t="str">
            <v>PE</v>
          </cell>
          <cell r="E7027" t="str">
            <v>515.51511</v>
          </cell>
          <cell r="F7027">
            <v>47.04</v>
          </cell>
          <cell r="G7027">
            <v>0</v>
          </cell>
          <cell r="H7027">
            <v>0</v>
          </cell>
          <cell r="I7027">
            <v>0</v>
          </cell>
          <cell r="J7027">
            <v>0</v>
          </cell>
          <cell r="K7027">
            <v>2</v>
          </cell>
          <cell r="L7027">
            <v>0</v>
          </cell>
        </row>
        <row r="7028">
          <cell r="A7028" t="str">
            <v>20431.00811</v>
          </cell>
          <cell r="B7028" t="str">
            <v>ENSEMBLE MEMBRANE</v>
          </cell>
          <cell r="C7028" t="str">
            <v>77228  TYPE  CEGA 5P1T3</v>
          </cell>
          <cell r="D7028" t="str">
            <v>PE</v>
          </cell>
          <cell r="E7028" t="str">
            <v>515.51511</v>
          </cell>
          <cell r="F7028">
            <v>793.58759999999995</v>
          </cell>
          <cell r="G7028">
            <v>0</v>
          </cell>
          <cell r="H7028">
            <v>0</v>
          </cell>
          <cell r="I7028">
            <v>0</v>
          </cell>
          <cell r="J7028">
            <v>0</v>
          </cell>
          <cell r="K7028">
            <v>0</v>
          </cell>
          <cell r="L7028">
            <v>20</v>
          </cell>
        </row>
        <row r="7029">
          <cell r="A7029" t="str">
            <v>20431.00812</v>
          </cell>
          <cell r="B7029" t="str">
            <v>CORPS DU DOSEUR</v>
          </cell>
          <cell r="C7029" t="str">
            <v xml:space="preserve">77231  TYPE CEGA 5P1T3 </v>
          </cell>
          <cell r="D7029" t="str">
            <v>PE</v>
          </cell>
          <cell r="E7029" t="str">
            <v>515.51511</v>
          </cell>
          <cell r="F7029">
            <v>1660.5</v>
          </cell>
          <cell r="G7029">
            <v>0</v>
          </cell>
          <cell r="H7029">
            <v>0</v>
          </cell>
          <cell r="I7029">
            <v>0</v>
          </cell>
          <cell r="J7029">
            <v>0</v>
          </cell>
          <cell r="K7029">
            <v>0</v>
          </cell>
          <cell r="L7029">
            <v>4</v>
          </cell>
        </row>
        <row r="7030">
          <cell r="A7030" t="str">
            <v>20431.00630</v>
          </cell>
          <cell r="B7030" t="str">
            <v>SUPPORT</v>
          </cell>
          <cell r="C7030" t="str">
            <v>MILTON ROY 06802230192N REP 068A</v>
          </cell>
          <cell r="D7030" t="str">
            <v>PE</v>
          </cell>
          <cell r="E7030" t="str">
            <v>515.51511</v>
          </cell>
          <cell r="F7030">
            <v>1693.44</v>
          </cell>
          <cell r="G7030">
            <v>0</v>
          </cell>
          <cell r="H7030">
            <v>0</v>
          </cell>
          <cell r="I7030">
            <v>0</v>
          </cell>
          <cell r="J7030">
            <v>0</v>
          </cell>
          <cell r="K7030">
            <v>0</v>
          </cell>
          <cell r="L7030">
            <v>2</v>
          </cell>
        </row>
        <row r="7031">
          <cell r="A7031" t="str">
            <v>20431.00631</v>
          </cell>
          <cell r="B7031" t="str">
            <v>AXE</v>
          </cell>
          <cell r="C7031" t="str">
            <v>MILTON ROY 06802170193N REP 068B</v>
          </cell>
          <cell r="D7031" t="str">
            <v>PE</v>
          </cell>
          <cell r="E7031" t="str">
            <v>515.51511</v>
          </cell>
          <cell r="F7031">
            <v>1916.88</v>
          </cell>
          <cell r="G7031">
            <v>0</v>
          </cell>
          <cell r="H7031">
            <v>0</v>
          </cell>
          <cell r="I7031">
            <v>0</v>
          </cell>
          <cell r="J7031">
            <v>0</v>
          </cell>
          <cell r="K7031">
            <v>0</v>
          </cell>
          <cell r="L7031">
            <v>4</v>
          </cell>
        </row>
        <row r="7032">
          <cell r="A7032" t="str">
            <v>20431.00632</v>
          </cell>
          <cell r="B7032" t="str">
            <v>SUPPORT</v>
          </cell>
          <cell r="C7032" t="str">
            <v>MILTON ROY 07204600361N REP 027</v>
          </cell>
          <cell r="D7032" t="str">
            <v>PE</v>
          </cell>
          <cell r="E7032" t="str">
            <v>515.51511</v>
          </cell>
          <cell r="F7032">
            <v>2822.4</v>
          </cell>
          <cell r="G7032">
            <v>0</v>
          </cell>
          <cell r="H7032">
            <v>0</v>
          </cell>
          <cell r="I7032">
            <v>0</v>
          </cell>
          <cell r="J7032">
            <v>0</v>
          </cell>
          <cell r="K7032">
            <v>0</v>
          </cell>
          <cell r="L7032">
            <v>2</v>
          </cell>
        </row>
        <row r="7033">
          <cell r="A7033" t="str">
            <v>20492.18577</v>
          </cell>
          <cell r="B7033" t="str">
            <v>TRANSFORMATEUR DE COURANT 150/5/5A</v>
          </cell>
          <cell r="C7033" t="str">
            <v>NATUS   404498</v>
          </cell>
          <cell r="D7033" t="str">
            <v>PE</v>
          </cell>
          <cell r="E7033" t="str">
            <v>522.52206</v>
          </cell>
          <cell r="F7033">
            <v>13250</v>
          </cell>
          <cell r="G7033">
            <v>0</v>
          </cell>
          <cell r="H7033">
            <v>0</v>
          </cell>
          <cell r="I7033">
            <v>0</v>
          </cell>
          <cell r="J7033">
            <v>0</v>
          </cell>
          <cell r="K7033">
            <v>0</v>
          </cell>
          <cell r="L7033">
            <v>3</v>
          </cell>
        </row>
        <row r="7034">
          <cell r="A7034" t="str">
            <v>20492.18578</v>
          </cell>
          <cell r="B7034" t="str">
            <v>TRANSFORMATEUR DE COURANT 1000/5/5A</v>
          </cell>
          <cell r="C7034" t="str">
            <v>NATUS   404499</v>
          </cell>
          <cell r="D7034" t="str">
            <v>PE</v>
          </cell>
          <cell r="E7034" t="str">
            <v>522.52206</v>
          </cell>
          <cell r="F7034">
            <v>10430</v>
          </cell>
          <cell r="G7034">
            <v>0</v>
          </cell>
          <cell r="H7034">
            <v>0</v>
          </cell>
          <cell r="I7034">
            <v>0</v>
          </cell>
          <cell r="J7034">
            <v>0</v>
          </cell>
          <cell r="K7034">
            <v>0</v>
          </cell>
          <cell r="L7034">
            <v>3</v>
          </cell>
        </row>
        <row r="7035">
          <cell r="A7035" t="str">
            <v>20492.18579</v>
          </cell>
          <cell r="B7035" t="str">
            <v>TRANSFORMATEUR DE COURANT 600/5/5A</v>
          </cell>
          <cell r="C7035" t="str">
            <v>NATUS   404500</v>
          </cell>
          <cell r="D7035" t="str">
            <v>PE</v>
          </cell>
          <cell r="E7035" t="str">
            <v>522.52206</v>
          </cell>
          <cell r="F7035">
            <v>10770</v>
          </cell>
          <cell r="G7035">
            <v>0</v>
          </cell>
          <cell r="H7035">
            <v>0</v>
          </cell>
          <cell r="I7035">
            <v>0</v>
          </cell>
          <cell r="J7035">
            <v>0</v>
          </cell>
          <cell r="K7035">
            <v>0</v>
          </cell>
          <cell r="L7035">
            <v>3</v>
          </cell>
        </row>
        <row r="7036">
          <cell r="A7036" t="str">
            <v>20492.18580</v>
          </cell>
          <cell r="B7036" t="str">
            <v>TRANSFORMATEUR DE COURANT 1250/5/5A</v>
          </cell>
          <cell r="C7036" t="str">
            <v>NATUS   404501</v>
          </cell>
          <cell r="D7036" t="str">
            <v>PE</v>
          </cell>
          <cell r="E7036" t="str">
            <v>522.52206</v>
          </cell>
          <cell r="F7036">
            <v>10470</v>
          </cell>
          <cell r="G7036">
            <v>0</v>
          </cell>
          <cell r="H7036">
            <v>0</v>
          </cell>
          <cell r="I7036">
            <v>0</v>
          </cell>
          <cell r="J7036">
            <v>0</v>
          </cell>
          <cell r="K7036">
            <v>0</v>
          </cell>
          <cell r="L7036">
            <v>3</v>
          </cell>
        </row>
        <row r="7037">
          <cell r="A7037" t="str">
            <v>20492.18582</v>
          </cell>
          <cell r="B7037" t="str">
            <v>TRANSFORMATEUR DE COURANT 2500/5/5/5A</v>
          </cell>
          <cell r="C7037" t="str">
            <v>NATUS   404602</v>
          </cell>
          <cell r="D7037" t="str">
            <v>PE</v>
          </cell>
          <cell r="E7037" t="str">
            <v>522.52206</v>
          </cell>
          <cell r="F7037">
            <v>19250</v>
          </cell>
          <cell r="G7037">
            <v>0</v>
          </cell>
          <cell r="H7037">
            <v>0</v>
          </cell>
          <cell r="I7037">
            <v>0</v>
          </cell>
          <cell r="J7037">
            <v>0</v>
          </cell>
          <cell r="K7037">
            <v>0</v>
          </cell>
          <cell r="L7037">
            <v>3</v>
          </cell>
        </row>
        <row r="7038">
          <cell r="A7038" t="str">
            <v>20492.14548</v>
          </cell>
          <cell r="B7038" t="str">
            <v>TRANSFORMATEUR DE COURANT</v>
          </cell>
          <cell r="C7038" t="str">
            <v>F.T.M TYPE: CTP 24-2 RAPPORT 2500/5/5A ISOLATION:17.5/38/95KV</v>
          </cell>
          <cell r="D7038" t="str">
            <v>PE</v>
          </cell>
          <cell r="E7038" t="str">
            <v>522.52206</v>
          </cell>
          <cell r="F7038">
            <v>13065</v>
          </cell>
          <cell r="G7038">
            <v>0</v>
          </cell>
          <cell r="H7038">
            <v>0</v>
          </cell>
          <cell r="I7038">
            <v>0</v>
          </cell>
          <cell r="J7038">
            <v>0</v>
          </cell>
          <cell r="K7038">
            <v>0</v>
          </cell>
          <cell r="L7038">
            <v>3</v>
          </cell>
        </row>
        <row r="7039">
          <cell r="A7039" t="str">
            <v>20492.14549</v>
          </cell>
          <cell r="B7039" t="str">
            <v>TRANSFORMATEUR DE TENSION</v>
          </cell>
          <cell r="C7039" t="str">
            <v>F.T.M TYPE: CTY 24/U RAPPORT 10000:SQR(3)/100:SQR3V A-N:50VA ISOLATION:17.5/38/95KV</v>
          </cell>
          <cell r="D7039" t="str">
            <v>PE</v>
          </cell>
          <cell r="E7039" t="str">
            <v>522.52206</v>
          </cell>
          <cell r="F7039">
            <v>8545</v>
          </cell>
          <cell r="G7039">
            <v>0</v>
          </cell>
          <cell r="H7039">
            <v>0</v>
          </cell>
          <cell r="I7039">
            <v>0</v>
          </cell>
          <cell r="J7039">
            <v>0</v>
          </cell>
          <cell r="K7039">
            <v>0</v>
          </cell>
          <cell r="L7039">
            <v>3</v>
          </cell>
        </row>
        <row r="7040">
          <cell r="A7040" t="str">
            <v>20492.17790</v>
          </cell>
          <cell r="B7040" t="str">
            <v>ROUE POUR VENTILATEUR</v>
          </cell>
          <cell r="C7040" t="str">
            <v>EUROP PLAST P/VENTILATEUR TYPE VLCP 250   ROUE</v>
          </cell>
          <cell r="D7040" t="str">
            <v>PE</v>
          </cell>
          <cell r="E7040" t="str">
            <v>314.31401</v>
          </cell>
          <cell r="F7040">
            <v>6203.5</v>
          </cell>
          <cell r="G7040">
            <v>0</v>
          </cell>
          <cell r="H7040">
            <v>0</v>
          </cell>
          <cell r="I7040">
            <v>0</v>
          </cell>
          <cell r="J7040">
            <v>0</v>
          </cell>
          <cell r="K7040">
            <v>0</v>
          </cell>
          <cell r="L7040">
            <v>2</v>
          </cell>
        </row>
        <row r="7041">
          <cell r="A7041" t="str">
            <v>20492.17791</v>
          </cell>
          <cell r="B7041" t="str">
            <v>LOT DE 4 PLOTS ANTI-VIBRATION</v>
          </cell>
          <cell r="C7041" t="str">
            <v>EUROP PLAST TYPE 30/33 P/VENTILATEUR VLCP 250   LOT DE 4PLOT</v>
          </cell>
          <cell r="D7041" t="str">
            <v>PE</v>
          </cell>
          <cell r="E7041" t="str">
            <v>314.31401</v>
          </cell>
          <cell r="F7041">
            <v>365.75</v>
          </cell>
          <cell r="G7041">
            <v>0</v>
          </cell>
          <cell r="H7041">
            <v>0</v>
          </cell>
          <cell r="I7041">
            <v>0</v>
          </cell>
          <cell r="J7041">
            <v>0</v>
          </cell>
          <cell r="K7041">
            <v>0</v>
          </cell>
          <cell r="L7041">
            <v>2</v>
          </cell>
        </row>
        <row r="7042">
          <cell r="A7042" t="str">
            <v>20492.20592</v>
          </cell>
          <cell r="B7042" t="str">
            <v>FILTRE</v>
          </cell>
          <cell r="C7042" t="str">
            <v>AAF 592X592X650 MM DRIPAK GT F6, 8POCHES P/FILTRE S/N 903368/15870 REPERE :201F-S01.</v>
          </cell>
          <cell r="D7042" t="str">
            <v>PE</v>
          </cell>
          <cell r="E7042" t="str">
            <v>515.51506</v>
          </cell>
          <cell r="F7042">
            <v>801</v>
          </cell>
          <cell r="G7042">
            <v>0</v>
          </cell>
          <cell r="H7042">
            <v>0</v>
          </cell>
          <cell r="I7042">
            <v>0</v>
          </cell>
          <cell r="J7042">
            <v>0</v>
          </cell>
          <cell r="K7042">
            <v>0</v>
          </cell>
          <cell r="L7042">
            <v>52</v>
          </cell>
        </row>
        <row r="7043">
          <cell r="A7043" t="str">
            <v>20492.20593</v>
          </cell>
          <cell r="B7043" t="str">
            <v>LOQUET INOX 1 ET 2</v>
          </cell>
          <cell r="C7043" t="str">
            <v>AAF REF:09031290 P/FILTRE S/N 903368/15870 REPERE :201F-S01.</v>
          </cell>
          <cell r="D7043" t="str">
            <v>PE</v>
          </cell>
          <cell r="E7043" t="str">
            <v>515.51506</v>
          </cell>
          <cell r="F7043">
            <v>9.44</v>
          </cell>
          <cell r="G7043">
            <v>0</v>
          </cell>
          <cell r="H7043">
            <v>0</v>
          </cell>
          <cell r="I7043">
            <v>0</v>
          </cell>
          <cell r="J7043">
            <v>0</v>
          </cell>
          <cell r="K7043">
            <v>0</v>
          </cell>
          <cell r="L7043">
            <v>2240</v>
          </cell>
        </row>
        <row r="7044">
          <cell r="A7044" t="str">
            <v>20492.16401</v>
          </cell>
          <cell r="B7044" t="str">
            <v>AXE</v>
          </cell>
          <cell r="C7044" t="str">
            <v>DRESSER RAND 1S394-89 PLAN 6R8392 REP 5</v>
          </cell>
          <cell r="D7044" t="str">
            <v>PE</v>
          </cell>
          <cell r="E7044" t="str">
            <v>515.51517</v>
          </cell>
          <cell r="F7044">
            <v>3169.6680000000001</v>
          </cell>
          <cell r="G7044">
            <v>0</v>
          </cell>
          <cell r="H7044">
            <v>0</v>
          </cell>
          <cell r="I7044">
            <v>0</v>
          </cell>
          <cell r="J7044">
            <v>0</v>
          </cell>
          <cell r="K7044">
            <v>0</v>
          </cell>
          <cell r="L7044">
            <v>1</v>
          </cell>
        </row>
        <row r="7045">
          <cell r="A7045" t="str">
            <v>20492.16402</v>
          </cell>
          <cell r="B7045" t="str">
            <v>RONDELLE</v>
          </cell>
          <cell r="C7045" t="str">
            <v>DRESSER RAND 3A1955-304 PLAN 6R8392 REP 6</v>
          </cell>
          <cell r="D7045" t="str">
            <v>PE</v>
          </cell>
          <cell r="E7045" t="str">
            <v>515.51517</v>
          </cell>
          <cell r="F7045">
            <v>811.45299999999997</v>
          </cell>
          <cell r="G7045">
            <v>0</v>
          </cell>
          <cell r="H7045">
            <v>0</v>
          </cell>
          <cell r="I7045">
            <v>0</v>
          </cell>
          <cell r="J7045">
            <v>0</v>
          </cell>
          <cell r="K7045">
            <v>0</v>
          </cell>
          <cell r="L7045">
            <v>6</v>
          </cell>
        </row>
        <row r="7046">
          <cell r="A7046" t="str">
            <v>20492.16403</v>
          </cell>
          <cell r="B7046" t="str">
            <v>GOUPILLE</v>
          </cell>
          <cell r="C7046" t="str">
            <v>DRESSER RAND 1S447-3 PLAN 6R8392 REP 7</v>
          </cell>
          <cell r="D7046" t="str">
            <v>PE</v>
          </cell>
          <cell r="E7046" t="str">
            <v>515.51517</v>
          </cell>
          <cell r="F7046">
            <v>90.111400000000003</v>
          </cell>
          <cell r="G7046">
            <v>0</v>
          </cell>
          <cell r="H7046">
            <v>0</v>
          </cell>
          <cell r="I7046">
            <v>0</v>
          </cell>
          <cell r="J7046">
            <v>9</v>
          </cell>
          <cell r="K7046">
            <v>0</v>
          </cell>
          <cell r="L7046">
            <v>1</v>
          </cell>
        </row>
        <row r="7047">
          <cell r="A7047" t="str">
            <v>20492.16404</v>
          </cell>
          <cell r="B7047" t="str">
            <v>AXE</v>
          </cell>
          <cell r="C7047" t="str">
            <v>DRESSER RAND 1S394-91 PLAN 6R8392 REP 12</v>
          </cell>
          <cell r="D7047" t="str">
            <v>PE</v>
          </cell>
          <cell r="E7047" t="str">
            <v>515.51517</v>
          </cell>
          <cell r="F7047">
            <v>6275.8074999999999</v>
          </cell>
          <cell r="G7047">
            <v>0</v>
          </cell>
          <cell r="H7047">
            <v>0</v>
          </cell>
          <cell r="I7047">
            <v>0</v>
          </cell>
          <cell r="J7047">
            <v>0</v>
          </cell>
          <cell r="K7047">
            <v>0</v>
          </cell>
          <cell r="L7047">
            <v>1</v>
          </cell>
        </row>
        <row r="7048">
          <cell r="A7048" t="str">
            <v>20492.16405</v>
          </cell>
          <cell r="B7048" t="str">
            <v>RONDELLE</v>
          </cell>
          <cell r="C7048" t="str">
            <v>DRESSER RAND 3A1955-305 PLAN 6R8392 REP 13</v>
          </cell>
          <cell r="D7048" t="str">
            <v>PE</v>
          </cell>
          <cell r="E7048" t="str">
            <v>515.51517</v>
          </cell>
          <cell r="F7048">
            <v>3423.2188999999998</v>
          </cell>
          <cell r="G7048">
            <v>0</v>
          </cell>
          <cell r="H7048">
            <v>0</v>
          </cell>
          <cell r="I7048">
            <v>0</v>
          </cell>
          <cell r="J7048">
            <v>0</v>
          </cell>
          <cell r="K7048">
            <v>0</v>
          </cell>
          <cell r="L7048">
            <v>2</v>
          </cell>
        </row>
        <row r="7049">
          <cell r="A7049" t="str">
            <v>20492.16406</v>
          </cell>
          <cell r="B7049" t="str">
            <v>GOUPILLE</v>
          </cell>
          <cell r="C7049" t="str">
            <v>DRESSER RAND 1S447-7 PLAN 6R8392 REP 14</v>
          </cell>
          <cell r="D7049" t="str">
            <v>PE</v>
          </cell>
          <cell r="E7049" t="str">
            <v>515.51517</v>
          </cell>
          <cell r="F7049">
            <v>90.111400000000003</v>
          </cell>
          <cell r="G7049">
            <v>0</v>
          </cell>
          <cell r="H7049">
            <v>0</v>
          </cell>
          <cell r="I7049">
            <v>0</v>
          </cell>
          <cell r="J7049">
            <v>0</v>
          </cell>
          <cell r="K7049">
            <v>0</v>
          </cell>
          <cell r="L7049">
            <v>2</v>
          </cell>
        </row>
        <row r="7050">
          <cell r="A7050" t="str">
            <v>20492.07866</v>
          </cell>
          <cell r="B7050" t="str">
            <v>CADENAS DE SECURITE COULEUR VERTE</v>
          </cell>
          <cell r="C7050" t="str">
            <v>BRADY REF 051345</v>
          </cell>
          <cell r="D7050" t="str">
            <v>PE</v>
          </cell>
          <cell r="E7050" t="str">
            <v>522.52203</v>
          </cell>
          <cell r="F7050">
            <v>183</v>
          </cell>
          <cell r="G7050">
            <v>0</v>
          </cell>
          <cell r="H7050">
            <v>150</v>
          </cell>
          <cell r="I7050">
            <v>0</v>
          </cell>
          <cell r="J7050">
            <v>0</v>
          </cell>
          <cell r="K7050">
            <v>0</v>
          </cell>
          <cell r="L7050">
            <v>0</v>
          </cell>
        </row>
        <row r="7051">
          <cell r="A7051" t="str">
            <v>20492.07867</v>
          </cell>
          <cell r="B7051" t="str">
            <v>CADENAS DE SECURITE COULEUR ORANGE</v>
          </cell>
          <cell r="C7051" t="str">
            <v>BRADY REF 051347</v>
          </cell>
          <cell r="D7051" t="str">
            <v>PE</v>
          </cell>
          <cell r="E7051" t="str">
            <v>522.52203</v>
          </cell>
          <cell r="F7051">
            <v>186</v>
          </cell>
          <cell r="G7051">
            <v>0</v>
          </cell>
          <cell r="H7051">
            <v>100</v>
          </cell>
          <cell r="I7051">
            <v>0</v>
          </cell>
          <cell r="J7051">
            <v>40</v>
          </cell>
          <cell r="K7051">
            <v>0</v>
          </cell>
          <cell r="L7051">
            <v>0</v>
          </cell>
        </row>
        <row r="7052">
          <cell r="A7052" t="str">
            <v>20492.07868</v>
          </cell>
          <cell r="B7052" t="str">
            <v>MACHOIRE DE SECURITE MULTIPLE DIA ANNEAU: 25MM2</v>
          </cell>
          <cell r="C7052" t="str">
            <v>BRADY REF 805840</v>
          </cell>
          <cell r="D7052" t="str">
            <v>PE</v>
          </cell>
          <cell r="E7052" t="str">
            <v>522.52203</v>
          </cell>
          <cell r="F7052">
            <v>69</v>
          </cell>
          <cell r="G7052">
            <v>0</v>
          </cell>
          <cell r="H7052">
            <v>0</v>
          </cell>
          <cell r="I7052">
            <v>0</v>
          </cell>
          <cell r="J7052">
            <v>0</v>
          </cell>
          <cell r="K7052">
            <v>0</v>
          </cell>
          <cell r="L7052">
            <v>25</v>
          </cell>
        </row>
        <row r="7053">
          <cell r="A7053" t="str">
            <v>20423.01080</v>
          </cell>
          <cell r="B7053" t="str">
            <v>POSITIONNEUR INTELLIGENT</v>
          </cell>
          <cell r="C7053" t="str">
            <v>SRD 991 - BHNS7ZZZNY - V01</v>
          </cell>
          <cell r="D7053" t="str">
            <v>PE</v>
          </cell>
          <cell r="E7053" t="str">
            <v>512.51201</v>
          </cell>
          <cell r="F7053">
            <v>12426.45</v>
          </cell>
          <cell r="G7053">
            <v>0</v>
          </cell>
          <cell r="H7053">
            <v>0</v>
          </cell>
          <cell r="I7053">
            <v>0</v>
          </cell>
          <cell r="J7053">
            <v>0</v>
          </cell>
          <cell r="K7053">
            <v>2</v>
          </cell>
          <cell r="L7053">
            <v>0</v>
          </cell>
        </row>
        <row r="7054">
          <cell r="A7054" t="str">
            <v>20461.00523</v>
          </cell>
          <cell r="B7054" t="str">
            <v>MANCHON ANTI-VIBRATION</v>
          </cell>
          <cell r="C7054" t="str">
            <v>SUIVANT PLAN : PMP.SUL.12/01</v>
          </cell>
          <cell r="D7054" t="str">
            <v>PE</v>
          </cell>
          <cell r="E7054" t="str">
            <v>522.52213</v>
          </cell>
          <cell r="F7054">
            <v>1642.3122000000001</v>
          </cell>
          <cell r="G7054">
            <v>0</v>
          </cell>
          <cell r="H7054">
            <v>0</v>
          </cell>
          <cell r="I7054">
            <v>0</v>
          </cell>
          <cell r="J7054">
            <v>0</v>
          </cell>
          <cell r="K7054">
            <v>0</v>
          </cell>
          <cell r="L7054">
            <v>1</v>
          </cell>
        </row>
        <row r="7055">
          <cell r="A7055" t="str">
            <v>20461.00524</v>
          </cell>
          <cell r="B7055" t="str">
            <v>MANCHON ANTI-VIBRATION</v>
          </cell>
          <cell r="C7055" t="str">
            <v>SUIVANT PLAN : PMP.SUL.12/02</v>
          </cell>
          <cell r="D7055" t="str">
            <v>PE</v>
          </cell>
          <cell r="E7055" t="str">
            <v>522.52213</v>
          </cell>
          <cell r="F7055">
            <v>2326.6089000000002</v>
          </cell>
          <cell r="G7055">
            <v>0</v>
          </cell>
          <cell r="H7055">
            <v>0</v>
          </cell>
          <cell r="I7055">
            <v>0</v>
          </cell>
          <cell r="J7055">
            <v>0</v>
          </cell>
          <cell r="K7055">
            <v>0</v>
          </cell>
          <cell r="L7055">
            <v>0</v>
          </cell>
        </row>
        <row r="7056">
          <cell r="A7056" t="str">
            <v>20461.00525</v>
          </cell>
          <cell r="B7056" t="str">
            <v>MANCHON ANTI-VIBRATION</v>
          </cell>
          <cell r="C7056" t="str">
            <v>SUIVANT PLAN : PMP.SUL.12/03</v>
          </cell>
          <cell r="D7056" t="str">
            <v>PE</v>
          </cell>
          <cell r="E7056" t="str">
            <v>522.52213</v>
          </cell>
          <cell r="F7056">
            <v>3448.8555999999999</v>
          </cell>
          <cell r="G7056">
            <v>0</v>
          </cell>
          <cell r="H7056">
            <v>0</v>
          </cell>
          <cell r="I7056">
            <v>0</v>
          </cell>
          <cell r="J7056">
            <v>0</v>
          </cell>
          <cell r="K7056">
            <v>0</v>
          </cell>
          <cell r="L7056">
            <v>1</v>
          </cell>
        </row>
        <row r="7057">
          <cell r="A7057" t="str">
            <v>20461.00526</v>
          </cell>
          <cell r="B7057" t="str">
            <v>MANCHON ANTI-VIBRATION</v>
          </cell>
          <cell r="C7057" t="str">
            <v>SUIVANT PLAN : PMP.SUL.12/04</v>
          </cell>
          <cell r="D7057" t="str">
            <v>PE</v>
          </cell>
          <cell r="E7057" t="str">
            <v>522.52213</v>
          </cell>
          <cell r="F7057">
            <v>3968.9211</v>
          </cell>
          <cell r="G7057">
            <v>0</v>
          </cell>
          <cell r="H7057">
            <v>0</v>
          </cell>
          <cell r="I7057">
            <v>0</v>
          </cell>
          <cell r="J7057">
            <v>0</v>
          </cell>
          <cell r="K7057">
            <v>0</v>
          </cell>
          <cell r="L7057">
            <v>1</v>
          </cell>
        </row>
        <row r="7058">
          <cell r="A7058" t="str">
            <v>20461.00527</v>
          </cell>
          <cell r="B7058" t="str">
            <v>MANCHON ANTI-VIBRATION</v>
          </cell>
          <cell r="C7058" t="str">
            <v>SUIVANT PLAN : PMP.SUL.12/05</v>
          </cell>
          <cell r="D7058" t="str">
            <v>PE</v>
          </cell>
          <cell r="E7058" t="str">
            <v>522.52213</v>
          </cell>
          <cell r="F7058">
            <v>6500.8190999999997</v>
          </cell>
          <cell r="G7058">
            <v>0</v>
          </cell>
          <cell r="H7058">
            <v>0</v>
          </cell>
          <cell r="I7058">
            <v>0</v>
          </cell>
          <cell r="J7058">
            <v>0</v>
          </cell>
          <cell r="K7058">
            <v>0</v>
          </cell>
          <cell r="L7058">
            <v>1</v>
          </cell>
        </row>
        <row r="7059">
          <cell r="A7059" t="str">
            <v>20461.00528</v>
          </cell>
          <cell r="B7059" t="str">
            <v>MANCHON ANTI-VIBRATION</v>
          </cell>
          <cell r="C7059" t="str">
            <v>SUIVANT PLAN : PMP.SUL.12/06</v>
          </cell>
          <cell r="D7059" t="str">
            <v>PE</v>
          </cell>
          <cell r="E7059" t="str">
            <v>522.52213</v>
          </cell>
          <cell r="F7059">
            <v>3700</v>
          </cell>
          <cell r="G7059">
            <v>0</v>
          </cell>
          <cell r="H7059">
            <v>0</v>
          </cell>
          <cell r="I7059">
            <v>0</v>
          </cell>
          <cell r="J7059">
            <v>0</v>
          </cell>
          <cell r="K7059">
            <v>0</v>
          </cell>
          <cell r="L7059">
            <v>2</v>
          </cell>
        </row>
        <row r="7060">
          <cell r="A7060" t="str">
            <v>20461.00529</v>
          </cell>
          <cell r="B7060" t="str">
            <v>MANCHON ANTI-VIBRATION</v>
          </cell>
          <cell r="C7060" t="str">
            <v>SUIVANT PLAN : PMP.SUL.12/07</v>
          </cell>
          <cell r="D7060" t="str">
            <v>PE</v>
          </cell>
          <cell r="E7060" t="str">
            <v>522.52213</v>
          </cell>
          <cell r="F7060">
            <v>2870</v>
          </cell>
          <cell r="G7060">
            <v>0</v>
          </cell>
          <cell r="H7060">
            <v>0</v>
          </cell>
          <cell r="I7060">
            <v>0</v>
          </cell>
          <cell r="J7060">
            <v>0</v>
          </cell>
          <cell r="K7060">
            <v>0</v>
          </cell>
          <cell r="L7060">
            <v>2</v>
          </cell>
        </row>
        <row r="7061">
          <cell r="A7061" t="str">
            <v>20461.00380</v>
          </cell>
          <cell r="B7061" t="str">
            <v>FILTRE D'ECHANGEUR</v>
          </cell>
          <cell r="C7061" t="str">
            <v>SUIVANT PLAN: PH.10</v>
          </cell>
          <cell r="D7061" t="str">
            <v>PE</v>
          </cell>
          <cell r="E7061" t="str">
            <v>522.52213</v>
          </cell>
          <cell r="F7061">
            <v>116000</v>
          </cell>
          <cell r="G7061">
            <v>0</v>
          </cell>
          <cell r="H7061">
            <v>0</v>
          </cell>
          <cell r="I7061">
            <v>0</v>
          </cell>
          <cell r="J7061">
            <v>0</v>
          </cell>
          <cell r="K7061">
            <v>0</v>
          </cell>
          <cell r="L7061">
            <v>2</v>
          </cell>
        </row>
        <row r="7062">
          <cell r="A7062" t="str">
            <v>20492.00739</v>
          </cell>
          <cell r="B7062" t="str">
            <v>BUSE A CONECREUX A 90DEG</v>
          </cell>
          <cell r="C7062" t="str">
            <v>EMANI 1/2-BA70-309SS</v>
          </cell>
          <cell r="D7062" t="str">
            <v>PE</v>
          </cell>
          <cell r="E7062" t="str">
            <v>515.51502</v>
          </cell>
          <cell r="F7062">
            <v>7573.2</v>
          </cell>
          <cell r="G7062">
            <v>0</v>
          </cell>
          <cell r="H7062">
            <v>0</v>
          </cell>
          <cell r="I7062">
            <v>0</v>
          </cell>
          <cell r="J7062">
            <v>0</v>
          </cell>
          <cell r="K7062">
            <v>0</v>
          </cell>
          <cell r="L7062">
            <v>0</v>
          </cell>
        </row>
        <row r="7063">
          <cell r="A7063" t="str">
            <v>20461.00088</v>
          </cell>
          <cell r="B7063" t="str">
            <v>ANODE SACRIFICIELLE EN ALLIAGE DE ZINC US MIL A 18001 K</v>
          </cell>
          <cell r="C7063" t="str">
            <v>SUIVANT PLAN: PMP C.L.08</v>
          </cell>
          <cell r="D7063" t="str">
            <v>PE</v>
          </cell>
          <cell r="E7063" t="str">
            <v>522.52213</v>
          </cell>
          <cell r="F7063">
            <v>997.5</v>
          </cell>
          <cell r="G7063">
            <v>0</v>
          </cell>
          <cell r="H7063">
            <v>18</v>
          </cell>
          <cell r="I7063">
            <v>0</v>
          </cell>
          <cell r="J7063">
            <v>8</v>
          </cell>
          <cell r="K7063">
            <v>0</v>
          </cell>
          <cell r="L7063">
            <v>0</v>
          </cell>
        </row>
        <row r="7064">
          <cell r="A7064" t="str">
            <v>20492.17190</v>
          </cell>
          <cell r="B7064" t="str">
            <v>KIT DE JOINTS</v>
          </cell>
          <cell r="C7064" t="str">
            <v>LUFKIN PLAN N1804C-121449A REP52 REF AK182882</v>
          </cell>
          <cell r="D7064" t="str">
            <v>PE</v>
          </cell>
          <cell r="E7064" t="str">
            <v>515.51515</v>
          </cell>
          <cell r="F7064">
            <v>35871.57</v>
          </cell>
          <cell r="G7064">
            <v>0</v>
          </cell>
          <cell r="H7064">
            <v>0</v>
          </cell>
          <cell r="I7064">
            <v>0</v>
          </cell>
          <cell r="J7064">
            <v>0</v>
          </cell>
          <cell r="K7064">
            <v>0</v>
          </cell>
          <cell r="L7064">
            <v>1</v>
          </cell>
        </row>
        <row r="7065">
          <cell r="A7065" t="str">
            <v>20492.17191</v>
          </cell>
          <cell r="B7065" t="str">
            <v>KIT CAPUCHONS TERMINAUX</v>
          </cell>
          <cell r="C7065" t="str">
            <v>LUFKIN PLAN N1804C-121449A REP53 REF AK183251</v>
          </cell>
          <cell r="D7065" t="str">
            <v>PE</v>
          </cell>
          <cell r="E7065" t="str">
            <v>515.51515</v>
          </cell>
          <cell r="F7065">
            <v>8723.4524999999994</v>
          </cell>
          <cell r="G7065">
            <v>0</v>
          </cell>
          <cell r="H7065">
            <v>0</v>
          </cell>
          <cell r="I7065">
            <v>0</v>
          </cell>
          <cell r="J7065">
            <v>0</v>
          </cell>
          <cell r="K7065">
            <v>0</v>
          </cell>
          <cell r="L7065">
            <v>1</v>
          </cell>
        </row>
        <row r="7066">
          <cell r="A7066" t="str">
            <v>20492.16568</v>
          </cell>
          <cell r="B7066" t="str">
            <v>RELEVEUR PROFILE</v>
          </cell>
          <cell r="C7066" t="str">
            <v>METSO 31-374350102 REP27</v>
          </cell>
          <cell r="D7066" t="str">
            <v>PE</v>
          </cell>
          <cell r="E7066" t="str">
            <v>522.52207</v>
          </cell>
          <cell r="F7066">
            <v>3452.9751000000001</v>
          </cell>
          <cell r="G7066">
            <v>0</v>
          </cell>
          <cell r="H7066">
            <v>0</v>
          </cell>
          <cell r="I7066">
            <v>0</v>
          </cell>
          <cell r="J7066">
            <v>0</v>
          </cell>
          <cell r="K7066">
            <v>0</v>
          </cell>
          <cell r="L7066">
            <v>34</v>
          </cell>
        </row>
        <row r="7067">
          <cell r="A7067" t="str">
            <v>20492.16569</v>
          </cell>
          <cell r="B7067" t="str">
            <v>RELEVEUR PROFILE</v>
          </cell>
          <cell r="C7067" t="str">
            <v>METSO 31-415755102 REP28</v>
          </cell>
          <cell r="D7067" t="str">
            <v>PE</v>
          </cell>
          <cell r="E7067" t="str">
            <v>522.52207</v>
          </cell>
          <cell r="F7067">
            <v>3657.4276</v>
          </cell>
          <cell r="G7067">
            <v>0</v>
          </cell>
          <cell r="H7067">
            <v>0</v>
          </cell>
          <cell r="I7067">
            <v>0</v>
          </cell>
          <cell r="J7067">
            <v>0</v>
          </cell>
          <cell r="K7067">
            <v>0</v>
          </cell>
          <cell r="L7067">
            <v>2</v>
          </cell>
        </row>
        <row r="7068">
          <cell r="A7068" t="str">
            <v>20492.16570</v>
          </cell>
          <cell r="B7068" t="str">
            <v>RELEVEUR PROFILE</v>
          </cell>
          <cell r="C7068" t="str">
            <v>METSO 31-419322102 REP29</v>
          </cell>
          <cell r="D7068" t="str">
            <v>PE</v>
          </cell>
          <cell r="E7068" t="str">
            <v>522.52207</v>
          </cell>
          <cell r="F7068">
            <v>3657.4276</v>
          </cell>
          <cell r="G7068">
            <v>0</v>
          </cell>
          <cell r="H7068">
            <v>0</v>
          </cell>
          <cell r="I7068">
            <v>0</v>
          </cell>
          <cell r="J7068">
            <v>0</v>
          </cell>
          <cell r="K7068">
            <v>0</v>
          </cell>
          <cell r="L7068">
            <v>2</v>
          </cell>
        </row>
        <row r="7069">
          <cell r="A7069" t="str">
            <v>20492.13979</v>
          </cell>
          <cell r="B7069" t="str">
            <v>KIT CONNECTEUR DE PUISSANCE</v>
          </cell>
          <cell r="C7069" t="str">
            <v>NATUS 0140360220K</v>
          </cell>
          <cell r="D7069" t="str">
            <v>PE</v>
          </cell>
          <cell r="E7069" t="str">
            <v>522.52206</v>
          </cell>
          <cell r="F7069">
            <v>34661.173300000002</v>
          </cell>
          <cell r="G7069">
            <v>0</v>
          </cell>
          <cell r="H7069">
            <v>0</v>
          </cell>
          <cell r="I7069">
            <v>0</v>
          </cell>
          <cell r="J7069">
            <v>8</v>
          </cell>
          <cell r="K7069">
            <v>1</v>
          </cell>
          <cell r="L7069">
            <v>0</v>
          </cell>
        </row>
        <row r="7070">
          <cell r="A7070" t="str">
            <v>20492.13997</v>
          </cell>
          <cell r="B7070" t="str">
            <v>KIT JEU DE BARRE VERTICALE TRIPOLAIRE</v>
          </cell>
          <cell r="C7070" t="str">
            <v>NATUS 0480261070K</v>
          </cell>
          <cell r="D7070" t="str">
            <v>PE</v>
          </cell>
          <cell r="E7070" t="str">
            <v>522.52206</v>
          </cell>
          <cell r="F7070">
            <v>37400.7955</v>
          </cell>
          <cell r="G7070">
            <v>0</v>
          </cell>
          <cell r="H7070">
            <v>0</v>
          </cell>
          <cell r="I7070">
            <v>0</v>
          </cell>
          <cell r="J7070">
            <v>0</v>
          </cell>
          <cell r="K7070">
            <v>0</v>
          </cell>
          <cell r="L7070">
            <v>6</v>
          </cell>
        </row>
        <row r="7071">
          <cell r="A7071" t="str">
            <v>20492.13998</v>
          </cell>
          <cell r="B7071" t="str">
            <v>TIROIR DEBROCHABLE DEPART DEMARREUR</v>
          </cell>
          <cell r="C7071" t="str">
            <v>NATUS S3N0400A</v>
          </cell>
          <cell r="D7071" t="str">
            <v>PE</v>
          </cell>
          <cell r="E7071" t="str">
            <v>522.52206</v>
          </cell>
          <cell r="F7071">
            <v>168793.58</v>
          </cell>
          <cell r="G7071">
            <v>0</v>
          </cell>
          <cell r="H7071">
            <v>0</v>
          </cell>
          <cell r="I7071">
            <v>0</v>
          </cell>
          <cell r="J7071">
            <v>0</v>
          </cell>
          <cell r="K7071">
            <v>0</v>
          </cell>
          <cell r="L7071">
            <v>0</v>
          </cell>
        </row>
        <row r="7072">
          <cell r="A7072" t="str">
            <v>20492.16571</v>
          </cell>
          <cell r="B7072" t="str">
            <v>RELEVEUR PROFILE</v>
          </cell>
          <cell r="C7072" t="str">
            <v>METSO 31-415756102 REP30</v>
          </cell>
          <cell r="D7072" t="str">
            <v>PE</v>
          </cell>
          <cell r="E7072" t="str">
            <v>522.52207</v>
          </cell>
          <cell r="F7072">
            <v>3657.4276</v>
          </cell>
          <cell r="G7072">
            <v>0</v>
          </cell>
          <cell r="H7072">
            <v>0</v>
          </cell>
          <cell r="I7072">
            <v>0</v>
          </cell>
          <cell r="J7072">
            <v>0</v>
          </cell>
          <cell r="K7072">
            <v>0</v>
          </cell>
          <cell r="L7072">
            <v>16</v>
          </cell>
        </row>
        <row r="7073">
          <cell r="A7073" t="str">
            <v>20492.13976</v>
          </cell>
          <cell r="B7073" t="str">
            <v>KIT PORTE FUSIBLE</v>
          </cell>
          <cell r="C7073" t="str">
            <v>NATUS 107947</v>
          </cell>
          <cell r="D7073" t="str">
            <v>PE</v>
          </cell>
          <cell r="E7073" t="str">
            <v>522.52206</v>
          </cell>
          <cell r="F7073">
            <v>1176</v>
          </cell>
          <cell r="G7073">
            <v>0</v>
          </cell>
          <cell r="H7073">
            <v>0</v>
          </cell>
          <cell r="I7073">
            <v>0</v>
          </cell>
          <cell r="J7073">
            <v>0</v>
          </cell>
          <cell r="K7073">
            <v>0</v>
          </cell>
          <cell r="L7073">
            <v>4</v>
          </cell>
        </row>
        <row r="7074">
          <cell r="A7074" t="str">
            <v>20492.16211</v>
          </cell>
          <cell r="B7074" t="str">
            <v>DETECTEUR INTERACTIF OPTIQUE DE FUMEE</v>
          </cell>
          <cell r="C7074" t="str">
            <v>DEF OA-O 01DT080</v>
          </cell>
          <cell r="D7074" t="str">
            <v>PE</v>
          </cell>
          <cell r="E7074" t="str">
            <v>516.51601</v>
          </cell>
          <cell r="F7074">
            <v>1507</v>
          </cell>
          <cell r="G7074">
            <v>0</v>
          </cell>
          <cell r="H7074">
            <v>0</v>
          </cell>
          <cell r="I7074">
            <v>0</v>
          </cell>
          <cell r="J7074">
            <v>0</v>
          </cell>
          <cell r="K7074">
            <v>0</v>
          </cell>
          <cell r="L7074">
            <v>0</v>
          </cell>
        </row>
        <row r="7075">
          <cell r="A7075" t="str">
            <v>20492.16212</v>
          </cell>
          <cell r="B7075" t="str">
            <v>DETECTEUR INTERACTIF THERMIQUE</v>
          </cell>
          <cell r="C7075" t="str">
            <v>DEF OA-T 01DT081</v>
          </cell>
          <cell r="D7075" t="str">
            <v>PE</v>
          </cell>
          <cell r="E7075" t="str">
            <v>516.51601</v>
          </cell>
          <cell r="F7075">
            <v>1529</v>
          </cell>
          <cell r="G7075">
            <v>0</v>
          </cell>
          <cell r="H7075">
            <v>0</v>
          </cell>
          <cell r="I7075">
            <v>0</v>
          </cell>
          <cell r="J7075">
            <v>0</v>
          </cell>
          <cell r="K7075">
            <v>0</v>
          </cell>
          <cell r="L7075">
            <v>10</v>
          </cell>
        </row>
        <row r="7076">
          <cell r="A7076" t="str">
            <v>20492.17189</v>
          </cell>
          <cell r="B7076" t="str">
            <v>KIT DE JOINTS</v>
          </cell>
          <cell r="C7076" t="str">
            <v>LUFKIN PLAN N1804C-121449A REP51 REF AK182863</v>
          </cell>
          <cell r="D7076" t="str">
            <v>PE</v>
          </cell>
          <cell r="E7076" t="str">
            <v>515.51515</v>
          </cell>
          <cell r="F7076">
            <v>28966.14</v>
          </cell>
          <cell r="G7076">
            <v>0</v>
          </cell>
          <cell r="H7076">
            <v>0</v>
          </cell>
          <cell r="I7076">
            <v>0</v>
          </cell>
          <cell r="J7076">
            <v>0</v>
          </cell>
          <cell r="K7076">
            <v>0</v>
          </cell>
          <cell r="L7076">
            <v>1</v>
          </cell>
        </row>
        <row r="7077">
          <cell r="A7077" t="str">
            <v>20492.17184</v>
          </cell>
          <cell r="B7077" t="str">
            <v>JOINT INOX</v>
          </cell>
          <cell r="C7077" t="str">
            <v>LUFKIN PLAN N1804C-121449A REP16 REF AP084970</v>
          </cell>
          <cell r="D7077" t="str">
            <v>PE</v>
          </cell>
          <cell r="E7077" t="str">
            <v>515.51515</v>
          </cell>
          <cell r="F7077">
            <v>213.88499999999999</v>
          </cell>
          <cell r="G7077">
            <v>0</v>
          </cell>
          <cell r="H7077">
            <v>0</v>
          </cell>
          <cell r="I7077">
            <v>0</v>
          </cell>
          <cell r="J7077">
            <v>0</v>
          </cell>
          <cell r="K7077">
            <v>0</v>
          </cell>
          <cell r="L7077">
            <v>2</v>
          </cell>
        </row>
        <row r="7078">
          <cell r="A7078" t="str">
            <v>20492.17185</v>
          </cell>
          <cell r="B7078" t="str">
            <v>ACCOUPLEMENT DE POMPE</v>
          </cell>
          <cell r="C7078" t="str">
            <v>LUFKIN PLAN N1804C-121449A REP17 REF E7085730</v>
          </cell>
          <cell r="D7078" t="str">
            <v>PE</v>
          </cell>
          <cell r="E7078" t="str">
            <v>515.51515</v>
          </cell>
          <cell r="F7078">
            <v>3865.2075</v>
          </cell>
          <cell r="G7078">
            <v>0</v>
          </cell>
          <cell r="H7078">
            <v>0</v>
          </cell>
          <cell r="I7078">
            <v>0</v>
          </cell>
          <cell r="J7078">
            <v>0</v>
          </cell>
          <cell r="K7078">
            <v>0</v>
          </cell>
          <cell r="L7078">
            <v>2</v>
          </cell>
        </row>
        <row r="7079">
          <cell r="A7079" t="str">
            <v>20492.17186</v>
          </cell>
          <cell r="B7079" t="str">
            <v>CARRES ECROUIS</v>
          </cell>
          <cell r="C7079" t="str">
            <v>LUFKIN PLAN N1804C-121449A REP18 REF E7056959</v>
          </cell>
          <cell r="D7079" t="str">
            <v>PE</v>
          </cell>
          <cell r="E7079" t="str">
            <v>515.51515</v>
          </cell>
          <cell r="F7079">
            <v>1756.9124999999999</v>
          </cell>
          <cell r="G7079">
            <v>0</v>
          </cell>
          <cell r="H7079">
            <v>0</v>
          </cell>
          <cell r="I7079">
            <v>0</v>
          </cell>
          <cell r="J7079">
            <v>0</v>
          </cell>
          <cell r="K7079">
            <v>0</v>
          </cell>
          <cell r="L7079">
            <v>1</v>
          </cell>
        </row>
        <row r="7080">
          <cell r="A7080" t="str">
            <v>20492.17187</v>
          </cell>
          <cell r="B7080" t="str">
            <v>VIS A CHAPEAU</v>
          </cell>
          <cell r="C7080" t="str">
            <v>LUFKIN PLAN N1804C-121449A REP19 REF N9013172</v>
          </cell>
          <cell r="D7080" t="str">
            <v>PE</v>
          </cell>
          <cell r="E7080" t="str">
            <v>515.51515</v>
          </cell>
          <cell r="F7080">
            <v>48.887999999999998</v>
          </cell>
          <cell r="G7080">
            <v>0</v>
          </cell>
          <cell r="H7080">
            <v>0</v>
          </cell>
          <cell r="I7080">
            <v>0</v>
          </cell>
          <cell r="J7080">
            <v>0</v>
          </cell>
          <cell r="K7080">
            <v>0</v>
          </cell>
          <cell r="L7080">
            <v>4</v>
          </cell>
        </row>
        <row r="7081">
          <cell r="A7081" t="str">
            <v>20492.17188</v>
          </cell>
          <cell r="B7081" t="str">
            <v>KIT DE COUVERCLE</v>
          </cell>
          <cell r="C7081" t="str">
            <v>LUFKIN PLAN N1804C-121449A REP50 REF AK182916</v>
          </cell>
          <cell r="D7081" t="str">
            <v>PE</v>
          </cell>
          <cell r="E7081" t="str">
            <v>515.51515</v>
          </cell>
          <cell r="F7081">
            <v>33900.772499999999</v>
          </cell>
          <cell r="G7081">
            <v>0</v>
          </cell>
          <cell r="H7081">
            <v>0</v>
          </cell>
          <cell r="I7081">
            <v>0</v>
          </cell>
          <cell r="J7081">
            <v>0</v>
          </cell>
          <cell r="K7081">
            <v>0</v>
          </cell>
          <cell r="L7081">
            <v>1</v>
          </cell>
        </row>
        <row r="7082">
          <cell r="A7082" t="str">
            <v>20492.17245</v>
          </cell>
          <cell r="B7082" t="str">
            <v>BRULEUR DE SOUFRE</v>
          </cell>
          <cell r="C7082" t="str">
            <v>ALASKAN COPPER PLAN N° M-5351</v>
          </cell>
          <cell r="D7082" t="str">
            <v>PE</v>
          </cell>
          <cell r="E7082" t="str">
            <v>515.51502</v>
          </cell>
          <cell r="F7082">
            <v>42500</v>
          </cell>
          <cell r="G7082">
            <v>0</v>
          </cell>
          <cell r="H7082">
            <v>2</v>
          </cell>
          <cell r="I7082">
            <v>0</v>
          </cell>
          <cell r="J7082">
            <v>3</v>
          </cell>
          <cell r="K7082">
            <v>0</v>
          </cell>
          <cell r="L7082">
            <v>3</v>
          </cell>
        </row>
        <row r="7083">
          <cell r="A7083" t="str">
            <v>20492.17250</v>
          </cell>
          <cell r="B7083" t="str">
            <v>CHAINE HAUTE SECURITE</v>
          </cell>
          <cell r="C7083" t="str">
            <v>BRADY REF 805845</v>
          </cell>
          <cell r="D7083" t="str">
            <v>PE</v>
          </cell>
          <cell r="E7083" t="str">
            <v>522.52203</v>
          </cell>
          <cell r="F7083">
            <v>907</v>
          </cell>
          <cell r="G7083">
            <v>0</v>
          </cell>
          <cell r="H7083">
            <v>0</v>
          </cell>
          <cell r="I7083">
            <v>0</v>
          </cell>
          <cell r="J7083">
            <v>0</v>
          </cell>
          <cell r="K7083">
            <v>0</v>
          </cell>
          <cell r="L7083">
            <v>20</v>
          </cell>
        </row>
        <row r="7084">
          <cell r="A7084" t="str">
            <v>20431.00049</v>
          </cell>
          <cell r="B7084" t="str">
            <v>SOUPAPE DE SECURITE BRIDEE  EN INOX 316L</v>
          </cell>
          <cell r="C7084" t="str">
            <v>PLAN : 1065.993.000   DN25   PN10    PRESSION TARRAGE : 2BAR</v>
          </cell>
          <cell r="D7084" t="str">
            <v>PE</v>
          </cell>
          <cell r="E7084" t="str">
            <v>515.51511</v>
          </cell>
          <cell r="F7084">
            <v>10606.0473</v>
          </cell>
          <cell r="G7084">
            <v>1</v>
          </cell>
          <cell r="H7084">
            <v>0</v>
          </cell>
          <cell r="I7084">
            <v>0</v>
          </cell>
          <cell r="J7084">
            <v>0</v>
          </cell>
          <cell r="K7084">
            <v>0</v>
          </cell>
          <cell r="L7084">
            <v>1</v>
          </cell>
        </row>
        <row r="7085">
          <cell r="A7085" t="str">
            <v>20431.00050</v>
          </cell>
          <cell r="B7085" t="str">
            <v>SOUPAPE DE SECURITE BRIDEE  EN INOX 316L</v>
          </cell>
          <cell r="C7085" t="str">
            <v>PLAN : 1065.993.000  DN15  PN10   PRESSION TARRAGE : 7BAR</v>
          </cell>
          <cell r="D7085" t="str">
            <v>PE</v>
          </cell>
          <cell r="E7085" t="str">
            <v>515.51511</v>
          </cell>
          <cell r="F7085">
            <v>8022.0712000000003</v>
          </cell>
          <cell r="G7085">
            <v>0</v>
          </cell>
          <cell r="H7085">
            <v>0</v>
          </cell>
          <cell r="I7085">
            <v>0</v>
          </cell>
          <cell r="J7085">
            <v>0</v>
          </cell>
          <cell r="K7085">
            <v>1</v>
          </cell>
          <cell r="L7085">
            <v>1</v>
          </cell>
        </row>
        <row r="7086">
          <cell r="A7086" t="str">
            <v>20431.00051</v>
          </cell>
          <cell r="B7086" t="str">
            <v>SOUPAPE DE SECURITE TARAUDEE EN PVC</v>
          </cell>
          <cell r="C7086" t="str">
            <v xml:space="preserve">PLAN : 1065.993.000   DN3/8"  PN10   PRESSION TARRAGE : 6BAR </v>
          </cell>
          <cell r="D7086" t="str">
            <v>PE</v>
          </cell>
          <cell r="E7086" t="str">
            <v>515.51511</v>
          </cell>
          <cell r="F7086">
            <v>3960</v>
          </cell>
          <cell r="G7086">
            <v>0</v>
          </cell>
          <cell r="H7086">
            <v>2</v>
          </cell>
          <cell r="I7086">
            <v>0</v>
          </cell>
          <cell r="J7086">
            <v>0</v>
          </cell>
          <cell r="K7086">
            <v>0</v>
          </cell>
          <cell r="L7086">
            <v>0</v>
          </cell>
        </row>
        <row r="7087">
          <cell r="A7087" t="str">
            <v>20432.00738</v>
          </cell>
          <cell r="B7087" t="str">
            <v>BARIERE DE SORTIE</v>
          </cell>
          <cell r="C7087" t="str">
            <v>41.2021.A.A2-4B</v>
          </cell>
          <cell r="D7087" t="str">
            <v>PE</v>
          </cell>
          <cell r="E7087" t="str">
            <v>512.51201</v>
          </cell>
          <cell r="F7087">
            <v>2867.0729999999999</v>
          </cell>
          <cell r="G7087">
            <v>0</v>
          </cell>
          <cell r="H7087">
            <v>0</v>
          </cell>
          <cell r="I7087">
            <v>0</v>
          </cell>
          <cell r="J7087">
            <v>0</v>
          </cell>
          <cell r="K7087">
            <v>0</v>
          </cell>
          <cell r="L7087">
            <v>0</v>
          </cell>
        </row>
        <row r="7088">
          <cell r="A7088" t="str">
            <v>20428.02917</v>
          </cell>
          <cell r="B7088" t="str">
            <v>ECROU DE CALAGE</v>
          </cell>
          <cell r="C7088" t="str">
            <v>NCE50-32    PLAN FA 21402  REP92</v>
          </cell>
          <cell r="D7088" t="str">
            <v>PE</v>
          </cell>
          <cell r="E7088" t="str">
            <v>515.51503</v>
          </cell>
          <cell r="F7088">
            <v>238.0573</v>
          </cell>
          <cell r="G7088">
            <v>0</v>
          </cell>
          <cell r="H7088">
            <v>0</v>
          </cell>
          <cell r="I7088">
            <v>0</v>
          </cell>
          <cell r="J7088">
            <v>0</v>
          </cell>
          <cell r="K7088">
            <v>1</v>
          </cell>
          <cell r="L7088">
            <v>2</v>
          </cell>
        </row>
        <row r="7089">
          <cell r="A7089" t="str">
            <v>20428.02918</v>
          </cell>
          <cell r="B7089" t="str">
            <v>HUILEUR</v>
          </cell>
          <cell r="C7089" t="str">
            <v>NCE50-32   PLAN FA 21402     REP192</v>
          </cell>
          <cell r="D7089" t="str">
            <v>PE</v>
          </cell>
          <cell r="E7089" t="str">
            <v>515.51503</v>
          </cell>
          <cell r="F7089">
            <v>2295.0068999999999</v>
          </cell>
          <cell r="G7089">
            <v>0</v>
          </cell>
          <cell r="H7089">
            <v>0</v>
          </cell>
          <cell r="I7089">
            <v>0</v>
          </cell>
          <cell r="J7089">
            <v>0</v>
          </cell>
          <cell r="K7089">
            <v>0</v>
          </cell>
          <cell r="L7089">
            <v>2</v>
          </cell>
        </row>
        <row r="7090">
          <cell r="A7090" t="str">
            <v>20428.02919</v>
          </cell>
          <cell r="B7090" t="str">
            <v>VOYANT D'HUILE</v>
          </cell>
          <cell r="C7090" t="str">
            <v>NCE50-32  PLAN FA 21402     REP192A</v>
          </cell>
          <cell r="D7090" t="str">
            <v>PE</v>
          </cell>
          <cell r="E7090" t="str">
            <v>515.51503</v>
          </cell>
          <cell r="F7090">
            <v>328.32810000000001</v>
          </cell>
          <cell r="G7090">
            <v>0</v>
          </cell>
          <cell r="H7090">
            <v>0</v>
          </cell>
          <cell r="I7090">
            <v>0</v>
          </cell>
          <cell r="J7090">
            <v>0</v>
          </cell>
          <cell r="K7090">
            <v>0</v>
          </cell>
          <cell r="L7090">
            <v>2</v>
          </cell>
        </row>
        <row r="7091">
          <cell r="A7091" t="str">
            <v>20428.02920</v>
          </cell>
          <cell r="B7091" t="str">
            <v>RONDELLE DE SECURITE</v>
          </cell>
          <cell r="C7091" t="str">
            <v>NCE50-32  PLAN FA 21402     REPS3</v>
          </cell>
          <cell r="D7091" t="str">
            <v>PE</v>
          </cell>
          <cell r="E7091" t="str">
            <v>515.51503</v>
          </cell>
          <cell r="F7091">
            <v>161.63589999999999</v>
          </cell>
          <cell r="G7091">
            <v>0</v>
          </cell>
          <cell r="H7091">
            <v>0</v>
          </cell>
          <cell r="I7091">
            <v>0</v>
          </cell>
          <cell r="J7091">
            <v>0</v>
          </cell>
          <cell r="K7091">
            <v>1</v>
          </cell>
          <cell r="L7091">
            <v>2</v>
          </cell>
        </row>
        <row r="7092">
          <cell r="A7092" t="str">
            <v>20428.02921</v>
          </cell>
          <cell r="B7092" t="str">
            <v>GARNITURE MECANIQUE COMPLETE</v>
          </cell>
          <cell r="C7092" t="str">
            <v>NCE50-32  PLAN FA 21402    REP SANS</v>
          </cell>
          <cell r="D7092" t="str">
            <v>PE</v>
          </cell>
          <cell r="E7092" t="str">
            <v>515.51503</v>
          </cell>
          <cell r="F7092">
            <v>6018.2659000000003</v>
          </cell>
          <cell r="G7092">
            <v>0</v>
          </cell>
          <cell r="H7092">
            <v>0</v>
          </cell>
          <cell r="I7092">
            <v>0</v>
          </cell>
          <cell r="J7092">
            <v>0</v>
          </cell>
          <cell r="K7092">
            <v>0</v>
          </cell>
          <cell r="L7092">
            <v>2</v>
          </cell>
        </row>
        <row r="7093">
          <cell r="A7093" t="str">
            <v>20428.02912</v>
          </cell>
          <cell r="B7093" t="str">
            <v>HUILEUR</v>
          </cell>
          <cell r="C7093" t="str">
            <v>NCE150-26A  PLAN FA 21408      REP192</v>
          </cell>
          <cell r="D7093" t="str">
            <v>PE</v>
          </cell>
          <cell r="E7093" t="str">
            <v>515.51503</v>
          </cell>
          <cell r="F7093">
            <v>2413.2640999999999</v>
          </cell>
          <cell r="G7093">
            <v>0</v>
          </cell>
          <cell r="H7093">
            <v>0</v>
          </cell>
          <cell r="I7093">
            <v>0</v>
          </cell>
          <cell r="J7093">
            <v>0</v>
          </cell>
          <cell r="K7093">
            <v>0</v>
          </cell>
          <cell r="L7093">
            <v>1</v>
          </cell>
        </row>
        <row r="7094">
          <cell r="A7094" t="str">
            <v>20428.02913</v>
          </cell>
          <cell r="B7094" t="str">
            <v>VOYANT D'HUILE</v>
          </cell>
          <cell r="C7094" t="str">
            <v>NCE150-26A  PLAN FA 21408     REP192A</v>
          </cell>
          <cell r="D7094" t="str">
            <v>PE</v>
          </cell>
          <cell r="E7094" t="str">
            <v>515.51503</v>
          </cell>
          <cell r="F7094">
            <v>328.32810000000001</v>
          </cell>
          <cell r="G7094">
            <v>0</v>
          </cell>
          <cell r="H7094">
            <v>0</v>
          </cell>
          <cell r="I7094">
            <v>0</v>
          </cell>
          <cell r="J7094">
            <v>0</v>
          </cell>
          <cell r="K7094">
            <v>0</v>
          </cell>
          <cell r="L7094">
            <v>2</v>
          </cell>
        </row>
        <row r="7095">
          <cell r="A7095" t="str">
            <v>20428.02914</v>
          </cell>
          <cell r="B7095" t="str">
            <v>DEFLECTEUR</v>
          </cell>
          <cell r="C7095" t="str">
            <v>NCE50-32   PLAN FA 21402     REP9</v>
          </cell>
          <cell r="D7095" t="str">
            <v>PE</v>
          </cell>
          <cell r="E7095" t="str">
            <v>515.51503</v>
          </cell>
          <cell r="F7095">
            <v>3018.2141999999999</v>
          </cell>
          <cell r="G7095">
            <v>0</v>
          </cell>
          <cell r="H7095">
            <v>0</v>
          </cell>
          <cell r="I7095">
            <v>0</v>
          </cell>
          <cell r="J7095">
            <v>0</v>
          </cell>
          <cell r="K7095">
            <v>1</v>
          </cell>
          <cell r="L7095">
            <v>1</v>
          </cell>
        </row>
        <row r="7096">
          <cell r="A7096" t="str">
            <v>20428.02916</v>
          </cell>
          <cell r="B7096" t="str">
            <v>ARBRE</v>
          </cell>
          <cell r="C7096" t="str">
            <v>NCE50-32  PLAN FA 21402    REP59</v>
          </cell>
          <cell r="D7096" t="str">
            <v>PE</v>
          </cell>
          <cell r="E7096" t="str">
            <v>515.51503</v>
          </cell>
          <cell r="F7096">
            <v>18928.184399999998</v>
          </cell>
          <cell r="G7096">
            <v>0</v>
          </cell>
          <cell r="H7096">
            <v>0</v>
          </cell>
          <cell r="I7096">
            <v>0</v>
          </cell>
          <cell r="J7096">
            <v>0</v>
          </cell>
          <cell r="K7096">
            <v>1</v>
          </cell>
          <cell r="L7096">
            <v>2</v>
          </cell>
        </row>
        <row r="7097">
          <cell r="A7097" t="str">
            <v>20428.02687</v>
          </cell>
          <cell r="B7097" t="str">
            <v>COUVERCLE DE PALIER</v>
          </cell>
          <cell r="C7097" t="str">
            <v>EMTECH 40-315K   PLAN N°: SEC 04.21938  REP: 4</v>
          </cell>
          <cell r="D7097" t="str">
            <v>PE</v>
          </cell>
          <cell r="E7097" t="str">
            <v>515.51503</v>
          </cell>
          <cell r="F7097">
            <v>4056.6554000000001</v>
          </cell>
          <cell r="G7097">
            <v>0</v>
          </cell>
          <cell r="H7097">
            <v>0</v>
          </cell>
          <cell r="I7097">
            <v>1</v>
          </cell>
          <cell r="J7097">
            <v>0</v>
          </cell>
          <cell r="K7097">
            <v>0</v>
          </cell>
          <cell r="L7097">
            <v>1</v>
          </cell>
        </row>
        <row r="7098">
          <cell r="A7098" t="str">
            <v>20428.02688</v>
          </cell>
          <cell r="B7098" t="str">
            <v>COUVERCLE DE PALIER</v>
          </cell>
          <cell r="C7098" t="str">
            <v>EMTECH 40-315K   PLAN N°: SEC 04.21938 REP: 5</v>
          </cell>
          <cell r="D7098" t="str">
            <v>PE</v>
          </cell>
          <cell r="E7098" t="str">
            <v>515.51503</v>
          </cell>
          <cell r="F7098">
            <v>4056.6554000000001</v>
          </cell>
          <cell r="G7098">
            <v>0</v>
          </cell>
          <cell r="H7098">
            <v>0</v>
          </cell>
          <cell r="I7098">
            <v>0</v>
          </cell>
          <cell r="J7098">
            <v>1</v>
          </cell>
          <cell r="K7098">
            <v>0</v>
          </cell>
          <cell r="L7098">
            <v>1</v>
          </cell>
        </row>
        <row r="7099">
          <cell r="A7099" t="str">
            <v>20428.02624</v>
          </cell>
          <cell r="B7099" t="str">
            <v>ROUE</v>
          </cell>
          <cell r="C7099" t="str">
            <v>EMTECH 50-250E   PLAN N°: SEC 04.21934 REP: 55</v>
          </cell>
          <cell r="D7099" t="str">
            <v>PE</v>
          </cell>
          <cell r="E7099" t="str">
            <v>515.51503</v>
          </cell>
          <cell r="F7099">
            <v>13894.4766</v>
          </cell>
          <cell r="G7099">
            <v>0</v>
          </cell>
          <cell r="H7099">
            <v>0</v>
          </cell>
          <cell r="I7099">
            <v>0</v>
          </cell>
          <cell r="J7099">
            <v>0</v>
          </cell>
          <cell r="K7099">
            <v>0</v>
          </cell>
          <cell r="L7099">
            <v>1</v>
          </cell>
        </row>
        <row r="7100">
          <cell r="A7100" t="str">
            <v>20428.02625</v>
          </cell>
          <cell r="B7100" t="str">
            <v>CORPS DE POMPE</v>
          </cell>
          <cell r="C7100" t="str">
            <v>EMTECH 50-250E   PLAN N°: SEC 04.21934  REP: 51</v>
          </cell>
          <cell r="D7100" t="str">
            <v>PE</v>
          </cell>
          <cell r="E7100" t="str">
            <v>515.51503</v>
          </cell>
          <cell r="F7100">
            <v>41677.710599999999</v>
          </cell>
          <cell r="G7100">
            <v>0</v>
          </cell>
          <cell r="H7100">
            <v>0</v>
          </cell>
          <cell r="I7100">
            <v>0</v>
          </cell>
          <cell r="J7100">
            <v>0</v>
          </cell>
          <cell r="K7100">
            <v>0</v>
          </cell>
          <cell r="L7100">
            <v>1</v>
          </cell>
        </row>
        <row r="7101">
          <cell r="A7101" t="str">
            <v>20428.02626</v>
          </cell>
          <cell r="B7101" t="str">
            <v>COUVERCLE DE PALIER</v>
          </cell>
          <cell r="C7101" t="str">
            <v>EMTECH 50-250E   PLAN N°: SEC 04.21934 REP: 4</v>
          </cell>
          <cell r="D7101" t="str">
            <v>PE</v>
          </cell>
          <cell r="E7101" t="str">
            <v>515.51503</v>
          </cell>
          <cell r="F7101">
            <v>4056.6554000000001</v>
          </cell>
          <cell r="G7101">
            <v>0</v>
          </cell>
          <cell r="H7101">
            <v>0</v>
          </cell>
          <cell r="I7101">
            <v>0</v>
          </cell>
          <cell r="J7101">
            <v>0</v>
          </cell>
          <cell r="K7101">
            <v>0</v>
          </cell>
          <cell r="L7101">
            <v>1</v>
          </cell>
        </row>
        <row r="7102">
          <cell r="A7102" t="str">
            <v>20428.02922</v>
          </cell>
          <cell r="B7102" t="str">
            <v>JEU DE JOINT</v>
          </cell>
          <cell r="C7102" t="str">
            <v>EMTECH125-400E-IN   PLAN F102-24-0700.02    REPJ2-J3-J4</v>
          </cell>
          <cell r="D7102" t="str">
            <v>PE</v>
          </cell>
          <cell r="E7102" t="str">
            <v>515.51503</v>
          </cell>
          <cell r="F7102">
            <v>1111.5123000000001</v>
          </cell>
          <cell r="G7102">
            <v>0</v>
          </cell>
          <cell r="H7102">
            <v>0</v>
          </cell>
          <cell r="I7102">
            <v>0</v>
          </cell>
          <cell r="J7102">
            <v>0</v>
          </cell>
          <cell r="K7102">
            <v>0</v>
          </cell>
          <cell r="L7102">
            <v>3</v>
          </cell>
        </row>
        <row r="7103">
          <cell r="A7103" t="str">
            <v>20428.02923</v>
          </cell>
          <cell r="B7103" t="str">
            <v>JEU DE JOINT</v>
          </cell>
          <cell r="C7103" t="str">
            <v>EMTECH125-400E-IN  PLAN F102-24-0700.02     REPT1-T2</v>
          </cell>
          <cell r="D7103" t="str">
            <v>PE</v>
          </cell>
          <cell r="E7103" t="str">
            <v>515.51503</v>
          </cell>
          <cell r="F7103">
            <v>1162.0953999999999</v>
          </cell>
          <cell r="G7103">
            <v>0</v>
          </cell>
          <cell r="H7103">
            <v>0</v>
          </cell>
          <cell r="I7103">
            <v>0</v>
          </cell>
          <cell r="J7103">
            <v>0</v>
          </cell>
          <cell r="K7103">
            <v>0</v>
          </cell>
          <cell r="L7103">
            <v>5</v>
          </cell>
        </row>
        <row r="7104">
          <cell r="A7104" t="str">
            <v>20428.02924</v>
          </cell>
          <cell r="B7104" t="str">
            <v>JEU DE JOINT</v>
          </cell>
          <cell r="C7104" t="str">
            <v>EMTECH125-400E-IN   PLAN F102-24-0700.02     REPT12-T16-T17-T27-T30</v>
          </cell>
          <cell r="D7104" t="str">
            <v>PE</v>
          </cell>
          <cell r="E7104" t="str">
            <v>515.51503</v>
          </cell>
          <cell r="F7104">
            <v>4416.1058000000003</v>
          </cell>
          <cell r="G7104">
            <v>0</v>
          </cell>
          <cell r="H7104">
            <v>0</v>
          </cell>
          <cell r="I7104">
            <v>0</v>
          </cell>
          <cell r="J7104">
            <v>0</v>
          </cell>
          <cell r="K7104">
            <v>1</v>
          </cell>
          <cell r="L7104">
            <v>2</v>
          </cell>
        </row>
        <row r="7105">
          <cell r="A7105" t="str">
            <v>20428.02925</v>
          </cell>
          <cell r="B7105" t="str">
            <v>ROUE</v>
          </cell>
          <cell r="C7105" t="str">
            <v>EMTECH125-400E-IN   PLAN F102-24-0700.02      REP55</v>
          </cell>
          <cell r="D7105" t="str">
            <v>PE</v>
          </cell>
          <cell r="E7105" t="str">
            <v>515.51503</v>
          </cell>
          <cell r="F7105">
            <v>45886.539100000002</v>
          </cell>
          <cell r="G7105">
            <v>0</v>
          </cell>
          <cell r="H7105">
            <v>0</v>
          </cell>
          <cell r="I7105">
            <v>0</v>
          </cell>
          <cell r="J7105">
            <v>0</v>
          </cell>
          <cell r="K7105">
            <v>1</v>
          </cell>
          <cell r="L7105">
            <v>2</v>
          </cell>
        </row>
        <row r="7106">
          <cell r="A7106" t="str">
            <v>20428.02926</v>
          </cell>
          <cell r="B7106" t="str">
            <v>FOND</v>
          </cell>
          <cell r="C7106" t="str">
            <v>EMTECH125-400E-IN   PLAN F102-24-0700.02     REP83</v>
          </cell>
          <cell r="D7106" t="str">
            <v>PE</v>
          </cell>
          <cell r="E7106" t="str">
            <v>515.51503</v>
          </cell>
          <cell r="F7106">
            <v>56649.495499999997</v>
          </cell>
          <cell r="G7106">
            <v>0</v>
          </cell>
          <cell r="H7106">
            <v>0</v>
          </cell>
          <cell r="I7106">
            <v>0</v>
          </cell>
          <cell r="J7106">
            <v>0</v>
          </cell>
          <cell r="K7106">
            <v>0</v>
          </cell>
          <cell r="L7106">
            <v>1</v>
          </cell>
        </row>
        <row r="7107">
          <cell r="A7107" t="str">
            <v>20428.02927</v>
          </cell>
          <cell r="B7107" t="str">
            <v>CHEMISE</v>
          </cell>
          <cell r="C7107" t="str">
            <v>EMTECH125-400E-IN   PLAN F102-24-0700.02     REP60</v>
          </cell>
          <cell r="D7107" t="str">
            <v>PE</v>
          </cell>
          <cell r="E7107" t="str">
            <v>515.51503</v>
          </cell>
          <cell r="F7107">
            <v>5177.1495000000004</v>
          </cell>
          <cell r="G7107">
            <v>0</v>
          </cell>
          <cell r="H7107">
            <v>0</v>
          </cell>
          <cell r="I7107">
            <v>0</v>
          </cell>
          <cell r="J7107">
            <v>0</v>
          </cell>
          <cell r="K7107">
            <v>1</v>
          </cell>
          <cell r="L7107">
            <v>1</v>
          </cell>
        </row>
        <row r="7108">
          <cell r="A7108" t="str">
            <v>20428.02928</v>
          </cell>
          <cell r="B7108" t="str">
            <v>BAGUE D'USURE</v>
          </cell>
          <cell r="C7108" t="str">
            <v>EMTECH125-400E-IN   PLAN F102-24-0700.02    REP67</v>
          </cell>
          <cell r="D7108" t="str">
            <v>PE</v>
          </cell>
          <cell r="E7108" t="str">
            <v>515.51503</v>
          </cell>
          <cell r="F7108">
            <v>5001.7257</v>
          </cell>
          <cell r="G7108">
            <v>0</v>
          </cell>
          <cell r="H7108">
            <v>0</v>
          </cell>
          <cell r="I7108">
            <v>0</v>
          </cell>
          <cell r="J7108">
            <v>0</v>
          </cell>
          <cell r="K7108">
            <v>1</v>
          </cell>
          <cell r="L7108">
            <v>2</v>
          </cell>
        </row>
        <row r="7109">
          <cell r="A7109" t="str">
            <v>20428.02934</v>
          </cell>
          <cell r="B7109" t="str">
            <v>DEFLECTEURS</v>
          </cell>
          <cell r="C7109" t="str">
            <v>EMTECH125-400E-IN  PLAN F102-24-0700.02     REP9,23</v>
          </cell>
          <cell r="D7109" t="str">
            <v>PE</v>
          </cell>
          <cell r="E7109" t="str">
            <v>515.51503</v>
          </cell>
          <cell r="F7109">
            <v>979.62459999999999</v>
          </cell>
          <cell r="G7109">
            <v>0</v>
          </cell>
          <cell r="H7109">
            <v>0</v>
          </cell>
          <cell r="I7109">
            <v>0</v>
          </cell>
          <cell r="J7109">
            <v>0</v>
          </cell>
          <cell r="K7109">
            <v>0</v>
          </cell>
          <cell r="L7109">
            <v>3</v>
          </cell>
        </row>
        <row r="7110">
          <cell r="A7110" t="str">
            <v>20428.02935</v>
          </cell>
          <cell r="B7110" t="str">
            <v>INDUCER</v>
          </cell>
          <cell r="C7110" t="str">
            <v>EMTECH125-400E-IN   PLAN F102-24-0700.02     REP56A</v>
          </cell>
          <cell r="D7110" t="str">
            <v>PE</v>
          </cell>
          <cell r="E7110" t="str">
            <v>515.51503</v>
          </cell>
          <cell r="F7110">
            <v>24614.611099999998</v>
          </cell>
          <cell r="G7110">
            <v>0</v>
          </cell>
          <cell r="H7110">
            <v>0</v>
          </cell>
          <cell r="I7110">
            <v>0</v>
          </cell>
          <cell r="J7110">
            <v>0</v>
          </cell>
          <cell r="K7110">
            <v>1</v>
          </cell>
          <cell r="L7110">
            <v>2</v>
          </cell>
        </row>
        <row r="7111">
          <cell r="A7111" t="str">
            <v>20428.02936</v>
          </cell>
          <cell r="B7111" t="str">
            <v>DEFLECTEUR INFERIEUR</v>
          </cell>
          <cell r="C7111" t="str">
            <v>500VE470-54/2R   PLAN SEC06.50896T      REP9</v>
          </cell>
          <cell r="D7111" t="str">
            <v>PE</v>
          </cell>
          <cell r="E7111" t="str">
            <v>515.51503</v>
          </cell>
          <cell r="F7111">
            <v>2777.6581000000001</v>
          </cell>
          <cell r="G7111">
            <v>0</v>
          </cell>
          <cell r="H7111">
            <v>0</v>
          </cell>
          <cell r="I7111">
            <v>0</v>
          </cell>
          <cell r="J7111">
            <v>0</v>
          </cell>
          <cell r="K7111">
            <v>0</v>
          </cell>
          <cell r="L7111">
            <v>3</v>
          </cell>
        </row>
        <row r="7112">
          <cell r="A7112" t="str">
            <v>20428.02937</v>
          </cell>
          <cell r="B7112" t="str">
            <v>DEFLECTEUR SUPERIEUR</v>
          </cell>
          <cell r="C7112" t="str">
            <v>500VE470-54/2R   PLAN SEC06.50896T    REP9A</v>
          </cell>
          <cell r="D7112" t="str">
            <v>PE</v>
          </cell>
          <cell r="E7112" t="str">
            <v>515.51503</v>
          </cell>
          <cell r="F7112">
            <v>2864.6131</v>
          </cell>
          <cell r="G7112">
            <v>0</v>
          </cell>
          <cell r="H7112">
            <v>0</v>
          </cell>
          <cell r="I7112">
            <v>0</v>
          </cell>
          <cell r="J7112">
            <v>0</v>
          </cell>
          <cell r="K7112">
            <v>0</v>
          </cell>
          <cell r="L7112">
            <v>3</v>
          </cell>
        </row>
        <row r="7113">
          <cell r="A7113" t="str">
            <v>20428.02929</v>
          </cell>
          <cell r="B7113" t="str">
            <v>CHEMISE POUR INDUCER</v>
          </cell>
          <cell r="C7113" t="str">
            <v>EMTECH125-400E-IN   PLAN F102-24-0700.02     REP67A</v>
          </cell>
          <cell r="D7113" t="str">
            <v>PE</v>
          </cell>
          <cell r="E7113" t="str">
            <v>515.51503</v>
          </cell>
          <cell r="F7113">
            <v>7784.4578000000001</v>
          </cell>
          <cell r="G7113">
            <v>0</v>
          </cell>
          <cell r="H7113">
            <v>0</v>
          </cell>
          <cell r="I7113">
            <v>0</v>
          </cell>
          <cell r="J7113">
            <v>0</v>
          </cell>
          <cell r="K7113">
            <v>1</v>
          </cell>
          <cell r="L7113">
            <v>2</v>
          </cell>
        </row>
        <row r="7114">
          <cell r="A7114" t="str">
            <v>20428.02930</v>
          </cell>
          <cell r="B7114" t="str">
            <v>ECROU</v>
          </cell>
          <cell r="C7114" t="str">
            <v>EMTECH125-400E-IN  PLAN F102-24-0700.02     REP92</v>
          </cell>
          <cell r="D7114" t="str">
            <v>PE</v>
          </cell>
          <cell r="E7114" t="str">
            <v>515.51503</v>
          </cell>
          <cell r="F7114">
            <v>185.38300000000001</v>
          </cell>
          <cell r="G7114">
            <v>0</v>
          </cell>
          <cell r="H7114">
            <v>1</v>
          </cell>
          <cell r="I7114">
            <v>0</v>
          </cell>
          <cell r="J7114">
            <v>0</v>
          </cell>
          <cell r="K7114">
            <v>0</v>
          </cell>
          <cell r="L7114">
            <v>1</v>
          </cell>
        </row>
        <row r="7115">
          <cell r="A7115" t="str">
            <v>20428.02931</v>
          </cell>
          <cell r="B7115" t="str">
            <v>RONDELLE</v>
          </cell>
          <cell r="C7115" t="str">
            <v>EMTECH125-400E-IN  PLAN F102-24-0700.02     REPS3</v>
          </cell>
          <cell r="D7115" t="str">
            <v>PE</v>
          </cell>
          <cell r="E7115" t="str">
            <v>515.51503</v>
          </cell>
          <cell r="F7115">
            <v>185.38300000000001</v>
          </cell>
          <cell r="G7115">
            <v>0</v>
          </cell>
          <cell r="H7115">
            <v>1</v>
          </cell>
          <cell r="I7115">
            <v>0</v>
          </cell>
          <cell r="J7115">
            <v>1</v>
          </cell>
          <cell r="K7115">
            <v>0</v>
          </cell>
          <cell r="L7115">
            <v>0</v>
          </cell>
        </row>
        <row r="7116">
          <cell r="A7116" t="str">
            <v>20428.02932</v>
          </cell>
          <cell r="B7116" t="str">
            <v>VOLUTE</v>
          </cell>
          <cell r="C7116" t="str">
            <v>EMTECH125-400E-IN PLAN F102-24-0700.02     REP51</v>
          </cell>
          <cell r="D7116" t="str">
            <v>PE</v>
          </cell>
          <cell r="E7116" t="str">
            <v>515.51503</v>
          </cell>
          <cell r="F7116">
            <v>188834.51670000001</v>
          </cell>
          <cell r="G7116">
            <v>0</v>
          </cell>
          <cell r="H7116">
            <v>0</v>
          </cell>
          <cell r="I7116">
            <v>0</v>
          </cell>
          <cell r="J7116">
            <v>0</v>
          </cell>
          <cell r="K7116">
            <v>1</v>
          </cell>
          <cell r="L7116">
            <v>1</v>
          </cell>
        </row>
        <row r="7117">
          <cell r="A7117" t="str">
            <v>20428.02933</v>
          </cell>
          <cell r="B7117" t="str">
            <v>GARNITURE MECANIQUE</v>
          </cell>
          <cell r="C7117" t="str">
            <v>EMTECH125-400E-IN  PLAN F102-24-0700.02    REP SANS</v>
          </cell>
          <cell r="D7117" t="str">
            <v>PE</v>
          </cell>
          <cell r="E7117" t="str">
            <v>515.51503</v>
          </cell>
          <cell r="F7117">
            <v>8452.3044000000009</v>
          </cell>
          <cell r="G7117">
            <v>0</v>
          </cell>
          <cell r="H7117">
            <v>0</v>
          </cell>
          <cell r="I7117">
            <v>2</v>
          </cell>
          <cell r="J7117">
            <v>0</v>
          </cell>
          <cell r="K7117">
            <v>0</v>
          </cell>
          <cell r="L7117">
            <v>1</v>
          </cell>
        </row>
        <row r="7118">
          <cell r="A7118" t="str">
            <v>20428.02966</v>
          </cell>
          <cell r="B7118" t="str">
            <v>JOINT</v>
          </cell>
          <cell r="C7118" t="str">
            <v>CAHRK 1200GV  PLAN SEC 06503001  REPJ1</v>
          </cell>
          <cell r="D7118" t="str">
            <v>PE</v>
          </cell>
          <cell r="E7118" t="str">
            <v>515.51503</v>
          </cell>
          <cell r="F7118">
            <v>13659.201800000001</v>
          </cell>
          <cell r="G7118">
            <v>0</v>
          </cell>
          <cell r="H7118">
            <v>0</v>
          </cell>
          <cell r="I7118">
            <v>1</v>
          </cell>
          <cell r="J7118">
            <v>0</v>
          </cell>
          <cell r="K7118">
            <v>1</v>
          </cell>
          <cell r="L7118">
            <v>0</v>
          </cell>
        </row>
        <row r="7119">
          <cell r="A7119" t="str">
            <v>20428.02967</v>
          </cell>
          <cell r="B7119" t="str">
            <v>ARBRE</v>
          </cell>
          <cell r="C7119" t="str">
            <v>VAP14EMTECH40-315K PLAN SEC065296019   REP59</v>
          </cell>
          <cell r="D7119" t="str">
            <v>PE</v>
          </cell>
          <cell r="E7119" t="str">
            <v>515.51503</v>
          </cell>
          <cell r="F7119">
            <v>34226.308299999997</v>
          </cell>
          <cell r="G7119">
            <v>0</v>
          </cell>
          <cell r="H7119">
            <v>0</v>
          </cell>
          <cell r="I7119">
            <v>0</v>
          </cell>
          <cell r="J7119">
            <v>0</v>
          </cell>
          <cell r="K7119">
            <v>0</v>
          </cell>
          <cell r="L7119">
            <v>1</v>
          </cell>
        </row>
        <row r="7120">
          <cell r="A7120" t="str">
            <v>20428.02939</v>
          </cell>
          <cell r="B7120" t="str">
            <v>BAGUE DE RETENUE EN DEUX PIECES</v>
          </cell>
          <cell r="C7120" t="str">
            <v>500VE470-54/2R   PLAN SEC06.50896T     REP121</v>
          </cell>
          <cell r="D7120" t="str">
            <v>PE</v>
          </cell>
          <cell r="E7120" t="str">
            <v>515.51503</v>
          </cell>
          <cell r="F7120">
            <v>5793.0709999999999</v>
          </cell>
          <cell r="G7120">
            <v>0</v>
          </cell>
          <cell r="H7120">
            <v>0</v>
          </cell>
          <cell r="I7120">
            <v>0</v>
          </cell>
          <cell r="J7120">
            <v>0</v>
          </cell>
          <cell r="K7120">
            <v>0</v>
          </cell>
          <cell r="L7120">
            <v>3</v>
          </cell>
        </row>
        <row r="7121">
          <cell r="A7121" t="str">
            <v>20428.02940</v>
          </cell>
          <cell r="B7121" t="str">
            <v>BAGUE EN DEUX PIECES</v>
          </cell>
          <cell r="C7121" t="str">
            <v>500VE470-54/2R   PLAN SEC06.50896T    REP132</v>
          </cell>
          <cell r="D7121" t="str">
            <v>PE</v>
          </cell>
          <cell r="E7121" t="str">
            <v>515.51503</v>
          </cell>
          <cell r="F7121">
            <v>2532.1999000000001</v>
          </cell>
          <cell r="G7121">
            <v>0</v>
          </cell>
          <cell r="H7121">
            <v>0</v>
          </cell>
          <cell r="I7121">
            <v>0</v>
          </cell>
          <cell r="J7121">
            <v>0</v>
          </cell>
          <cell r="K7121">
            <v>0</v>
          </cell>
          <cell r="L7121">
            <v>3</v>
          </cell>
        </row>
        <row r="7122">
          <cell r="A7122" t="str">
            <v>20428.02968</v>
          </cell>
          <cell r="B7122" t="str">
            <v>ECROU</v>
          </cell>
          <cell r="C7122" t="str">
            <v>VAP14EMTECH40-315K  PLAN SEC065296019   REP92</v>
          </cell>
          <cell r="D7122" t="str">
            <v>PE</v>
          </cell>
          <cell r="E7122" t="str">
            <v>515.51503</v>
          </cell>
          <cell r="F7122">
            <v>266.05900000000003</v>
          </cell>
          <cell r="G7122">
            <v>0</v>
          </cell>
          <cell r="H7122">
            <v>0</v>
          </cell>
          <cell r="I7122">
            <v>0</v>
          </cell>
          <cell r="J7122">
            <v>0</v>
          </cell>
          <cell r="K7122">
            <v>0</v>
          </cell>
          <cell r="L7122">
            <v>4</v>
          </cell>
        </row>
        <row r="7123">
          <cell r="A7123" t="str">
            <v>20428.02971</v>
          </cell>
          <cell r="B7123" t="str">
            <v>DEFLECTEUR</v>
          </cell>
          <cell r="C7123" t="str">
            <v>VAP14EMTECH40-315K PLAN SEC065296019   REP9,9A</v>
          </cell>
          <cell r="D7123" t="str">
            <v>PE</v>
          </cell>
          <cell r="E7123" t="str">
            <v>515.51503</v>
          </cell>
          <cell r="F7123">
            <v>7992.5074999999997</v>
          </cell>
          <cell r="G7123">
            <v>0</v>
          </cell>
          <cell r="H7123">
            <v>0</v>
          </cell>
          <cell r="I7123">
            <v>0</v>
          </cell>
          <cell r="J7123">
            <v>0</v>
          </cell>
          <cell r="K7123">
            <v>0</v>
          </cell>
          <cell r="L7123">
            <v>1</v>
          </cell>
        </row>
        <row r="7124">
          <cell r="A7124" t="str">
            <v>20428.02969</v>
          </cell>
          <cell r="B7124" t="str">
            <v>FLASQUE</v>
          </cell>
          <cell r="C7124" t="str">
            <v>VAP14EMTECH40-315K  PLAN SEC065296019    REP73</v>
          </cell>
          <cell r="D7124" t="str">
            <v>PE</v>
          </cell>
          <cell r="E7124" t="str">
            <v>515.51503</v>
          </cell>
          <cell r="F7124">
            <v>21208.038100000002</v>
          </cell>
          <cell r="G7124">
            <v>0</v>
          </cell>
          <cell r="H7124">
            <v>0</v>
          </cell>
          <cell r="I7124">
            <v>0</v>
          </cell>
          <cell r="J7124">
            <v>0</v>
          </cell>
          <cell r="K7124">
            <v>0</v>
          </cell>
          <cell r="L7124">
            <v>2</v>
          </cell>
        </row>
        <row r="7125">
          <cell r="A7125" t="str">
            <v>20428.02972</v>
          </cell>
          <cell r="B7125" t="str">
            <v>COUVERCLE DE ROULEMENT SUPERIEUR</v>
          </cell>
          <cell r="C7125" t="str">
            <v>VAP14EMTECH40-315K  PLAN SEC065296019    REP5</v>
          </cell>
          <cell r="D7125" t="str">
            <v>PE</v>
          </cell>
          <cell r="E7125" t="str">
            <v>515.51503</v>
          </cell>
          <cell r="F7125">
            <v>5755.9547000000002</v>
          </cell>
          <cell r="G7125">
            <v>0</v>
          </cell>
          <cell r="H7125">
            <v>0</v>
          </cell>
          <cell r="I7125">
            <v>0</v>
          </cell>
          <cell r="J7125">
            <v>0</v>
          </cell>
          <cell r="K7125">
            <v>0</v>
          </cell>
          <cell r="L7125">
            <v>1</v>
          </cell>
        </row>
        <row r="7126">
          <cell r="A7126" t="str">
            <v>20428.02973</v>
          </cell>
          <cell r="B7126" t="str">
            <v>COUVERCLE DE ROULEMENT SUPERIEUR</v>
          </cell>
          <cell r="C7126" t="str">
            <v>VAP14EMTECH40-315K  PLAN SEC065296019    REP4</v>
          </cell>
          <cell r="D7126" t="str">
            <v>PE</v>
          </cell>
          <cell r="E7126" t="str">
            <v>515.51503</v>
          </cell>
          <cell r="F7126">
            <v>5910.0226000000002</v>
          </cell>
          <cell r="G7126">
            <v>0</v>
          </cell>
          <cell r="H7126">
            <v>0</v>
          </cell>
          <cell r="I7126">
            <v>0</v>
          </cell>
          <cell r="J7126">
            <v>0</v>
          </cell>
          <cell r="K7126">
            <v>0</v>
          </cell>
          <cell r="L7126">
            <v>4</v>
          </cell>
        </row>
        <row r="7127">
          <cell r="A7127" t="str">
            <v>20428.02974</v>
          </cell>
          <cell r="B7127" t="str">
            <v>BOITE A ROULEMENT SUPERIEUR</v>
          </cell>
          <cell r="C7127" t="str">
            <v>VAP14EMTECH40-315K   PLAN SEC065296019   REP2</v>
          </cell>
          <cell r="D7127" t="str">
            <v>PE</v>
          </cell>
          <cell r="E7127" t="str">
            <v>515.51503</v>
          </cell>
          <cell r="F7127">
            <v>10090.0491</v>
          </cell>
          <cell r="G7127">
            <v>0</v>
          </cell>
          <cell r="H7127">
            <v>0</v>
          </cell>
          <cell r="I7127">
            <v>0</v>
          </cell>
          <cell r="J7127">
            <v>0</v>
          </cell>
          <cell r="K7127">
            <v>0</v>
          </cell>
          <cell r="L7127">
            <v>1</v>
          </cell>
        </row>
        <row r="7128">
          <cell r="A7128" t="str">
            <v>20428.02975</v>
          </cell>
          <cell r="B7128" t="str">
            <v>DEFLECTEUR</v>
          </cell>
          <cell r="C7128" t="str">
            <v>MN508A  PLAN SEC0650892T     REP9</v>
          </cell>
          <cell r="D7128" t="str">
            <v>PE</v>
          </cell>
          <cell r="E7128" t="str">
            <v>515.51503</v>
          </cell>
          <cell r="F7128">
            <v>3812.5079999999998</v>
          </cell>
          <cell r="G7128">
            <v>0</v>
          </cell>
          <cell r="H7128">
            <v>0</v>
          </cell>
          <cell r="I7128">
            <v>0</v>
          </cell>
          <cell r="J7128">
            <v>0</v>
          </cell>
          <cell r="K7128">
            <v>0</v>
          </cell>
          <cell r="L7128">
            <v>2</v>
          </cell>
        </row>
        <row r="7129">
          <cell r="A7129" t="str">
            <v>20428.02976</v>
          </cell>
          <cell r="B7129" t="str">
            <v>DEFLECTEUR</v>
          </cell>
          <cell r="C7129" t="str">
            <v>MN508A   PLAN SEC0650892T    REP9A</v>
          </cell>
          <cell r="D7129" t="str">
            <v>PE</v>
          </cell>
          <cell r="E7129" t="str">
            <v>515.51503</v>
          </cell>
          <cell r="F7129">
            <v>2590.9018999999998</v>
          </cell>
          <cell r="G7129">
            <v>0</v>
          </cell>
          <cell r="H7129">
            <v>0</v>
          </cell>
          <cell r="I7129">
            <v>0</v>
          </cell>
          <cell r="J7129">
            <v>0</v>
          </cell>
          <cell r="K7129">
            <v>0</v>
          </cell>
          <cell r="L7129">
            <v>3</v>
          </cell>
        </row>
        <row r="7130">
          <cell r="A7130" t="str">
            <v>20428.02970</v>
          </cell>
          <cell r="B7130" t="str">
            <v>VOLUTE</v>
          </cell>
          <cell r="C7130" t="str">
            <v>VAP14EMTECH40-315K  PLAN SEC065296019    REP51</v>
          </cell>
          <cell r="D7130" t="str">
            <v>PE</v>
          </cell>
          <cell r="E7130" t="str">
            <v>515.51503</v>
          </cell>
          <cell r="F7130">
            <v>36317.249499999998</v>
          </cell>
          <cell r="G7130">
            <v>0</v>
          </cell>
          <cell r="H7130">
            <v>0</v>
          </cell>
          <cell r="I7130">
            <v>0</v>
          </cell>
          <cell r="J7130">
            <v>0</v>
          </cell>
          <cell r="K7130">
            <v>0</v>
          </cell>
          <cell r="L7130">
            <v>2</v>
          </cell>
        </row>
        <row r="7131">
          <cell r="A7131" t="str">
            <v>20428.02977</v>
          </cell>
          <cell r="B7131" t="str">
            <v>BAGUE DE FOND</v>
          </cell>
          <cell r="C7131" t="str">
            <v>MN508A   PLAN SEC0650892T    REP11</v>
          </cell>
          <cell r="D7131" t="str">
            <v>PE</v>
          </cell>
          <cell r="E7131" t="str">
            <v>515.51503</v>
          </cell>
          <cell r="F7131">
            <v>3922.4256999999998</v>
          </cell>
          <cell r="G7131">
            <v>0</v>
          </cell>
          <cell r="H7131">
            <v>0</v>
          </cell>
          <cell r="I7131">
            <v>0</v>
          </cell>
          <cell r="J7131">
            <v>1</v>
          </cell>
          <cell r="K7131">
            <v>0</v>
          </cell>
          <cell r="L7131">
            <v>2</v>
          </cell>
        </row>
        <row r="7132">
          <cell r="A7132" t="str">
            <v>20428.02978</v>
          </cell>
          <cell r="B7132" t="str">
            <v>BAGUE ENTRETOISE</v>
          </cell>
          <cell r="C7132" t="str">
            <v>MN508A   PLAN SEC0650892T     REP116</v>
          </cell>
          <cell r="D7132" t="str">
            <v>PE</v>
          </cell>
          <cell r="E7132" t="str">
            <v>515.51503</v>
          </cell>
          <cell r="F7132">
            <v>3023.4836</v>
          </cell>
          <cell r="G7132">
            <v>0</v>
          </cell>
          <cell r="H7132">
            <v>0</v>
          </cell>
          <cell r="I7132">
            <v>0</v>
          </cell>
          <cell r="J7132">
            <v>0</v>
          </cell>
          <cell r="K7132">
            <v>0</v>
          </cell>
          <cell r="L7132">
            <v>2</v>
          </cell>
        </row>
        <row r="7133">
          <cell r="A7133" t="str">
            <v>20428.02979</v>
          </cell>
          <cell r="B7133" t="str">
            <v>BAGUE ENTRETOISE</v>
          </cell>
          <cell r="C7133" t="str">
            <v>MN508A    PLAN SEC0650892T    REP116A</v>
          </cell>
          <cell r="D7133" t="str">
            <v>PE</v>
          </cell>
          <cell r="E7133" t="str">
            <v>515.51503</v>
          </cell>
          <cell r="F7133">
            <v>3905.029</v>
          </cell>
          <cell r="G7133">
            <v>0</v>
          </cell>
          <cell r="H7133">
            <v>0</v>
          </cell>
          <cell r="I7133">
            <v>0</v>
          </cell>
          <cell r="J7133">
            <v>0</v>
          </cell>
          <cell r="K7133">
            <v>0</v>
          </cell>
          <cell r="L7133">
            <v>3</v>
          </cell>
        </row>
        <row r="7134">
          <cell r="A7134" t="str">
            <v>20428.02943</v>
          </cell>
          <cell r="B7134" t="str">
            <v>TUBULURE DE LIAISON</v>
          </cell>
          <cell r="C7134" t="str">
            <v>500VE470-54/2R   PLAN SEC06.50896T    REP341B</v>
          </cell>
          <cell r="D7134" t="str">
            <v>PE</v>
          </cell>
          <cell r="E7134" t="str">
            <v>515.51503</v>
          </cell>
          <cell r="F7134">
            <v>143618.15979999999</v>
          </cell>
          <cell r="G7134">
            <v>0</v>
          </cell>
          <cell r="H7134">
            <v>0</v>
          </cell>
          <cell r="I7134">
            <v>0</v>
          </cell>
          <cell r="J7134">
            <v>0</v>
          </cell>
          <cell r="K7134">
            <v>0</v>
          </cell>
          <cell r="L7134">
            <v>1</v>
          </cell>
        </row>
        <row r="7135">
          <cell r="A7135" t="str">
            <v>20428.02944</v>
          </cell>
          <cell r="B7135" t="str">
            <v>DEFLECTEUR INFERIEUR</v>
          </cell>
          <cell r="C7135" t="str">
            <v>500VE470-54/1R   PLAN SEC06.50897T     REP9</v>
          </cell>
          <cell r="D7135" t="str">
            <v>PE</v>
          </cell>
          <cell r="E7135" t="str">
            <v>515.51503</v>
          </cell>
          <cell r="F7135">
            <v>2802.5216</v>
          </cell>
          <cell r="G7135">
            <v>0</v>
          </cell>
          <cell r="H7135">
            <v>0</v>
          </cell>
          <cell r="I7135">
            <v>0</v>
          </cell>
          <cell r="J7135">
            <v>0</v>
          </cell>
          <cell r="K7135">
            <v>0</v>
          </cell>
          <cell r="L7135">
            <v>3</v>
          </cell>
        </row>
        <row r="7136">
          <cell r="A7136" t="str">
            <v>20428.02945</v>
          </cell>
          <cell r="B7136" t="str">
            <v>DEFLECTEUR SUPERIEUR</v>
          </cell>
          <cell r="C7136" t="str">
            <v>500VE470-54/1R  PLAN SEC06.50897T      REP9A</v>
          </cell>
          <cell r="D7136" t="str">
            <v>PE</v>
          </cell>
          <cell r="E7136" t="str">
            <v>515.51503</v>
          </cell>
          <cell r="F7136">
            <v>2890.2565</v>
          </cell>
          <cell r="G7136">
            <v>0</v>
          </cell>
          <cell r="H7136">
            <v>0</v>
          </cell>
          <cell r="I7136">
            <v>0</v>
          </cell>
          <cell r="J7136">
            <v>0</v>
          </cell>
          <cell r="K7136">
            <v>0</v>
          </cell>
          <cell r="L7136">
            <v>3</v>
          </cell>
        </row>
        <row r="7137">
          <cell r="A7137" t="str">
            <v>20428.02980</v>
          </cell>
          <cell r="B7137" t="str">
            <v>BAGUE ENTRETOISE</v>
          </cell>
          <cell r="C7137" t="str">
            <v>MN508A    PLAN SEC0650892T   REP116B</v>
          </cell>
          <cell r="D7137" t="str">
            <v>PE</v>
          </cell>
          <cell r="E7137" t="str">
            <v>515.51503</v>
          </cell>
          <cell r="F7137">
            <v>4092.3301999999999</v>
          </cell>
          <cell r="G7137">
            <v>0</v>
          </cell>
          <cell r="H7137">
            <v>0</v>
          </cell>
          <cell r="I7137">
            <v>0</v>
          </cell>
          <cell r="J7137">
            <v>0</v>
          </cell>
          <cell r="K7137">
            <v>0</v>
          </cell>
          <cell r="L7137">
            <v>2</v>
          </cell>
        </row>
        <row r="7138">
          <cell r="A7138" t="str">
            <v>20492.19992</v>
          </cell>
          <cell r="B7138" t="str">
            <v>PENDARD</v>
          </cell>
          <cell r="C7138" t="str">
            <v xml:space="preserve">LISEGA PLAN 31-3-44825 </v>
          </cell>
          <cell r="D7138" t="str">
            <v>PE</v>
          </cell>
          <cell r="E7138" t="str">
            <v>522.52209</v>
          </cell>
          <cell r="F7138">
            <v>2462.1288</v>
          </cell>
          <cell r="G7138">
            <v>0</v>
          </cell>
          <cell r="H7138">
            <v>0</v>
          </cell>
          <cell r="I7138">
            <v>0</v>
          </cell>
          <cell r="J7138">
            <v>0</v>
          </cell>
          <cell r="K7138">
            <v>0</v>
          </cell>
          <cell r="L7138">
            <v>1</v>
          </cell>
        </row>
        <row r="7139">
          <cell r="A7139" t="str">
            <v>20492.19993</v>
          </cell>
          <cell r="B7139" t="str">
            <v>PENDARD</v>
          </cell>
          <cell r="C7139" t="str">
            <v xml:space="preserve">LISEGA PLAN 32-3-44825 </v>
          </cell>
          <cell r="D7139" t="str">
            <v>PE</v>
          </cell>
          <cell r="E7139" t="str">
            <v>522.52209</v>
          </cell>
          <cell r="F7139">
            <v>1745.4485</v>
          </cell>
          <cell r="G7139">
            <v>0</v>
          </cell>
          <cell r="H7139">
            <v>0</v>
          </cell>
          <cell r="I7139">
            <v>0</v>
          </cell>
          <cell r="J7139">
            <v>0</v>
          </cell>
          <cell r="K7139">
            <v>0</v>
          </cell>
          <cell r="L7139">
            <v>0</v>
          </cell>
        </row>
        <row r="7140">
          <cell r="A7140" t="str">
            <v>20492.19994</v>
          </cell>
          <cell r="B7140" t="str">
            <v>BRAS ARTICULE</v>
          </cell>
          <cell r="C7140" t="str">
            <v xml:space="preserve">LISEGA PLAN 33-3-44825 </v>
          </cell>
          <cell r="D7140" t="str">
            <v>PE</v>
          </cell>
          <cell r="E7140" t="str">
            <v>522.52209</v>
          </cell>
          <cell r="F7140">
            <v>3400.6559999999999</v>
          </cell>
          <cell r="G7140">
            <v>0</v>
          </cell>
          <cell r="H7140">
            <v>0</v>
          </cell>
          <cell r="I7140">
            <v>0</v>
          </cell>
          <cell r="J7140">
            <v>0</v>
          </cell>
          <cell r="K7140">
            <v>0</v>
          </cell>
          <cell r="L7140">
            <v>1</v>
          </cell>
        </row>
        <row r="7141">
          <cell r="A7141" t="str">
            <v>20492.19995</v>
          </cell>
          <cell r="B7141" t="str">
            <v>BOITE A RESSORT COMPLETE</v>
          </cell>
          <cell r="C7141" t="str">
            <v>LISEGA PLAN 34-3-44825 REF 793-721-05</v>
          </cell>
          <cell r="D7141" t="str">
            <v>PE</v>
          </cell>
          <cell r="E7141" t="str">
            <v>522.52209</v>
          </cell>
          <cell r="F7141">
            <v>25021.859700000001</v>
          </cell>
          <cell r="G7141">
            <v>0</v>
          </cell>
          <cell r="H7141">
            <v>0</v>
          </cell>
          <cell r="I7141">
            <v>0</v>
          </cell>
          <cell r="J7141">
            <v>0</v>
          </cell>
          <cell r="K7141">
            <v>0</v>
          </cell>
          <cell r="L7141">
            <v>0</v>
          </cell>
        </row>
        <row r="7142">
          <cell r="A7142" t="str">
            <v>20492.19996</v>
          </cell>
          <cell r="B7142" t="str">
            <v>BOITE A RESSORT COMPLETE</v>
          </cell>
          <cell r="C7142" t="str">
            <v>LISEGA PLAN 36-3-44825 REF SSW 3</v>
          </cell>
          <cell r="D7142" t="str">
            <v>PE</v>
          </cell>
          <cell r="E7142" t="str">
            <v>522.52209</v>
          </cell>
          <cell r="F7142">
            <v>8197.3436999999994</v>
          </cell>
          <cell r="G7142">
            <v>0</v>
          </cell>
          <cell r="H7142">
            <v>0</v>
          </cell>
          <cell r="I7142">
            <v>0</v>
          </cell>
          <cell r="J7142">
            <v>0</v>
          </cell>
          <cell r="K7142">
            <v>0</v>
          </cell>
          <cell r="L7142">
            <v>0</v>
          </cell>
        </row>
        <row r="7143">
          <cell r="A7143" t="str">
            <v>20428.02981</v>
          </cell>
          <cell r="B7143" t="str">
            <v>BAGUE EN DEUX PIECES</v>
          </cell>
          <cell r="C7143" t="str">
            <v>MN508A   PLAN SEC0650892T    REP132</v>
          </cell>
          <cell r="D7143" t="str">
            <v>PE</v>
          </cell>
          <cell r="E7143" t="str">
            <v>515.51503</v>
          </cell>
          <cell r="F7143">
            <v>5791.1116000000002</v>
          </cell>
          <cell r="G7143">
            <v>0</v>
          </cell>
          <cell r="H7143">
            <v>0</v>
          </cell>
          <cell r="I7143">
            <v>0</v>
          </cell>
          <cell r="J7143">
            <v>0</v>
          </cell>
          <cell r="K7143">
            <v>0</v>
          </cell>
          <cell r="L7143">
            <v>2</v>
          </cell>
        </row>
        <row r="7144">
          <cell r="A7144" t="str">
            <v>20428.02982</v>
          </cell>
          <cell r="B7144" t="str">
            <v>TIRANT</v>
          </cell>
          <cell r="C7144" t="str">
            <v>MN508A  PLAN SEC0650892T    REP144C</v>
          </cell>
          <cell r="D7144" t="str">
            <v>PE</v>
          </cell>
          <cell r="E7144" t="str">
            <v>515.51503</v>
          </cell>
          <cell r="F7144">
            <v>851.16700000000003</v>
          </cell>
          <cell r="G7144">
            <v>0</v>
          </cell>
          <cell r="H7144">
            <v>0</v>
          </cell>
          <cell r="I7144">
            <v>0</v>
          </cell>
          <cell r="J7144">
            <v>0</v>
          </cell>
          <cell r="K7144">
            <v>0</v>
          </cell>
          <cell r="L7144">
            <v>8</v>
          </cell>
        </row>
        <row r="7145">
          <cell r="A7145" t="str">
            <v>20428.02983</v>
          </cell>
          <cell r="B7145" t="str">
            <v>ECROU</v>
          </cell>
          <cell r="C7145" t="str">
            <v>MN508A  PLAN SEC0650892T    REP145B</v>
          </cell>
          <cell r="D7145" t="str">
            <v>PE</v>
          </cell>
          <cell r="E7145" t="str">
            <v>515.51503</v>
          </cell>
          <cell r="F7145">
            <v>700.29790000000003</v>
          </cell>
          <cell r="G7145">
            <v>0</v>
          </cell>
          <cell r="H7145">
            <v>0</v>
          </cell>
          <cell r="I7145">
            <v>0</v>
          </cell>
          <cell r="J7145">
            <v>0</v>
          </cell>
          <cell r="K7145">
            <v>0</v>
          </cell>
          <cell r="L7145">
            <v>8</v>
          </cell>
        </row>
        <row r="7146">
          <cell r="A7146" t="str">
            <v>20428.02984</v>
          </cell>
          <cell r="B7146" t="str">
            <v>JEU DE JOINT</v>
          </cell>
          <cell r="C7146" t="str">
            <v>MN508A  PLAN SEC0650892T     REPT3,T4</v>
          </cell>
          <cell r="D7146" t="str">
            <v>PE</v>
          </cell>
          <cell r="E7146" t="str">
            <v>515.51503</v>
          </cell>
          <cell r="F7146">
            <v>1222.1167</v>
          </cell>
          <cell r="G7146">
            <v>0</v>
          </cell>
          <cell r="H7146">
            <v>0</v>
          </cell>
          <cell r="I7146">
            <v>0</v>
          </cell>
          <cell r="J7146">
            <v>0</v>
          </cell>
          <cell r="K7146">
            <v>0</v>
          </cell>
          <cell r="L7146">
            <v>2</v>
          </cell>
        </row>
        <row r="7147">
          <cell r="A7147" t="str">
            <v>20428.02985</v>
          </cell>
          <cell r="B7147" t="str">
            <v>DEFLECTEUR</v>
          </cell>
          <cell r="C7147" t="str">
            <v>PLRD80-40   PLAN FA 21965      REP9</v>
          </cell>
          <cell r="D7147" t="str">
            <v>PE</v>
          </cell>
          <cell r="E7147" t="str">
            <v>515.51503</v>
          </cell>
          <cell r="F7147">
            <v>1991.4296999999999</v>
          </cell>
          <cell r="G7147">
            <v>0</v>
          </cell>
          <cell r="H7147">
            <v>0</v>
          </cell>
          <cell r="I7147">
            <v>0</v>
          </cell>
          <cell r="J7147">
            <v>0</v>
          </cell>
          <cell r="K7147">
            <v>0</v>
          </cell>
          <cell r="L7147">
            <v>1</v>
          </cell>
        </row>
        <row r="7148">
          <cell r="A7148" t="str">
            <v>20428.02986</v>
          </cell>
          <cell r="B7148" t="str">
            <v>JEU DE COUPELLES DE RETENUE GRAISSE</v>
          </cell>
          <cell r="C7148" t="str">
            <v>PLRD80-40   PLAN FA 21965   REP47 et 47A</v>
          </cell>
          <cell r="D7148" t="str">
            <v>PE</v>
          </cell>
          <cell r="E7148" t="str">
            <v>515.51503</v>
          </cell>
          <cell r="F7148">
            <v>3983.5111999999999</v>
          </cell>
          <cell r="G7148">
            <v>0</v>
          </cell>
          <cell r="H7148">
            <v>0</v>
          </cell>
          <cell r="I7148">
            <v>0</v>
          </cell>
          <cell r="J7148">
            <v>0</v>
          </cell>
          <cell r="K7148">
            <v>1</v>
          </cell>
          <cell r="L7148">
            <v>1</v>
          </cell>
        </row>
        <row r="7149">
          <cell r="A7149" t="str">
            <v>20428.02946</v>
          </cell>
          <cell r="B7149" t="str">
            <v>TUBULURE D'ASPIRATION</v>
          </cell>
          <cell r="C7149" t="str">
            <v>500VE470-54/1R  PLAN SEC06.50897T     REP52</v>
          </cell>
          <cell r="D7149" t="str">
            <v>PE</v>
          </cell>
          <cell r="E7149" t="str">
            <v>515.51503</v>
          </cell>
          <cell r="F7149">
            <v>115504.49679999999</v>
          </cell>
          <cell r="G7149">
            <v>0</v>
          </cell>
          <cell r="H7149">
            <v>0</v>
          </cell>
          <cell r="I7149">
            <v>0</v>
          </cell>
          <cell r="J7149">
            <v>0</v>
          </cell>
          <cell r="K7149">
            <v>0</v>
          </cell>
          <cell r="L7149">
            <v>1</v>
          </cell>
        </row>
        <row r="7150">
          <cell r="A7150" t="str">
            <v>20428.02947</v>
          </cell>
          <cell r="B7150" t="str">
            <v>COLLECTEUR D'ASPIRATION</v>
          </cell>
          <cell r="C7150" t="str">
            <v>500VE470-54/1R   PLAN SEC06.50897T   REP341</v>
          </cell>
          <cell r="D7150" t="str">
            <v>PE</v>
          </cell>
          <cell r="E7150" t="str">
            <v>515.51503</v>
          </cell>
          <cell r="F7150">
            <v>220361.0319</v>
          </cell>
          <cell r="G7150">
            <v>0</v>
          </cell>
          <cell r="H7150">
            <v>0</v>
          </cell>
          <cell r="I7150">
            <v>0</v>
          </cell>
          <cell r="J7150">
            <v>0</v>
          </cell>
          <cell r="K7150">
            <v>0</v>
          </cell>
          <cell r="L7150">
            <v>1</v>
          </cell>
        </row>
        <row r="7151">
          <cell r="A7151" t="str">
            <v>20428.02948</v>
          </cell>
          <cell r="B7151" t="str">
            <v>VOLUTE</v>
          </cell>
          <cell r="C7151" t="str">
            <v>VAP24CRW50-32  PLAN SEC065296016     REP51</v>
          </cell>
          <cell r="D7151" t="str">
            <v>PE</v>
          </cell>
          <cell r="E7151" t="str">
            <v>515.51503</v>
          </cell>
          <cell r="F7151">
            <v>69869.574699999997</v>
          </cell>
          <cell r="G7151">
            <v>0</v>
          </cell>
          <cell r="H7151">
            <v>0</v>
          </cell>
          <cell r="I7151">
            <v>0</v>
          </cell>
          <cell r="J7151">
            <v>0</v>
          </cell>
          <cell r="K7151">
            <v>0</v>
          </cell>
          <cell r="L7151">
            <v>1</v>
          </cell>
        </row>
        <row r="7152">
          <cell r="A7152" t="str">
            <v>20428.02949</v>
          </cell>
          <cell r="B7152" t="str">
            <v>COUVERCLE DE ROULEMENT</v>
          </cell>
          <cell r="C7152" t="str">
            <v>VAP24CRW50-32   PLAN SEC065296016   REP4</v>
          </cell>
          <cell r="D7152" t="str">
            <v>PE</v>
          </cell>
          <cell r="E7152" t="str">
            <v>515.51503</v>
          </cell>
          <cell r="F7152">
            <v>12340.608099999999</v>
          </cell>
          <cell r="G7152">
            <v>0</v>
          </cell>
          <cell r="H7152">
            <v>0</v>
          </cell>
          <cell r="I7152">
            <v>0</v>
          </cell>
          <cell r="J7152">
            <v>0</v>
          </cell>
          <cell r="K7152">
            <v>0</v>
          </cell>
          <cell r="L7152">
            <v>1</v>
          </cell>
        </row>
        <row r="7153">
          <cell r="A7153" t="str">
            <v>20428.02950</v>
          </cell>
          <cell r="B7153" t="str">
            <v>COUVERCLE DE ROULEMENT</v>
          </cell>
          <cell r="C7153" t="str">
            <v>VAP24CRW50-32   PLAN SEC065296016   REP5</v>
          </cell>
          <cell r="D7153" t="str">
            <v>PE</v>
          </cell>
          <cell r="E7153" t="str">
            <v>515.51503</v>
          </cell>
          <cell r="F7153">
            <v>5771.5949000000001</v>
          </cell>
          <cell r="G7153">
            <v>0</v>
          </cell>
          <cell r="H7153">
            <v>0</v>
          </cell>
          <cell r="I7153">
            <v>0</v>
          </cell>
          <cell r="J7153">
            <v>0</v>
          </cell>
          <cell r="K7153">
            <v>0</v>
          </cell>
          <cell r="L7153">
            <v>1</v>
          </cell>
        </row>
        <row r="7154">
          <cell r="A7154" t="str">
            <v>20428.02951</v>
          </cell>
          <cell r="B7154" t="str">
            <v>VOLUTE</v>
          </cell>
          <cell r="C7154" t="str">
            <v>EMTECH65-315E-IN PLAN F102-24-0700.02    REP51</v>
          </cell>
          <cell r="D7154" t="str">
            <v>PE</v>
          </cell>
          <cell r="E7154" t="str">
            <v>515.51503</v>
          </cell>
          <cell r="F7154">
            <v>76517.022500000006</v>
          </cell>
          <cell r="G7154">
            <v>0</v>
          </cell>
          <cell r="H7154">
            <v>0</v>
          </cell>
          <cell r="I7154">
            <v>0</v>
          </cell>
          <cell r="J7154">
            <v>0</v>
          </cell>
          <cell r="K7154">
            <v>0</v>
          </cell>
          <cell r="L7154">
            <v>1</v>
          </cell>
        </row>
        <row r="7155">
          <cell r="A7155" t="str">
            <v>20428.02952</v>
          </cell>
          <cell r="B7155" t="str">
            <v>INDUCER</v>
          </cell>
          <cell r="C7155" t="str">
            <v>EMTECH65-315E-IN PLAN F102-24-0700.02    REP56A</v>
          </cell>
          <cell r="D7155" t="str">
            <v>PE</v>
          </cell>
          <cell r="E7155" t="str">
            <v>515.51503</v>
          </cell>
          <cell r="F7155">
            <v>12461.411400000001</v>
          </cell>
          <cell r="G7155">
            <v>0</v>
          </cell>
          <cell r="H7155">
            <v>0</v>
          </cell>
          <cell r="I7155">
            <v>0</v>
          </cell>
          <cell r="J7155">
            <v>0</v>
          </cell>
          <cell r="K7155">
            <v>0</v>
          </cell>
          <cell r="L7155">
            <v>1</v>
          </cell>
        </row>
        <row r="7156">
          <cell r="A7156" t="str">
            <v>20492.07862</v>
          </cell>
          <cell r="B7156" t="str">
            <v>CADENAS DE SECURITE COULEUR BLEU</v>
          </cell>
          <cell r="C7156" t="str">
            <v>BRADY REF 051344</v>
          </cell>
          <cell r="D7156" t="str">
            <v>PE</v>
          </cell>
          <cell r="E7156" t="str">
            <v>522.52203</v>
          </cell>
          <cell r="F7156">
            <v>186</v>
          </cell>
          <cell r="G7156">
            <v>0</v>
          </cell>
          <cell r="H7156">
            <v>100</v>
          </cell>
          <cell r="I7156">
            <v>0</v>
          </cell>
          <cell r="J7156">
            <v>40</v>
          </cell>
          <cell r="K7156">
            <v>0</v>
          </cell>
          <cell r="L7156">
            <v>0</v>
          </cell>
        </row>
        <row r="7157">
          <cell r="A7157" t="str">
            <v>20428.02756</v>
          </cell>
          <cell r="B7157" t="str">
            <v>PRESSE ETOUPE</v>
          </cell>
          <cell r="C7157" t="str">
            <v>CN 200-150-600 SERIE 06.5296.001PO/004PO  REP 452</v>
          </cell>
          <cell r="D7157" t="str">
            <v>PE</v>
          </cell>
          <cell r="E7157" t="str">
            <v>515.51503</v>
          </cell>
          <cell r="F7157">
            <v>3727.9337</v>
          </cell>
          <cell r="G7157">
            <v>0</v>
          </cell>
          <cell r="H7157">
            <v>0</v>
          </cell>
          <cell r="I7157">
            <v>0</v>
          </cell>
          <cell r="J7157">
            <v>0</v>
          </cell>
          <cell r="K7157">
            <v>0</v>
          </cell>
          <cell r="L7157">
            <v>2</v>
          </cell>
        </row>
        <row r="7158">
          <cell r="A7158" t="str">
            <v>20428.02757</v>
          </cell>
          <cell r="B7158" t="str">
            <v>JEU DE VISSERIE</v>
          </cell>
          <cell r="C7158" t="str">
            <v>CN 200-150-600 SERIE 06.5296.001PO/004PO  REP 901,2</v>
          </cell>
          <cell r="D7158" t="str">
            <v>PE</v>
          </cell>
          <cell r="E7158" t="str">
            <v>515.51503</v>
          </cell>
          <cell r="F7158">
            <v>355.35899999999998</v>
          </cell>
          <cell r="G7158">
            <v>0</v>
          </cell>
          <cell r="H7158">
            <v>0</v>
          </cell>
          <cell r="I7158">
            <v>0</v>
          </cell>
          <cell r="J7158">
            <v>0</v>
          </cell>
          <cell r="K7158">
            <v>2</v>
          </cell>
          <cell r="L7158">
            <v>1</v>
          </cell>
        </row>
        <row r="7159">
          <cell r="A7159" t="str">
            <v>20428.02758</v>
          </cell>
          <cell r="B7159" t="str">
            <v>ANNEAU DE BLOCAGE</v>
          </cell>
          <cell r="C7159" t="str">
            <v>CN 200-150-600 SERIE 06.5296.001PO/004PO  REP 558</v>
          </cell>
          <cell r="D7159" t="str">
            <v>PE</v>
          </cell>
          <cell r="E7159" t="str">
            <v>515.51503</v>
          </cell>
          <cell r="F7159">
            <v>4148.5914000000002</v>
          </cell>
          <cell r="G7159">
            <v>0</v>
          </cell>
          <cell r="H7159">
            <v>0</v>
          </cell>
          <cell r="I7159">
            <v>0</v>
          </cell>
          <cell r="J7159">
            <v>0</v>
          </cell>
          <cell r="K7159">
            <v>1</v>
          </cell>
          <cell r="L7159">
            <v>1</v>
          </cell>
        </row>
        <row r="7160">
          <cell r="A7160" t="str">
            <v>20428.02759</v>
          </cell>
          <cell r="B7160" t="str">
            <v>JEU DE VISSERIE</v>
          </cell>
          <cell r="C7160" t="str">
            <v>CN 200-150-600 SERIE 06.5296.001PO/004PO  REP 901,1-914,4-901,2-914,3</v>
          </cell>
          <cell r="D7160" t="str">
            <v>PE</v>
          </cell>
          <cell r="E7160" t="str">
            <v>515.51503</v>
          </cell>
          <cell r="F7160">
            <v>279.28109999999998</v>
          </cell>
          <cell r="G7160">
            <v>0</v>
          </cell>
          <cell r="H7160">
            <v>0</v>
          </cell>
          <cell r="I7160">
            <v>0</v>
          </cell>
          <cell r="J7160">
            <v>0</v>
          </cell>
          <cell r="K7160">
            <v>0</v>
          </cell>
          <cell r="L7160">
            <v>1</v>
          </cell>
        </row>
        <row r="7161">
          <cell r="A7161" t="str">
            <v>20428.02754</v>
          </cell>
          <cell r="B7161" t="str">
            <v>CORPS</v>
          </cell>
          <cell r="C7161" t="str">
            <v>CN 200-150-600 SERIE 06.5296.001PO/004PO  REP 101</v>
          </cell>
          <cell r="D7161" t="str">
            <v>PE</v>
          </cell>
          <cell r="E7161" t="str">
            <v>515.51503</v>
          </cell>
          <cell r="F7161">
            <v>192884.45490000001</v>
          </cell>
          <cell r="G7161">
            <v>0</v>
          </cell>
          <cell r="H7161">
            <v>0</v>
          </cell>
          <cell r="I7161">
            <v>0</v>
          </cell>
          <cell r="J7161">
            <v>0</v>
          </cell>
          <cell r="K7161">
            <v>1</v>
          </cell>
          <cell r="L7161">
            <v>1</v>
          </cell>
        </row>
        <row r="7162">
          <cell r="A7162" t="str">
            <v>20428.02755</v>
          </cell>
          <cell r="B7162" t="str">
            <v>CORPS DE PELIER</v>
          </cell>
          <cell r="C7162" t="str">
            <v>CN 200-150-600 SERIE 06.5296.001PO/004PO  REP 330</v>
          </cell>
          <cell r="D7162" t="str">
            <v>PE</v>
          </cell>
          <cell r="E7162" t="str">
            <v>515.51503</v>
          </cell>
          <cell r="F7162">
            <v>108531.891</v>
          </cell>
          <cell r="G7162">
            <v>0</v>
          </cell>
          <cell r="H7162">
            <v>0</v>
          </cell>
          <cell r="I7162">
            <v>0</v>
          </cell>
          <cell r="J7162">
            <v>0</v>
          </cell>
          <cell r="K7162">
            <v>0</v>
          </cell>
          <cell r="L7162">
            <v>1</v>
          </cell>
        </row>
        <row r="7163">
          <cell r="A7163" t="str">
            <v>20431.00730</v>
          </cell>
          <cell r="B7163" t="str">
            <v>JOINT PLAT</v>
          </cell>
          <cell r="C7163" t="str">
            <v>MILTON ROY 0250144099N</v>
          </cell>
          <cell r="D7163" t="str">
            <v>PE</v>
          </cell>
          <cell r="E7163" t="str">
            <v>515.51511</v>
          </cell>
          <cell r="F7163">
            <v>152.88</v>
          </cell>
          <cell r="G7163">
            <v>0</v>
          </cell>
          <cell r="H7163">
            <v>0</v>
          </cell>
          <cell r="I7163">
            <v>0</v>
          </cell>
          <cell r="J7163">
            <v>0</v>
          </cell>
          <cell r="K7163">
            <v>0</v>
          </cell>
          <cell r="L7163">
            <v>2</v>
          </cell>
        </row>
        <row r="7164">
          <cell r="A7164" t="str">
            <v>20431.00731</v>
          </cell>
          <cell r="B7164" t="str">
            <v>NOIX EXENTRIQUE</v>
          </cell>
          <cell r="C7164" t="str">
            <v xml:space="preserve">0370051062N   POUR POMPE : RB96J7H10/9.HS.VV3  </v>
          </cell>
          <cell r="D7164" t="str">
            <v>PE</v>
          </cell>
          <cell r="E7164" t="str">
            <v>515.51511</v>
          </cell>
          <cell r="F7164">
            <v>2634.24</v>
          </cell>
          <cell r="G7164">
            <v>0</v>
          </cell>
          <cell r="H7164">
            <v>0</v>
          </cell>
          <cell r="I7164">
            <v>0</v>
          </cell>
          <cell r="J7164">
            <v>0</v>
          </cell>
          <cell r="K7164">
            <v>0</v>
          </cell>
          <cell r="L7164">
            <v>1</v>
          </cell>
        </row>
        <row r="7165">
          <cell r="A7165" t="str">
            <v>20431.00732</v>
          </cell>
          <cell r="B7165" t="str">
            <v>COUPELLE</v>
          </cell>
          <cell r="C7165" t="str">
            <v>0190268006N  POUR POMPE TYPE : RB96J7H10/9.HS.VV3</v>
          </cell>
          <cell r="D7165" t="str">
            <v>PE</v>
          </cell>
          <cell r="E7165" t="str">
            <v>515.51511</v>
          </cell>
          <cell r="F7165">
            <v>294</v>
          </cell>
          <cell r="G7165">
            <v>0</v>
          </cell>
          <cell r="H7165">
            <v>0</v>
          </cell>
          <cell r="I7165">
            <v>0</v>
          </cell>
          <cell r="J7165">
            <v>0</v>
          </cell>
          <cell r="K7165">
            <v>0</v>
          </cell>
          <cell r="L7165">
            <v>2</v>
          </cell>
        </row>
        <row r="7166">
          <cell r="A7166" t="str">
            <v>20431.00733</v>
          </cell>
          <cell r="B7166" t="str">
            <v>MEMBRANE</v>
          </cell>
          <cell r="C7166" t="str">
            <v>0980241399N   POUR POMPE TYPE : RB96J7H10/9.HS.VV3</v>
          </cell>
          <cell r="D7166" t="str">
            <v>PE</v>
          </cell>
          <cell r="E7166" t="str">
            <v>515.51511</v>
          </cell>
          <cell r="F7166">
            <v>7220.64</v>
          </cell>
          <cell r="G7166">
            <v>0</v>
          </cell>
          <cell r="H7166">
            <v>0</v>
          </cell>
          <cell r="I7166">
            <v>0</v>
          </cell>
          <cell r="J7166">
            <v>0</v>
          </cell>
          <cell r="K7166">
            <v>0</v>
          </cell>
          <cell r="L7166">
            <v>4</v>
          </cell>
        </row>
        <row r="7167">
          <cell r="A7167" t="str">
            <v>20431.00734</v>
          </cell>
          <cell r="B7167" t="str">
            <v>GUIDE BILLE</v>
          </cell>
          <cell r="C7167" t="str">
            <v>MILTON ROY 0030106071N</v>
          </cell>
          <cell r="D7167" t="str">
            <v>PE</v>
          </cell>
          <cell r="E7167" t="str">
            <v>515.51511</v>
          </cell>
          <cell r="F7167">
            <v>2234.4</v>
          </cell>
          <cell r="G7167">
            <v>0</v>
          </cell>
          <cell r="H7167">
            <v>0</v>
          </cell>
          <cell r="I7167">
            <v>0</v>
          </cell>
          <cell r="J7167">
            <v>0</v>
          </cell>
          <cell r="K7167">
            <v>0</v>
          </cell>
          <cell r="L7167">
            <v>3</v>
          </cell>
        </row>
        <row r="7168">
          <cell r="A7168" t="str">
            <v>20431.00735</v>
          </cell>
          <cell r="B7168" t="str">
            <v>GUIDE BILLE</v>
          </cell>
          <cell r="C7168" t="str">
            <v>MILTON ROY 0030134071N</v>
          </cell>
          <cell r="D7168" t="str">
            <v>PE</v>
          </cell>
          <cell r="E7168" t="str">
            <v>515.51511</v>
          </cell>
          <cell r="F7168">
            <v>2234.4</v>
          </cell>
          <cell r="G7168">
            <v>0</v>
          </cell>
          <cell r="H7168">
            <v>0</v>
          </cell>
          <cell r="I7168">
            <v>0</v>
          </cell>
          <cell r="J7168">
            <v>0</v>
          </cell>
          <cell r="K7168">
            <v>0</v>
          </cell>
          <cell r="L7168">
            <v>3</v>
          </cell>
        </row>
        <row r="7169">
          <cell r="A7169" t="str">
            <v>20431.00729</v>
          </cell>
          <cell r="B7169" t="str">
            <v>PISTON D66</v>
          </cell>
          <cell r="C7169" t="str">
            <v xml:space="preserve">0120249001N  POUR POMPE : RB96J7H10/9.HS.VV3  </v>
          </cell>
          <cell r="D7169" t="str">
            <v>PE</v>
          </cell>
          <cell r="E7169" t="str">
            <v>515.51511</v>
          </cell>
          <cell r="F7169">
            <v>6620.88</v>
          </cell>
          <cell r="G7169">
            <v>0</v>
          </cell>
          <cell r="H7169">
            <v>0</v>
          </cell>
          <cell r="I7169">
            <v>0</v>
          </cell>
          <cell r="J7169">
            <v>0</v>
          </cell>
          <cell r="K7169">
            <v>0</v>
          </cell>
          <cell r="L7169">
            <v>2</v>
          </cell>
        </row>
        <row r="7170">
          <cell r="A7170" t="str">
            <v>20428.02760</v>
          </cell>
          <cell r="B7170" t="str">
            <v>JEU DE VISSERIE</v>
          </cell>
          <cell r="C7170" t="str">
            <v>CN 200-150-600 SERIE 06.5296.001PO/004PO  REP 918,1</v>
          </cell>
          <cell r="D7170" t="str">
            <v>PE</v>
          </cell>
          <cell r="E7170" t="str">
            <v>515.51503</v>
          </cell>
          <cell r="F7170">
            <v>4731.2275</v>
          </cell>
          <cell r="G7170">
            <v>0</v>
          </cell>
          <cell r="H7170">
            <v>0</v>
          </cell>
          <cell r="I7170">
            <v>0</v>
          </cell>
          <cell r="J7170">
            <v>0</v>
          </cell>
          <cell r="K7170">
            <v>0</v>
          </cell>
          <cell r="L7170">
            <v>1</v>
          </cell>
        </row>
        <row r="7171">
          <cell r="A7171" t="str">
            <v>20428.02761</v>
          </cell>
          <cell r="B7171" t="str">
            <v>FOND DE FERMETURE</v>
          </cell>
          <cell r="C7171" t="str">
            <v>CN200-150-600 SERIE 06,5296,001PO/004PO REP 602</v>
          </cell>
          <cell r="D7171" t="str">
            <v>PE</v>
          </cell>
          <cell r="E7171" t="str">
            <v>515.51503</v>
          </cell>
          <cell r="F7171">
            <v>54379.9496</v>
          </cell>
          <cell r="G7171">
            <v>0</v>
          </cell>
          <cell r="H7171">
            <v>0</v>
          </cell>
          <cell r="I7171">
            <v>0</v>
          </cell>
          <cell r="J7171">
            <v>0</v>
          </cell>
          <cell r="K7171">
            <v>0</v>
          </cell>
          <cell r="L7171">
            <v>2</v>
          </cell>
        </row>
        <row r="7172">
          <cell r="A7172" t="str">
            <v>20428.02762</v>
          </cell>
          <cell r="B7172" t="str">
            <v>ARBRE</v>
          </cell>
          <cell r="C7172" t="str">
            <v>EMTECH125-400  PLAN F102-24-0700,02 REP59</v>
          </cell>
          <cell r="D7172" t="str">
            <v>PE</v>
          </cell>
          <cell r="E7172" t="str">
            <v>515.51503</v>
          </cell>
          <cell r="F7172">
            <v>20101.258999999998</v>
          </cell>
          <cell r="G7172">
            <v>0</v>
          </cell>
          <cell r="H7172">
            <v>0</v>
          </cell>
          <cell r="I7172">
            <v>0</v>
          </cell>
          <cell r="J7172">
            <v>0</v>
          </cell>
          <cell r="K7172">
            <v>0</v>
          </cell>
          <cell r="L7172">
            <v>1</v>
          </cell>
        </row>
        <row r="7173">
          <cell r="A7173" t="str">
            <v>20431.00740</v>
          </cell>
          <cell r="B7173" t="str">
            <v>JOINT TORIQUE 29,82X2,62</v>
          </cell>
          <cell r="C7173" t="str">
            <v>MILTON ROY 4380051062N</v>
          </cell>
          <cell r="D7173" t="str">
            <v>PE</v>
          </cell>
          <cell r="E7173" t="str">
            <v>515.51511</v>
          </cell>
          <cell r="F7173">
            <v>223.44</v>
          </cell>
          <cell r="G7173">
            <v>0</v>
          </cell>
          <cell r="H7173">
            <v>0</v>
          </cell>
          <cell r="I7173">
            <v>0</v>
          </cell>
          <cell r="J7173">
            <v>0</v>
          </cell>
          <cell r="K7173">
            <v>0</v>
          </cell>
          <cell r="L7173">
            <v>3</v>
          </cell>
        </row>
        <row r="7174">
          <cell r="A7174" t="str">
            <v>20431.00742</v>
          </cell>
          <cell r="B7174" t="str">
            <v>ANNEAU CROISSANT</v>
          </cell>
          <cell r="C7174" t="str">
            <v>MILTON ROY 4340053000N</v>
          </cell>
          <cell r="D7174" t="str">
            <v>PE</v>
          </cell>
          <cell r="E7174" t="str">
            <v>515.51511</v>
          </cell>
          <cell r="F7174">
            <v>2243.808</v>
          </cell>
          <cell r="G7174">
            <v>0</v>
          </cell>
          <cell r="H7174">
            <v>0</v>
          </cell>
          <cell r="I7174">
            <v>0</v>
          </cell>
          <cell r="J7174">
            <v>0</v>
          </cell>
          <cell r="K7174">
            <v>0</v>
          </cell>
          <cell r="L7174">
            <v>4</v>
          </cell>
        </row>
        <row r="7175">
          <cell r="A7175" t="str">
            <v>20431.00743</v>
          </cell>
          <cell r="B7175" t="str">
            <v>VIS HC M12X25 TL</v>
          </cell>
          <cell r="C7175" t="str">
            <v>MILTON ROY 43501280502N</v>
          </cell>
          <cell r="D7175" t="str">
            <v>PE</v>
          </cell>
          <cell r="E7175" t="str">
            <v>515.51511</v>
          </cell>
          <cell r="F7175">
            <v>229.32</v>
          </cell>
          <cell r="G7175">
            <v>0</v>
          </cell>
          <cell r="H7175">
            <v>0</v>
          </cell>
          <cell r="I7175">
            <v>0</v>
          </cell>
          <cell r="J7175">
            <v>0</v>
          </cell>
          <cell r="K7175">
            <v>0</v>
          </cell>
          <cell r="L7175">
            <v>4</v>
          </cell>
        </row>
        <row r="7176">
          <cell r="A7176" t="str">
            <v>20431.00736</v>
          </cell>
          <cell r="B7176" t="str">
            <v>SIEGE D25</v>
          </cell>
          <cell r="C7176" t="str">
            <v>MILTON ROY 0240137016N</v>
          </cell>
          <cell r="D7176" t="str">
            <v>PE</v>
          </cell>
          <cell r="E7176" t="str">
            <v>515.51511</v>
          </cell>
          <cell r="F7176">
            <v>2170.8960000000002</v>
          </cell>
          <cell r="G7176">
            <v>0</v>
          </cell>
          <cell r="H7176">
            <v>0</v>
          </cell>
          <cell r="I7176">
            <v>0</v>
          </cell>
          <cell r="J7176">
            <v>0</v>
          </cell>
          <cell r="K7176">
            <v>0</v>
          </cell>
          <cell r="L7176">
            <v>3</v>
          </cell>
        </row>
        <row r="7177">
          <cell r="A7177" t="str">
            <v>20431.00737</v>
          </cell>
          <cell r="B7177" t="str">
            <v>POUSSOIR D25</v>
          </cell>
          <cell r="C7177" t="str">
            <v>MILTON ROY 0440045071N</v>
          </cell>
          <cell r="D7177" t="str">
            <v>PE</v>
          </cell>
          <cell r="E7177" t="str">
            <v>515.51511</v>
          </cell>
          <cell r="F7177">
            <v>3281.04</v>
          </cell>
          <cell r="G7177">
            <v>0</v>
          </cell>
          <cell r="H7177">
            <v>0</v>
          </cell>
          <cell r="I7177">
            <v>0</v>
          </cell>
          <cell r="J7177">
            <v>0</v>
          </cell>
          <cell r="K7177">
            <v>0</v>
          </cell>
          <cell r="L7177">
            <v>3</v>
          </cell>
        </row>
        <row r="7178">
          <cell r="A7178" t="str">
            <v>20431.00738</v>
          </cell>
          <cell r="B7178" t="str">
            <v>RESSORT</v>
          </cell>
          <cell r="C7178" t="str">
            <v>MILTON ROY 0800083026N</v>
          </cell>
          <cell r="D7178" t="str">
            <v>PE</v>
          </cell>
          <cell r="E7178" t="str">
            <v>515.51511</v>
          </cell>
          <cell r="F7178">
            <v>2876.4960000000001</v>
          </cell>
          <cell r="G7178">
            <v>0</v>
          </cell>
          <cell r="H7178">
            <v>0</v>
          </cell>
          <cell r="I7178">
            <v>0</v>
          </cell>
          <cell r="J7178">
            <v>0</v>
          </cell>
          <cell r="K7178">
            <v>0</v>
          </cell>
          <cell r="L7178">
            <v>3</v>
          </cell>
        </row>
        <row r="7179">
          <cell r="A7179" t="str">
            <v>20431.00739</v>
          </cell>
          <cell r="B7179" t="str">
            <v>BILLE D25</v>
          </cell>
          <cell r="C7179" t="str">
            <v>MILTON ROY 4370000254N</v>
          </cell>
          <cell r="D7179" t="str">
            <v>PE</v>
          </cell>
          <cell r="E7179" t="str">
            <v>515.51511</v>
          </cell>
          <cell r="F7179">
            <v>486.86399999999998</v>
          </cell>
          <cell r="G7179">
            <v>0</v>
          </cell>
          <cell r="H7179">
            <v>0</v>
          </cell>
          <cell r="I7179">
            <v>0</v>
          </cell>
          <cell r="J7179">
            <v>0</v>
          </cell>
          <cell r="K7179">
            <v>0</v>
          </cell>
          <cell r="L7179">
            <v>3</v>
          </cell>
        </row>
        <row r="7180">
          <cell r="A7180" t="str">
            <v>20428.02795</v>
          </cell>
          <cell r="B7180" t="str">
            <v>ENTRETOISE</v>
          </cell>
          <cell r="C7180" t="str">
            <v>EMTECH 50-250K N° FAB POM061268-065284001PC001 REP 141 REF EM80343932</v>
          </cell>
          <cell r="D7180" t="str">
            <v>PE</v>
          </cell>
          <cell r="E7180" t="str">
            <v>515.51503</v>
          </cell>
          <cell r="F7180">
            <v>45146.025999999998</v>
          </cell>
          <cell r="G7180">
            <v>0</v>
          </cell>
          <cell r="H7180">
            <v>0</v>
          </cell>
          <cell r="I7180">
            <v>0</v>
          </cell>
          <cell r="J7180">
            <v>0</v>
          </cell>
          <cell r="K7180">
            <v>0</v>
          </cell>
          <cell r="L7180">
            <v>1</v>
          </cell>
        </row>
        <row r="7181">
          <cell r="A7181" t="str">
            <v>20428.02796</v>
          </cell>
          <cell r="B7181" t="str">
            <v>PALIER</v>
          </cell>
          <cell r="C7181" t="str">
            <v>EMTECH 50-250K N° FAB POM061268-065284001PC001 REP 1 REF EM81544402</v>
          </cell>
          <cell r="D7181" t="str">
            <v>PE</v>
          </cell>
          <cell r="E7181" t="str">
            <v>515.51503</v>
          </cell>
          <cell r="F7181">
            <v>8246.5408000000007</v>
          </cell>
          <cell r="G7181">
            <v>0</v>
          </cell>
          <cell r="H7181">
            <v>0</v>
          </cell>
          <cell r="I7181">
            <v>0</v>
          </cell>
          <cell r="J7181">
            <v>0</v>
          </cell>
          <cell r="K7181">
            <v>0</v>
          </cell>
          <cell r="L7181">
            <v>2</v>
          </cell>
        </row>
        <row r="7182">
          <cell r="A7182" t="str">
            <v>20428.02798</v>
          </cell>
          <cell r="B7182" t="str">
            <v>COUVERCLE DE PALIER</v>
          </cell>
          <cell r="C7182" t="str">
            <v>EMTECH 50-250K N° FAB POM061268-065284001PC001 REP 5 REF EM81544302</v>
          </cell>
          <cell r="D7182" t="str">
            <v>PE</v>
          </cell>
          <cell r="E7182" t="str">
            <v>515.51503</v>
          </cell>
          <cell r="F7182">
            <v>4056.6554000000001</v>
          </cell>
          <cell r="G7182">
            <v>0</v>
          </cell>
          <cell r="H7182">
            <v>0</v>
          </cell>
          <cell r="I7182">
            <v>0</v>
          </cell>
          <cell r="J7182">
            <v>0</v>
          </cell>
          <cell r="K7182">
            <v>0</v>
          </cell>
          <cell r="L7182">
            <v>1</v>
          </cell>
        </row>
        <row r="7183">
          <cell r="A7183" t="str">
            <v>20428.02907</v>
          </cell>
          <cell r="B7183" t="str">
            <v>GARNITURE MECANIQUE</v>
          </cell>
          <cell r="C7183" t="str">
            <v>NCE 250-40  PLAN FA 21405   REP SANS</v>
          </cell>
          <cell r="D7183" t="str">
            <v>PE</v>
          </cell>
          <cell r="E7183" t="str">
            <v>515.51503</v>
          </cell>
          <cell r="F7183">
            <v>13592.0015</v>
          </cell>
          <cell r="G7183">
            <v>0</v>
          </cell>
          <cell r="H7183">
            <v>0</v>
          </cell>
          <cell r="I7183">
            <v>0</v>
          </cell>
          <cell r="J7183">
            <v>0</v>
          </cell>
          <cell r="K7183">
            <v>0</v>
          </cell>
          <cell r="L7183">
            <v>2</v>
          </cell>
        </row>
        <row r="7184">
          <cell r="A7184" t="str">
            <v>20428.02908</v>
          </cell>
          <cell r="B7184" t="str">
            <v>CORPS DE POMPE</v>
          </cell>
          <cell r="C7184" t="str">
            <v>NCE150-26A   PLAN FA 21408   REP51</v>
          </cell>
          <cell r="D7184" t="str">
            <v>PE</v>
          </cell>
          <cell r="E7184" t="str">
            <v>515.51503</v>
          </cell>
          <cell r="F7184">
            <v>61887.5939</v>
          </cell>
          <cell r="G7184">
            <v>0</v>
          </cell>
          <cell r="H7184">
            <v>0</v>
          </cell>
          <cell r="I7184">
            <v>0</v>
          </cell>
          <cell r="J7184">
            <v>0</v>
          </cell>
          <cell r="K7184">
            <v>0</v>
          </cell>
          <cell r="L7184">
            <v>1</v>
          </cell>
        </row>
        <row r="7185">
          <cell r="A7185" t="str">
            <v>20428.02909</v>
          </cell>
          <cell r="B7185" t="str">
            <v>ARBRE</v>
          </cell>
          <cell r="C7185" t="str">
            <v>NCE150-26A  PLAN FA 21408     REP59</v>
          </cell>
          <cell r="D7185" t="str">
            <v>PE</v>
          </cell>
          <cell r="E7185" t="str">
            <v>515.51503</v>
          </cell>
          <cell r="F7185">
            <v>7708.2988999999998</v>
          </cell>
          <cell r="G7185">
            <v>0</v>
          </cell>
          <cell r="H7185">
            <v>0</v>
          </cell>
          <cell r="I7185">
            <v>0</v>
          </cell>
          <cell r="J7185">
            <v>0</v>
          </cell>
          <cell r="K7185">
            <v>0</v>
          </cell>
          <cell r="L7185">
            <v>1</v>
          </cell>
        </row>
        <row r="7186">
          <cell r="A7186" t="str">
            <v>20428.02910</v>
          </cell>
          <cell r="B7186" t="str">
            <v>GARNITURE MECANIQUE</v>
          </cell>
          <cell r="C7186" t="str">
            <v>NCE150-26A  PLAN FA 21408   REP SANS</v>
          </cell>
          <cell r="D7186" t="str">
            <v>PE</v>
          </cell>
          <cell r="E7186" t="str">
            <v>515.51503</v>
          </cell>
          <cell r="F7186">
            <v>6349.1746000000003</v>
          </cell>
          <cell r="G7186">
            <v>0</v>
          </cell>
          <cell r="H7186">
            <v>0</v>
          </cell>
          <cell r="I7186">
            <v>0</v>
          </cell>
          <cell r="J7186">
            <v>0</v>
          </cell>
          <cell r="K7186">
            <v>0</v>
          </cell>
          <cell r="L7186">
            <v>2</v>
          </cell>
        </row>
        <row r="7187">
          <cell r="A7187" t="str">
            <v>20428.02911</v>
          </cell>
          <cell r="B7187" t="str">
            <v>DEFLECTEUR</v>
          </cell>
          <cell r="C7187" t="str">
            <v>NCE150-26A  PLA FA 21408    REP9</v>
          </cell>
          <cell r="D7187" t="str">
            <v>PE</v>
          </cell>
          <cell r="E7187" t="str">
            <v>515.51503</v>
          </cell>
          <cell r="F7187">
            <v>2983.1496000000002</v>
          </cell>
          <cell r="G7187">
            <v>0</v>
          </cell>
          <cell r="H7187">
            <v>0</v>
          </cell>
          <cell r="I7187">
            <v>0</v>
          </cell>
          <cell r="J7187">
            <v>0</v>
          </cell>
          <cell r="K7187">
            <v>0</v>
          </cell>
          <cell r="L7187">
            <v>2</v>
          </cell>
        </row>
        <row r="7188">
          <cell r="A7188" t="str">
            <v>20428.02903</v>
          </cell>
          <cell r="B7188" t="str">
            <v>CORPS DE POMPE</v>
          </cell>
          <cell r="C7188" t="str">
            <v>NCE 250-40  PLAN FA 21405   REP51</v>
          </cell>
          <cell r="D7188" t="str">
            <v>PE</v>
          </cell>
          <cell r="E7188" t="str">
            <v>515.51503</v>
          </cell>
          <cell r="F7188">
            <v>92959.464099999997</v>
          </cell>
          <cell r="G7188">
            <v>0</v>
          </cell>
          <cell r="H7188">
            <v>0</v>
          </cell>
          <cell r="I7188">
            <v>0</v>
          </cell>
          <cell r="J7188">
            <v>0</v>
          </cell>
          <cell r="K7188">
            <v>0</v>
          </cell>
          <cell r="L7188">
            <v>1</v>
          </cell>
        </row>
        <row r="7189">
          <cell r="A7189" t="str">
            <v>20428.02904</v>
          </cell>
          <cell r="B7189" t="str">
            <v>DEFLECTEUR</v>
          </cell>
          <cell r="C7189" t="str">
            <v>NCE 250-40   PLAN FA 21405    REP9</v>
          </cell>
          <cell r="D7189" t="str">
            <v>PE</v>
          </cell>
          <cell r="E7189" t="str">
            <v>515.51503</v>
          </cell>
          <cell r="F7189">
            <v>916.28899999999999</v>
          </cell>
          <cell r="G7189">
            <v>0</v>
          </cell>
          <cell r="H7189">
            <v>0</v>
          </cell>
          <cell r="I7189">
            <v>0</v>
          </cell>
          <cell r="J7189">
            <v>0</v>
          </cell>
          <cell r="K7189">
            <v>0</v>
          </cell>
          <cell r="L7189">
            <v>2</v>
          </cell>
        </row>
        <row r="7190">
          <cell r="A7190" t="str">
            <v>20428.02905</v>
          </cell>
          <cell r="B7190" t="str">
            <v>DEFLECTEUR</v>
          </cell>
          <cell r="C7190" t="str">
            <v>NCE 250-40   PLAN FA 21405    REP23</v>
          </cell>
          <cell r="D7190" t="str">
            <v>PE</v>
          </cell>
          <cell r="E7190" t="str">
            <v>515.51503</v>
          </cell>
          <cell r="F7190">
            <v>1323.8456000000001</v>
          </cell>
          <cell r="G7190">
            <v>0</v>
          </cell>
          <cell r="H7190">
            <v>0</v>
          </cell>
          <cell r="I7190">
            <v>0</v>
          </cell>
          <cell r="J7190">
            <v>0</v>
          </cell>
          <cell r="K7190">
            <v>0</v>
          </cell>
          <cell r="L7190">
            <v>2</v>
          </cell>
        </row>
        <row r="7191">
          <cell r="A7191" t="str">
            <v>20428.02953</v>
          </cell>
          <cell r="B7191" t="str">
            <v>COUVERCLE COTE COMMANDE</v>
          </cell>
          <cell r="C7191" t="str">
            <v>EMTECH65-315E-IN PLAN F102-24-0700.02    REP5</v>
          </cell>
          <cell r="D7191" t="str">
            <v>PE</v>
          </cell>
          <cell r="E7191" t="str">
            <v>515.51503</v>
          </cell>
          <cell r="F7191">
            <v>4506.3703999999998</v>
          </cell>
          <cell r="G7191">
            <v>0</v>
          </cell>
          <cell r="H7191">
            <v>0</v>
          </cell>
          <cell r="I7191">
            <v>0</v>
          </cell>
          <cell r="J7191">
            <v>0</v>
          </cell>
          <cell r="K7191">
            <v>0</v>
          </cell>
          <cell r="L7191">
            <v>2</v>
          </cell>
        </row>
        <row r="7192">
          <cell r="A7192" t="str">
            <v>20428.02954</v>
          </cell>
          <cell r="B7192" t="str">
            <v>COUVERCLE COTE POMPE</v>
          </cell>
          <cell r="C7192" t="str">
            <v>EMTECH65-315E-IN PLAN F102-24-0700.02    REP4</v>
          </cell>
          <cell r="D7192" t="str">
            <v>PE</v>
          </cell>
          <cell r="E7192" t="str">
            <v>515.51503</v>
          </cell>
          <cell r="F7192">
            <v>4254.5510000000004</v>
          </cell>
          <cell r="G7192">
            <v>0</v>
          </cell>
          <cell r="H7192">
            <v>0</v>
          </cell>
          <cell r="I7192">
            <v>0</v>
          </cell>
          <cell r="J7192">
            <v>0</v>
          </cell>
          <cell r="K7192">
            <v>0</v>
          </cell>
          <cell r="L7192">
            <v>2</v>
          </cell>
        </row>
        <row r="7193">
          <cell r="A7193" t="str">
            <v>20428.02955</v>
          </cell>
          <cell r="B7193" t="str">
            <v>VOYANT</v>
          </cell>
          <cell r="C7193" t="str">
            <v>EMTECH65-315E-IN  PLAN F102-24-0700.02    REP192A</v>
          </cell>
          <cell r="D7193" t="str">
            <v>PE</v>
          </cell>
          <cell r="E7193" t="str">
            <v>515.51503</v>
          </cell>
          <cell r="F7193">
            <v>328.32810000000001</v>
          </cell>
          <cell r="G7193">
            <v>0</v>
          </cell>
          <cell r="H7193">
            <v>0</v>
          </cell>
          <cell r="I7193">
            <v>0</v>
          </cell>
          <cell r="J7193">
            <v>0</v>
          </cell>
          <cell r="K7193">
            <v>0</v>
          </cell>
          <cell r="L7193">
            <v>5</v>
          </cell>
        </row>
        <row r="7194">
          <cell r="A7194" t="str">
            <v>20492.20002</v>
          </cell>
          <cell r="B7194" t="str">
            <v>BOITE A RESSORT COMPLETE</v>
          </cell>
          <cell r="C7194" t="str">
            <v>LISEGA PLAN 43-3-44825 REF SSG 1</v>
          </cell>
          <cell r="D7194" t="str">
            <v>PE</v>
          </cell>
          <cell r="E7194" t="str">
            <v>522.52209</v>
          </cell>
          <cell r="F7194">
            <v>71047.147299999997</v>
          </cell>
          <cell r="G7194">
            <v>0</v>
          </cell>
          <cell r="H7194">
            <v>0</v>
          </cell>
          <cell r="I7194">
            <v>0</v>
          </cell>
          <cell r="J7194">
            <v>0</v>
          </cell>
          <cell r="K7194">
            <v>0</v>
          </cell>
          <cell r="L7194">
            <v>0</v>
          </cell>
        </row>
        <row r="7195">
          <cell r="A7195" t="str">
            <v>20428.02956</v>
          </cell>
          <cell r="B7195" t="str">
            <v>FOND</v>
          </cell>
          <cell r="C7195" t="str">
            <v>EMTECH65-315E-IN   PLAN F102-24-0700.02    REP83</v>
          </cell>
          <cell r="D7195" t="str">
            <v>PE</v>
          </cell>
          <cell r="E7195" t="str">
            <v>515.51503</v>
          </cell>
          <cell r="F7195">
            <v>45580.414700000001</v>
          </cell>
          <cell r="G7195">
            <v>0</v>
          </cell>
          <cell r="H7195">
            <v>0</v>
          </cell>
          <cell r="I7195">
            <v>0</v>
          </cell>
          <cell r="J7195">
            <v>0</v>
          </cell>
          <cell r="K7195">
            <v>0</v>
          </cell>
          <cell r="L7195">
            <v>1</v>
          </cell>
        </row>
        <row r="7196">
          <cell r="A7196" t="str">
            <v>20428.02958</v>
          </cell>
          <cell r="B7196" t="str">
            <v>BAGUE DE BUTEE ROULEMENT SUPERIEUR</v>
          </cell>
          <cell r="C7196" t="str">
            <v>CAHRK 1200GV  PLAN SEC06503001    REP7A</v>
          </cell>
          <cell r="D7196" t="str">
            <v>PE</v>
          </cell>
          <cell r="E7196" t="str">
            <v>515.51503</v>
          </cell>
          <cell r="F7196">
            <v>3181.7921000000001</v>
          </cell>
          <cell r="G7196">
            <v>1</v>
          </cell>
          <cell r="H7196">
            <v>0</v>
          </cell>
          <cell r="I7196">
            <v>0</v>
          </cell>
          <cell r="J7196">
            <v>0</v>
          </cell>
          <cell r="K7196">
            <v>0</v>
          </cell>
          <cell r="L7196">
            <v>1</v>
          </cell>
        </row>
        <row r="7197">
          <cell r="A7197" t="str">
            <v>20428.02959</v>
          </cell>
          <cell r="B7197" t="str">
            <v>ARBRE</v>
          </cell>
          <cell r="C7197" t="str">
            <v>CAHRK 1200GV PLAN SEC06503001    REP59</v>
          </cell>
          <cell r="D7197" t="str">
            <v>PE</v>
          </cell>
          <cell r="E7197" t="str">
            <v>515.51503</v>
          </cell>
          <cell r="F7197">
            <v>800755.85759999999</v>
          </cell>
          <cell r="G7197">
            <v>0</v>
          </cell>
          <cell r="H7197">
            <v>0</v>
          </cell>
          <cell r="I7197">
            <v>1</v>
          </cell>
          <cell r="J7197">
            <v>0</v>
          </cell>
          <cell r="K7197">
            <v>0</v>
          </cell>
          <cell r="L7197">
            <v>1</v>
          </cell>
        </row>
        <row r="7198">
          <cell r="A7198" t="str">
            <v>20428.02960</v>
          </cell>
          <cell r="B7198" t="str">
            <v>RONDELLE DE SECURITE</v>
          </cell>
          <cell r="C7198" t="str">
            <v>CAHRK 1200GV  PLAN SEC06503001   REPS2 / REP58</v>
          </cell>
          <cell r="D7198" t="str">
            <v>PE</v>
          </cell>
          <cell r="E7198" t="str">
            <v>515.51503</v>
          </cell>
          <cell r="F7198">
            <v>22400.394199999999</v>
          </cell>
          <cell r="G7198">
            <v>1</v>
          </cell>
          <cell r="H7198">
            <v>0</v>
          </cell>
          <cell r="I7198">
            <v>0</v>
          </cell>
          <cell r="J7198">
            <v>0</v>
          </cell>
          <cell r="K7198">
            <v>0</v>
          </cell>
          <cell r="L7198">
            <v>3</v>
          </cell>
        </row>
        <row r="7199">
          <cell r="A7199" t="str">
            <v>20428.02961</v>
          </cell>
          <cell r="B7199" t="str">
            <v>JEU DE JOINT</v>
          </cell>
          <cell r="C7199" t="str">
            <v>CAHRK 1200GV  PLAN SEC06503001   REPT1,T2</v>
          </cell>
          <cell r="D7199" t="str">
            <v>PE</v>
          </cell>
          <cell r="E7199" t="str">
            <v>515.51503</v>
          </cell>
          <cell r="F7199">
            <v>256.48070000000001</v>
          </cell>
          <cell r="G7199">
            <v>1</v>
          </cell>
          <cell r="H7199">
            <v>0</v>
          </cell>
          <cell r="I7199">
            <v>0</v>
          </cell>
          <cell r="J7199">
            <v>0</v>
          </cell>
          <cell r="K7199">
            <v>0</v>
          </cell>
          <cell r="L7199">
            <v>1</v>
          </cell>
        </row>
        <row r="7200">
          <cell r="A7200" t="str">
            <v>20428.02957</v>
          </cell>
          <cell r="B7200" t="str">
            <v>BAGUE DE BUTEE ROULEMENT INFERIEUR</v>
          </cell>
          <cell r="C7200" t="str">
            <v>CAHRK 1200GV PLAN SEC06503001     REP7</v>
          </cell>
          <cell r="D7200" t="str">
            <v>PE</v>
          </cell>
          <cell r="E7200" t="str">
            <v>515.51503</v>
          </cell>
          <cell r="F7200">
            <v>7144.2305999999999</v>
          </cell>
          <cell r="G7200">
            <v>0</v>
          </cell>
          <cell r="H7200">
            <v>0</v>
          </cell>
          <cell r="I7200">
            <v>2</v>
          </cell>
          <cell r="J7200">
            <v>0</v>
          </cell>
          <cell r="K7200">
            <v>0</v>
          </cell>
          <cell r="L7200">
            <v>0</v>
          </cell>
        </row>
        <row r="7201">
          <cell r="A7201" t="str">
            <v>20428.02962</v>
          </cell>
          <cell r="B7201" t="str">
            <v>JOINT</v>
          </cell>
          <cell r="C7201" t="str">
            <v>CAHRK 1200GV  PLAN SEC06503001    REPT3</v>
          </cell>
          <cell r="D7201" t="str">
            <v>PE</v>
          </cell>
          <cell r="E7201" t="str">
            <v>515.51503</v>
          </cell>
          <cell r="F7201">
            <v>260.6832</v>
          </cell>
          <cell r="G7201">
            <v>1</v>
          </cell>
          <cell r="H7201">
            <v>0</v>
          </cell>
          <cell r="I7201">
            <v>0</v>
          </cell>
          <cell r="J7201">
            <v>0</v>
          </cell>
          <cell r="K7201">
            <v>0</v>
          </cell>
          <cell r="L7201">
            <v>1</v>
          </cell>
        </row>
        <row r="7202">
          <cell r="A7202" t="str">
            <v>20428.02963</v>
          </cell>
          <cell r="B7202" t="str">
            <v>JEU DE JOINT</v>
          </cell>
          <cell r="C7202" t="str">
            <v>CAHRK 1200GV   PLAN SEC06503001   REPT4,T5,T6</v>
          </cell>
          <cell r="D7202" t="str">
            <v>PE</v>
          </cell>
          <cell r="E7202" t="str">
            <v>515.51503</v>
          </cell>
          <cell r="F7202">
            <v>663.18960000000004</v>
          </cell>
          <cell r="G7202">
            <v>0</v>
          </cell>
          <cell r="H7202">
            <v>0</v>
          </cell>
          <cell r="I7202">
            <v>1</v>
          </cell>
          <cell r="J7202">
            <v>0</v>
          </cell>
          <cell r="K7202">
            <v>0</v>
          </cell>
          <cell r="L7202">
            <v>1</v>
          </cell>
        </row>
        <row r="7203">
          <cell r="A7203" t="str">
            <v>20492.20003</v>
          </cell>
          <cell r="B7203" t="str">
            <v>BOITE A RESSORT COMPLETE</v>
          </cell>
          <cell r="C7203" t="str">
            <v>LISEGA PLAN 44-3-44825 REF SSZ 2 A/B</v>
          </cell>
          <cell r="D7203" t="str">
            <v>PE</v>
          </cell>
          <cell r="E7203" t="str">
            <v>522.52209</v>
          </cell>
          <cell r="F7203">
            <v>35506.895299999996</v>
          </cell>
          <cell r="G7203">
            <v>0</v>
          </cell>
          <cell r="H7203">
            <v>0</v>
          </cell>
          <cell r="I7203">
            <v>0</v>
          </cell>
          <cell r="J7203">
            <v>0</v>
          </cell>
          <cell r="K7203">
            <v>0</v>
          </cell>
          <cell r="L7203">
            <v>0</v>
          </cell>
        </row>
        <row r="7204">
          <cell r="A7204" t="str">
            <v>20492.20008</v>
          </cell>
          <cell r="B7204" t="str">
            <v>BOITE A RESSORT COMPLETE</v>
          </cell>
          <cell r="C7204" t="str">
            <v>LISEGA PLAN 50-3-44825 REF 793-717-04</v>
          </cell>
          <cell r="D7204" t="str">
            <v>PE</v>
          </cell>
          <cell r="E7204" t="str">
            <v>522.52209</v>
          </cell>
          <cell r="F7204">
            <v>7280.5596999999998</v>
          </cell>
          <cell r="G7204">
            <v>0</v>
          </cell>
          <cell r="H7204">
            <v>0</v>
          </cell>
          <cell r="I7204">
            <v>0</v>
          </cell>
          <cell r="J7204">
            <v>0</v>
          </cell>
          <cell r="K7204">
            <v>0</v>
          </cell>
          <cell r="L7204">
            <v>0</v>
          </cell>
        </row>
        <row r="7205">
          <cell r="A7205" t="str">
            <v>20428.02964</v>
          </cell>
          <cell r="B7205" t="str">
            <v>JOINT</v>
          </cell>
          <cell r="C7205" t="str">
            <v>CAHRK 1200GV   PLAN SEC06503001   REPF1</v>
          </cell>
          <cell r="D7205" t="str">
            <v>PE</v>
          </cell>
          <cell r="E7205" t="str">
            <v>515.51503</v>
          </cell>
          <cell r="F7205">
            <v>1219.1998000000001</v>
          </cell>
          <cell r="G7205">
            <v>1</v>
          </cell>
          <cell r="H7205">
            <v>0</v>
          </cell>
          <cell r="I7205">
            <v>0</v>
          </cell>
          <cell r="J7205">
            <v>0</v>
          </cell>
          <cell r="K7205">
            <v>0</v>
          </cell>
          <cell r="L7205">
            <v>1</v>
          </cell>
        </row>
        <row r="7206">
          <cell r="A7206" t="str">
            <v>20428.02965</v>
          </cell>
          <cell r="B7206" t="str">
            <v>JOINT</v>
          </cell>
          <cell r="C7206" t="str">
            <v>CAHRK 1200GV  PLAN SEC06503001   REPT7</v>
          </cell>
          <cell r="D7206" t="str">
            <v>PE</v>
          </cell>
          <cell r="E7206" t="str">
            <v>515.51503</v>
          </cell>
          <cell r="F7206">
            <v>984.88710000000003</v>
          </cell>
          <cell r="G7206">
            <v>0</v>
          </cell>
          <cell r="H7206">
            <v>0</v>
          </cell>
          <cell r="I7206">
            <v>0</v>
          </cell>
          <cell r="J7206">
            <v>0</v>
          </cell>
          <cell r="K7206">
            <v>0</v>
          </cell>
          <cell r="L7206">
            <v>2</v>
          </cell>
        </row>
        <row r="7207">
          <cell r="A7207" t="str">
            <v>20428.02938</v>
          </cell>
          <cell r="B7207" t="str">
            <v>ROUE D'ASPIRATION</v>
          </cell>
          <cell r="C7207" t="str">
            <v>500VE470-54/2R PLAN SEC06.50896T     REP55</v>
          </cell>
          <cell r="D7207" t="str">
            <v>PE</v>
          </cell>
          <cell r="E7207" t="str">
            <v>515.51503</v>
          </cell>
          <cell r="F7207">
            <v>182845.69760000001</v>
          </cell>
          <cell r="G7207">
            <v>0</v>
          </cell>
          <cell r="H7207">
            <v>0</v>
          </cell>
          <cell r="I7207">
            <v>0</v>
          </cell>
          <cell r="J7207">
            <v>0</v>
          </cell>
          <cell r="K7207">
            <v>0</v>
          </cell>
          <cell r="L7207">
            <v>1</v>
          </cell>
        </row>
        <row r="7208">
          <cell r="A7208" t="str">
            <v>20492.20009</v>
          </cell>
          <cell r="B7208" t="str">
            <v>BOITE A RESSORT COMPLETE</v>
          </cell>
          <cell r="C7208" t="str">
            <v>LISEGA PLAN 51-3-44825 REF 793-717-05</v>
          </cell>
          <cell r="D7208" t="str">
            <v>PE</v>
          </cell>
          <cell r="E7208" t="str">
            <v>522.52209</v>
          </cell>
          <cell r="F7208">
            <v>7280.5596999999998</v>
          </cell>
          <cell r="G7208">
            <v>0</v>
          </cell>
          <cell r="H7208">
            <v>0</v>
          </cell>
          <cell r="I7208">
            <v>0</v>
          </cell>
          <cell r="J7208">
            <v>0</v>
          </cell>
          <cell r="K7208">
            <v>0</v>
          </cell>
          <cell r="L7208">
            <v>0</v>
          </cell>
        </row>
        <row r="7209">
          <cell r="A7209" t="str">
            <v>20492.20010</v>
          </cell>
          <cell r="B7209" t="str">
            <v>BOITE A RESSORT COMPLETE</v>
          </cell>
          <cell r="C7209" t="str">
            <v>LISEGA PLAN 52-3-44825 REF 793-717-03</v>
          </cell>
          <cell r="D7209" t="str">
            <v>PE</v>
          </cell>
          <cell r="E7209" t="str">
            <v>522.52209</v>
          </cell>
          <cell r="F7209">
            <v>5413.6350000000002</v>
          </cell>
          <cell r="G7209">
            <v>0</v>
          </cell>
          <cell r="H7209">
            <v>0</v>
          </cell>
          <cell r="I7209">
            <v>0</v>
          </cell>
          <cell r="J7209">
            <v>0</v>
          </cell>
          <cell r="K7209">
            <v>0</v>
          </cell>
          <cell r="L7209">
            <v>0</v>
          </cell>
        </row>
        <row r="7210">
          <cell r="A7210" t="str">
            <v>20492.19998</v>
          </cell>
          <cell r="B7210" t="str">
            <v>BOITE A RESSORT COMPLETE</v>
          </cell>
          <cell r="C7210" t="str">
            <v>LISEGA PLAN 38-3-44825 REF SSO 4 A/B</v>
          </cell>
          <cell r="D7210" t="str">
            <v>PE</v>
          </cell>
          <cell r="E7210" t="str">
            <v>522.52209</v>
          </cell>
          <cell r="F7210">
            <v>1608.9819</v>
          </cell>
          <cell r="G7210">
            <v>0</v>
          </cell>
          <cell r="H7210">
            <v>0</v>
          </cell>
          <cell r="I7210">
            <v>0</v>
          </cell>
          <cell r="J7210">
            <v>0</v>
          </cell>
          <cell r="K7210">
            <v>0</v>
          </cell>
          <cell r="L7210">
            <v>1</v>
          </cell>
        </row>
        <row r="7211">
          <cell r="A7211" t="str">
            <v>20492.19999</v>
          </cell>
          <cell r="B7211" t="str">
            <v>BOITE A RESSORT COMPLETE</v>
          </cell>
          <cell r="C7211" t="str">
            <v>LISEGA PLAN 39-3-44825 REF SSP 6 A/B</v>
          </cell>
          <cell r="D7211" t="str">
            <v>PE</v>
          </cell>
          <cell r="E7211" t="str">
            <v>522.52209</v>
          </cell>
          <cell r="F7211">
            <v>22433.957600000002</v>
          </cell>
          <cell r="G7211">
            <v>0</v>
          </cell>
          <cell r="H7211">
            <v>0</v>
          </cell>
          <cell r="I7211">
            <v>0</v>
          </cell>
          <cell r="J7211">
            <v>0</v>
          </cell>
          <cell r="K7211">
            <v>0</v>
          </cell>
          <cell r="L7211">
            <v>0</v>
          </cell>
        </row>
        <row r="7212">
          <cell r="A7212" t="str">
            <v>20492.20000</v>
          </cell>
          <cell r="B7212" t="str">
            <v>BOITE A RESSORT COMPLETE</v>
          </cell>
          <cell r="C7212" t="str">
            <v>LISEGA PLAN 40-3-44825 REF SSM 1 A/B</v>
          </cell>
          <cell r="D7212" t="str">
            <v>PE</v>
          </cell>
          <cell r="E7212" t="str">
            <v>522.52209</v>
          </cell>
          <cell r="F7212">
            <v>22433.957600000002</v>
          </cell>
          <cell r="G7212">
            <v>0</v>
          </cell>
          <cell r="H7212">
            <v>0</v>
          </cell>
          <cell r="I7212">
            <v>0</v>
          </cell>
          <cell r="J7212">
            <v>0</v>
          </cell>
          <cell r="K7212">
            <v>0</v>
          </cell>
          <cell r="L7212">
            <v>0</v>
          </cell>
        </row>
        <row r="7213">
          <cell r="A7213" t="str">
            <v>20492.20001</v>
          </cell>
          <cell r="B7213" t="str">
            <v>BOITE A RESSORT COMPLETE</v>
          </cell>
          <cell r="C7213" t="str">
            <v>LISEGA PLAN 41-3-44825 REF SSF 4 A/B</v>
          </cell>
          <cell r="D7213" t="str">
            <v>PE</v>
          </cell>
          <cell r="E7213" t="str">
            <v>522.52209</v>
          </cell>
          <cell r="F7213">
            <v>44845.0645</v>
          </cell>
          <cell r="G7213">
            <v>0</v>
          </cell>
          <cell r="H7213">
            <v>0</v>
          </cell>
          <cell r="I7213">
            <v>0</v>
          </cell>
          <cell r="J7213">
            <v>0</v>
          </cell>
          <cell r="K7213">
            <v>0</v>
          </cell>
          <cell r="L7213">
            <v>0</v>
          </cell>
        </row>
        <row r="7214">
          <cell r="A7214" t="str">
            <v>20399.10030</v>
          </cell>
          <cell r="B7214" t="str">
            <v>BOUCHON EN BRONZE</v>
          </cell>
          <cell r="C7214" t="str">
            <v>SUIVANT PLAN : 20 EB 004</v>
          </cell>
          <cell r="D7214" t="str">
            <v>PE</v>
          </cell>
          <cell r="E7214" t="str">
            <v>522.52213</v>
          </cell>
          <cell r="F7214">
            <v>47.88</v>
          </cell>
          <cell r="G7214">
            <v>0</v>
          </cell>
          <cell r="H7214">
            <v>200</v>
          </cell>
          <cell r="I7214">
            <v>0</v>
          </cell>
          <cell r="J7214">
            <v>0</v>
          </cell>
          <cell r="K7214">
            <v>200</v>
          </cell>
          <cell r="L7214">
            <v>188</v>
          </cell>
        </row>
        <row r="7215">
          <cell r="A7215" t="str">
            <v>20461.00643</v>
          </cell>
          <cell r="B7215" t="str">
            <v>JOINT DE DILATATION</v>
          </cell>
          <cell r="C7215" t="str">
            <v>SUIVANT PLAN : SUL.087</v>
          </cell>
          <cell r="D7215" t="str">
            <v>PE</v>
          </cell>
          <cell r="E7215" t="str">
            <v>522.52213</v>
          </cell>
          <cell r="F7215">
            <v>180000</v>
          </cell>
          <cell r="G7215">
            <v>0</v>
          </cell>
          <cell r="H7215">
            <v>0</v>
          </cell>
          <cell r="I7215">
            <v>0</v>
          </cell>
          <cell r="J7215">
            <v>0</v>
          </cell>
          <cell r="K7215">
            <v>0</v>
          </cell>
          <cell r="L7215">
            <v>0</v>
          </cell>
        </row>
        <row r="7216">
          <cell r="A7216" t="str">
            <v>20491.04442</v>
          </cell>
          <cell r="B7216" t="str">
            <v>KLAXON AVERTISSEUR</v>
          </cell>
          <cell r="C7216" t="str">
            <v>KLAXON 14927   220/240V</v>
          </cell>
          <cell r="D7216" t="str">
            <v>PE</v>
          </cell>
          <cell r="E7216" t="str">
            <v>522.52206</v>
          </cell>
          <cell r="F7216">
            <v>439.89</v>
          </cell>
          <cell r="G7216">
            <v>0</v>
          </cell>
          <cell r="H7216">
            <v>0</v>
          </cell>
          <cell r="I7216">
            <v>0</v>
          </cell>
          <cell r="J7216">
            <v>0</v>
          </cell>
          <cell r="K7216">
            <v>0</v>
          </cell>
          <cell r="L7216">
            <v>0</v>
          </cell>
        </row>
        <row r="7217">
          <cell r="A7217" t="str">
            <v>20392.00075</v>
          </cell>
          <cell r="B7217" t="str">
            <v>JEU DE RESSORTS ET JOINTS</v>
          </cell>
          <cell r="C7217" t="str">
            <v>POUR ACCOUPLEMENT TYPE 1100T T20</v>
          </cell>
          <cell r="D7217" t="str">
            <v>PE</v>
          </cell>
          <cell r="E7217" t="str">
            <v>515.51515</v>
          </cell>
          <cell r="F7217">
            <v>3260</v>
          </cell>
          <cell r="G7217">
            <v>0</v>
          </cell>
          <cell r="H7217">
            <v>0</v>
          </cell>
          <cell r="I7217">
            <v>3</v>
          </cell>
          <cell r="J7217">
            <v>0</v>
          </cell>
          <cell r="K7217">
            <v>0</v>
          </cell>
          <cell r="L7217">
            <v>0</v>
          </cell>
        </row>
        <row r="7218">
          <cell r="A7218" t="str">
            <v>20451.00319</v>
          </cell>
          <cell r="B7218" t="str">
            <v>SOUPAPE COMPLETE</v>
          </cell>
          <cell r="C7218" t="str">
            <v>SARASIN PLAN FE68Q1330AG104 SERIE 000924070001</v>
          </cell>
          <cell r="D7218" t="str">
            <v>PE</v>
          </cell>
          <cell r="E7218" t="str">
            <v>512.51201</v>
          </cell>
          <cell r="F7218">
            <v>117210.8412</v>
          </cell>
          <cell r="G7218">
            <v>0</v>
          </cell>
          <cell r="H7218">
            <v>0</v>
          </cell>
          <cell r="I7218">
            <v>0</v>
          </cell>
          <cell r="J7218">
            <v>0</v>
          </cell>
          <cell r="K7218">
            <v>0</v>
          </cell>
          <cell r="L7218">
            <v>0</v>
          </cell>
        </row>
        <row r="7219">
          <cell r="A7219" t="str">
            <v>20451.00324</v>
          </cell>
          <cell r="B7219" t="str">
            <v>SOUPAPE COMPLETE</v>
          </cell>
          <cell r="C7219" t="str">
            <v>SARASIN PLAN FE68Q1330AG104 SERIE 000924030001</v>
          </cell>
          <cell r="D7219" t="str">
            <v>PE</v>
          </cell>
          <cell r="E7219" t="str">
            <v>512.51201</v>
          </cell>
          <cell r="F7219">
            <v>7628.38</v>
          </cell>
          <cell r="G7219">
            <v>0</v>
          </cell>
          <cell r="H7219">
            <v>0</v>
          </cell>
          <cell r="I7219">
            <v>0</v>
          </cell>
          <cell r="J7219">
            <v>0</v>
          </cell>
          <cell r="K7219">
            <v>0</v>
          </cell>
          <cell r="L7219">
            <v>0</v>
          </cell>
        </row>
        <row r="7220">
          <cell r="A7220" t="str">
            <v>20415.00981</v>
          </cell>
          <cell r="B7220" t="str">
            <v>DISJONCTEUR DIFFERENTIEL 30mA - 10A</v>
          </cell>
          <cell r="C7220" t="str">
            <v>073 50 + 078 61</v>
          </cell>
          <cell r="D7220" t="str">
            <v>PE</v>
          </cell>
          <cell r="E7220" t="str">
            <v>522.52206</v>
          </cell>
          <cell r="F7220">
            <v>1169.4480000000001</v>
          </cell>
          <cell r="G7220">
            <v>0</v>
          </cell>
          <cell r="H7220">
            <v>0</v>
          </cell>
          <cell r="I7220">
            <v>0</v>
          </cell>
          <cell r="J7220">
            <v>0</v>
          </cell>
          <cell r="K7220">
            <v>0</v>
          </cell>
          <cell r="L7220">
            <v>0</v>
          </cell>
        </row>
        <row r="7221">
          <cell r="A7221" t="str">
            <v>20415.00982</v>
          </cell>
          <cell r="B7221" t="str">
            <v>INTERRUPTEUR GENERAL TRIPHASE 32A 690V NFC C63-130</v>
          </cell>
          <cell r="C7221" t="str">
            <v>225 05</v>
          </cell>
          <cell r="D7221" t="str">
            <v>PE</v>
          </cell>
          <cell r="E7221" t="str">
            <v>522.52206</v>
          </cell>
          <cell r="F7221">
            <v>584.4</v>
          </cell>
          <cell r="G7221">
            <v>0</v>
          </cell>
          <cell r="H7221">
            <v>0</v>
          </cell>
          <cell r="I7221">
            <v>0</v>
          </cell>
          <cell r="J7221">
            <v>0</v>
          </cell>
          <cell r="K7221">
            <v>0</v>
          </cell>
          <cell r="L7221">
            <v>2</v>
          </cell>
        </row>
        <row r="7222">
          <cell r="A7222" t="str">
            <v>20415.00979</v>
          </cell>
          <cell r="B7222" t="str">
            <v>COMMUTATEUR 660/230V P 1000VA</v>
          </cell>
          <cell r="C7222" t="str">
            <v>044 06</v>
          </cell>
          <cell r="D7222" t="str">
            <v>PE</v>
          </cell>
          <cell r="E7222" t="str">
            <v>522.52206</v>
          </cell>
          <cell r="F7222">
            <v>34.164000000000001</v>
          </cell>
          <cell r="G7222">
            <v>0</v>
          </cell>
          <cell r="H7222">
            <v>0</v>
          </cell>
          <cell r="I7222">
            <v>0</v>
          </cell>
          <cell r="J7222">
            <v>0</v>
          </cell>
          <cell r="K7222">
            <v>0</v>
          </cell>
          <cell r="L7222">
            <v>0</v>
          </cell>
        </row>
        <row r="7223">
          <cell r="A7223" t="str">
            <v>20415.00980</v>
          </cell>
          <cell r="B7223" t="str">
            <v>BOITE DE JONCTION</v>
          </cell>
          <cell r="C7223" t="str">
            <v>922 07</v>
          </cell>
          <cell r="D7223" t="str">
            <v>PE</v>
          </cell>
          <cell r="E7223" t="str">
            <v>522.52206</v>
          </cell>
          <cell r="F7223">
            <v>12</v>
          </cell>
          <cell r="G7223">
            <v>0</v>
          </cell>
          <cell r="H7223">
            <v>0</v>
          </cell>
          <cell r="I7223">
            <v>0</v>
          </cell>
          <cell r="J7223">
            <v>0</v>
          </cell>
          <cell r="K7223">
            <v>0</v>
          </cell>
          <cell r="L7223">
            <v>0</v>
          </cell>
        </row>
        <row r="7224">
          <cell r="A7224" t="str">
            <v>20438.01078</v>
          </cell>
          <cell r="B7224" t="str">
            <v xml:space="preserve">VANNE A PAPILLON </v>
          </cell>
          <cell r="C7224" t="str">
            <v>DN4" REF:04 811 666 TT ST2 N</v>
          </cell>
          <cell r="D7224" t="str">
            <v>PE</v>
          </cell>
          <cell r="E7224" t="str">
            <v>515.51511</v>
          </cell>
          <cell r="F7224">
            <v>21807</v>
          </cell>
          <cell r="G7224">
            <v>0</v>
          </cell>
          <cell r="H7224">
            <v>0</v>
          </cell>
          <cell r="I7224">
            <v>0</v>
          </cell>
          <cell r="J7224">
            <v>0</v>
          </cell>
          <cell r="K7224">
            <v>0</v>
          </cell>
          <cell r="L7224">
            <v>1</v>
          </cell>
        </row>
        <row r="7225">
          <cell r="A7225" t="str">
            <v>20438.01079</v>
          </cell>
          <cell r="B7225" t="str">
            <v xml:space="preserve">VANNE A BOISSEAU CONIQUE DE REGULATI0N COMPLETE </v>
          </cell>
          <cell r="C7225" t="str">
            <v>DN80 CORPS: 3"-067-0-0-P1-N SERVO XOMOX: XS130S08B POSITIONNEUR TZIDC ABB:V1845-2020150001M4 AVE BLOC MANOMETRIQUE:7959118 ELECTROVANNE ASCO:8320G712(24VDC)+FILTRE DETENDEUR</v>
          </cell>
          <cell r="D7225" t="str">
            <v>PE</v>
          </cell>
          <cell r="E7225" t="str">
            <v>515.51511</v>
          </cell>
          <cell r="F7225">
            <v>35151</v>
          </cell>
          <cell r="G7225">
            <v>0</v>
          </cell>
          <cell r="H7225">
            <v>0</v>
          </cell>
          <cell r="I7225">
            <v>0</v>
          </cell>
          <cell r="J7225">
            <v>0</v>
          </cell>
          <cell r="K7225">
            <v>0</v>
          </cell>
          <cell r="L7225">
            <v>1</v>
          </cell>
        </row>
        <row r="7226">
          <cell r="A7226" t="str">
            <v>20438.01080</v>
          </cell>
          <cell r="B7226" t="str">
            <v xml:space="preserve">VANNE A PAPILLON DOUBLE DE REGULATION COMPLETE </v>
          </cell>
          <cell r="C7226" t="str">
            <v>DN150 CORPS: 6"-XLD-21-V-1P6-27- P6-A SERVO XOMOX: XS090S04B POSITIONNEUR TZIDC ABB:V1845-2020150001M4 AVE BLOC MANOMETRIQUE:7959118 ELECTROVANNE ASCO:8320G712(24VDC)+FILTRE DETENDEUR</v>
          </cell>
          <cell r="D7226" t="str">
            <v>PE</v>
          </cell>
          <cell r="E7226" t="str">
            <v>515.51511</v>
          </cell>
          <cell r="F7226">
            <v>35216.074999999997</v>
          </cell>
          <cell r="G7226">
            <v>0</v>
          </cell>
          <cell r="H7226">
            <v>1</v>
          </cell>
          <cell r="I7226">
            <v>0</v>
          </cell>
          <cell r="J7226">
            <v>0</v>
          </cell>
          <cell r="K7226">
            <v>0</v>
          </cell>
          <cell r="L7226">
            <v>1</v>
          </cell>
        </row>
        <row r="7227">
          <cell r="A7227" t="str">
            <v>20438.01081</v>
          </cell>
          <cell r="B7227" t="str">
            <v>VANNE A PAPILLON DE REGULATION COMPLETE</v>
          </cell>
          <cell r="C7227" t="str">
            <v>DN100 CORPS: 04 811 446 TG HT1 N SERVO XOMOX: XS090S08B POSITIONNEUR TZIDC ABB:V1845-2020150001M4 AVEC BLOC MANOMETRIQUE:7959118 ELECTROVANNE ASCO:8320G712(24VDC)+FILTRE DETENDEUR</v>
          </cell>
          <cell r="D7227" t="str">
            <v>PE</v>
          </cell>
          <cell r="E7227" t="str">
            <v>515.51511</v>
          </cell>
          <cell r="F7227">
            <v>68281.55</v>
          </cell>
          <cell r="G7227">
            <v>0</v>
          </cell>
          <cell r="H7227">
            <v>0</v>
          </cell>
          <cell r="I7227">
            <v>0</v>
          </cell>
          <cell r="J7227">
            <v>0</v>
          </cell>
          <cell r="K7227">
            <v>0</v>
          </cell>
          <cell r="L7227">
            <v>2</v>
          </cell>
        </row>
        <row r="7228">
          <cell r="A7228" t="str">
            <v>20438.01082</v>
          </cell>
          <cell r="B7228" t="str">
            <v xml:space="preserve">VANNE A BOISSEAU CONIQUE DOUBLE DE REGULATI0N COMPLETE </v>
          </cell>
          <cell r="C7228" t="str">
            <v>DN100 CORPS: 4"-061-27-P6-27 P6-N SERVO XOMOX: XS130S04B POSITIONNEUR TZIDC ABB:V1845-2020150001M4 AVE BLOC MANOMETRIQUE:7959118 ELECTROVANNE ASCO:8320G712(24VDC)+FILTRE DETENDEUR</v>
          </cell>
          <cell r="D7228" t="str">
            <v>PE</v>
          </cell>
          <cell r="E7228" t="str">
            <v>515.51511</v>
          </cell>
          <cell r="F7228">
            <v>36847</v>
          </cell>
          <cell r="G7228">
            <v>0</v>
          </cell>
          <cell r="H7228">
            <v>1</v>
          </cell>
          <cell r="I7228">
            <v>0</v>
          </cell>
          <cell r="J7228">
            <v>0</v>
          </cell>
          <cell r="K7228">
            <v>0</v>
          </cell>
          <cell r="L7228">
            <v>3</v>
          </cell>
        </row>
        <row r="7229">
          <cell r="A7229" t="str">
            <v>20438.01083</v>
          </cell>
          <cell r="B7229" t="str">
            <v>VANNE A PAPILLON DE REGULATION COMPLETE</v>
          </cell>
          <cell r="C7229" t="str">
            <v>DN150 CORPS: 06 811 666 TG HT1 N SERVO XOMOX: XS090S08B POSITIONNEUR TZIDC ABB:V1845-2020150001M4 AVEC BLOC MANOMETRIQUE:7959118 ELECTROVANNE ASCO:8320G712(24VDC)+FILTRE DETENDEUR</v>
          </cell>
          <cell r="D7229" t="str">
            <v>PE</v>
          </cell>
          <cell r="E7229" t="str">
            <v>515.51511</v>
          </cell>
          <cell r="F7229">
            <v>37602</v>
          </cell>
          <cell r="G7229">
            <v>0</v>
          </cell>
          <cell r="H7229">
            <v>0</v>
          </cell>
          <cell r="I7229">
            <v>0</v>
          </cell>
          <cell r="J7229">
            <v>0</v>
          </cell>
          <cell r="K7229">
            <v>0</v>
          </cell>
          <cell r="L7229">
            <v>2</v>
          </cell>
        </row>
        <row r="7230">
          <cell r="A7230" t="str">
            <v>20438.01084</v>
          </cell>
          <cell r="B7230" t="str">
            <v xml:space="preserve">VANNE A BOISSEAU CONIQUE DE REGULATI0N COMPLETE </v>
          </cell>
          <cell r="C7230" t="str">
            <v>DN80 CORPS: 3"-067-6-6-P1-N SERVO XOMOX: XS130S08B POSITIONNEUR TZIDC ABB:V1845-2020150001M4 AVE BLOC MANOMETRIQUE:7959118 ELECTROVANNE ASCO:8320G712(24VDC)+FILTRE DETENDEUR</v>
          </cell>
          <cell r="D7230" t="str">
            <v>PE</v>
          </cell>
          <cell r="E7230" t="str">
            <v>515.51511</v>
          </cell>
          <cell r="F7230">
            <v>56313.461000000003</v>
          </cell>
          <cell r="G7230">
            <v>0</v>
          </cell>
          <cell r="H7230">
            <v>0</v>
          </cell>
          <cell r="I7230">
            <v>0</v>
          </cell>
          <cell r="J7230">
            <v>1</v>
          </cell>
          <cell r="K7230">
            <v>1</v>
          </cell>
          <cell r="L7230">
            <v>0</v>
          </cell>
        </row>
        <row r="7231">
          <cell r="A7231" t="str">
            <v>20438.01085</v>
          </cell>
          <cell r="B7231" t="str">
            <v xml:space="preserve">VANNE A BOISSEAU CONIQUE DE REGULATI0N COMPLETE </v>
          </cell>
          <cell r="C7231" t="str">
            <v>DN100 CORPS: 4"-067-27-27-P1-N SERVO XOMOX: XS130S08B POSITIONNEUR TZIDC ABB:V1845-2020150001M4 AVE BLOC MANOMETRIQUE:7959118 ELECTROVANNE ASCO:8320G712(24VDC)+FILTRE DETENDEUR</v>
          </cell>
          <cell r="D7231" t="str">
            <v>PE</v>
          </cell>
          <cell r="E7231" t="str">
            <v>515.51511</v>
          </cell>
          <cell r="F7231">
            <v>67410.557000000001</v>
          </cell>
          <cell r="G7231">
            <v>0</v>
          </cell>
          <cell r="H7231">
            <v>2</v>
          </cell>
          <cell r="I7231">
            <v>0</v>
          </cell>
          <cell r="J7231">
            <v>0</v>
          </cell>
          <cell r="K7231">
            <v>0</v>
          </cell>
          <cell r="L7231">
            <v>0</v>
          </cell>
        </row>
        <row r="7232">
          <cell r="A7232" t="str">
            <v>20438.01105</v>
          </cell>
          <cell r="B7232" t="str">
            <v xml:space="preserve">VANNE A BOISSEAU CONIQUE A 2 VOIES DE REGULATI0N COMPLETE </v>
          </cell>
          <cell r="C7232" t="str">
            <v xml:space="preserve">PLAN :TYPE 067 DN150 BRIDES CLASSE 150RF NUANCE UB6PM/UB6PM OPERATEUR PNEUMATIQUE SIMPLE EFFET XOMOX XD630S08,ELECTROVANNE ASCO 8320G712 (24VDC) COMMANDE MANUELLE DE SECOUR BOITIER SOLDOALU+COUVERCLE TRANSPARANT TYPE SIB 62281-213+2 </v>
          </cell>
          <cell r="D7232" t="str">
            <v>PE</v>
          </cell>
          <cell r="E7232" t="str">
            <v>515.51511</v>
          </cell>
          <cell r="F7232">
            <v>74287</v>
          </cell>
          <cell r="G7232">
            <v>3</v>
          </cell>
          <cell r="H7232">
            <v>2</v>
          </cell>
          <cell r="I7232">
            <v>0</v>
          </cell>
          <cell r="J7232">
            <v>0</v>
          </cell>
          <cell r="K7232">
            <v>1</v>
          </cell>
          <cell r="L7232">
            <v>0</v>
          </cell>
        </row>
        <row r="7233">
          <cell r="A7233" t="str">
            <v>20438.01106</v>
          </cell>
          <cell r="B7233" t="str">
            <v xml:space="preserve">VANNE A BOISSEAU CONIQUE A 2 VOIES DE REGULATI0N COMPLETE </v>
          </cell>
          <cell r="C7233" t="str">
            <v>PLAN:TYPE 5067 DN150 CV 100% BRIDES CLASSE 150RF NUANCE UB6PM/UB6PM OPERATEUR PNEUMATIQUE SIMPLE EFFET XOMOX XD630S08,ELECTROVANNE ASCO 8320G712,POSITIONNEUR ELECTROPNEUMATIQUE TZIDC ABB V18345-202015001M4 AVEC BLOC MANOMETRIQUE 7959360 ELECTROVANNE CORPS INOX G 1/4" ASCO8320G712(24VDC)</v>
          </cell>
          <cell r="D7233" t="str">
            <v>PE</v>
          </cell>
          <cell r="E7233" t="str">
            <v>515.51511</v>
          </cell>
          <cell r="F7233">
            <v>107221.274</v>
          </cell>
          <cell r="G7233">
            <v>0</v>
          </cell>
          <cell r="H7233">
            <v>0</v>
          </cell>
          <cell r="I7233">
            <v>0</v>
          </cell>
          <cell r="J7233">
            <v>2</v>
          </cell>
          <cell r="K7233">
            <v>6</v>
          </cell>
          <cell r="L7233">
            <v>0</v>
          </cell>
        </row>
        <row r="7234">
          <cell r="A7234" t="str">
            <v>20415.01064</v>
          </cell>
          <cell r="B7234" t="str">
            <v>COFFRET IP559 1000 X 800</v>
          </cell>
          <cell r="C7234" t="str">
            <v>352 63</v>
          </cell>
          <cell r="D7234" t="str">
            <v>PE</v>
          </cell>
          <cell r="E7234" t="str">
            <v>522.52206</v>
          </cell>
          <cell r="F7234">
            <v>3817</v>
          </cell>
          <cell r="G7234">
            <v>0</v>
          </cell>
          <cell r="H7234">
            <v>1</v>
          </cell>
          <cell r="I7234">
            <v>0</v>
          </cell>
          <cell r="J7234">
            <v>0</v>
          </cell>
          <cell r="K7234">
            <v>0</v>
          </cell>
          <cell r="L7234">
            <v>0</v>
          </cell>
        </row>
        <row r="7235">
          <cell r="A7235" t="str">
            <v>20438.01051</v>
          </cell>
          <cell r="B7235" t="str">
            <v xml:space="preserve">SERVOMOTEUR SIMPLE EFFET </v>
          </cell>
          <cell r="C7235" t="str">
            <v>XRP-XS630-S08 B</v>
          </cell>
          <cell r="D7235" t="str">
            <v>PE</v>
          </cell>
          <cell r="E7235" t="str">
            <v>515.51511</v>
          </cell>
          <cell r="F7235">
            <v>65075.9931</v>
          </cell>
          <cell r="G7235">
            <v>0</v>
          </cell>
          <cell r="H7235">
            <v>2</v>
          </cell>
          <cell r="I7235">
            <v>0</v>
          </cell>
          <cell r="J7235">
            <v>0</v>
          </cell>
          <cell r="K7235">
            <v>0</v>
          </cell>
          <cell r="L7235">
            <v>0</v>
          </cell>
        </row>
        <row r="7236">
          <cell r="A7236" t="str">
            <v>20438.01052</v>
          </cell>
          <cell r="B7236" t="str">
            <v xml:space="preserve">SERVOMOTEUR SIMPLE EFFET </v>
          </cell>
          <cell r="C7236" t="str">
            <v>XRP-XS205-S08 B</v>
          </cell>
          <cell r="D7236" t="str">
            <v>PE</v>
          </cell>
          <cell r="E7236" t="str">
            <v>515.51511</v>
          </cell>
          <cell r="F7236">
            <v>47700.73</v>
          </cell>
          <cell r="G7236">
            <v>0</v>
          </cell>
          <cell r="H7236">
            <v>0</v>
          </cell>
          <cell r="I7236">
            <v>1</v>
          </cell>
          <cell r="J7236">
            <v>0</v>
          </cell>
          <cell r="K7236">
            <v>0</v>
          </cell>
          <cell r="L7236">
            <v>1</v>
          </cell>
        </row>
        <row r="7237">
          <cell r="A7237" t="str">
            <v>20438.01077</v>
          </cell>
          <cell r="B7237" t="str">
            <v xml:space="preserve">VANNE A PAPILLON </v>
          </cell>
          <cell r="C7237" t="str">
            <v>DN6"REF:06 811 267 TT ST2 N</v>
          </cell>
          <cell r="D7237" t="str">
            <v>PE</v>
          </cell>
          <cell r="E7237" t="str">
            <v>515.51511</v>
          </cell>
          <cell r="F7237">
            <v>5871.1379999999999</v>
          </cell>
          <cell r="G7237">
            <v>0</v>
          </cell>
          <cell r="H7237">
            <v>0</v>
          </cell>
          <cell r="I7237">
            <v>0</v>
          </cell>
          <cell r="J7237">
            <v>0</v>
          </cell>
          <cell r="K7237">
            <v>0</v>
          </cell>
          <cell r="L7237">
            <v>1</v>
          </cell>
        </row>
        <row r="7238">
          <cell r="A7238" t="str">
            <v>20415.00519</v>
          </cell>
          <cell r="B7238" t="str">
            <v>BOITE JONCTION CARR 80X80X36</v>
          </cell>
          <cell r="C7238" t="str">
            <v>921 12</v>
          </cell>
          <cell r="D7238" t="str">
            <v>PE</v>
          </cell>
          <cell r="E7238" t="str">
            <v>522.52206</v>
          </cell>
          <cell r="F7238">
            <v>5.4</v>
          </cell>
          <cell r="G7238">
            <v>0</v>
          </cell>
          <cell r="H7238">
            <v>0</v>
          </cell>
          <cell r="I7238">
            <v>0</v>
          </cell>
          <cell r="J7238">
            <v>0</v>
          </cell>
          <cell r="K7238">
            <v>0</v>
          </cell>
          <cell r="L7238">
            <v>0</v>
          </cell>
        </row>
        <row r="7239">
          <cell r="A7239" t="str">
            <v>20431.00722</v>
          </cell>
          <cell r="B7239" t="str">
            <v>GOUPILLE NF EN 28752-3,0X10</v>
          </cell>
          <cell r="C7239" t="str">
            <v>MILTON ROY 4310005442N</v>
          </cell>
          <cell r="D7239" t="str">
            <v>PE</v>
          </cell>
          <cell r="E7239" t="str">
            <v>515.51511</v>
          </cell>
          <cell r="F7239">
            <v>29.4</v>
          </cell>
          <cell r="G7239">
            <v>0</v>
          </cell>
          <cell r="H7239">
            <v>0</v>
          </cell>
          <cell r="I7239">
            <v>0</v>
          </cell>
          <cell r="J7239">
            <v>0</v>
          </cell>
          <cell r="K7239">
            <v>2</v>
          </cell>
          <cell r="L7239">
            <v>0</v>
          </cell>
        </row>
        <row r="7240">
          <cell r="A7240" t="str">
            <v>20431.00723</v>
          </cell>
          <cell r="B7240" t="str">
            <v>SEGMENT ARRET</v>
          </cell>
          <cell r="C7240" t="str">
            <v>MILTON ROY 4340031281N</v>
          </cell>
          <cell r="D7240" t="str">
            <v>PE</v>
          </cell>
          <cell r="E7240" t="str">
            <v>515.51511</v>
          </cell>
          <cell r="F7240">
            <v>39.984000000000002</v>
          </cell>
          <cell r="G7240">
            <v>0</v>
          </cell>
          <cell r="H7240">
            <v>0</v>
          </cell>
          <cell r="I7240">
            <v>0</v>
          </cell>
          <cell r="J7240">
            <v>0</v>
          </cell>
          <cell r="K7240">
            <v>2</v>
          </cell>
          <cell r="L7240">
            <v>0</v>
          </cell>
        </row>
        <row r="7241">
          <cell r="A7241" t="str">
            <v>20431.00724</v>
          </cell>
          <cell r="B7241" t="str">
            <v>CIRCLIPS NF E 22-163-15X1,00</v>
          </cell>
          <cell r="C7241" t="str">
            <v>MILTON ROY 4340061151N</v>
          </cell>
          <cell r="D7241" t="str">
            <v>PE</v>
          </cell>
          <cell r="E7241" t="str">
            <v>515.51511</v>
          </cell>
          <cell r="F7241">
            <v>397.488</v>
          </cell>
          <cell r="G7241">
            <v>0</v>
          </cell>
          <cell r="H7241">
            <v>0</v>
          </cell>
          <cell r="I7241">
            <v>0</v>
          </cell>
          <cell r="J7241">
            <v>0</v>
          </cell>
          <cell r="K7241">
            <v>0</v>
          </cell>
          <cell r="L7241">
            <v>2</v>
          </cell>
        </row>
        <row r="7242">
          <cell r="A7242" t="str">
            <v>20431.00748</v>
          </cell>
          <cell r="B7242" t="str">
            <v>CLAPET</v>
          </cell>
          <cell r="C7242" t="str">
            <v>MILTON ROY 01203690233N</v>
          </cell>
          <cell r="D7242" t="str">
            <v>PE</v>
          </cell>
          <cell r="E7242" t="str">
            <v>515.51511</v>
          </cell>
          <cell r="F7242">
            <v>10137.120000000001</v>
          </cell>
          <cell r="G7242">
            <v>0</v>
          </cell>
          <cell r="H7242">
            <v>0</v>
          </cell>
          <cell r="I7242">
            <v>0</v>
          </cell>
          <cell r="J7242">
            <v>0</v>
          </cell>
          <cell r="K7242">
            <v>0</v>
          </cell>
          <cell r="L7242">
            <v>6</v>
          </cell>
        </row>
        <row r="7243">
          <cell r="A7243" t="str">
            <v>20431.00749</v>
          </cell>
          <cell r="B7243" t="str">
            <v>BAGUE</v>
          </cell>
          <cell r="C7243" t="str">
            <v>MILTON ROY 01904170025N</v>
          </cell>
          <cell r="D7243" t="str">
            <v>PE</v>
          </cell>
          <cell r="E7243" t="str">
            <v>515.51511</v>
          </cell>
          <cell r="F7243">
            <v>223.44</v>
          </cell>
          <cell r="G7243">
            <v>0</v>
          </cell>
          <cell r="H7243">
            <v>0</v>
          </cell>
          <cell r="I7243">
            <v>0</v>
          </cell>
          <cell r="J7243">
            <v>0</v>
          </cell>
          <cell r="K7243">
            <v>0</v>
          </cell>
          <cell r="L7243">
            <v>6</v>
          </cell>
        </row>
        <row r="7244">
          <cell r="A7244" t="str">
            <v>20431.00750</v>
          </cell>
          <cell r="B7244" t="str">
            <v>JOINT DE CLAPET</v>
          </cell>
          <cell r="C7244" t="str">
            <v>MILTON ROY 02502160051N</v>
          </cell>
          <cell r="D7244" t="str">
            <v>PE</v>
          </cell>
          <cell r="E7244" t="str">
            <v>515.51511</v>
          </cell>
          <cell r="F7244">
            <v>764.4</v>
          </cell>
          <cell r="G7244">
            <v>0</v>
          </cell>
          <cell r="H7244">
            <v>0</v>
          </cell>
          <cell r="I7244">
            <v>0</v>
          </cell>
          <cell r="J7244">
            <v>0</v>
          </cell>
          <cell r="K7244">
            <v>0</v>
          </cell>
          <cell r="L7244">
            <v>6</v>
          </cell>
        </row>
        <row r="7245">
          <cell r="A7245" t="str">
            <v>20431.00751</v>
          </cell>
          <cell r="B7245" t="str">
            <v>RESSORT</v>
          </cell>
          <cell r="C7245" t="str">
            <v>MILTON ROY 08001880025N</v>
          </cell>
          <cell r="D7245" t="str">
            <v>PE</v>
          </cell>
          <cell r="E7245" t="str">
            <v>515.51511</v>
          </cell>
          <cell r="F7245">
            <v>376.32</v>
          </cell>
          <cell r="G7245">
            <v>0</v>
          </cell>
          <cell r="H7245">
            <v>0</v>
          </cell>
          <cell r="I7245">
            <v>0</v>
          </cell>
          <cell r="J7245">
            <v>0</v>
          </cell>
          <cell r="K7245">
            <v>0</v>
          </cell>
          <cell r="L7245">
            <v>6</v>
          </cell>
        </row>
        <row r="7246">
          <cell r="A7246" t="str">
            <v>20431.00752</v>
          </cell>
          <cell r="B7246" t="str">
            <v>BUTEE DE BILLE/ B.A.C  3/4</v>
          </cell>
          <cell r="C7246" t="str">
            <v>MILTON ROY 2920010226N</v>
          </cell>
          <cell r="D7246" t="str">
            <v>PE</v>
          </cell>
          <cell r="E7246" t="str">
            <v>515.51511</v>
          </cell>
          <cell r="F7246">
            <v>1528.8</v>
          </cell>
          <cell r="G7246">
            <v>0</v>
          </cell>
          <cell r="H7246">
            <v>0</v>
          </cell>
          <cell r="I7246">
            <v>0</v>
          </cell>
          <cell r="J7246">
            <v>0</v>
          </cell>
          <cell r="K7246">
            <v>0</v>
          </cell>
          <cell r="L7246">
            <v>6</v>
          </cell>
        </row>
        <row r="7247">
          <cell r="A7247" t="str">
            <v>20431.00725</v>
          </cell>
          <cell r="B7247" t="str">
            <v>JOINT TORIQUE 21,3X3,6</v>
          </cell>
          <cell r="C7247" t="str">
            <v>MILTON ROY 4380006191N</v>
          </cell>
          <cell r="D7247" t="str">
            <v>PE</v>
          </cell>
          <cell r="E7247" t="str">
            <v>515.51511</v>
          </cell>
          <cell r="F7247">
            <v>197.56800000000001</v>
          </cell>
          <cell r="G7247">
            <v>0</v>
          </cell>
          <cell r="H7247">
            <v>0</v>
          </cell>
          <cell r="I7247">
            <v>0</v>
          </cell>
          <cell r="J7247">
            <v>0</v>
          </cell>
          <cell r="K7247">
            <v>0</v>
          </cell>
          <cell r="L7247">
            <v>2</v>
          </cell>
        </row>
        <row r="7248">
          <cell r="A7248" t="str">
            <v>20431.00745</v>
          </cell>
          <cell r="B7248" t="str">
            <v>ROTULE</v>
          </cell>
          <cell r="C7248" t="str">
            <v>MILTON ROY 4390048000N</v>
          </cell>
          <cell r="D7248" t="str">
            <v>PE</v>
          </cell>
          <cell r="E7248" t="str">
            <v>515.51511</v>
          </cell>
          <cell r="F7248">
            <v>491.56799999999998</v>
          </cell>
          <cell r="G7248">
            <v>0</v>
          </cell>
          <cell r="H7248">
            <v>0</v>
          </cell>
          <cell r="I7248">
            <v>0</v>
          </cell>
          <cell r="J7248">
            <v>0</v>
          </cell>
          <cell r="K7248">
            <v>0</v>
          </cell>
          <cell r="L7248">
            <v>4</v>
          </cell>
        </row>
        <row r="7249">
          <cell r="A7249" t="str">
            <v>20431.00746</v>
          </cell>
          <cell r="B7249" t="str">
            <v>ECROU 1*1/2</v>
          </cell>
          <cell r="C7249" t="str">
            <v>MILTON ROY 0080122071N</v>
          </cell>
          <cell r="D7249" t="str">
            <v>PE</v>
          </cell>
          <cell r="E7249" t="str">
            <v>515.51511</v>
          </cell>
          <cell r="F7249">
            <v>623.28</v>
          </cell>
          <cell r="G7249">
            <v>0</v>
          </cell>
          <cell r="H7249">
            <v>0</v>
          </cell>
          <cell r="I7249">
            <v>0</v>
          </cell>
          <cell r="J7249">
            <v>0</v>
          </cell>
          <cell r="K7249">
            <v>0</v>
          </cell>
          <cell r="L7249">
            <v>16</v>
          </cell>
        </row>
        <row r="7250">
          <cell r="A7250" t="str">
            <v>20431.00747</v>
          </cell>
          <cell r="B7250" t="str">
            <v>COLLET LISSE DN25*32</v>
          </cell>
          <cell r="C7250" t="str">
            <v>MILTON ROY 4320350008N</v>
          </cell>
          <cell r="D7250" t="str">
            <v>PE</v>
          </cell>
          <cell r="E7250" t="str">
            <v>515.51511</v>
          </cell>
          <cell r="F7250">
            <v>599.76</v>
          </cell>
          <cell r="G7250">
            <v>0</v>
          </cell>
          <cell r="H7250">
            <v>0</v>
          </cell>
          <cell r="I7250">
            <v>0</v>
          </cell>
          <cell r="J7250">
            <v>0</v>
          </cell>
          <cell r="K7250">
            <v>0</v>
          </cell>
          <cell r="L7250">
            <v>16</v>
          </cell>
        </row>
        <row r="7251">
          <cell r="A7251" t="str">
            <v>20431.00753</v>
          </cell>
          <cell r="B7251" t="str">
            <v>COUPLE ROUE/1/12 PL N°1066,122,000</v>
          </cell>
          <cell r="C7251" t="str">
            <v>05203181000N</v>
          </cell>
          <cell r="D7251" t="str">
            <v>PE</v>
          </cell>
          <cell r="E7251" t="str">
            <v>515.51511</v>
          </cell>
          <cell r="F7251">
            <v>39137.279999999999</v>
          </cell>
          <cell r="G7251">
            <v>0</v>
          </cell>
          <cell r="H7251">
            <v>0</v>
          </cell>
          <cell r="I7251">
            <v>0</v>
          </cell>
          <cell r="J7251">
            <v>0</v>
          </cell>
          <cell r="K7251">
            <v>0</v>
          </cell>
          <cell r="L7251">
            <v>1</v>
          </cell>
        </row>
        <row r="7252">
          <cell r="A7252" t="str">
            <v>20431.00754</v>
          </cell>
          <cell r="B7252" t="str">
            <v>COUPLE ROUE/1/12 PL N°1066,122,000</v>
          </cell>
          <cell r="C7252" t="str">
            <v>05203182000N</v>
          </cell>
          <cell r="D7252" t="str">
            <v>PE</v>
          </cell>
          <cell r="E7252" t="str">
            <v>515.51511</v>
          </cell>
          <cell r="F7252">
            <v>39137.279999999999</v>
          </cell>
          <cell r="G7252">
            <v>0</v>
          </cell>
          <cell r="H7252">
            <v>0</v>
          </cell>
          <cell r="I7252">
            <v>0</v>
          </cell>
          <cell r="J7252">
            <v>0</v>
          </cell>
          <cell r="K7252">
            <v>0</v>
          </cell>
          <cell r="L7252">
            <v>0</v>
          </cell>
        </row>
        <row r="7253">
          <cell r="A7253" t="str">
            <v>20431.00420</v>
          </cell>
          <cell r="B7253" t="str">
            <v>CORPS DE BOITE A CLAPET</v>
          </cell>
          <cell r="C7253" t="str">
            <v>77385   TYPE  MILTON ROY CEGA 5P1T3</v>
          </cell>
          <cell r="D7253" t="str">
            <v>PE</v>
          </cell>
          <cell r="E7253" t="str">
            <v>515.51511</v>
          </cell>
          <cell r="F7253">
            <v>85.278499999999994</v>
          </cell>
          <cell r="G7253">
            <v>0</v>
          </cell>
          <cell r="H7253">
            <v>0</v>
          </cell>
          <cell r="I7253">
            <v>0</v>
          </cell>
          <cell r="J7253">
            <v>0</v>
          </cell>
          <cell r="K7253">
            <v>0</v>
          </cell>
          <cell r="L7253">
            <v>8</v>
          </cell>
        </row>
        <row r="7254">
          <cell r="A7254" t="str">
            <v>20438.00502</v>
          </cell>
          <cell r="B7254" t="str">
            <v>KIT DE RECHANGES POUR ACTIONNEUR SIMPLE EFFET</v>
          </cell>
          <cell r="C7254" t="str">
            <v>XSRE313012 MODEL XS130</v>
          </cell>
          <cell r="D7254" t="str">
            <v>PE</v>
          </cell>
          <cell r="E7254" t="str">
            <v>515.51511</v>
          </cell>
          <cell r="F7254">
            <v>1469.1479999999999</v>
          </cell>
          <cell r="G7254">
            <v>0</v>
          </cell>
          <cell r="H7254">
            <v>0</v>
          </cell>
          <cell r="I7254">
            <v>0</v>
          </cell>
          <cell r="J7254">
            <v>0</v>
          </cell>
          <cell r="K7254">
            <v>0</v>
          </cell>
          <cell r="L7254">
            <v>15</v>
          </cell>
        </row>
        <row r="7255">
          <cell r="A7255" t="str">
            <v>20438.00503</v>
          </cell>
          <cell r="B7255" t="str">
            <v>KIT DE RECHANGES POUR ACTIONNEUR SIMPLE EFFET</v>
          </cell>
          <cell r="C7255" t="str">
            <v>XSRE318012 MODEL XS180</v>
          </cell>
          <cell r="D7255" t="str">
            <v>PE</v>
          </cell>
          <cell r="E7255" t="str">
            <v>515.51511</v>
          </cell>
          <cell r="F7255">
            <v>2331.4740000000002</v>
          </cell>
          <cell r="G7255">
            <v>0</v>
          </cell>
          <cell r="H7255">
            <v>0</v>
          </cell>
          <cell r="I7255">
            <v>0</v>
          </cell>
          <cell r="J7255">
            <v>0</v>
          </cell>
          <cell r="K7255">
            <v>0</v>
          </cell>
          <cell r="L7255">
            <v>10</v>
          </cell>
        </row>
        <row r="7256">
          <cell r="A7256" t="str">
            <v>20438.00028</v>
          </cell>
          <cell r="B7256" t="str">
            <v>VANNE A BOISSEAU A ENVELOPPE DE RECHAUFFAGE A 2 VOIES</v>
          </cell>
          <cell r="C7256" t="str">
            <v xml:space="preserve">067FJ    DN 2"x1"x2"  BRIDE CLASSE 150   ECARTEMENT 190MM </v>
          </cell>
          <cell r="D7256" t="str">
            <v>PE</v>
          </cell>
          <cell r="E7256" t="str">
            <v>515.51511</v>
          </cell>
          <cell r="F7256">
            <v>5182.4547000000002</v>
          </cell>
          <cell r="G7256">
            <v>0</v>
          </cell>
          <cell r="H7256">
            <v>1</v>
          </cell>
          <cell r="I7256">
            <v>0</v>
          </cell>
          <cell r="J7256">
            <v>0</v>
          </cell>
          <cell r="K7256">
            <v>0</v>
          </cell>
          <cell r="L7256">
            <v>4</v>
          </cell>
        </row>
        <row r="7257">
          <cell r="A7257" t="str">
            <v>20438.00029</v>
          </cell>
          <cell r="B7257" t="str">
            <v>VANNE A BOISSEAU A ENVELOPPE DE RECHAUFFAGE A 2 VOIES</v>
          </cell>
          <cell r="C7257" t="str">
            <v xml:space="preserve">067FJ   DN 2"1/2 x1"1/2 x2"1/2  BRIDE  CLASSE 150 ECARTEMENT 200MM </v>
          </cell>
          <cell r="D7257" t="str">
            <v>PE</v>
          </cell>
          <cell r="E7257" t="str">
            <v>515.51511</v>
          </cell>
          <cell r="F7257">
            <v>6047.3837999999996</v>
          </cell>
          <cell r="G7257">
            <v>0</v>
          </cell>
          <cell r="H7257">
            <v>1</v>
          </cell>
          <cell r="I7257">
            <v>0</v>
          </cell>
          <cell r="J7257">
            <v>0</v>
          </cell>
          <cell r="K7257">
            <v>0</v>
          </cell>
          <cell r="L7257">
            <v>4</v>
          </cell>
        </row>
        <row r="7258">
          <cell r="A7258" t="str">
            <v>20438.00030</v>
          </cell>
          <cell r="B7258" t="str">
            <v>VANNE A BOISSEAU A ENVELOPPE DE RECHAUFFAGE</v>
          </cell>
          <cell r="C7258" t="str">
            <v xml:space="preserve">TYPE 127 H  DIN PN10-40   BRIDE DN 50  PN 10   ECARTEMENT 230MM </v>
          </cell>
          <cell r="D7258" t="str">
            <v>PE</v>
          </cell>
          <cell r="E7258" t="str">
            <v>515.51511</v>
          </cell>
          <cell r="F7258">
            <v>26122.533599999999</v>
          </cell>
          <cell r="G7258">
            <v>0</v>
          </cell>
          <cell r="H7258">
            <v>0</v>
          </cell>
          <cell r="I7258">
            <v>0</v>
          </cell>
          <cell r="J7258">
            <v>0</v>
          </cell>
          <cell r="K7258">
            <v>0</v>
          </cell>
          <cell r="L7258">
            <v>2</v>
          </cell>
        </row>
        <row r="7259">
          <cell r="A7259" t="str">
            <v>20449.00200</v>
          </cell>
          <cell r="B7259" t="str">
            <v>CLAPET HORIZONT A PISTON</v>
          </cell>
          <cell r="C7259" t="str">
            <v>SERSEG FIG 4208-18 800LBS TYPE 180 DN 3/4 POUCE</v>
          </cell>
          <cell r="D7259" t="str">
            <v>PE</v>
          </cell>
          <cell r="E7259" t="str">
            <v>515.51511</v>
          </cell>
          <cell r="F7259">
            <v>490.23910000000001</v>
          </cell>
          <cell r="G7259">
            <v>0</v>
          </cell>
          <cell r="H7259">
            <v>0</v>
          </cell>
          <cell r="I7259">
            <v>0</v>
          </cell>
          <cell r="J7259">
            <v>0</v>
          </cell>
          <cell r="K7259">
            <v>0</v>
          </cell>
          <cell r="L7259">
            <v>0</v>
          </cell>
        </row>
        <row r="7260">
          <cell r="A7260" t="str">
            <v>20399.10149</v>
          </cell>
          <cell r="B7260" t="str">
            <v>CROCHET EN INOX</v>
          </cell>
          <cell r="C7260" t="str">
            <v>SUIVANT PLAN : 103-PS-1275/00</v>
          </cell>
          <cell r="D7260" t="str">
            <v>PE</v>
          </cell>
          <cell r="E7260" t="str">
            <v>522.52213</v>
          </cell>
          <cell r="F7260">
            <v>137.5</v>
          </cell>
          <cell r="G7260">
            <v>0</v>
          </cell>
          <cell r="H7260">
            <v>0</v>
          </cell>
          <cell r="I7260">
            <v>100</v>
          </cell>
          <cell r="J7260">
            <v>0</v>
          </cell>
          <cell r="K7260">
            <v>110</v>
          </cell>
          <cell r="L7260">
            <v>420</v>
          </cell>
        </row>
        <row r="7261">
          <cell r="A7261" t="str">
            <v>20399.11299</v>
          </cell>
          <cell r="B7261" t="str">
            <v>TAMBOUR</v>
          </cell>
          <cell r="C7261" t="str">
            <v>SUIVANT PLAN : PMP-CVUD2/001</v>
          </cell>
          <cell r="D7261" t="str">
            <v>PE</v>
          </cell>
          <cell r="E7261" t="str">
            <v>522.52213</v>
          </cell>
          <cell r="F7261">
            <v>55116.955099999999</v>
          </cell>
          <cell r="G7261">
            <v>0</v>
          </cell>
          <cell r="H7261">
            <v>0</v>
          </cell>
          <cell r="I7261">
            <v>0</v>
          </cell>
          <cell r="J7261">
            <v>0</v>
          </cell>
          <cell r="K7261">
            <v>0</v>
          </cell>
          <cell r="L7261">
            <v>1</v>
          </cell>
        </row>
        <row r="7262">
          <cell r="A7262" t="str">
            <v>20211.00206</v>
          </cell>
          <cell r="B7262" t="str">
            <v>TRANSMETTEUR DE PRESSION</v>
          </cell>
          <cell r="C7262" t="str">
            <v>7MF4233-1GY00-1AC6</v>
          </cell>
          <cell r="D7262" t="str">
            <v>PE</v>
          </cell>
          <cell r="E7262" t="str">
            <v>512.51201</v>
          </cell>
          <cell r="F7262">
            <v>20689.727500000001</v>
          </cell>
          <cell r="G7262">
            <v>0</v>
          </cell>
          <cell r="H7262">
            <v>0</v>
          </cell>
          <cell r="I7262">
            <v>1</v>
          </cell>
          <cell r="J7262">
            <v>0</v>
          </cell>
          <cell r="K7262">
            <v>0</v>
          </cell>
          <cell r="L7262">
            <v>0</v>
          </cell>
        </row>
        <row r="7263">
          <cell r="A7263" t="str">
            <v>20211.00497</v>
          </cell>
          <cell r="B7263" t="str">
            <v>SIEGE</v>
          </cell>
          <cell r="C7263" t="str">
            <v>PLAN ZG053043.1 REP42</v>
          </cell>
          <cell r="D7263" t="str">
            <v>PE</v>
          </cell>
          <cell r="E7263" t="str">
            <v>512.51201</v>
          </cell>
          <cell r="F7263">
            <v>38086</v>
          </cell>
          <cell r="G7263">
            <v>0</v>
          </cell>
          <cell r="H7263">
            <v>0</v>
          </cell>
          <cell r="I7263">
            <v>0</v>
          </cell>
          <cell r="J7263">
            <v>0</v>
          </cell>
          <cell r="K7263">
            <v>0</v>
          </cell>
          <cell r="L7263">
            <v>0</v>
          </cell>
        </row>
        <row r="7264">
          <cell r="A7264" t="str">
            <v>20211.00499</v>
          </cell>
          <cell r="B7264" t="str">
            <v>GOUPILLE</v>
          </cell>
          <cell r="C7264" t="str">
            <v>PLAN ZG053043.1 REP19</v>
          </cell>
          <cell r="D7264" t="str">
            <v>PE</v>
          </cell>
          <cell r="E7264" t="str">
            <v>512.51201</v>
          </cell>
          <cell r="F7264">
            <v>761</v>
          </cell>
          <cell r="G7264">
            <v>0</v>
          </cell>
          <cell r="H7264">
            <v>0</v>
          </cell>
          <cell r="I7264">
            <v>0</v>
          </cell>
          <cell r="J7264">
            <v>0</v>
          </cell>
          <cell r="K7264">
            <v>0</v>
          </cell>
          <cell r="L7264">
            <v>0</v>
          </cell>
        </row>
        <row r="7265">
          <cell r="A7265" t="str">
            <v>20211.00500</v>
          </cell>
          <cell r="B7265" t="str">
            <v>VIS DE SERRAGE</v>
          </cell>
          <cell r="C7265" t="str">
            <v>PLAN ZG053043.1 REP18</v>
          </cell>
          <cell r="D7265" t="str">
            <v>PE</v>
          </cell>
          <cell r="E7265" t="str">
            <v>512.51201</v>
          </cell>
          <cell r="F7265">
            <v>533</v>
          </cell>
          <cell r="G7265">
            <v>0</v>
          </cell>
          <cell r="H7265">
            <v>0</v>
          </cell>
          <cell r="I7265">
            <v>0</v>
          </cell>
          <cell r="J7265">
            <v>0</v>
          </cell>
          <cell r="K7265">
            <v>0</v>
          </cell>
          <cell r="L7265">
            <v>0</v>
          </cell>
        </row>
        <row r="7266">
          <cell r="A7266" t="str">
            <v>20211.10276</v>
          </cell>
          <cell r="B7266" t="str">
            <v>GOUPILLE CANNELEE</v>
          </cell>
          <cell r="C7266" t="str">
            <v>KN30908   TURBINE TYPE SST-400 ATP3 CE 190L-1 SERIE T6453 PLAN ZG046138.0 REP12</v>
          </cell>
          <cell r="D7266" t="str">
            <v>PE</v>
          </cell>
          <cell r="E7266" t="str">
            <v>512.51201</v>
          </cell>
          <cell r="F7266">
            <v>78.569999999999993</v>
          </cell>
          <cell r="G7266">
            <v>0</v>
          </cell>
          <cell r="H7266">
            <v>0</v>
          </cell>
          <cell r="I7266">
            <v>0</v>
          </cell>
          <cell r="J7266">
            <v>0</v>
          </cell>
          <cell r="K7266">
            <v>0</v>
          </cell>
          <cell r="L7266">
            <v>0</v>
          </cell>
        </row>
        <row r="7267">
          <cell r="A7267" t="str">
            <v>20211.10287</v>
          </cell>
          <cell r="B7267" t="str">
            <v>BOULON TETE PLATE</v>
          </cell>
          <cell r="C7267" t="str">
            <v>KN344549  TURBINE TYPE SST-400 ATP3 CE 190L-1 SERIE T6453 PLAN ZG041922.0 REP54</v>
          </cell>
          <cell r="D7267" t="str">
            <v>PE</v>
          </cell>
          <cell r="E7267" t="str">
            <v>512.51201</v>
          </cell>
          <cell r="F7267">
            <v>861.36</v>
          </cell>
          <cell r="G7267">
            <v>0</v>
          </cell>
          <cell r="H7267">
            <v>0</v>
          </cell>
          <cell r="I7267">
            <v>0</v>
          </cell>
          <cell r="J7267">
            <v>0</v>
          </cell>
          <cell r="K7267">
            <v>0</v>
          </cell>
          <cell r="L7267">
            <v>0</v>
          </cell>
        </row>
        <row r="7268">
          <cell r="A7268" t="str">
            <v>20211.10294</v>
          </cell>
          <cell r="B7268" t="str">
            <v>GOUJON FILETE</v>
          </cell>
          <cell r="C7268" t="str">
            <v>KN366211  TURBINE TYPE SST-400 ATP3 CE 190L-1 SERIE T6453 PLAN ZG053043.1 REP22</v>
          </cell>
          <cell r="D7268" t="str">
            <v>PE</v>
          </cell>
          <cell r="E7268" t="str">
            <v>512.51201</v>
          </cell>
          <cell r="F7268">
            <v>313.31</v>
          </cell>
          <cell r="G7268">
            <v>0</v>
          </cell>
          <cell r="H7268">
            <v>0</v>
          </cell>
          <cell r="I7268">
            <v>0</v>
          </cell>
          <cell r="J7268">
            <v>0</v>
          </cell>
          <cell r="K7268">
            <v>0</v>
          </cell>
          <cell r="L7268">
            <v>0</v>
          </cell>
        </row>
        <row r="7269">
          <cell r="A7269" t="str">
            <v>20211.10303</v>
          </cell>
          <cell r="B7269" t="str">
            <v>VIS TETE CONIQUE</v>
          </cell>
          <cell r="C7269" t="str">
            <v>KN57950  TURBINE TYPE SST-400 ATP3 CE 190L-1 SERIE T6453 PLAN ZG041487.0</v>
          </cell>
          <cell r="D7269" t="str">
            <v>PE</v>
          </cell>
          <cell r="E7269" t="str">
            <v>512.51201</v>
          </cell>
          <cell r="F7269">
            <v>78.569999999999993</v>
          </cell>
          <cell r="G7269">
            <v>0</v>
          </cell>
          <cell r="H7269">
            <v>0</v>
          </cell>
          <cell r="I7269">
            <v>0</v>
          </cell>
          <cell r="J7269">
            <v>0</v>
          </cell>
          <cell r="K7269">
            <v>0</v>
          </cell>
          <cell r="L7269">
            <v>0</v>
          </cell>
        </row>
        <row r="7270">
          <cell r="A7270" t="str">
            <v>20211.10277</v>
          </cell>
          <cell r="B7270" t="str">
            <v>VIS CYLINDRIQUE</v>
          </cell>
          <cell r="C7270" t="str">
            <v>KN309120  TURBINE TYPE SST-400 ATP3 CE 190-1 SERIE T6453 PLAN ZG044573.0 REP24</v>
          </cell>
          <cell r="D7270" t="str">
            <v>PE</v>
          </cell>
          <cell r="E7270" t="str">
            <v>512.51201</v>
          </cell>
          <cell r="F7270">
            <v>235.71</v>
          </cell>
          <cell r="G7270">
            <v>0</v>
          </cell>
          <cell r="H7270">
            <v>0</v>
          </cell>
          <cell r="I7270">
            <v>0</v>
          </cell>
          <cell r="J7270">
            <v>0</v>
          </cell>
          <cell r="K7270">
            <v>0</v>
          </cell>
          <cell r="L7270">
            <v>0</v>
          </cell>
        </row>
        <row r="7271">
          <cell r="A7271" t="str">
            <v>20211.10278</v>
          </cell>
          <cell r="B7271" t="str">
            <v>BOULON HEXAGONAL</v>
          </cell>
          <cell r="C7271" t="str">
            <v>KN315028 TURBINE TYPE SST-400 ATP3 CE 190L-1 SERIE T6453 PLAN ZG055619.1 REP10</v>
          </cell>
          <cell r="D7271" t="str">
            <v>PE</v>
          </cell>
          <cell r="E7271" t="str">
            <v>512.51201</v>
          </cell>
          <cell r="F7271">
            <v>2269.8000000000002</v>
          </cell>
          <cell r="G7271">
            <v>0</v>
          </cell>
          <cell r="H7271">
            <v>0</v>
          </cell>
          <cell r="I7271">
            <v>0</v>
          </cell>
          <cell r="J7271">
            <v>0</v>
          </cell>
          <cell r="K7271">
            <v>0</v>
          </cell>
          <cell r="L7271">
            <v>0</v>
          </cell>
        </row>
        <row r="7272">
          <cell r="A7272" t="str">
            <v>20211.10285</v>
          </cell>
          <cell r="B7272" t="str">
            <v>ECROU DE TUYAU</v>
          </cell>
          <cell r="C7272" t="str">
            <v>KN343277 TURBINE TYPE SST-400 ATP3 CE 190L-1 SERIE T6453 PLAN ZG055619.1 REP6</v>
          </cell>
          <cell r="D7272" t="str">
            <v>PE</v>
          </cell>
          <cell r="E7272" t="str">
            <v>512.51201</v>
          </cell>
          <cell r="F7272">
            <v>3364.93</v>
          </cell>
          <cell r="G7272">
            <v>0</v>
          </cell>
          <cell r="H7272">
            <v>0</v>
          </cell>
          <cell r="I7272">
            <v>0</v>
          </cell>
          <cell r="J7272">
            <v>0</v>
          </cell>
          <cell r="K7272">
            <v>0</v>
          </cell>
          <cell r="L7272">
            <v>0</v>
          </cell>
        </row>
        <row r="7273">
          <cell r="A7273" t="str">
            <v>20211.10286</v>
          </cell>
          <cell r="B7273" t="str">
            <v>DOUILLE DE DILATATION</v>
          </cell>
          <cell r="C7273" t="str">
            <v>KN344481  TURBINE TYPE SST-400 ATP3 CE 190L-1 SERIE T6453 PLAN ZG055619.1 REP2</v>
          </cell>
          <cell r="D7273" t="str">
            <v>PE</v>
          </cell>
          <cell r="E7273" t="str">
            <v>512.51201</v>
          </cell>
          <cell r="F7273">
            <v>8842.52</v>
          </cell>
          <cell r="G7273">
            <v>0</v>
          </cell>
          <cell r="H7273">
            <v>0</v>
          </cell>
          <cell r="I7273">
            <v>0</v>
          </cell>
          <cell r="J7273">
            <v>0</v>
          </cell>
          <cell r="K7273">
            <v>0</v>
          </cell>
          <cell r="L7273">
            <v>0</v>
          </cell>
        </row>
        <row r="7274">
          <cell r="A7274" t="str">
            <v>20211.10311</v>
          </cell>
          <cell r="B7274" t="str">
            <v>SEGMENT DE PISTON</v>
          </cell>
          <cell r="C7274" t="str">
            <v>LV47781-05  TURBINE TYPE SST-400 ATP3 CE 190L-1 SERIE T6453 PLAN ZG044841.0</v>
          </cell>
          <cell r="D7274" t="str">
            <v>PE</v>
          </cell>
          <cell r="E7274" t="str">
            <v>512.51201</v>
          </cell>
          <cell r="F7274">
            <v>29655.81</v>
          </cell>
          <cell r="G7274">
            <v>0</v>
          </cell>
          <cell r="H7274">
            <v>0</v>
          </cell>
          <cell r="I7274">
            <v>0</v>
          </cell>
          <cell r="J7274">
            <v>0</v>
          </cell>
          <cell r="K7274">
            <v>0</v>
          </cell>
          <cell r="L7274">
            <v>0</v>
          </cell>
        </row>
        <row r="7275">
          <cell r="A7275" t="str">
            <v>20211.10415</v>
          </cell>
          <cell r="B7275" t="str">
            <v>GARNITURE LABYRINTE</v>
          </cell>
          <cell r="C7275" t="str">
            <v>ST320365  TURBINE TYPE SST-400 ATP3 CE 190L-1 SERIE T6453 PLAN ZG047999.0 REP31-34</v>
          </cell>
          <cell r="D7275" t="str">
            <v>PE</v>
          </cell>
          <cell r="E7275" t="str">
            <v>512.51201</v>
          </cell>
          <cell r="F7275">
            <v>17136.990000000002</v>
          </cell>
          <cell r="G7275">
            <v>0</v>
          </cell>
          <cell r="H7275">
            <v>0</v>
          </cell>
          <cell r="I7275">
            <v>0</v>
          </cell>
          <cell r="J7275">
            <v>0</v>
          </cell>
          <cell r="K7275">
            <v>0</v>
          </cell>
          <cell r="L7275">
            <v>0</v>
          </cell>
        </row>
        <row r="7276">
          <cell r="A7276" t="str">
            <v>20211.10306</v>
          </cell>
          <cell r="B7276" t="str">
            <v>BOULON HEXAGONAL</v>
          </cell>
          <cell r="C7276" t="str">
            <v>KN83634  TURBINE TYPE SST-400 ATP3 CE 190L-1 SERIE T6453 PLAN ZG055619.1 REP34</v>
          </cell>
          <cell r="D7276" t="str">
            <v>PE</v>
          </cell>
          <cell r="E7276" t="str">
            <v>512.51201</v>
          </cell>
          <cell r="F7276">
            <v>1330.84</v>
          </cell>
          <cell r="G7276">
            <v>0</v>
          </cell>
          <cell r="H7276">
            <v>0</v>
          </cell>
          <cell r="I7276">
            <v>0</v>
          </cell>
          <cell r="J7276">
            <v>0</v>
          </cell>
          <cell r="K7276">
            <v>0</v>
          </cell>
          <cell r="L7276">
            <v>1</v>
          </cell>
        </row>
        <row r="7277">
          <cell r="A7277" t="str">
            <v>20211.10307</v>
          </cell>
          <cell r="B7277" t="str">
            <v>ELECTRO-AIMANT CAPTEUR</v>
          </cell>
          <cell r="C7277" t="str">
            <v>LV30660-42  TURBINE TYPE SST-400 ATP3 CE 190L-1 SERIE T6453 PLAN 1CW0052145 REP60-62</v>
          </cell>
          <cell r="D7277" t="str">
            <v>PE</v>
          </cell>
          <cell r="E7277" t="str">
            <v>512.51201</v>
          </cell>
          <cell r="F7277">
            <v>14085.37</v>
          </cell>
          <cell r="G7277">
            <v>0</v>
          </cell>
          <cell r="H7277">
            <v>0</v>
          </cell>
          <cell r="I7277">
            <v>0</v>
          </cell>
          <cell r="J7277">
            <v>0</v>
          </cell>
          <cell r="K7277">
            <v>0</v>
          </cell>
          <cell r="L7277">
            <v>0</v>
          </cell>
        </row>
        <row r="7278">
          <cell r="A7278" t="str">
            <v>20211.10430</v>
          </cell>
          <cell r="B7278" t="str">
            <v>TOLE DE LABYRINTE</v>
          </cell>
          <cell r="C7278" t="str">
            <v>ZG104936.4-71  TURBINE TYPE SST-400 ATP3 CE 190L-1 SERIE T6453 PLAN ZG047998.0 REP4</v>
          </cell>
          <cell r="D7278" t="str">
            <v>PE</v>
          </cell>
          <cell r="E7278" t="str">
            <v>512.51201</v>
          </cell>
          <cell r="F7278">
            <v>6338.95</v>
          </cell>
          <cell r="G7278">
            <v>0</v>
          </cell>
          <cell r="H7278">
            <v>0</v>
          </cell>
          <cell r="I7278">
            <v>0</v>
          </cell>
          <cell r="J7278">
            <v>0</v>
          </cell>
          <cell r="K7278">
            <v>0</v>
          </cell>
          <cell r="L7278">
            <v>0</v>
          </cell>
        </row>
        <row r="7279">
          <cell r="A7279" t="str">
            <v>20211.10431</v>
          </cell>
          <cell r="B7279" t="str">
            <v>BOULON HEXAGONAL</v>
          </cell>
          <cell r="C7279" t="str">
            <v>ZG105347.4-02  TURBINE TYPE SST-400 ATP3 CE 190L-1 SERIE T6453 PLAN ZG048003.0 REP23 ZG105347.4-02</v>
          </cell>
          <cell r="D7279" t="str">
            <v>PE</v>
          </cell>
          <cell r="E7279" t="str">
            <v>512.51201</v>
          </cell>
          <cell r="F7279">
            <v>8686.35</v>
          </cell>
          <cell r="G7279">
            <v>0</v>
          </cell>
          <cell r="H7279">
            <v>0</v>
          </cell>
          <cell r="I7279">
            <v>0</v>
          </cell>
          <cell r="J7279">
            <v>0</v>
          </cell>
          <cell r="K7279">
            <v>0</v>
          </cell>
          <cell r="L7279">
            <v>0</v>
          </cell>
        </row>
        <row r="7280">
          <cell r="A7280" t="str">
            <v>20211.10432</v>
          </cell>
          <cell r="B7280" t="str">
            <v>BAGUE DE RETENUE</v>
          </cell>
          <cell r="C7280" t="str">
            <v>ZG105845.4-03  TURBINE TYPE SST-400 ATP3 CE 190L-1 SERIE T6453 PLAN ZG044573.0 REP6</v>
          </cell>
          <cell r="D7280" t="str">
            <v>PE</v>
          </cell>
          <cell r="E7280" t="str">
            <v>512.51201</v>
          </cell>
          <cell r="F7280">
            <v>25743.8</v>
          </cell>
          <cell r="G7280">
            <v>0</v>
          </cell>
          <cell r="H7280">
            <v>0</v>
          </cell>
          <cell r="I7280">
            <v>0</v>
          </cell>
          <cell r="J7280">
            <v>0</v>
          </cell>
          <cell r="K7280">
            <v>0</v>
          </cell>
          <cell r="L7280">
            <v>0</v>
          </cell>
        </row>
        <row r="7281">
          <cell r="A7281" t="str">
            <v>20211.10434</v>
          </cell>
          <cell r="B7281" t="str">
            <v>RONDELLE</v>
          </cell>
          <cell r="C7281" t="str">
            <v>ZG105895.4-04  TURBINE TYPE SST-400 ATP3 CE 190L-1 SERIE T6453 PLAN ZG044573.0 REP34</v>
          </cell>
          <cell r="D7281" t="str">
            <v>PE</v>
          </cell>
          <cell r="E7281" t="str">
            <v>512.51201</v>
          </cell>
          <cell r="F7281">
            <v>1800.32</v>
          </cell>
          <cell r="G7281">
            <v>0</v>
          </cell>
          <cell r="H7281">
            <v>0</v>
          </cell>
          <cell r="I7281">
            <v>0</v>
          </cell>
          <cell r="J7281">
            <v>0</v>
          </cell>
          <cell r="K7281">
            <v>0</v>
          </cell>
          <cell r="L7281">
            <v>0</v>
          </cell>
        </row>
        <row r="7282">
          <cell r="A7282" t="str">
            <v>20211.10440</v>
          </cell>
          <cell r="B7282" t="str">
            <v>TOLE DE LABYRINTE</v>
          </cell>
          <cell r="C7282" t="str">
            <v>ZG40620.0-70  TURBINE TYPE SST-400 ATP3 CE 190L-1 SERIE T6453 PLAN ZG040620.0 REP70</v>
          </cell>
          <cell r="D7282" t="str">
            <v>PE</v>
          </cell>
          <cell r="E7282" t="str">
            <v>512.51201</v>
          </cell>
          <cell r="F7282">
            <v>2739.28</v>
          </cell>
          <cell r="G7282">
            <v>0</v>
          </cell>
          <cell r="H7282">
            <v>0</v>
          </cell>
          <cell r="I7282">
            <v>0</v>
          </cell>
          <cell r="J7282">
            <v>0</v>
          </cell>
          <cell r="K7282">
            <v>0</v>
          </cell>
          <cell r="L7282">
            <v>4</v>
          </cell>
        </row>
        <row r="7283">
          <cell r="A7283" t="str">
            <v>20211.10441</v>
          </cell>
          <cell r="B7283" t="str">
            <v>COUVERCLE</v>
          </cell>
          <cell r="C7283" t="str">
            <v>ZG48045.1-02  TURBINE TYPE SST-400 ATP3 CE 190L-1 SERIE T6453 PLAN ZG044573.0 REP4</v>
          </cell>
          <cell r="D7283" t="str">
            <v>PE</v>
          </cell>
          <cell r="E7283" t="str">
            <v>512.51201</v>
          </cell>
          <cell r="F7283">
            <v>233958.2</v>
          </cell>
          <cell r="G7283">
            <v>0</v>
          </cell>
          <cell r="H7283">
            <v>0</v>
          </cell>
          <cell r="I7283">
            <v>0</v>
          </cell>
          <cell r="J7283">
            <v>0</v>
          </cell>
          <cell r="K7283">
            <v>0</v>
          </cell>
          <cell r="L7283">
            <v>0</v>
          </cell>
        </row>
        <row r="7284">
          <cell r="A7284" t="str">
            <v>20211.10444</v>
          </cell>
          <cell r="B7284" t="str">
            <v>FIL</v>
          </cell>
          <cell r="C7284" t="str">
            <v>ZG57347.4-01 TURBINE TYPE SST-400 ATP3 CE 190L-1 SERIE T6453 PLAN ZG048198.0 REP2</v>
          </cell>
          <cell r="D7284" t="str">
            <v>PE</v>
          </cell>
          <cell r="E7284" t="str">
            <v>512.51201</v>
          </cell>
          <cell r="F7284">
            <v>78.569999999999993</v>
          </cell>
          <cell r="G7284">
            <v>0</v>
          </cell>
          <cell r="H7284">
            <v>0</v>
          </cell>
          <cell r="I7284">
            <v>0</v>
          </cell>
          <cell r="J7284">
            <v>0</v>
          </cell>
          <cell r="K7284">
            <v>0</v>
          </cell>
          <cell r="L7284">
            <v>0</v>
          </cell>
        </row>
        <row r="7285">
          <cell r="A7285" t="str">
            <v>20211.10449</v>
          </cell>
          <cell r="B7285" t="str">
            <v>ACCOUPLEMENT A BROCHES</v>
          </cell>
          <cell r="C7285" t="str">
            <v>ZG59862.2-02  TURBINE TYPE SST-400 ATP3 CE 190L-1 SERIE T6453 PLAN ZG053043.1 REP7</v>
          </cell>
          <cell r="D7285" t="str">
            <v>PE</v>
          </cell>
          <cell r="E7285" t="str">
            <v>512.51201</v>
          </cell>
          <cell r="F7285">
            <v>37480.800000000003</v>
          </cell>
          <cell r="G7285">
            <v>0</v>
          </cell>
          <cell r="H7285">
            <v>0</v>
          </cell>
          <cell r="I7285">
            <v>0</v>
          </cell>
          <cell r="J7285">
            <v>0</v>
          </cell>
          <cell r="K7285">
            <v>0</v>
          </cell>
          <cell r="L7285">
            <v>0</v>
          </cell>
        </row>
        <row r="7286">
          <cell r="A7286" t="str">
            <v>20211.10450</v>
          </cell>
          <cell r="B7286" t="str">
            <v>GOUJON FILETE</v>
          </cell>
          <cell r="C7286" t="str">
            <v>ZG60063.4-20  TURBINE TYPE SST-400 ATP3 CE 190L-1 SERIE T6453 PLAN ZG052978.1 REP26</v>
          </cell>
          <cell r="D7286" t="str">
            <v>PE</v>
          </cell>
          <cell r="E7286" t="str">
            <v>512.51201</v>
          </cell>
          <cell r="F7286">
            <v>470.45</v>
          </cell>
          <cell r="G7286">
            <v>0</v>
          </cell>
          <cell r="H7286">
            <v>0</v>
          </cell>
          <cell r="I7286">
            <v>0</v>
          </cell>
          <cell r="J7286">
            <v>0</v>
          </cell>
          <cell r="K7286">
            <v>0</v>
          </cell>
          <cell r="L7286">
            <v>0</v>
          </cell>
        </row>
        <row r="7287">
          <cell r="A7287" t="str">
            <v>20211.10451</v>
          </cell>
          <cell r="B7287" t="str">
            <v>GOUJON FILETE</v>
          </cell>
          <cell r="C7287" t="str">
            <v>ZG60075.4-28  TURBINE TYPE SST-400 ATP3 CE 190L-1 SERIE T6453 PLAN ZG044573.0 REP25</v>
          </cell>
          <cell r="D7287" t="str">
            <v>PE</v>
          </cell>
          <cell r="E7287" t="str">
            <v>512.51201</v>
          </cell>
          <cell r="F7287">
            <v>1487.01</v>
          </cell>
          <cell r="G7287">
            <v>0</v>
          </cell>
          <cell r="H7287">
            <v>0</v>
          </cell>
          <cell r="I7287">
            <v>0</v>
          </cell>
          <cell r="J7287">
            <v>0</v>
          </cell>
          <cell r="K7287">
            <v>0</v>
          </cell>
          <cell r="L7287">
            <v>0</v>
          </cell>
        </row>
        <row r="7288">
          <cell r="A7288" t="str">
            <v>20211.10452</v>
          </cell>
          <cell r="B7288" t="str">
            <v>ACCOUPLEMENT A BROCHES</v>
          </cell>
          <cell r="C7288" t="str">
            <v>ZG60579.2-01  TURBINE TYPE SST-400 ATP3 CE 190L-1 SERIE T6453 PLAN ZG046138.0 REP21</v>
          </cell>
          <cell r="D7288" t="str">
            <v>PE</v>
          </cell>
          <cell r="E7288" t="str">
            <v>512.51201</v>
          </cell>
          <cell r="F7288">
            <v>45305.79</v>
          </cell>
          <cell r="G7288">
            <v>0</v>
          </cell>
          <cell r="H7288">
            <v>0</v>
          </cell>
          <cell r="I7288">
            <v>0</v>
          </cell>
          <cell r="J7288">
            <v>0</v>
          </cell>
          <cell r="K7288">
            <v>0</v>
          </cell>
          <cell r="L7288">
            <v>0</v>
          </cell>
        </row>
        <row r="7289">
          <cell r="A7289" t="str">
            <v>20211.10445</v>
          </cell>
          <cell r="B7289" t="str">
            <v>DIFFUSEUR</v>
          </cell>
          <cell r="C7289" t="str">
            <v>ZG58727.2-18  TURBINE TYPE SST-400 ATP3 CE 190L-1 SERIE T6453 PLAN ZG053043.1 REP42</v>
          </cell>
          <cell r="D7289" t="str">
            <v>PE</v>
          </cell>
          <cell r="E7289" t="str">
            <v>512.51201</v>
          </cell>
          <cell r="F7289">
            <v>31221.39</v>
          </cell>
          <cell r="G7289">
            <v>0</v>
          </cell>
          <cell r="H7289">
            <v>0</v>
          </cell>
          <cell r="I7289">
            <v>0</v>
          </cell>
          <cell r="J7289">
            <v>0</v>
          </cell>
          <cell r="K7289">
            <v>0</v>
          </cell>
          <cell r="L7289">
            <v>0</v>
          </cell>
        </row>
        <row r="7290">
          <cell r="A7290" t="str">
            <v>20211.10447</v>
          </cell>
          <cell r="B7290" t="str">
            <v>DIFFUSEUR</v>
          </cell>
          <cell r="C7290" t="str">
            <v>ZG58775.2-02  TURBINE TYPE SST-400 ATP3 CE 190L-1 SERIE T6453 PLAN ZG044573.0 REP16</v>
          </cell>
          <cell r="D7290" t="str">
            <v>PE</v>
          </cell>
          <cell r="E7290" t="str">
            <v>512.51201</v>
          </cell>
          <cell r="F7290">
            <v>223004</v>
          </cell>
          <cell r="G7290">
            <v>0</v>
          </cell>
          <cell r="H7290">
            <v>0</v>
          </cell>
          <cell r="I7290">
            <v>0</v>
          </cell>
          <cell r="J7290">
            <v>0</v>
          </cell>
          <cell r="K7290">
            <v>0</v>
          </cell>
          <cell r="L7290">
            <v>0</v>
          </cell>
        </row>
        <row r="7291">
          <cell r="A7291" t="str">
            <v>20211.10453</v>
          </cell>
          <cell r="B7291" t="str">
            <v>FOURCHETTE</v>
          </cell>
          <cell r="C7291" t="str">
            <v>ZG61422.2-01  TURBINE TYPE SST-400 ATP3 CE 190L-1 SERIE T6453 PLAN ZG048003.0 REP9</v>
          </cell>
          <cell r="D7291" t="str">
            <v>PE</v>
          </cell>
          <cell r="E7291" t="str">
            <v>512.51201</v>
          </cell>
          <cell r="F7291">
            <v>34350.61</v>
          </cell>
          <cell r="G7291">
            <v>0</v>
          </cell>
          <cell r="H7291">
            <v>0</v>
          </cell>
          <cell r="I7291">
            <v>0</v>
          </cell>
          <cell r="J7291">
            <v>0</v>
          </cell>
          <cell r="K7291">
            <v>0</v>
          </cell>
          <cell r="L7291">
            <v>0</v>
          </cell>
        </row>
        <row r="7292">
          <cell r="A7292" t="str">
            <v>20385.00326</v>
          </cell>
          <cell r="B7292" t="str">
            <v>INTERRUPTEUR A FLOTTEUR</v>
          </cell>
          <cell r="C7292" t="str">
            <v>ENM-10</v>
          </cell>
          <cell r="D7292" t="str">
            <v>PE</v>
          </cell>
          <cell r="E7292" t="str">
            <v>515.51503</v>
          </cell>
          <cell r="F7292">
            <v>1920.6</v>
          </cell>
          <cell r="G7292">
            <v>0</v>
          </cell>
          <cell r="H7292">
            <v>0</v>
          </cell>
          <cell r="I7292">
            <v>0</v>
          </cell>
          <cell r="J7292">
            <v>0</v>
          </cell>
          <cell r="K7292">
            <v>0</v>
          </cell>
          <cell r="L7292">
            <v>0</v>
          </cell>
        </row>
        <row r="7293">
          <cell r="A7293" t="str">
            <v>20428.00200</v>
          </cell>
          <cell r="B7293" t="str">
            <v>VOYANT D'HUIL AVEC VISIERE</v>
          </cell>
          <cell r="C7293" t="str">
            <v>500 VE 470-54/2R  REP 192A</v>
          </cell>
          <cell r="D7293" t="str">
            <v>PE</v>
          </cell>
          <cell r="E7293" t="str">
            <v>515.51503</v>
          </cell>
          <cell r="F7293">
            <v>1746.9599000000001</v>
          </cell>
          <cell r="G7293">
            <v>0</v>
          </cell>
          <cell r="H7293">
            <v>0</v>
          </cell>
          <cell r="I7293">
            <v>1</v>
          </cell>
          <cell r="J7293">
            <v>0</v>
          </cell>
          <cell r="K7293">
            <v>0</v>
          </cell>
          <cell r="L7293">
            <v>5</v>
          </cell>
        </row>
        <row r="7294">
          <cell r="A7294" t="str">
            <v>20376.00440</v>
          </cell>
          <cell r="B7294" t="str">
            <v>INTERRUPTEUR D'AIR</v>
          </cell>
          <cell r="C7294" t="str">
            <v>SANS REF MODEL MNR R412 00 6261 (7290) AS2-SOV-G038-MAN FD 688</v>
          </cell>
          <cell r="D7294" t="str">
            <v>PE</v>
          </cell>
          <cell r="E7294" t="str">
            <v>522.52209</v>
          </cell>
          <cell r="F7294">
            <v>166</v>
          </cell>
          <cell r="G7294">
            <v>0</v>
          </cell>
          <cell r="H7294">
            <v>18</v>
          </cell>
          <cell r="I7294">
            <v>0</v>
          </cell>
          <cell r="J7294">
            <v>0</v>
          </cell>
          <cell r="K7294">
            <v>4</v>
          </cell>
          <cell r="L7294">
            <v>22</v>
          </cell>
        </row>
        <row r="7295">
          <cell r="A7295" t="str">
            <v>20376.00441</v>
          </cell>
          <cell r="B7295" t="str">
            <v>DETENDEUR D'AIR</v>
          </cell>
          <cell r="C7295" t="str">
            <v>SANS REF MODEL MNR R412 00 620 (7290) AS2-FRE-G038-GAU FD 687</v>
          </cell>
          <cell r="D7295" t="str">
            <v>PE</v>
          </cell>
          <cell r="E7295" t="str">
            <v>522.52209</v>
          </cell>
          <cell r="F7295">
            <v>832</v>
          </cell>
          <cell r="G7295">
            <v>8</v>
          </cell>
          <cell r="H7295">
            <v>29</v>
          </cell>
          <cell r="I7295">
            <v>0</v>
          </cell>
          <cell r="J7295">
            <v>0</v>
          </cell>
          <cell r="K7295">
            <v>1</v>
          </cell>
          <cell r="L7295">
            <v>3</v>
          </cell>
        </row>
        <row r="7296">
          <cell r="A7296" t="str">
            <v>20376.00442</v>
          </cell>
          <cell r="B7296" t="str">
            <v>MANOMETRE</v>
          </cell>
          <cell r="C7296" t="str">
            <v>SANS REF MODEL MNR R412 00 4417 ECHELLE 0 A 10BAR</v>
          </cell>
          <cell r="D7296" t="str">
            <v>PE</v>
          </cell>
          <cell r="E7296" t="str">
            <v>522.52209</v>
          </cell>
          <cell r="F7296">
            <v>163</v>
          </cell>
          <cell r="G7296">
            <v>0</v>
          </cell>
          <cell r="H7296">
            <v>18</v>
          </cell>
          <cell r="I7296">
            <v>0</v>
          </cell>
          <cell r="J7296">
            <v>0</v>
          </cell>
          <cell r="K7296">
            <v>4</v>
          </cell>
          <cell r="L7296">
            <v>22</v>
          </cell>
        </row>
        <row r="7297">
          <cell r="A7297" t="str">
            <v>20376.00443</v>
          </cell>
          <cell r="B7297" t="str">
            <v>FILTRE D'AIR</v>
          </cell>
          <cell r="C7297" t="str">
            <v>SANS REF MODEL MNR R412 00 6231 AS2-LBS-G038-PBP FD 689</v>
          </cell>
          <cell r="D7297" t="str">
            <v>PE</v>
          </cell>
          <cell r="E7297" t="str">
            <v>522.52209</v>
          </cell>
          <cell r="F7297">
            <v>454</v>
          </cell>
          <cell r="G7297">
            <v>0</v>
          </cell>
          <cell r="H7297">
            <v>18</v>
          </cell>
          <cell r="I7297">
            <v>0</v>
          </cell>
          <cell r="J7297">
            <v>0</v>
          </cell>
          <cell r="K7297">
            <v>5</v>
          </cell>
          <cell r="L7297">
            <v>22</v>
          </cell>
        </row>
        <row r="7298">
          <cell r="A7298" t="str">
            <v>20376.00444</v>
          </cell>
          <cell r="B7298" t="str">
            <v>DISTRIBUTEUR ELECTROPNEUMATIQUE</v>
          </cell>
          <cell r="C7298" t="str">
            <v>SANS REF MODEL 0820 058 126   0 A 10BAR</v>
          </cell>
          <cell r="D7298" t="str">
            <v>PE</v>
          </cell>
          <cell r="E7298" t="str">
            <v>522.52209</v>
          </cell>
          <cell r="F7298">
            <v>938</v>
          </cell>
          <cell r="G7298">
            <v>0</v>
          </cell>
          <cell r="H7298">
            <v>8</v>
          </cell>
          <cell r="I7298">
            <v>2</v>
          </cell>
          <cell r="J7298">
            <v>0</v>
          </cell>
          <cell r="K7298">
            <v>0</v>
          </cell>
          <cell r="L7298">
            <v>0</v>
          </cell>
        </row>
        <row r="7299">
          <cell r="A7299" t="str">
            <v>20438.00474</v>
          </cell>
          <cell r="B7299" t="str">
            <v>ACTIONNEUR PNEUMATIQUE SIMPLE EFFET</v>
          </cell>
          <cell r="C7299" t="str">
            <v xml:space="preserve">XRP-XS090-S08 B </v>
          </cell>
          <cell r="D7299" t="str">
            <v>PE</v>
          </cell>
          <cell r="E7299" t="str">
            <v>515.51511</v>
          </cell>
          <cell r="F7299">
            <v>7475.1261000000004</v>
          </cell>
          <cell r="G7299">
            <v>0</v>
          </cell>
          <cell r="H7299">
            <v>0</v>
          </cell>
          <cell r="I7299">
            <v>0</v>
          </cell>
          <cell r="J7299">
            <v>1</v>
          </cell>
          <cell r="K7299">
            <v>0</v>
          </cell>
          <cell r="L7299">
            <v>1</v>
          </cell>
        </row>
        <row r="7300">
          <cell r="A7300" t="str">
            <v>20438.00475</v>
          </cell>
          <cell r="B7300" t="str">
            <v>ACTIONNEUR PNEUMATIQUE SIMPLE EFFET</v>
          </cell>
          <cell r="C7300" t="str">
            <v>XRP-XS130-S08 B</v>
          </cell>
          <cell r="D7300" t="str">
            <v>PE</v>
          </cell>
          <cell r="E7300" t="str">
            <v>515.51511</v>
          </cell>
          <cell r="F7300">
            <v>8968.32</v>
          </cell>
          <cell r="G7300">
            <v>0</v>
          </cell>
          <cell r="H7300">
            <v>0</v>
          </cell>
          <cell r="I7300">
            <v>1</v>
          </cell>
          <cell r="J7300">
            <v>1</v>
          </cell>
          <cell r="K7300">
            <v>0</v>
          </cell>
          <cell r="L7300">
            <v>7</v>
          </cell>
        </row>
        <row r="7301">
          <cell r="A7301" t="str">
            <v>20438.00476</v>
          </cell>
          <cell r="B7301" t="str">
            <v>ACTIONNEUR PNEUMATIQUE SIMPLE EFFET</v>
          </cell>
          <cell r="C7301" t="str">
            <v>XRP-XS180-S08 B</v>
          </cell>
          <cell r="D7301" t="str">
            <v>PE</v>
          </cell>
          <cell r="E7301" t="str">
            <v>515.51511</v>
          </cell>
          <cell r="F7301">
            <v>9658.3868999999995</v>
          </cell>
          <cell r="G7301">
            <v>0</v>
          </cell>
          <cell r="H7301">
            <v>0</v>
          </cell>
          <cell r="I7301">
            <v>0</v>
          </cell>
          <cell r="J7301">
            <v>0</v>
          </cell>
          <cell r="K7301">
            <v>0</v>
          </cell>
          <cell r="L7301">
            <v>7</v>
          </cell>
        </row>
        <row r="7302">
          <cell r="A7302" t="str">
            <v>20438.00477</v>
          </cell>
          <cell r="B7302" t="str">
            <v>ACTIONNEUR PNEUMATIQUE SIMPLE EFFET</v>
          </cell>
          <cell r="C7302" t="str">
            <v>XRP-XS050-S08 B</v>
          </cell>
          <cell r="D7302" t="str">
            <v>PE</v>
          </cell>
          <cell r="E7302" t="str">
            <v>515.51511</v>
          </cell>
          <cell r="F7302">
            <v>3778.8946999999998</v>
          </cell>
          <cell r="G7302">
            <v>0</v>
          </cell>
          <cell r="H7302">
            <v>0</v>
          </cell>
          <cell r="I7302">
            <v>0</v>
          </cell>
          <cell r="J7302">
            <v>0</v>
          </cell>
          <cell r="K7302">
            <v>0</v>
          </cell>
          <cell r="L7302">
            <v>2</v>
          </cell>
        </row>
        <row r="7303">
          <cell r="A7303" t="str">
            <v>20442.01884</v>
          </cell>
          <cell r="B7303" t="str">
            <v>GOUJON</v>
          </cell>
          <cell r="C7303" t="str">
            <v>704082  TYPE : LC 125-405   PLAN 4987956   N° SERIE  53200532-03    REP 9951.02</v>
          </cell>
          <cell r="D7303" t="str">
            <v>PE</v>
          </cell>
          <cell r="E7303" t="str">
            <v>515.51503</v>
          </cell>
          <cell r="F7303">
            <v>34.404800000000002</v>
          </cell>
          <cell r="G7303">
            <v>0</v>
          </cell>
          <cell r="H7303">
            <v>0</v>
          </cell>
          <cell r="I7303">
            <v>0</v>
          </cell>
          <cell r="J7303">
            <v>0</v>
          </cell>
          <cell r="K7303">
            <v>0</v>
          </cell>
          <cell r="L7303">
            <v>1</v>
          </cell>
        </row>
        <row r="7304">
          <cell r="A7304" t="str">
            <v>20438.00478</v>
          </cell>
          <cell r="B7304" t="str">
            <v>ACTIONNEUR PNEUMATIQUE DOUBLE EFFET</v>
          </cell>
          <cell r="C7304" t="str">
            <v>XRP-XS012-D00 B</v>
          </cell>
          <cell r="D7304" t="str">
            <v>PE</v>
          </cell>
          <cell r="E7304" t="str">
            <v>515.51511</v>
          </cell>
          <cell r="F7304">
            <v>2243.7186999999999</v>
          </cell>
          <cell r="G7304">
            <v>0</v>
          </cell>
          <cell r="H7304">
            <v>0</v>
          </cell>
          <cell r="I7304">
            <v>0</v>
          </cell>
          <cell r="J7304">
            <v>0</v>
          </cell>
          <cell r="K7304">
            <v>0</v>
          </cell>
          <cell r="L7304">
            <v>1</v>
          </cell>
        </row>
        <row r="7305">
          <cell r="A7305" t="str">
            <v>20438.00479</v>
          </cell>
          <cell r="B7305" t="str">
            <v>ACTIONNEUR PNEUMATIQUE DOUBLE EFFET</v>
          </cell>
          <cell r="C7305" t="str">
            <v>XRP-XS050-D00 B</v>
          </cell>
          <cell r="D7305" t="str">
            <v>PE</v>
          </cell>
          <cell r="E7305" t="str">
            <v>515.51511</v>
          </cell>
          <cell r="F7305">
            <v>3294.7238000000002</v>
          </cell>
          <cell r="G7305">
            <v>0</v>
          </cell>
          <cell r="H7305">
            <v>0</v>
          </cell>
          <cell r="I7305">
            <v>0</v>
          </cell>
          <cell r="J7305">
            <v>0</v>
          </cell>
          <cell r="K7305">
            <v>2</v>
          </cell>
          <cell r="L7305">
            <v>0</v>
          </cell>
        </row>
        <row r="7306">
          <cell r="A7306" t="str">
            <v>20442.00982</v>
          </cell>
          <cell r="B7306" t="str">
            <v>JOINT TORIQUE</v>
          </cell>
          <cell r="C7306">
            <v>662245</v>
          </cell>
          <cell r="D7306" t="str">
            <v>PE</v>
          </cell>
          <cell r="E7306" t="str">
            <v>515.51503</v>
          </cell>
          <cell r="F7306">
            <v>42.85</v>
          </cell>
          <cell r="G7306">
            <v>0</v>
          </cell>
          <cell r="H7306">
            <v>0</v>
          </cell>
          <cell r="I7306">
            <v>0</v>
          </cell>
          <cell r="J7306">
            <v>0</v>
          </cell>
          <cell r="K7306">
            <v>4</v>
          </cell>
          <cell r="L7306">
            <v>0</v>
          </cell>
        </row>
        <row r="7307">
          <cell r="A7307" t="str">
            <v>20442.00654</v>
          </cell>
          <cell r="B7307" t="str">
            <v>JOINT SOUS BOUCHON</v>
          </cell>
          <cell r="C7307" t="str">
            <v>LC 100/300       PL   81A9005    REP  74        640036</v>
          </cell>
          <cell r="D7307" t="str">
            <v>PE</v>
          </cell>
          <cell r="E7307" t="str">
            <v>515.51503</v>
          </cell>
          <cell r="F7307">
            <v>135.8176</v>
          </cell>
          <cell r="G7307">
            <v>0</v>
          </cell>
          <cell r="H7307">
            <v>0</v>
          </cell>
          <cell r="I7307">
            <v>0</v>
          </cell>
          <cell r="J7307">
            <v>0</v>
          </cell>
          <cell r="K7307">
            <v>0</v>
          </cell>
          <cell r="L7307">
            <v>8</v>
          </cell>
        </row>
        <row r="7308">
          <cell r="A7308" t="str">
            <v>20442.00877</v>
          </cell>
          <cell r="B7308" t="str">
            <v>BOITARD DE ROULEMENT</v>
          </cell>
          <cell r="C7308">
            <v>709136</v>
          </cell>
          <cell r="D7308" t="str">
            <v>PE</v>
          </cell>
          <cell r="E7308" t="str">
            <v>515.51503</v>
          </cell>
          <cell r="F7308">
            <v>8986.8053</v>
          </cell>
          <cell r="G7308">
            <v>0</v>
          </cell>
          <cell r="H7308">
            <v>0</v>
          </cell>
          <cell r="I7308">
            <v>0</v>
          </cell>
          <cell r="J7308">
            <v>1</v>
          </cell>
          <cell r="K7308">
            <v>0</v>
          </cell>
          <cell r="L7308">
            <v>3</v>
          </cell>
        </row>
        <row r="7309">
          <cell r="A7309" t="str">
            <v>20442.00899</v>
          </cell>
          <cell r="B7309" t="str">
            <v>DEFLECTEUR LC PAL 250</v>
          </cell>
          <cell r="C7309" t="str">
            <v>704015 P/POMPE TYPE LC 65/310 REP 18</v>
          </cell>
          <cell r="D7309" t="str">
            <v>PE</v>
          </cell>
          <cell r="E7309" t="str">
            <v>515.51503</v>
          </cell>
          <cell r="F7309">
            <v>607.67010000000005</v>
          </cell>
          <cell r="G7309">
            <v>0</v>
          </cell>
          <cell r="H7309">
            <v>2</v>
          </cell>
          <cell r="I7309">
            <v>0</v>
          </cell>
          <cell r="J7309">
            <v>1</v>
          </cell>
          <cell r="K7309">
            <v>0</v>
          </cell>
          <cell r="L7309">
            <v>1</v>
          </cell>
        </row>
        <row r="7310">
          <cell r="A7310" t="str">
            <v>20399.12350</v>
          </cell>
          <cell r="B7310" t="str">
            <v xml:space="preserve">ELIMINATEURS DE BRUMES TYPE CSII 26X40 P </v>
          </cell>
          <cell r="C7310" t="str">
            <v>PMP S-003</v>
          </cell>
          <cell r="D7310" t="str">
            <v>PE</v>
          </cell>
          <cell r="E7310" t="str">
            <v>515.51506</v>
          </cell>
          <cell r="F7310">
            <v>20547.794099999999</v>
          </cell>
          <cell r="G7310">
            <v>0</v>
          </cell>
          <cell r="H7310">
            <v>0</v>
          </cell>
          <cell r="I7310">
            <v>0</v>
          </cell>
          <cell r="J7310">
            <v>0</v>
          </cell>
          <cell r="K7310">
            <v>0</v>
          </cell>
          <cell r="L7310">
            <v>0</v>
          </cell>
        </row>
        <row r="7311">
          <cell r="A7311" t="str">
            <v>20399.12351</v>
          </cell>
          <cell r="B7311" t="str">
            <v>ELIMINATEURS DE BRUMES TYPE CSI 30X65 P</v>
          </cell>
          <cell r="C7311" t="str">
            <v>PMP S-004</v>
          </cell>
          <cell r="D7311" t="str">
            <v>PE</v>
          </cell>
          <cell r="E7311" t="str">
            <v>515.51506</v>
          </cell>
          <cell r="F7311">
            <v>20547.794099999999</v>
          </cell>
          <cell r="G7311">
            <v>0</v>
          </cell>
          <cell r="H7311">
            <v>0</v>
          </cell>
          <cell r="I7311">
            <v>0</v>
          </cell>
          <cell r="J7311">
            <v>0</v>
          </cell>
          <cell r="K7311">
            <v>0</v>
          </cell>
          <cell r="L7311">
            <v>0</v>
          </cell>
        </row>
        <row r="7312">
          <cell r="A7312" t="str">
            <v>20399.12352</v>
          </cell>
          <cell r="B7312" t="str">
            <v>ELIMINATEURS DE BRUMES TYPE ES 212 EFF</v>
          </cell>
          <cell r="C7312" t="str">
            <v>PMP S-005</v>
          </cell>
          <cell r="D7312" t="str">
            <v>PE</v>
          </cell>
          <cell r="E7312" t="str">
            <v>515.51506</v>
          </cell>
          <cell r="F7312">
            <v>29109.375</v>
          </cell>
          <cell r="G7312">
            <v>0</v>
          </cell>
          <cell r="H7312">
            <v>0</v>
          </cell>
          <cell r="I7312">
            <v>0</v>
          </cell>
          <cell r="J7312">
            <v>0</v>
          </cell>
          <cell r="K7312">
            <v>0</v>
          </cell>
          <cell r="L7312">
            <v>5</v>
          </cell>
        </row>
        <row r="7313">
          <cell r="A7313" t="str">
            <v>20211.20224</v>
          </cell>
          <cell r="B7313" t="str">
            <v>RELAIS SIMOCODE</v>
          </cell>
          <cell r="C7313" t="str">
            <v>3UF7000-1AU00-0</v>
          </cell>
          <cell r="D7313" t="str">
            <v>PE</v>
          </cell>
          <cell r="E7313" t="str">
            <v>512.51201</v>
          </cell>
          <cell r="F7313">
            <v>1645</v>
          </cell>
          <cell r="G7313">
            <v>0</v>
          </cell>
          <cell r="H7313">
            <v>0</v>
          </cell>
          <cell r="I7313">
            <v>0</v>
          </cell>
          <cell r="J7313">
            <v>0</v>
          </cell>
          <cell r="K7313">
            <v>0</v>
          </cell>
          <cell r="L7313">
            <v>2</v>
          </cell>
        </row>
        <row r="7314">
          <cell r="A7314" t="str">
            <v>20442.01622</v>
          </cell>
          <cell r="B7314" t="str">
            <v>JEU DE 8 GOUJONS</v>
          </cell>
          <cell r="C7314" t="str">
            <v>LC 50-350 N2 PLAN A-3986354  REP-9951.01</v>
          </cell>
          <cell r="D7314" t="str">
            <v>PE</v>
          </cell>
          <cell r="E7314" t="str">
            <v>515.51503</v>
          </cell>
          <cell r="F7314">
            <v>322.54500000000002</v>
          </cell>
          <cell r="G7314">
            <v>0</v>
          </cell>
          <cell r="H7314">
            <v>0</v>
          </cell>
          <cell r="I7314">
            <v>0</v>
          </cell>
          <cell r="J7314">
            <v>0</v>
          </cell>
          <cell r="K7314">
            <v>0</v>
          </cell>
          <cell r="L7314">
            <v>1</v>
          </cell>
        </row>
        <row r="7315">
          <cell r="A7315" t="str">
            <v>20442.01623</v>
          </cell>
          <cell r="B7315" t="str">
            <v>JEU DE 2 GOUJONS</v>
          </cell>
          <cell r="C7315" t="str">
            <v>LC 50-350 N2 PLAN A-3986354  REP-9951.02</v>
          </cell>
          <cell r="D7315" t="str">
            <v>PE</v>
          </cell>
          <cell r="E7315" t="str">
            <v>515.51503</v>
          </cell>
          <cell r="F7315">
            <v>75.260499999999993</v>
          </cell>
          <cell r="G7315">
            <v>0</v>
          </cell>
          <cell r="H7315">
            <v>0</v>
          </cell>
          <cell r="I7315">
            <v>0</v>
          </cell>
          <cell r="J7315">
            <v>0</v>
          </cell>
          <cell r="K7315">
            <v>0</v>
          </cell>
          <cell r="L7315">
            <v>1</v>
          </cell>
        </row>
        <row r="7316">
          <cell r="A7316" t="str">
            <v>20442.01447</v>
          </cell>
          <cell r="B7316" t="str">
            <v>POULIE</v>
          </cell>
          <cell r="C7316" t="str">
            <v>862755 P/PPE LC 50 -350 SERIE SP 53200 397 01</v>
          </cell>
          <cell r="D7316" t="str">
            <v>PE</v>
          </cell>
          <cell r="E7316" t="str">
            <v>515.51503</v>
          </cell>
          <cell r="F7316">
            <v>806.36249999999995</v>
          </cell>
          <cell r="G7316">
            <v>0</v>
          </cell>
          <cell r="H7316">
            <v>0</v>
          </cell>
          <cell r="I7316">
            <v>0</v>
          </cell>
          <cell r="J7316">
            <v>0</v>
          </cell>
          <cell r="K7316">
            <v>0</v>
          </cell>
          <cell r="L7316">
            <v>1</v>
          </cell>
        </row>
        <row r="7317">
          <cell r="A7317" t="str">
            <v>20442.01448</v>
          </cell>
          <cell r="B7317" t="str">
            <v>POULIE</v>
          </cell>
          <cell r="C7317" t="str">
            <v>863720  P/PPE LC 50 -350 SERIE SP 53200 397 01</v>
          </cell>
          <cell r="D7317" t="str">
            <v>PE</v>
          </cell>
          <cell r="E7317" t="str">
            <v>515.51503</v>
          </cell>
          <cell r="F7317">
            <v>806.36249999999995</v>
          </cell>
          <cell r="G7317">
            <v>0</v>
          </cell>
          <cell r="H7317">
            <v>0</v>
          </cell>
          <cell r="I7317">
            <v>0</v>
          </cell>
          <cell r="J7317">
            <v>0</v>
          </cell>
          <cell r="K7317">
            <v>0</v>
          </cell>
          <cell r="L7317">
            <v>1</v>
          </cell>
        </row>
        <row r="7318">
          <cell r="A7318" t="str">
            <v>20442.01449</v>
          </cell>
          <cell r="B7318" t="str">
            <v>COURROIE</v>
          </cell>
          <cell r="C7318" t="str">
            <v>645655 P/PPE LC 50 -350 SERIE SP 53200 397 01</v>
          </cell>
          <cell r="D7318" t="str">
            <v>PE</v>
          </cell>
          <cell r="E7318" t="str">
            <v>515.51503</v>
          </cell>
          <cell r="F7318">
            <v>197.6123</v>
          </cell>
          <cell r="G7318">
            <v>0</v>
          </cell>
          <cell r="H7318">
            <v>0</v>
          </cell>
          <cell r="I7318">
            <v>0</v>
          </cell>
          <cell r="J7318">
            <v>0</v>
          </cell>
          <cell r="K7318">
            <v>0</v>
          </cell>
          <cell r="L7318">
            <v>0</v>
          </cell>
        </row>
        <row r="7319">
          <cell r="A7319" t="str">
            <v>20442.01459</v>
          </cell>
          <cell r="B7319" t="str">
            <v>CLAVETTE ACCOUPLEMENT</v>
          </cell>
          <cell r="C7319" t="str">
            <v>619109 P/PPE LC 50 -350 SERIE SP 53200 397 01</v>
          </cell>
          <cell r="D7319" t="str">
            <v>PE</v>
          </cell>
          <cell r="E7319" t="str">
            <v>515.51503</v>
          </cell>
          <cell r="F7319">
            <v>40.118299999999998</v>
          </cell>
          <cell r="G7319">
            <v>0</v>
          </cell>
          <cell r="H7319">
            <v>0</v>
          </cell>
          <cell r="I7319">
            <v>0</v>
          </cell>
          <cell r="J7319">
            <v>0</v>
          </cell>
          <cell r="K7319">
            <v>0</v>
          </cell>
          <cell r="L7319">
            <v>7</v>
          </cell>
        </row>
        <row r="7320">
          <cell r="A7320" t="str">
            <v>20392.00013</v>
          </cell>
          <cell r="B7320" t="str">
            <v>JOINT CIRCULAIRE P/T20 T1070</v>
          </cell>
          <cell r="C7320" t="str">
            <v>T20 TAILLE 1070 REP 1</v>
          </cell>
          <cell r="D7320" t="str">
            <v>PE</v>
          </cell>
          <cell r="E7320" t="str">
            <v>515.51515</v>
          </cell>
          <cell r="F7320">
            <v>207.71</v>
          </cell>
          <cell r="G7320">
            <v>0</v>
          </cell>
          <cell r="H7320">
            <v>0</v>
          </cell>
          <cell r="I7320">
            <v>0</v>
          </cell>
          <cell r="J7320">
            <v>0</v>
          </cell>
          <cell r="K7320">
            <v>0</v>
          </cell>
          <cell r="L7320">
            <v>2</v>
          </cell>
        </row>
        <row r="7321">
          <cell r="A7321" t="str">
            <v>20392.00014</v>
          </cell>
          <cell r="B7321" t="str">
            <v>RESSORT P/ACCOU.P/T20 T1070</v>
          </cell>
          <cell r="C7321" t="str">
            <v>T20 TAILLE 1070 REP 4</v>
          </cell>
          <cell r="D7321" t="str">
            <v>PE</v>
          </cell>
          <cell r="E7321" t="str">
            <v>515.51515</v>
          </cell>
          <cell r="F7321">
            <v>1096</v>
          </cell>
          <cell r="G7321">
            <v>0</v>
          </cell>
          <cell r="H7321">
            <v>0</v>
          </cell>
          <cell r="I7321">
            <v>0</v>
          </cell>
          <cell r="J7321">
            <v>0</v>
          </cell>
          <cell r="K7321">
            <v>0</v>
          </cell>
          <cell r="L7321">
            <v>2</v>
          </cell>
        </row>
        <row r="7322">
          <cell r="A7322" t="str">
            <v>20392.00010</v>
          </cell>
          <cell r="B7322" t="str">
            <v>JOINT CIRCULAIRE P/T20 T1090</v>
          </cell>
          <cell r="C7322" t="str">
            <v>T20 TAILLE 1090 REP 1</v>
          </cell>
          <cell r="D7322" t="str">
            <v>PE</v>
          </cell>
          <cell r="E7322" t="str">
            <v>515.51515</v>
          </cell>
          <cell r="F7322">
            <v>300.45</v>
          </cell>
          <cell r="G7322">
            <v>0</v>
          </cell>
          <cell r="H7322">
            <v>0</v>
          </cell>
          <cell r="I7322">
            <v>2</v>
          </cell>
          <cell r="J7322">
            <v>0</v>
          </cell>
          <cell r="K7322">
            <v>1</v>
          </cell>
          <cell r="L7322">
            <v>0</v>
          </cell>
        </row>
        <row r="7323">
          <cell r="A7323" t="str">
            <v>20392.00011</v>
          </cell>
          <cell r="B7323" t="str">
            <v>RESSORT P/ACCOU.P/T20 T1090</v>
          </cell>
          <cell r="C7323" t="str">
            <v>T20 TAILLE 1090 REP 4</v>
          </cell>
          <cell r="D7323" t="str">
            <v>PE</v>
          </cell>
          <cell r="E7323" t="str">
            <v>515.51515</v>
          </cell>
          <cell r="F7323">
            <v>1998</v>
          </cell>
          <cell r="G7323">
            <v>0</v>
          </cell>
          <cell r="H7323">
            <v>0</v>
          </cell>
          <cell r="I7323">
            <v>2</v>
          </cell>
          <cell r="J7323">
            <v>0</v>
          </cell>
          <cell r="K7323">
            <v>0</v>
          </cell>
          <cell r="L7323">
            <v>0</v>
          </cell>
        </row>
        <row r="7324">
          <cell r="A7324" t="str">
            <v>20392.00088</v>
          </cell>
          <cell r="B7324" t="str">
            <v>RESSORT D'ACCOUPLEMENT</v>
          </cell>
          <cell r="C7324" t="str">
            <v>T31 TAILLE 1080T (RESSORT)</v>
          </cell>
          <cell r="D7324" t="str">
            <v>PE</v>
          </cell>
          <cell r="E7324" t="str">
            <v>515.51515</v>
          </cell>
          <cell r="F7324">
            <v>1573</v>
          </cell>
          <cell r="G7324">
            <v>0</v>
          </cell>
          <cell r="H7324">
            <v>0</v>
          </cell>
          <cell r="I7324">
            <v>0</v>
          </cell>
          <cell r="J7324">
            <v>0</v>
          </cell>
          <cell r="K7324">
            <v>0</v>
          </cell>
          <cell r="L7324">
            <v>1</v>
          </cell>
        </row>
        <row r="7325">
          <cell r="A7325" t="str">
            <v>20392.00078</v>
          </cell>
          <cell r="B7325" t="str">
            <v>ACCOUPLEMENT COMPLET</v>
          </cell>
          <cell r="C7325" t="str">
            <v>1100T-T10</v>
          </cell>
          <cell r="D7325" t="str">
            <v>PE</v>
          </cell>
          <cell r="E7325" t="str">
            <v>515.51515</v>
          </cell>
          <cell r="F7325">
            <v>6519</v>
          </cell>
          <cell r="G7325">
            <v>0</v>
          </cell>
          <cell r="H7325">
            <v>0</v>
          </cell>
          <cell r="I7325">
            <v>1</v>
          </cell>
          <cell r="J7325">
            <v>1</v>
          </cell>
          <cell r="K7325">
            <v>0</v>
          </cell>
          <cell r="L7325">
            <v>1</v>
          </cell>
        </row>
        <row r="7326">
          <cell r="A7326" t="str">
            <v>20442.00935</v>
          </cell>
          <cell r="B7326" t="str">
            <v>COUVERCLE PALIER R:3261</v>
          </cell>
          <cell r="C7326">
            <v>719073</v>
          </cell>
          <cell r="D7326" t="str">
            <v>PE</v>
          </cell>
          <cell r="E7326" t="str">
            <v>515.51503</v>
          </cell>
          <cell r="F7326">
            <v>1450.6536000000001</v>
          </cell>
          <cell r="G7326">
            <v>0</v>
          </cell>
          <cell r="H7326">
            <v>0</v>
          </cell>
          <cell r="I7326">
            <v>0</v>
          </cell>
          <cell r="J7326">
            <v>0</v>
          </cell>
          <cell r="K7326">
            <v>0</v>
          </cell>
          <cell r="L7326">
            <v>2</v>
          </cell>
        </row>
        <row r="7327">
          <cell r="A7327" t="str">
            <v>20442.00470</v>
          </cell>
          <cell r="B7327" t="str">
            <v>RONDELLE ENTRE ROULEMENT</v>
          </cell>
          <cell r="C7327" t="str">
            <v>LC  50/350       PL/E 2972614                   640162</v>
          </cell>
          <cell r="D7327" t="str">
            <v>PE</v>
          </cell>
          <cell r="E7327" t="str">
            <v>515.51503</v>
          </cell>
          <cell r="F7327">
            <v>159.88650000000001</v>
          </cell>
          <cell r="G7327">
            <v>0</v>
          </cell>
          <cell r="H7327">
            <v>0</v>
          </cell>
          <cell r="I7327">
            <v>0</v>
          </cell>
          <cell r="J7327">
            <v>0</v>
          </cell>
          <cell r="K7327">
            <v>0</v>
          </cell>
          <cell r="L7327">
            <v>15</v>
          </cell>
        </row>
        <row r="7328">
          <cell r="A7328" t="str">
            <v>20426.00760</v>
          </cell>
          <cell r="B7328" t="str">
            <v>VANNE À MEMEBRANE À PASSAGE INTEGRAL</v>
          </cell>
          <cell r="C7328" t="str">
            <v>TYPE: 988 (COMMANDE MANUEL À VOLANT AVEC INDICATEUR DE POSITION VISUEL) DN   50 PN 10</v>
          </cell>
          <cell r="D7328" t="str">
            <v>PE</v>
          </cell>
          <cell r="E7328" t="str">
            <v>515.51503</v>
          </cell>
          <cell r="F7328">
            <v>2741.2579999999998</v>
          </cell>
          <cell r="G7328">
            <v>0</v>
          </cell>
          <cell r="H7328">
            <v>0</v>
          </cell>
          <cell r="I7328">
            <v>0</v>
          </cell>
          <cell r="J7328">
            <v>0</v>
          </cell>
          <cell r="K7328">
            <v>0</v>
          </cell>
          <cell r="L7328">
            <v>0</v>
          </cell>
        </row>
        <row r="7329">
          <cell r="A7329" t="str">
            <v>20428.09126</v>
          </cell>
          <cell r="B7329" t="str">
            <v>COUVERCLE DE BOITE A ROULEMENT INF</v>
          </cell>
          <cell r="C7329" t="str">
            <v>CAHRK 1200GV  PLAN SEC06503001   REP4</v>
          </cell>
          <cell r="D7329" t="str">
            <v>PE</v>
          </cell>
          <cell r="E7329" t="str">
            <v>515.51503</v>
          </cell>
          <cell r="F7329">
            <v>27927.262299999999</v>
          </cell>
          <cell r="G7329">
            <v>0</v>
          </cell>
          <cell r="H7329">
            <v>0</v>
          </cell>
          <cell r="I7329">
            <v>0</v>
          </cell>
          <cell r="J7329">
            <v>0</v>
          </cell>
          <cell r="K7329">
            <v>0</v>
          </cell>
          <cell r="L7329">
            <v>1</v>
          </cell>
        </row>
        <row r="7330">
          <cell r="A7330" t="str">
            <v>20428.09127</v>
          </cell>
          <cell r="B7330" t="str">
            <v>COUVERCLE DE BOITE A ROULEMENT SUP</v>
          </cell>
          <cell r="C7330" t="str">
            <v>CAHRK 1200GV  PLAN SEC06503001   REP5</v>
          </cell>
          <cell r="D7330" t="str">
            <v>PE</v>
          </cell>
          <cell r="E7330" t="str">
            <v>515.51503</v>
          </cell>
          <cell r="F7330">
            <v>7502.5333000000001</v>
          </cell>
          <cell r="G7330">
            <v>0</v>
          </cell>
          <cell r="H7330">
            <v>0</v>
          </cell>
          <cell r="I7330">
            <v>0</v>
          </cell>
          <cell r="J7330">
            <v>0</v>
          </cell>
          <cell r="K7330">
            <v>0</v>
          </cell>
          <cell r="L7330">
            <v>1</v>
          </cell>
        </row>
        <row r="7331">
          <cell r="A7331" t="str">
            <v>20428.09130</v>
          </cell>
          <cell r="B7331" t="str">
            <v>JOINT</v>
          </cell>
          <cell r="C7331" t="str">
            <v>CAHRK 1200GV  PLAN SEC06503001   REPJ3</v>
          </cell>
          <cell r="D7331" t="str">
            <v>PE</v>
          </cell>
          <cell r="E7331" t="str">
            <v>515.51503</v>
          </cell>
          <cell r="F7331">
            <v>14705.0697</v>
          </cell>
          <cell r="G7331">
            <v>0</v>
          </cell>
          <cell r="H7331">
            <v>0</v>
          </cell>
          <cell r="I7331">
            <v>0</v>
          </cell>
          <cell r="J7331">
            <v>0</v>
          </cell>
          <cell r="K7331">
            <v>0</v>
          </cell>
          <cell r="L7331">
            <v>3</v>
          </cell>
        </row>
        <row r="7332">
          <cell r="A7332" t="str">
            <v>20428.09131</v>
          </cell>
          <cell r="B7332" t="str">
            <v>BAGUE DE BUTEE</v>
          </cell>
          <cell r="C7332" t="str">
            <v>MN508A   PLAN SEC0650892T    REP7</v>
          </cell>
          <cell r="D7332" t="str">
            <v>PE</v>
          </cell>
          <cell r="E7332" t="str">
            <v>515.51503</v>
          </cell>
          <cell r="F7332">
            <v>2482.9661999999998</v>
          </cell>
          <cell r="G7332">
            <v>0</v>
          </cell>
          <cell r="H7332">
            <v>0</v>
          </cell>
          <cell r="I7332">
            <v>0</v>
          </cell>
          <cell r="J7332">
            <v>0</v>
          </cell>
          <cell r="K7332">
            <v>0</v>
          </cell>
          <cell r="L7332">
            <v>3</v>
          </cell>
        </row>
        <row r="7333">
          <cell r="A7333" t="str">
            <v>20428.09132</v>
          </cell>
          <cell r="B7333" t="str">
            <v>DIFFUSEUR</v>
          </cell>
          <cell r="C7333" t="str">
            <v>MN508A   PLAN SEC0650892T    REP64</v>
          </cell>
          <cell r="D7333" t="str">
            <v>PE</v>
          </cell>
          <cell r="E7333" t="str">
            <v>515.51503</v>
          </cell>
          <cell r="F7333">
            <v>5544.4013000000004</v>
          </cell>
          <cell r="G7333">
            <v>0</v>
          </cell>
          <cell r="H7333">
            <v>0</v>
          </cell>
          <cell r="I7333">
            <v>0</v>
          </cell>
          <cell r="J7333">
            <v>0</v>
          </cell>
          <cell r="K7333">
            <v>0</v>
          </cell>
          <cell r="L7333">
            <v>8</v>
          </cell>
        </row>
        <row r="7334">
          <cell r="A7334" t="str">
            <v>20428.09135</v>
          </cell>
          <cell r="B7334" t="str">
            <v>PASTILLE MAINTIEN DIFFUSEUR</v>
          </cell>
          <cell r="C7334" t="str">
            <v>MN508A   PLAN SEC0650892T    REP270</v>
          </cell>
          <cell r="D7334" t="str">
            <v>PE</v>
          </cell>
          <cell r="E7334" t="str">
            <v>515.51503</v>
          </cell>
          <cell r="F7334">
            <v>228.67740000000001</v>
          </cell>
          <cell r="G7334">
            <v>0</v>
          </cell>
          <cell r="H7334">
            <v>0</v>
          </cell>
          <cell r="I7334">
            <v>0</v>
          </cell>
          <cell r="J7334">
            <v>0</v>
          </cell>
          <cell r="K7334">
            <v>0</v>
          </cell>
          <cell r="L7334">
            <v>16</v>
          </cell>
        </row>
        <row r="7335">
          <cell r="A7335" t="str">
            <v>20428.09136</v>
          </cell>
          <cell r="B7335" t="str">
            <v>JOINT</v>
          </cell>
          <cell r="C7335" t="str">
            <v>MN508A   PLAN SEC0650892T    REPT24</v>
          </cell>
          <cell r="D7335" t="str">
            <v>PE</v>
          </cell>
          <cell r="E7335" t="str">
            <v>515.51503</v>
          </cell>
          <cell r="F7335">
            <v>162.56700000000001</v>
          </cell>
          <cell r="G7335">
            <v>0</v>
          </cell>
          <cell r="H7335">
            <v>0</v>
          </cell>
          <cell r="I7335">
            <v>0</v>
          </cell>
          <cell r="J7335">
            <v>0</v>
          </cell>
          <cell r="K7335">
            <v>0</v>
          </cell>
          <cell r="L7335">
            <v>2</v>
          </cell>
        </row>
        <row r="7336">
          <cell r="A7336" t="str">
            <v>20428.09137</v>
          </cell>
          <cell r="B7336" t="str">
            <v>PALIER</v>
          </cell>
          <cell r="C7336" t="str">
            <v>NCE50-32  PLAN FA 21402    REP1</v>
          </cell>
          <cell r="D7336" t="str">
            <v>PE</v>
          </cell>
          <cell r="E7336" t="str">
            <v>515.51503</v>
          </cell>
          <cell r="F7336">
            <v>9908.1322</v>
          </cell>
          <cell r="G7336">
            <v>0</v>
          </cell>
          <cell r="H7336">
            <v>0</v>
          </cell>
          <cell r="I7336">
            <v>0</v>
          </cell>
          <cell r="J7336">
            <v>0</v>
          </cell>
          <cell r="K7336">
            <v>0</v>
          </cell>
          <cell r="L7336">
            <v>1</v>
          </cell>
        </row>
        <row r="7337">
          <cell r="A7337" t="str">
            <v>20428.09138</v>
          </cell>
          <cell r="B7337" t="str">
            <v>JEU DE COUVERCLE DE PALIER</v>
          </cell>
          <cell r="C7337" t="str">
            <v>NCE50-32  PLAN FA 21402    REP4 ET 5</v>
          </cell>
          <cell r="D7337" t="str">
            <v>PE</v>
          </cell>
          <cell r="E7337" t="str">
            <v>515.51503</v>
          </cell>
          <cell r="F7337">
            <v>4463.8089</v>
          </cell>
          <cell r="G7337">
            <v>0</v>
          </cell>
          <cell r="H7337">
            <v>0</v>
          </cell>
          <cell r="I7337">
            <v>0</v>
          </cell>
          <cell r="J7337">
            <v>0</v>
          </cell>
          <cell r="K7337">
            <v>0</v>
          </cell>
          <cell r="L7337">
            <v>1</v>
          </cell>
        </row>
        <row r="7338">
          <cell r="A7338" t="str">
            <v>20428.09144</v>
          </cell>
          <cell r="B7338" t="str">
            <v>BOITE DE BOURAGE</v>
          </cell>
          <cell r="C7338" t="str">
            <v>NCE 250-40   PLAN FA 21405    REP83</v>
          </cell>
          <cell r="D7338" t="str">
            <v>PE</v>
          </cell>
          <cell r="E7338" t="str">
            <v>515.51503</v>
          </cell>
          <cell r="F7338">
            <v>36031.977500000001</v>
          </cell>
          <cell r="G7338">
            <v>0</v>
          </cell>
          <cell r="H7338">
            <v>0</v>
          </cell>
          <cell r="I7338">
            <v>0</v>
          </cell>
          <cell r="J7338">
            <v>0</v>
          </cell>
          <cell r="K7338">
            <v>0</v>
          </cell>
          <cell r="L7338">
            <v>1</v>
          </cell>
        </row>
        <row r="7339">
          <cell r="A7339" t="str">
            <v>20428.09146</v>
          </cell>
          <cell r="B7339" t="str">
            <v>VIS DE POSITIONNEMENT</v>
          </cell>
          <cell r="C7339" t="str">
            <v>500VE470-54/1R  PLAN SEC06.50897T      REP144A</v>
          </cell>
          <cell r="D7339" t="str">
            <v>PE</v>
          </cell>
          <cell r="E7339" t="str">
            <v>515.51503</v>
          </cell>
          <cell r="F7339">
            <v>73.299800000000005</v>
          </cell>
          <cell r="G7339">
            <v>0</v>
          </cell>
          <cell r="H7339">
            <v>0</v>
          </cell>
          <cell r="I7339">
            <v>0</v>
          </cell>
          <cell r="J7339">
            <v>0</v>
          </cell>
          <cell r="K7339">
            <v>0</v>
          </cell>
          <cell r="L7339">
            <v>3</v>
          </cell>
        </row>
        <row r="7340">
          <cell r="A7340" t="str">
            <v>20428.09147</v>
          </cell>
          <cell r="B7340" t="str">
            <v>PALIER</v>
          </cell>
          <cell r="C7340" t="str">
            <v>NCE150-26A  PLA FA 21408    REP1</v>
          </cell>
          <cell r="D7340" t="str">
            <v>PE</v>
          </cell>
          <cell r="E7340" t="str">
            <v>515.51503</v>
          </cell>
          <cell r="F7340">
            <v>156728.66519999999</v>
          </cell>
          <cell r="G7340">
            <v>0</v>
          </cell>
          <cell r="H7340">
            <v>0</v>
          </cell>
          <cell r="I7340">
            <v>0</v>
          </cell>
          <cell r="J7340">
            <v>0</v>
          </cell>
          <cell r="K7340">
            <v>0</v>
          </cell>
          <cell r="L7340">
            <v>1</v>
          </cell>
        </row>
        <row r="7341">
          <cell r="A7341" t="str">
            <v>20428.09152</v>
          </cell>
          <cell r="B7341" t="str">
            <v>COUVERCLE GM</v>
          </cell>
          <cell r="C7341" t="str">
            <v>EMTECH 40-315K PLAN F101-24-0400 REP 43</v>
          </cell>
          <cell r="D7341" t="str">
            <v>PE</v>
          </cell>
          <cell r="E7341" t="str">
            <v>515.51503</v>
          </cell>
          <cell r="F7341">
            <v>6441.8860000000004</v>
          </cell>
          <cell r="G7341">
            <v>0</v>
          </cell>
          <cell r="H7341">
            <v>0</v>
          </cell>
          <cell r="I7341">
            <v>0</v>
          </cell>
          <cell r="J7341">
            <v>0</v>
          </cell>
          <cell r="K7341">
            <v>0</v>
          </cell>
          <cell r="L7341">
            <v>2</v>
          </cell>
        </row>
        <row r="7342">
          <cell r="A7342" t="str">
            <v>20428.09153</v>
          </cell>
          <cell r="B7342" t="str">
            <v>ERGOT</v>
          </cell>
          <cell r="C7342" t="str">
            <v>EMTECH 40-315K PLAN F101-24-0400 REP E1</v>
          </cell>
          <cell r="D7342" t="str">
            <v>PE</v>
          </cell>
          <cell r="E7342" t="str">
            <v>515.51503</v>
          </cell>
          <cell r="F7342">
            <v>748.20439999999996</v>
          </cell>
          <cell r="G7342">
            <v>0</v>
          </cell>
          <cell r="H7342">
            <v>0</v>
          </cell>
          <cell r="I7342">
            <v>0</v>
          </cell>
          <cell r="J7342">
            <v>0</v>
          </cell>
          <cell r="K7342">
            <v>0</v>
          </cell>
          <cell r="L7342">
            <v>6</v>
          </cell>
        </row>
        <row r="7343">
          <cell r="A7343" t="str">
            <v>20428.09162</v>
          </cell>
          <cell r="B7343" t="str">
            <v>BOUCHON AVEC JOINT</v>
          </cell>
          <cell r="C7343" t="str">
            <v>EMTECH125-400E-IN   PLAN F102-24-0700.02      REP30 ET J12</v>
          </cell>
          <cell r="D7343" t="str">
            <v>PE</v>
          </cell>
          <cell r="E7343" t="str">
            <v>515.51503</v>
          </cell>
          <cell r="F7343">
            <v>198.3492</v>
          </cell>
          <cell r="G7343">
            <v>0</v>
          </cell>
          <cell r="H7343">
            <v>0</v>
          </cell>
          <cell r="I7343">
            <v>0</v>
          </cell>
          <cell r="J7343">
            <v>0</v>
          </cell>
          <cell r="K7343">
            <v>1</v>
          </cell>
          <cell r="L7343">
            <v>2</v>
          </cell>
        </row>
        <row r="7344">
          <cell r="A7344" t="str">
            <v>20426.00637</v>
          </cell>
          <cell r="B7344" t="str">
            <v>VOLUTE</v>
          </cell>
          <cell r="C7344" t="str">
            <v>110434303 REP 102 TYPE RN 100/400 CS</v>
          </cell>
          <cell r="D7344" t="str">
            <v>PE</v>
          </cell>
          <cell r="E7344" t="str">
            <v>515.51503</v>
          </cell>
          <cell r="F7344">
            <v>196502.73389999999</v>
          </cell>
          <cell r="G7344">
            <v>0</v>
          </cell>
          <cell r="H7344">
            <v>1</v>
          </cell>
          <cell r="I7344">
            <v>1</v>
          </cell>
          <cell r="J7344">
            <v>0</v>
          </cell>
          <cell r="K7344">
            <v>0</v>
          </cell>
          <cell r="L7344">
            <v>0</v>
          </cell>
        </row>
        <row r="7345">
          <cell r="A7345" t="str">
            <v>20426.00638</v>
          </cell>
          <cell r="B7345" t="str">
            <v>BAGUE D'ETANCHEITE</v>
          </cell>
          <cell r="C7345" t="str">
            <v>108485211 REP 102,502 TYPE RN 100/400 CS</v>
          </cell>
          <cell r="D7345" t="str">
            <v>PE</v>
          </cell>
          <cell r="E7345" t="str">
            <v>515.51503</v>
          </cell>
          <cell r="F7345">
            <v>6112.5177000000003</v>
          </cell>
          <cell r="G7345">
            <v>0</v>
          </cell>
          <cell r="H7345">
            <v>0</v>
          </cell>
          <cell r="I7345">
            <v>2</v>
          </cell>
          <cell r="J7345">
            <v>0</v>
          </cell>
          <cell r="K7345">
            <v>0</v>
          </cell>
          <cell r="L7345">
            <v>1</v>
          </cell>
        </row>
        <row r="7346">
          <cell r="A7346" t="str">
            <v>20426.00639</v>
          </cell>
          <cell r="B7346" t="str">
            <v>BAGUE DE FIXATION</v>
          </cell>
          <cell r="C7346" t="str">
            <v>130218201 REP 184 TYPE RN 100/400 CS</v>
          </cell>
          <cell r="D7346" t="str">
            <v>PE</v>
          </cell>
          <cell r="E7346" t="str">
            <v>515.51503</v>
          </cell>
          <cell r="F7346">
            <v>1684.98</v>
          </cell>
          <cell r="G7346">
            <v>0</v>
          </cell>
          <cell r="H7346">
            <v>0</v>
          </cell>
          <cell r="I7346">
            <v>0</v>
          </cell>
          <cell r="J7346">
            <v>0</v>
          </cell>
          <cell r="K7346">
            <v>1</v>
          </cell>
          <cell r="L7346">
            <v>2</v>
          </cell>
        </row>
        <row r="7347">
          <cell r="A7347" t="str">
            <v>20426.00640</v>
          </cell>
          <cell r="B7347" t="str">
            <v>ARBRE AVEC CLAVETTE</v>
          </cell>
          <cell r="C7347" t="str">
            <v>150031201 REP 210+REP 940 TYPE RN 100/400 CS</v>
          </cell>
          <cell r="D7347" t="str">
            <v>PE</v>
          </cell>
          <cell r="E7347" t="str">
            <v>515.51503</v>
          </cell>
          <cell r="F7347">
            <v>6364.2119000000002</v>
          </cell>
          <cell r="G7347">
            <v>0</v>
          </cell>
          <cell r="H7347">
            <v>0</v>
          </cell>
          <cell r="I7347">
            <v>1</v>
          </cell>
          <cell r="J7347">
            <v>0</v>
          </cell>
          <cell r="K7347">
            <v>0</v>
          </cell>
          <cell r="L7347">
            <v>0</v>
          </cell>
        </row>
        <row r="7348">
          <cell r="A7348" t="str">
            <v>20426.00641</v>
          </cell>
          <cell r="B7348" t="str">
            <v>ROUE</v>
          </cell>
          <cell r="C7348" t="str">
            <v>110313201 REP 230 TYPE RN 100/400 CS</v>
          </cell>
          <cell r="D7348" t="str">
            <v>PE</v>
          </cell>
          <cell r="E7348" t="str">
            <v>515.51503</v>
          </cell>
          <cell r="F7348">
            <v>89643.929300000003</v>
          </cell>
          <cell r="G7348">
            <v>0</v>
          </cell>
          <cell r="H7348">
            <v>0</v>
          </cell>
          <cell r="I7348">
            <v>2</v>
          </cell>
          <cell r="J7348">
            <v>0</v>
          </cell>
          <cell r="K7348">
            <v>0</v>
          </cell>
          <cell r="L7348">
            <v>0</v>
          </cell>
        </row>
        <row r="7349">
          <cell r="A7349" t="str">
            <v>20426.00642</v>
          </cell>
          <cell r="B7349" t="str">
            <v>GRAISSEUR</v>
          </cell>
          <cell r="C7349" t="str">
            <v>RH34400 REP 636 TYPE RN 100/400 CS</v>
          </cell>
          <cell r="D7349" t="str">
            <v>PE</v>
          </cell>
          <cell r="E7349" t="str">
            <v>515.51503</v>
          </cell>
          <cell r="F7349">
            <v>44.4</v>
          </cell>
          <cell r="G7349">
            <v>0</v>
          </cell>
          <cell r="H7349">
            <v>0</v>
          </cell>
          <cell r="I7349">
            <v>0</v>
          </cell>
          <cell r="J7349">
            <v>0</v>
          </cell>
          <cell r="K7349">
            <v>0</v>
          </cell>
          <cell r="L7349">
            <v>4</v>
          </cell>
        </row>
        <row r="7350">
          <cell r="A7350" t="str">
            <v>20426.00643</v>
          </cell>
          <cell r="B7350" t="str">
            <v>BAGUE FREIN</v>
          </cell>
          <cell r="C7350" t="str">
            <v>RH 34805 REP 932 TYPE RN 100/400 CS</v>
          </cell>
          <cell r="D7350" t="str">
            <v>PE</v>
          </cell>
          <cell r="E7350" t="str">
            <v>515.51503</v>
          </cell>
          <cell r="F7350">
            <v>103.6035</v>
          </cell>
          <cell r="G7350">
            <v>0</v>
          </cell>
          <cell r="H7350">
            <v>0</v>
          </cell>
          <cell r="I7350">
            <v>0</v>
          </cell>
          <cell r="J7350">
            <v>0</v>
          </cell>
          <cell r="K7350">
            <v>2</v>
          </cell>
          <cell r="L7350">
            <v>2</v>
          </cell>
        </row>
        <row r="7351">
          <cell r="A7351" t="str">
            <v>20426.00644</v>
          </cell>
          <cell r="B7351" t="str">
            <v>BAGUE FREIN</v>
          </cell>
          <cell r="C7351" t="str">
            <v>RH 34799 REP 932  TYPE RN 100/400 CS</v>
          </cell>
          <cell r="D7351" t="str">
            <v>PE</v>
          </cell>
          <cell r="E7351" t="str">
            <v>515.51503</v>
          </cell>
          <cell r="F7351">
            <v>100.61060000000001</v>
          </cell>
          <cell r="G7351">
            <v>0</v>
          </cell>
          <cell r="H7351">
            <v>0</v>
          </cell>
          <cell r="I7351">
            <v>0</v>
          </cell>
          <cell r="J7351">
            <v>0</v>
          </cell>
          <cell r="K7351">
            <v>0</v>
          </cell>
          <cell r="L7351">
            <v>2</v>
          </cell>
        </row>
        <row r="7352">
          <cell r="A7352" t="str">
            <v>20426.00645</v>
          </cell>
          <cell r="B7352" t="str">
            <v>COUVERCLE DE PALIER</v>
          </cell>
          <cell r="C7352" t="str">
            <v>150030701 REP 360 TYPE RN 100/400 CS</v>
          </cell>
          <cell r="D7352" t="str">
            <v>PE</v>
          </cell>
          <cell r="E7352" t="str">
            <v>515.51503</v>
          </cell>
          <cell r="F7352">
            <v>4247.74</v>
          </cell>
          <cell r="G7352">
            <v>0</v>
          </cell>
          <cell r="H7352">
            <v>0</v>
          </cell>
          <cell r="I7352">
            <v>0</v>
          </cell>
          <cell r="J7352">
            <v>0</v>
          </cell>
          <cell r="K7352">
            <v>0</v>
          </cell>
          <cell r="L7352">
            <v>2</v>
          </cell>
        </row>
        <row r="7353">
          <cell r="A7353" t="str">
            <v>20426.00646</v>
          </cell>
          <cell r="B7353" t="str">
            <v>COUVERCLE ARRIERE</v>
          </cell>
          <cell r="C7353" t="str">
            <v>150030702 REP 361 TYPE RN 100/400 CS</v>
          </cell>
          <cell r="D7353" t="str">
            <v>PE</v>
          </cell>
          <cell r="E7353" t="str">
            <v>515.51503</v>
          </cell>
          <cell r="F7353">
            <v>5742.59</v>
          </cell>
          <cell r="G7353">
            <v>0</v>
          </cell>
          <cell r="H7353">
            <v>0</v>
          </cell>
          <cell r="I7353">
            <v>0</v>
          </cell>
          <cell r="J7353">
            <v>0</v>
          </cell>
          <cell r="K7353">
            <v>0</v>
          </cell>
          <cell r="L7353">
            <v>2</v>
          </cell>
        </row>
        <row r="7354">
          <cell r="A7354" t="str">
            <v>20426.00647</v>
          </cell>
          <cell r="B7354" t="str">
            <v>DEFLECTEUR</v>
          </cell>
          <cell r="C7354" t="str">
            <v>300032810 REP 507 TYPE RN 100/400 CS</v>
          </cell>
          <cell r="D7354" t="str">
            <v>PE</v>
          </cell>
          <cell r="E7354" t="str">
            <v>515.51503</v>
          </cell>
          <cell r="F7354">
            <v>44.401499999999999</v>
          </cell>
          <cell r="G7354">
            <v>0</v>
          </cell>
          <cell r="H7354">
            <v>0</v>
          </cell>
          <cell r="I7354">
            <v>0</v>
          </cell>
          <cell r="J7354">
            <v>0</v>
          </cell>
          <cell r="K7354">
            <v>0</v>
          </cell>
          <cell r="L7354">
            <v>2</v>
          </cell>
        </row>
        <row r="7355">
          <cell r="A7355" t="str">
            <v>20426.00648</v>
          </cell>
          <cell r="B7355" t="str">
            <v>CHEMISE D'ARBRE</v>
          </cell>
          <cell r="C7355" t="str">
            <v>150021520 REP 523 TYPE RN 100/400 CS</v>
          </cell>
          <cell r="D7355" t="str">
            <v>PE</v>
          </cell>
          <cell r="E7355" t="str">
            <v>515.51503</v>
          </cell>
          <cell r="F7355">
            <v>15063.265799999999</v>
          </cell>
          <cell r="G7355">
            <v>0</v>
          </cell>
          <cell r="H7355">
            <v>0</v>
          </cell>
          <cell r="I7355">
            <v>0</v>
          </cell>
          <cell r="J7355">
            <v>0</v>
          </cell>
          <cell r="K7355">
            <v>0</v>
          </cell>
          <cell r="L7355">
            <v>3</v>
          </cell>
        </row>
        <row r="7356">
          <cell r="A7356" t="str">
            <v>20426.00649</v>
          </cell>
          <cell r="B7356" t="str">
            <v>GRAIN DE GARNITURE</v>
          </cell>
          <cell r="C7356" t="str">
            <v>108739004 REP 433-472 TYPE RN 100/400 CS</v>
          </cell>
          <cell r="D7356" t="str">
            <v>PE</v>
          </cell>
          <cell r="E7356" t="str">
            <v>515.51503</v>
          </cell>
          <cell r="F7356">
            <v>8518.4205000000002</v>
          </cell>
          <cell r="G7356">
            <v>0</v>
          </cell>
          <cell r="H7356">
            <v>0</v>
          </cell>
          <cell r="I7356">
            <v>0</v>
          </cell>
          <cell r="J7356">
            <v>0</v>
          </cell>
          <cell r="K7356">
            <v>0</v>
          </cell>
          <cell r="L7356">
            <v>2</v>
          </cell>
        </row>
        <row r="7357">
          <cell r="A7357" t="str">
            <v>20426.00650</v>
          </cell>
          <cell r="B7357" t="str">
            <v>RESSORT DE GARNITURE</v>
          </cell>
          <cell r="C7357" t="str">
            <v>108739003 REP 433-477 TYPE RN 100/400 CS</v>
          </cell>
          <cell r="D7357" t="str">
            <v>PE</v>
          </cell>
          <cell r="E7357" t="str">
            <v>515.51503</v>
          </cell>
          <cell r="F7357">
            <v>2743.1059</v>
          </cell>
          <cell r="G7357">
            <v>0</v>
          </cell>
          <cell r="H7357">
            <v>0</v>
          </cell>
          <cell r="I7357">
            <v>0</v>
          </cell>
          <cell r="J7357">
            <v>0</v>
          </cell>
          <cell r="K7357">
            <v>0</v>
          </cell>
          <cell r="L7357">
            <v>2</v>
          </cell>
        </row>
        <row r="7358">
          <cell r="A7358" t="str">
            <v>20426.00651</v>
          </cell>
          <cell r="B7358" t="str">
            <v>ANNEAU D'ENTRAINEMENT</v>
          </cell>
          <cell r="C7358" t="str">
            <v>108739006 REP 433-485 TYPE RN 100/400 CS</v>
          </cell>
          <cell r="D7358" t="str">
            <v>PE</v>
          </cell>
          <cell r="E7358" t="str">
            <v>515.51503</v>
          </cell>
          <cell r="F7358">
            <v>4352.4414999999999</v>
          </cell>
          <cell r="G7358">
            <v>0</v>
          </cell>
          <cell r="H7358">
            <v>0</v>
          </cell>
          <cell r="I7358">
            <v>0</v>
          </cell>
          <cell r="J7358">
            <v>0</v>
          </cell>
          <cell r="K7358">
            <v>0</v>
          </cell>
          <cell r="L7358">
            <v>2</v>
          </cell>
        </row>
        <row r="7359">
          <cell r="A7359" t="str">
            <v>20426.00652</v>
          </cell>
          <cell r="B7359" t="str">
            <v>FLASQUE DE GARNITURE</v>
          </cell>
          <cell r="C7359" t="str">
            <v>110867501 REP 443 TYPE RN 100/400 CS</v>
          </cell>
          <cell r="D7359" t="str">
            <v>PE</v>
          </cell>
          <cell r="E7359" t="str">
            <v>515.51503</v>
          </cell>
          <cell r="F7359">
            <v>74650.3223</v>
          </cell>
          <cell r="G7359">
            <v>0</v>
          </cell>
          <cell r="H7359">
            <v>0</v>
          </cell>
          <cell r="I7359">
            <v>0</v>
          </cell>
          <cell r="J7359">
            <v>0</v>
          </cell>
          <cell r="K7359">
            <v>0</v>
          </cell>
          <cell r="L7359">
            <v>2</v>
          </cell>
        </row>
        <row r="7360">
          <cell r="A7360" t="str">
            <v>20426.00657</v>
          </cell>
          <cell r="B7360" t="str">
            <v>JEU DE JOINT</v>
          </cell>
          <cell r="C7360" t="str">
            <v>RN 100/400/RF 46 REP 400</v>
          </cell>
          <cell r="D7360" t="str">
            <v>PE</v>
          </cell>
          <cell r="E7360" t="str">
            <v>515.51503</v>
          </cell>
          <cell r="F7360">
            <v>6186.61</v>
          </cell>
          <cell r="G7360">
            <v>0</v>
          </cell>
          <cell r="H7360">
            <v>0</v>
          </cell>
          <cell r="I7360">
            <v>0</v>
          </cell>
          <cell r="J7360">
            <v>0</v>
          </cell>
          <cell r="K7360">
            <v>1</v>
          </cell>
          <cell r="L7360">
            <v>3</v>
          </cell>
        </row>
        <row r="7361">
          <cell r="A7361" t="str">
            <v>20426.00658</v>
          </cell>
          <cell r="B7361" t="str">
            <v>BAGUE D'ETANCHEITE</v>
          </cell>
          <cell r="C7361" t="str">
            <v>D50/65X8/NBR REP 360/421 TYPE RN 100/400 CS</v>
          </cell>
          <cell r="D7361" t="str">
            <v>PE</v>
          </cell>
          <cell r="E7361" t="str">
            <v>515.51503</v>
          </cell>
          <cell r="F7361">
            <v>337.16219999999998</v>
          </cell>
          <cell r="G7361">
            <v>0</v>
          </cell>
          <cell r="H7361">
            <v>0</v>
          </cell>
          <cell r="I7361">
            <v>0</v>
          </cell>
          <cell r="J7361">
            <v>0</v>
          </cell>
          <cell r="K7361">
            <v>0</v>
          </cell>
          <cell r="L7361">
            <v>0</v>
          </cell>
        </row>
        <row r="7362">
          <cell r="A7362" t="str">
            <v>20442.01444</v>
          </cell>
          <cell r="B7362" t="str">
            <v>JOINT PLAT</v>
          </cell>
          <cell r="C7362" t="str">
            <v xml:space="preserve">LC 50-350 N1 REP-4590-03 </v>
          </cell>
          <cell r="D7362" t="str">
            <v>PE</v>
          </cell>
          <cell r="E7362" t="str">
            <v>515.51503</v>
          </cell>
          <cell r="F7362">
            <v>127.7242</v>
          </cell>
          <cell r="G7362">
            <v>0</v>
          </cell>
          <cell r="H7362">
            <v>0</v>
          </cell>
          <cell r="I7362">
            <v>0</v>
          </cell>
          <cell r="J7362">
            <v>0</v>
          </cell>
          <cell r="K7362">
            <v>1</v>
          </cell>
          <cell r="L7362">
            <v>3</v>
          </cell>
        </row>
        <row r="7363">
          <cell r="A7363" t="str">
            <v>20442.01450</v>
          </cell>
          <cell r="B7363" t="str">
            <v>CORPS DE POMPE</v>
          </cell>
          <cell r="C7363" t="str">
            <v>709501-PK1561 P/PPE LC 50 -350 SERIE SP 53200 397 01</v>
          </cell>
          <cell r="D7363" t="str">
            <v>PE</v>
          </cell>
          <cell r="E7363" t="str">
            <v>515.51503</v>
          </cell>
          <cell r="F7363">
            <v>31179.35</v>
          </cell>
          <cell r="G7363">
            <v>0</v>
          </cell>
          <cell r="H7363">
            <v>0</v>
          </cell>
          <cell r="I7363">
            <v>0</v>
          </cell>
          <cell r="J7363">
            <v>0</v>
          </cell>
          <cell r="K7363">
            <v>0</v>
          </cell>
          <cell r="L7363">
            <v>4</v>
          </cell>
        </row>
        <row r="7364">
          <cell r="A7364" t="str">
            <v>20442.01451</v>
          </cell>
          <cell r="B7364" t="str">
            <v>ARBRE DE POMPE</v>
          </cell>
          <cell r="C7364" t="str">
            <v>720392-Q002 P/PPE LC 50 -350 SERIE SP 53200 397 02</v>
          </cell>
          <cell r="D7364" t="str">
            <v>PE</v>
          </cell>
          <cell r="E7364" t="str">
            <v>515.51503</v>
          </cell>
          <cell r="F7364">
            <v>10457.7158</v>
          </cell>
          <cell r="G7364">
            <v>0</v>
          </cell>
          <cell r="H7364">
            <v>0</v>
          </cell>
          <cell r="I7364">
            <v>0</v>
          </cell>
          <cell r="J7364">
            <v>0</v>
          </cell>
          <cell r="K7364">
            <v>2</v>
          </cell>
          <cell r="L7364">
            <v>3</v>
          </cell>
        </row>
        <row r="7365">
          <cell r="A7365" t="str">
            <v>20442.01452</v>
          </cell>
          <cell r="B7365" t="str">
            <v>ROULEMENT</v>
          </cell>
          <cell r="C7365" t="str">
            <v>677311 P/PPE LC 50 -350 SERIE SP 53200 397 01</v>
          </cell>
          <cell r="D7365" t="str">
            <v>PE</v>
          </cell>
          <cell r="E7365" t="str">
            <v>515.51503</v>
          </cell>
          <cell r="F7365">
            <v>732.96079999999995</v>
          </cell>
          <cell r="G7365">
            <v>0</v>
          </cell>
          <cell r="H7365">
            <v>0</v>
          </cell>
          <cell r="I7365">
            <v>0</v>
          </cell>
          <cell r="J7365">
            <v>0</v>
          </cell>
          <cell r="K7365">
            <v>0</v>
          </cell>
          <cell r="L7365">
            <v>0</v>
          </cell>
        </row>
        <row r="7366">
          <cell r="A7366" t="str">
            <v>20442.01453</v>
          </cell>
          <cell r="B7366" t="str">
            <v>ROULEMENT</v>
          </cell>
          <cell r="C7366" t="str">
            <v>600311 P/PPE LC 50 -350 SERIE SP 53200 397 01</v>
          </cell>
          <cell r="D7366" t="str">
            <v>PE</v>
          </cell>
          <cell r="E7366" t="str">
            <v>515.51503</v>
          </cell>
          <cell r="F7366">
            <v>753.32489999999996</v>
          </cell>
          <cell r="G7366">
            <v>0</v>
          </cell>
          <cell r="H7366">
            <v>0</v>
          </cell>
          <cell r="I7366">
            <v>0</v>
          </cell>
          <cell r="J7366">
            <v>1</v>
          </cell>
          <cell r="K7366">
            <v>0</v>
          </cell>
          <cell r="L7366">
            <v>0</v>
          </cell>
        </row>
        <row r="7367">
          <cell r="A7367" t="str">
            <v>20442.01454</v>
          </cell>
          <cell r="B7367" t="str">
            <v>GRAISSEUR</v>
          </cell>
          <cell r="C7367" t="str">
            <v>662183 P/PPE LC 50 -350 SERIE SP 53200 397 01</v>
          </cell>
          <cell r="D7367" t="str">
            <v>PE</v>
          </cell>
          <cell r="E7367" t="str">
            <v>515.51503</v>
          </cell>
          <cell r="F7367">
            <v>20.965399999999999</v>
          </cell>
          <cell r="G7367">
            <v>0</v>
          </cell>
          <cell r="H7367">
            <v>0</v>
          </cell>
          <cell r="I7367">
            <v>2</v>
          </cell>
          <cell r="J7367">
            <v>0</v>
          </cell>
          <cell r="K7367">
            <v>8</v>
          </cell>
          <cell r="L7367">
            <v>3</v>
          </cell>
        </row>
        <row r="7368">
          <cell r="A7368" t="str">
            <v>20442.01456</v>
          </cell>
          <cell r="B7368" t="str">
            <v>TOLE FREIN ECROU</v>
          </cell>
          <cell r="C7368" t="str">
            <v>657851 P/PPE LC 50 -350 SERIE SP 53200 397 01</v>
          </cell>
          <cell r="D7368" t="str">
            <v>PE</v>
          </cell>
          <cell r="E7368" t="str">
            <v>515.51503</v>
          </cell>
          <cell r="F7368">
            <v>20.9589</v>
          </cell>
          <cell r="G7368">
            <v>0</v>
          </cell>
          <cell r="H7368">
            <v>0</v>
          </cell>
          <cell r="I7368">
            <v>0</v>
          </cell>
          <cell r="J7368">
            <v>0</v>
          </cell>
          <cell r="K7368">
            <v>1</v>
          </cell>
          <cell r="L7368">
            <v>0</v>
          </cell>
        </row>
        <row r="7369">
          <cell r="A7369" t="str">
            <v>20442.01457</v>
          </cell>
          <cell r="B7369" t="str">
            <v>CLAVETTE</v>
          </cell>
          <cell r="C7369" t="str">
            <v>620398 P/PPE LC 50 -350 SERIE SP 53200 397 01</v>
          </cell>
          <cell r="D7369" t="str">
            <v>PE</v>
          </cell>
          <cell r="E7369" t="str">
            <v>515.51503</v>
          </cell>
          <cell r="F7369">
            <v>40.723100000000002</v>
          </cell>
          <cell r="G7369">
            <v>0</v>
          </cell>
          <cell r="H7369">
            <v>1</v>
          </cell>
          <cell r="I7369">
            <v>0</v>
          </cell>
          <cell r="J7369">
            <v>2</v>
          </cell>
          <cell r="K7369">
            <v>1</v>
          </cell>
          <cell r="L7369">
            <v>1</v>
          </cell>
        </row>
        <row r="7370">
          <cell r="A7370" t="str">
            <v>20442.01617</v>
          </cell>
          <cell r="B7370" t="str">
            <v>COUVERCLE DE PALIER COTE COMMANDE</v>
          </cell>
          <cell r="C7370" t="str">
            <v>LC 50-350 N2 PLAN A-3986354  REP-3261</v>
          </cell>
          <cell r="D7370" t="str">
            <v>PE</v>
          </cell>
          <cell r="E7370" t="str">
            <v>515.51503</v>
          </cell>
          <cell r="F7370">
            <v>1332.5696</v>
          </cell>
          <cell r="G7370">
            <v>0</v>
          </cell>
          <cell r="H7370">
            <v>0</v>
          </cell>
          <cell r="I7370">
            <v>0</v>
          </cell>
          <cell r="J7370">
            <v>0</v>
          </cell>
          <cell r="K7370">
            <v>0</v>
          </cell>
          <cell r="L7370">
            <v>2</v>
          </cell>
        </row>
        <row r="7371">
          <cell r="A7371" t="str">
            <v>20442.01618</v>
          </cell>
          <cell r="B7371" t="str">
            <v>JOINT PLAT</v>
          </cell>
          <cell r="C7371" t="str">
            <v>705497        LC 50-350 N2 PLAN A-3986354  REP-4590.01</v>
          </cell>
          <cell r="D7371" t="str">
            <v>PE</v>
          </cell>
          <cell r="E7371" t="str">
            <v>515.51503</v>
          </cell>
          <cell r="F7371">
            <v>1463.5840000000001</v>
          </cell>
          <cell r="G7371">
            <v>0</v>
          </cell>
          <cell r="H7371">
            <v>0</v>
          </cell>
          <cell r="I7371">
            <v>1</v>
          </cell>
          <cell r="J7371">
            <v>1</v>
          </cell>
          <cell r="K7371">
            <v>1</v>
          </cell>
          <cell r="L7371">
            <v>1</v>
          </cell>
        </row>
        <row r="7372">
          <cell r="A7372" t="str">
            <v>20442.01619</v>
          </cell>
          <cell r="B7372" t="str">
            <v>JOINT PLAT</v>
          </cell>
          <cell r="C7372" t="str">
            <v>640036       LC 50-350 N2 PLAN A-3986354  REP-4590.02</v>
          </cell>
          <cell r="D7372" t="str">
            <v>PE</v>
          </cell>
          <cell r="E7372" t="str">
            <v>515.51503</v>
          </cell>
          <cell r="F7372">
            <v>66.7774</v>
          </cell>
          <cell r="G7372">
            <v>0</v>
          </cell>
          <cell r="H7372">
            <v>0</v>
          </cell>
          <cell r="I7372">
            <v>1</v>
          </cell>
          <cell r="J7372">
            <v>0</v>
          </cell>
          <cell r="K7372">
            <v>0</v>
          </cell>
          <cell r="L7372">
            <v>3</v>
          </cell>
        </row>
        <row r="7373">
          <cell r="A7373" t="str">
            <v>20442.01620</v>
          </cell>
          <cell r="B7373" t="str">
            <v>JOINT TORIQUE</v>
          </cell>
          <cell r="C7373" t="str">
            <v>662245       LC 50-350 N2 PLAN A-3986354  REP-4610.01</v>
          </cell>
          <cell r="D7373" t="str">
            <v>PE</v>
          </cell>
          <cell r="E7373" t="str">
            <v>515.51503</v>
          </cell>
          <cell r="F7373">
            <v>123.6451</v>
          </cell>
          <cell r="G7373">
            <v>0</v>
          </cell>
          <cell r="H7373">
            <v>0</v>
          </cell>
          <cell r="I7373">
            <v>2</v>
          </cell>
          <cell r="J7373">
            <v>2</v>
          </cell>
          <cell r="K7373">
            <v>0</v>
          </cell>
          <cell r="L7373">
            <v>0</v>
          </cell>
        </row>
        <row r="7374">
          <cell r="A7374" t="str">
            <v>20442.01621</v>
          </cell>
          <cell r="B7374" t="str">
            <v>JOINT TORIQUE</v>
          </cell>
          <cell r="C7374" t="str">
            <v>710166    LC 50-350 N2 PLAN A-3986354  REP-4610.07</v>
          </cell>
          <cell r="D7374" t="str">
            <v>PE</v>
          </cell>
          <cell r="E7374" t="str">
            <v>515.51503</v>
          </cell>
          <cell r="F7374">
            <v>266.99680000000001</v>
          </cell>
          <cell r="G7374">
            <v>0</v>
          </cell>
          <cell r="H7374">
            <v>0</v>
          </cell>
          <cell r="I7374">
            <v>2</v>
          </cell>
          <cell r="J7374">
            <v>1</v>
          </cell>
          <cell r="K7374">
            <v>0</v>
          </cell>
          <cell r="L7374">
            <v>1</v>
          </cell>
        </row>
        <row r="7375">
          <cell r="A7375" t="str">
            <v>20442.01458</v>
          </cell>
          <cell r="B7375" t="str">
            <v>CLAVETTE</v>
          </cell>
          <cell r="C7375" t="str">
            <v>620399 P/PPE LC 50 -350 SERIE SP 53200 397 01</v>
          </cell>
          <cell r="D7375" t="str">
            <v>PE</v>
          </cell>
          <cell r="E7375" t="str">
            <v>515.51503</v>
          </cell>
          <cell r="F7375">
            <v>91.387799999999999</v>
          </cell>
          <cell r="G7375">
            <v>0</v>
          </cell>
          <cell r="H7375">
            <v>0</v>
          </cell>
          <cell r="I7375">
            <v>1</v>
          </cell>
          <cell r="J7375">
            <v>0</v>
          </cell>
          <cell r="K7375">
            <v>4</v>
          </cell>
          <cell r="L7375">
            <v>3</v>
          </cell>
        </row>
        <row r="7376">
          <cell r="A7376" t="str">
            <v>20442.01460</v>
          </cell>
          <cell r="B7376" t="str">
            <v>ECROU A ENCOCHES</v>
          </cell>
          <cell r="C7376" t="str">
            <v>616368 P/PPE LC 50 -350 SERIE SP 53200 397 01</v>
          </cell>
          <cell r="D7376" t="str">
            <v>PE</v>
          </cell>
          <cell r="E7376" t="str">
            <v>515.51503</v>
          </cell>
          <cell r="F7376">
            <v>29.075299999999999</v>
          </cell>
          <cell r="G7376">
            <v>0</v>
          </cell>
          <cell r="H7376">
            <v>0</v>
          </cell>
          <cell r="I7376">
            <v>0</v>
          </cell>
          <cell r="J7376">
            <v>1</v>
          </cell>
          <cell r="K7376">
            <v>1</v>
          </cell>
          <cell r="L7376">
            <v>2</v>
          </cell>
        </row>
        <row r="7377">
          <cell r="A7377" t="str">
            <v>20442.01461</v>
          </cell>
          <cell r="B7377" t="str">
            <v>GOUPILLE CANELEE</v>
          </cell>
          <cell r="C7377" t="str">
            <v>591539 P/PPE LC 50 -350 SERIE SP 53200 397 01</v>
          </cell>
          <cell r="D7377" t="str">
            <v>PE</v>
          </cell>
          <cell r="E7377" t="str">
            <v>515.51503</v>
          </cell>
          <cell r="F7377">
            <v>16.127300000000002</v>
          </cell>
          <cell r="G7377">
            <v>0</v>
          </cell>
          <cell r="H7377">
            <v>2</v>
          </cell>
          <cell r="I7377">
            <v>1</v>
          </cell>
          <cell r="J7377">
            <v>0</v>
          </cell>
          <cell r="K7377">
            <v>4</v>
          </cell>
          <cell r="L7377">
            <v>1</v>
          </cell>
        </row>
        <row r="7378">
          <cell r="A7378" t="str">
            <v>20442.01462</v>
          </cell>
          <cell r="B7378" t="str">
            <v>JEU DE VISSERIE</v>
          </cell>
          <cell r="C7378" t="str">
            <v>P/PPE LC 50 -350 SERIE SP 53200 397 01</v>
          </cell>
          <cell r="D7378" t="str">
            <v>PE</v>
          </cell>
          <cell r="E7378" t="str">
            <v>515.51503</v>
          </cell>
          <cell r="F7378">
            <v>455.10700000000003</v>
          </cell>
          <cell r="G7378">
            <v>0</v>
          </cell>
          <cell r="H7378">
            <v>0</v>
          </cell>
          <cell r="I7378">
            <v>0</v>
          </cell>
          <cell r="J7378">
            <v>2</v>
          </cell>
          <cell r="K7378">
            <v>0</v>
          </cell>
          <cell r="L7378">
            <v>0</v>
          </cell>
        </row>
        <row r="7379">
          <cell r="A7379" t="str">
            <v>20442.01463</v>
          </cell>
          <cell r="B7379" t="str">
            <v>POULIE</v>
          </cell>
          <cell r="C7379" t="str">
            <v>AA50247 P/PPE LC 50 -350 SERIE SP 53200 397 02</v>
          </cell>
          <cell r="D7379" t="str">
            <v>PE</v>
          </cell>
          <cell r="E7379" t="str">
            <v>515.51503</v>
          </cell>
          <cell r="F7379">
            <v>526.96600000000001</v>
          </cell>
          <cell r="G7379">
            <v>0</v>
          </cell>
          <cell r="H7379">
            <v>0</v>
          </cell>
          <cell r="I7379">
            <v>0</v>
          </cell>
          <cell r="J7379">
            <v>1</v>
          </cell>
          <cell r="K7379">
            <v>0</v>
          </cell>
          <cell r="L7379">
            <v>0</v>
          </cell>
        </row>
        <row r="7380">
          <cell r="A7380" t="str">
            <v>20442.01464</v>
          </cell>
          <cell r="B7380" t="str">
            <v>CORPS DE POMPE</v>
          </cell>
          <cell r="C7380" t="str">
            <v>709441-PK1561 P/PPE LC 50 -350 SERIE SP 53200 397 02</v>
          </cell>
          <cell r="D7380" t="str">
            <v>PE</v>
          </cell>
          <cell r="E7380" t="str">
            <v>515.51503</v>
          </cell>
          <cell r="F7380">
            <v>29652.636999999999</v>
          </cell>
          <cell r="G7380">
            <v>0</v>
          </cell>
          <cell r="H7380">
            <v>0</v>
          </cell>
          <cell r="I7380">
            <v>0</v>
          </cell>
          <cell r="J7380">
            <v>0</v>
          </cell>
          <cell r="K7380">
            <v>0</v>
          </cell>
          <cell r="L7380">
            <v>2</v>
          </cell>
        </row>
        <row r="7381">
          <cell r="A7381" t="str">
            <v>20442.01465</v>
          </cell>
          <cell r="B7381" t="str">
            <v>FOND AVEC BOITE A GARNITURE</v>
          </cell>
          <cell r="C7381" t="str">
            <v>710190-Q002 P/PPE LC 50 -350 SERIE SP 53200 397 03</v>
          </cell>
          <cell r="D7381" t="str">
            <v>PE</v>
          </cell>
          <cell r="E7381" t="str">
            <v>515.51503</v>
          </cell>
          <cell r="F7381">
            <v>12575.3256</v>
          </cell>
          <cell r="G7381">
            <v>0</v>
          </cell>
          <cell r="H7381">
            <v>0</v>
          </cell>
          <cell r="I7381">
            <v>0</v>
          </cell>
          <cell r="J7381">
            <v>0</v>
          </cell>
          <cell r="K7381">
            <v>0</v>
          </cell>
          <cell r="L7381">
            <v>0</v>
          </cell>
        </row>
        <row r="7382">
          <cell r="A7382" t="str">
            <v>20442.01466</v>
          </cell>
          <cell r="B7382" t="str">
            <v>COURROIE</v>
          </cell>
          <cell r="C7382" t="str">
            <v>AA50669 P/PPE LC 50 -350 SERIE SP 53200 397 03</v>
          </cell>
          <cell r="D7382" t="str">
            <v>PE</v>
          </cell>
          <cell r="E7382" t="str">
            <v>515.51503</v>
          </cell>
          <cell r="F7382">
            <v>197.63239999999999</v>
          </cell>
          <cell r="G7382">
            <v>0</v>
          </cell>
          <cell r="H7382">
            <v>0</v>
          </cell>
          <cell r="I7382">
            <v>0</v>
          </cell>
          <cell r="J7382">
            <v>0</v>
          </cell>
          <cell r="K7382">
            <v>0</v>
          </cell>
          <cell r="L7382">
            <v>0</v>
          </cell>
        </row>
        <row r="7383">
          <cell r="A7383" t="str">
            <v>20442.01467</v>
          </cell>
          <cell r="B7383" t="str">
            <v>ROUE</v>
          </cell>
          <cell r="C7383" t="str">
            <v>709650-PK1561 P/PPE LC 50 -350 SERIE SP 53200 397 03</v>
          </cell>
          <cell r="D7383" t="str">
            <v>PE</v>
          </cell>
          <cell r="E7383" t="str">
            <v>515.51503</v>
          </cell>
          <cell r="F7383">
            <v>16088.475</v>
          </cell>
          <cell r="G7383">
            <v>0</v>
          </cell>
          <cell r="H7383">
            <v>0</v>
          </cell>
          <cell r="I7383">
            <v>1</v>
          </cell>
          <cell r="J7383">
            <v>0</v>
          </cell>
          <cell r="K7383">
            <v>0</v>
          </cell>
          <cell r="L7383">
            <v>0</v>
          </cell>
        </row>
        <row r="7384">
          <cell r="A7384" t="str">
            <v>20442.01082</v>
          </cell>
          <cell r="B7384" t="str">
            <v>CHAISE DE PALIER</v>
          </cell>
          <cell r="C7384" t="str">
            <v>709203 P/POMPE TYPE LC 100/320 N.FAB SP 53200267-06</v>
          </cell>
          <cell r="D7384" t="str">
            <v>PE</v>
          </cell>
          <cell r="E7384" t="str">
            <v>515.51503</v>
          </cell>
          <cell r="F7384">
            <v>23300.708999999999</v>
          </cell>
          <cell r="G7384">
            <v>0</v>
          </cell>
          <cell r="H7384">
            <v>0</v>
          </cell>
          <cell r="I7384">
            <v>0</v>
          </cell>
          <cell r="J7384">
            <v>1</v>
          </cell>
          <cell r="K7384">
            <v>0</v>
          </cell>
          <cell r="L7384">
            <v>1</v>
          </cell>
        </row>
        <row r="7385">
          <cell r="A7385" t="str">
            <v>20442.01084</v>
          </cell>
          <cell r="B7385" t="str">
            <v>JOINT TORIQUE</v>
          </cell>
          <cell r="C7385" t="str">
            <v>710166 P/POMPE TYPE LC 100/320 N.FAB SP 53200267-06</v>
          </cell>
          <cell r="D7385" t="str">
            <v>PE</v>
          </cell>
          <cell r="E7385" t="str">
            <v>515.51503</v>
          </cell>
          <cell r="F7385">
            <v>218.27170000000001</v>
          </cell>
          <cell r="G7385">
            <v>0</v>
          </cell>
          <cell r="H7385">
            <v>0</v>
          </cell>
          <cell r="I7385">
            <v>0</v>
          </cell>
          <cell r="J7385">
            <v>0</v>
          </cell>
          <cell r="K7385">
            <v>0</v>
          </cell>
          <cell r="L7385">
            <v>8</v>
          </cell>
        </row>
        <row r="7386">
          <cell r="A7386" t="str">
            <v>20442.01086</v>
          </cell>
          <cell r="B7386" t="str">
            <v>JOINT</v>
          </cell>
          <cell r="C7386" t="str">
            <v>764301 P/POMPE TYPE LC65/310 N.FAB SP 53200269 01/02</v>
          </cell>
          <cell r="D7386" t="str">
            <v>PE</v>
          </cell>
          <cell r="E7386" t="str">
            <v>515.51503</v>
          </cell>
          <cell r="F7386">
            <v>409.07369999999997</v>
          </cell>
          <cell r="G7386">
            <v>0</v>
          </cell>
          <cell r="H7386">
            <v>0</v>
          </cell>
          <cell r="I7386">
            <v>0</v>
          </cell>
          <cell r="J7386">
            <v>0</v>
          </cell>
          <cell r="K7386">
            <v>0</v>
          </cell>
          <cell r="L7386">
            <v>1</v>
          </cell>
        </row>
        <row r="7387">
          <cell r="A7387" t="str">
            <v>20442.01615</v>
          </cell>
          <cell r="B7387" t="str">
            <v>DEFLECTEUR COTE POMPE</v>
          </cell>
          <cell r="C7387" t="str">
            <v>704015       LC 50-350 N2 PLAN A-3986354  REP-2540</v>
          </cell>
          <cell r="D7387" t="str">
            <v>PE</v>
          </cell>
          <cell r="E7387" t="str">
            <v>515.51503</v>
          </cell>
          <cell r="F7387">
            <v>622.00109999999995</v>
          </cell>
          <cell r="G7387">
            <v>0</v>
          </cell>
          <cell r="H7387">
            <v>0</v>
          </cell>
          <cell r="I7387">
            <v>0</v>
          </cell>
          <cell r="J7387">
            <v>0</v>
          </cell>
          <cell r="K7387">
            <v>0</v>
          </cell>
          <cell r="L7387">
            <v>2</v>
          </cell>
        </row>
        <row r="7388">
          <cell r="A7388" t="str">
            <v>20442.01616</v>
          </cell>
          <cell r="B7388" t="str">
            <v>CHAISE DE PALIER</v>
          </cell>
          <cell r="C7388" t="str">
            <v>709203     LC 50-350 N2 PLAN A-3986354  REP-3120</v>
          </cell>
          <cell r="D7388" t="str">
            <v>PE</v>
          </cell>
          <cell r="E7388" t="str">
            <v>515.51503</v>
          </cell>
          <cell r="F7388">
            <v>23864.0488</v>
          </cell>
          <cell r="G7388">
            <v>0</v>
          </cell>
          <cell r="H7388">
            <v>2</v>
          </cell>
          <cell r="I7388">
            <v>0</v>
          </cell>
          <cell r="J7388">
            <v>2</v>
          </cell>
          <cell r="K7388">
            <v>0</v>
          </cell>
          <cell r="L7388">
            <v>1</v>
          </cell>
        </row>
        <row r="7389">
          <cell r="A7389" t="str">
            <v>39248.00945</v>
          </cell>
          <cell r="B7389" t="str">
            <v>FEUILLE RAINEX F120</v>
          </cell>
          <cell r="C7389" t="str">
            <v xml:space="preserve">. .  DESIGNATION: FEUILLE EN RAINEX F120 ( IDEM GYLON) , FORMAT : 1200X1200X3 MM </v>
          </cell>
          <cell r="D7389" t="str">
            <v>PE</v>
          </cell>
          <cell r="E7389" t="str">
            <v>17.0360</v>
          </cell>
          <cell r="F7389">
            <v>13020</v>
          </cell>
          <cell r="G7389">
            <v>0</v>
          </cell>
          <cell r="H7389">
            <v>0</v>
          </cell>
          <cell r="I7389">
            <v>0</v>
          </cell>
          <cell r="J7389">
            <v>0</v>
          </cell>
          <cell r="K7389">
            <v>0</v>
          </cell>
          <cell r="L7389">
            <v>0</v>
          </cell>
        </row>
        <row r="7390">
          <cell r="A7390" t="str">
            <v>20442.01497</v>
          </cell>
          <cell r="B7390" t="str">
            <v>VIS DE ROUE</v>
          </cell>
          <cell r="C7390" t="str">
            <v>704646      LC 50/350 PLAN A-3986359 REP2914</v>
          </cell>
          <cell r="D7390" t="str">
            <v>PE</v>
          </cell>
          <cell r="E7390" t="str">
            <v>515.51503</v>
          </cell>
          <cell r="F7390">
            <v>1029.2070000000001</v>
          </cell>
          <cell r="G7390">
            <v>0</v>
          </cell>
          <cell r="H7390">
            <v>0</v>
          </cell>
          <cell r="I7390">
            <v>0</v>
          </cell>
          <cell r="J7390">
            <v>2</v>
          </cell>
          <cell r="K7390">
            <v>0</v>
          </cell>
          <cell r="L7390">
            <v>0</v>
          </cell>
        </row>
        <row r="7391">
          <cell r="A7391" t="str">
            <v>20442.01498</v>
          </cell>
          <cell r="B7391" t="str">
            <v>JEU DE VISSERIE</v>
          </cell>
          <cell r="C7391" t="str">
            <v>LC 50/350 PLAN A-3986359 REP9902</v>
          </cell>
          <cell r="D7391" t="str">
            <v>PE</v>
          </cell>
          <cell r="E7391" t="str">
            <v>515.51503</v>
          </cell>
          <cell r="F7391">
            <v>21.503</v>
          </cell>
          <cell r="G7391">
            <v>0</v>
          </cell>
          <cell r="H7391">
            <v>0</v>
          </cell>
          <cell r="I7391">
            <v>0</v>
          </cell>
          <cell r="J7391">
            <v>1</v>
          </cell>
          <cell r="K7391">
            <v>1</v>
          </cell>
          <cell r="L7391">
            <v>4</v>
          </cell>
        </row>
        <row r="7392">
          <cell r="A7392" t="str">
            <v>20442.01499</v>
          </cell>
          <cell r="B7392" t="str">
            <v>VIS</v>
          </cell>
          <cell r="C7392" t="str">
            <v>591488     LC 50/350 PLAN A-3986359 REP9906.03</v>
          </cell>
          <cell r="D7392" t="str">
            <v>PE</v>
          </cell>
          <cell r="E7392" t="str">
            <v>515.51503</v>
          </cell>
          <cell r="F7392">
            <v>19.352699999999999</v>
          </cell>
          <cell r="G7392">
            <v>0</v>
          </cell>
          <cell r="H7392">
            <v>0</v>
          </cell>
          <cell r="I7392">
            <v>0</v>
          </cell>
          <cell r="J7392">
            <v>0</v>
          </cell>
          <cell r="K7392">
            <v>3</v>
          </cell>
          <cell r="L7392">
            <v>3</v>
          </cell>
        </row>
        <row r="7393">
          <cell r="A7393" t="str">
            <v>20442.01500</v>
          </cell>
          <cell r="B7393" t="str">
            <v>JEU DE VISSERIE</v>
          </cell>
          <cell r="C7393" t="str">
            <v>LC 50/350 PLAN A-3986359 REP9906.02</v>
          </cell>
          <cell r="D7393" t="str">
            <v>PE</v>
          </cell>
          <cell r="E7393" t="str">
            <v>515.51503</v>
          </cell>
          <cell r="F7393">
            <v>41.304299999999998</v>
          </cell>
          <cell r="G7393">
            <v>0</v>
          </cell>
          <cell r="H7393">
            <v>0</v>
          </cell>
          <cell r="I7393">
            <v>0</v>
          </cell>
          <cell r="J7393">
            <v>0</v>
          </cell>
          <cell r="K7393">
            <v>0</v>
          </cell>
          <cell r="L7393">
            <v>3</v>
          </cell>
        </row>
        <row r="7394">
          <cell r="A7394" t="str">
            <v>20442.01501</v>
          </cell>
          <cell r="B7394" t="str">
            <v>BRIDE SPECIALE</v>
          </cell>
          <cell r="C7394" t="str">
            <v>705459    LC 50/350 PLAN A-3986359 REP9665</v>
          </cell>
          <cell r="D7394" t="str">
            <v>PE</v>
          </cell>
          <cell r="E7394" t="str">
            <v>515.51503</v>
          </cell>
          <cell r="F7394">
            <v>1517.0693000000001</v>
          </cell>
          <cell r="G7394">
            <v>0</v>
          </cell>
          <cell r="H7394">
            <v>0</v>
          </cell>
          <cell r="I7394">
            <v>0</v>
          </cell>
          <cell r="J7394">
            <v>0</v>
          </cell>
          <cell r="K7394">
            <v>0</v>
          </cell>
          <cell r="L7394">
            <v>3</v>
          </cell>
        </row>
        <row r="7395">
          <cell r="A7395" t="str">
            <v>39240.03369</v>
          </cell>
          <cell r="B7395" t="str">
            <v>PANIER A COURRIER 5TIROIR</v>
          </cell>
          <cell r="C7395" t="str">
            <v xml:space="preserve">DESIGNATION: PANIER A COURRIER A 5 TIROIRES  MATIERE : PLASTIQUE </v>
          </cell>
          <cell r="D7395" t="str">
            <v>PE</v>
          </cell>
          <cell r="E7395" t="str">
            <v>15.0335</v>
          </cell>
          <cell r="F7395">
            <v>348.9316</v>
          </cell>
          <cell r="G7395">
            <v>0</v>
          </cell>
          <cell r="H7395">
            <v>0</v>
          </cell>
          <cell r="I7395">
            <v>0</v>
          </cell>
          <cell r="J7395">
            <v>0</v>
          </cell>
          <cell r="K7395">
            <v>0</v>
          </cell>
          <cell r="L7395">
            <v>0</v>
          </cell>
        </row>
        <row r="7396">
          <cell r="A7396" t="str">
            <v>38908.00401</v>
          </cell>
          <cell r="B7396" t="str">
            <v>CARTES DE VISITE PHC</v>
          </cell>
          <cell r="C7396" t="str">
            <v xml:space="preserve">CARTES DE VISITE PHC , NATURE : IMPRIMES SIMPLES , FORMAT : 5,5 X 8,5 CM , IMPRESSION : RªNOIRE , PRESENTATION : PAYSAGE , PAPIER : BLANC 240G/M2 </v>
          </cell>
          <cell r="D7396" t="str">
            <v>PE</v>
          </cell>
          <cell r="E7396" t="str">
            <v>15.0336</v>
          </cell>
          <cell r="F7396">
            <v>1.3414999999999999</v>
          </cell>
          <cell r="G7396">
            <v>0</v>
          </cell>
          <cell r="H7396">
            <v>0</v>
          </cell>
          <cell r="I7396">
            <v>0</v>
          </cell>
          <cell r="J7396">
            <v>0</v>
          </cell>
          <cell r="K7396">
            <v>0</v>
          </cell>
          <cell r="L7396">
            <v>0</v>
          </cell>
        </row>
        <row r="7397">
          <cell r="A7397" t="str">
            <v>38908.01054</v>
          </cell>
          <cell r="B7397" t="str">
            <v>DOSSIER DP OU AO</v>
          </cell>
          <cell r="C7397" t="str">
            <v xml:space="preserve">. .  DESIGNATION: DOSSIER DP OU AO , CHEMISE PLIEE VERTICALEMENT , EN 2 VOLETS EGAUX + RABT 12 CM , FORMAT : 32 X 60 , IMPRESSION : R?V?NOIR , PRESNTATION : PORTRAIT , PAPIER : ROSE 240G/M? </v>
          </cell>
          <cell r="D7397" t="str">
            <v>PE</v>
          </cell>
          <cell r="E7397" t="str">
            <v>15.0336</v>
          </cell>
          <cell r="F7397">
            <v>30.25</v>
          </cell>
          <cell r="G7397">
            <v>0</v>
          </cell>
          <cell r="H7397">
            <v>0</v>
          </cell>
          <cell r="I7397">
            <v>0</v>
          </cell>
          <cell r="J7397">
            <v>0</v>
          </cell>
          <cell r="K7397">
            <v>0</v>
          </cell>
          <cell r="L7397">
            <v>0</v>
          </cell>
        </row>
        <row r="7398">
          <cell r="A7398" t="str">
            <v>20442.01604</v>
          </cell>
          <cell r="B7398" t="str">
            <v>JOINT TORIQUE</v>
          </cell>
          <cell r="C7398" t="str">
            <v>662245     LC 50-350 N1 PLAN A-3986360 REP-4610.01</v>
          </cell>
          <cell r="D7398" t="str">
            <v>PE</v>
          </cell>
          <cell r="E7398" t="str">
            <v>515.51503</v>
          </cell>
          <cell r="F7398">
            <v>123.6451</v>
          </cell>
          <cell r="G7398">
            <v>0</v>
          </cell>
          <cell r="H7398">
            <v>0</v>
          </cell>
          <cell r="I7398">
            <v>1</v>
          </cell>
          <cell r="J7398">
            <v>0</v>
          </cell>
          <cell r="K7398">
            <v>0</v>
          </cell>
          <cell r="L7398">
            <v>1</v>
          </cell>
        </row>
        <row r="7399">
          <cell r="A7399" t="str">
            <v>20442.01605</v>
          </cell>
          <cell r="B7399" t="str">
            <v>JOINT TORIQUE</v>
          </cell>
          <cell r="C7399" t="str">
            <v>710166      LC 50-350 N1 PLAN A-3986360 REP-4610.07</v>
          </cell>
          <cell r="D7399" t="str">
            <v>PE</v>
          </cell>
          <cell r="E7399" t="str">
            <v>515.51503</v>
          </cell>
          <cell r="F7399">
            <v>266.99680000000001</v>
          </cell>
          <cell r="G7399">
            <v>0</v>
          </cell>
          <cell r="H7399">
            <v>0</v>
          </cell>
          <cell r="I7399">
            <v>0</v>
          </cell>
          <cell r="J7399">
            <v>1</v>
          </cell>
          <cell r="K7399">
            <v>1</v>
          </cell>
          <cell r="L7399">
            <v>1</v>
          </cell>
        </row>
        <row r="7400">
          <cell r="A7400" t="str">
            <v>20442.01786</v>
          </cell>
          <cell r="B7400" t="str">
            <v xml:space="preserve">DEFLECTEUR </v>
          </cell>
          <cell r="C7400" t="str">
            <v>LC 50-350 N1 PLAN A-3986360  REP-2540</v>
          </cell>
          <cell r="D7400" t="str">
            <v>PE</v>
          </cell>
          <cell r="E7400" t="str">
            <v>515.51503</v>
          </cell>
          <cell r="F7400">
            <v>622.00109999999995</v>
          </cell>
          <cell r="G7400">
            <v>0</v>
          </cell>
          <cell r="H7400">
            <v>0</v>
          </cell>
          <cell r="I7400">
            <v>0</v>
          </cell>
          <cell r="J7400">
            <v>1</v>
          </cell>
          <cell r="K7400">
            <v>0</v>
          </cell>
          <cell r="L7400">
            <v>1</v>
          </cell>
        </row>
        <row r="7401">
          <cell r="A7401" t="str">
            <v>20442.01608</v>
          </cell>
          <cell r="B7401" t="str">
            <v>JEU DE 8 GOUJONS</v>
          </cell>
          <cell r="C7401" t="str">
            <v>LC 50-350 N1 PLAN A-3986360 REP-9951.01</v>
          </cell>
          <cell r="D7401" t="str">
            <v>PE</v>
          </cell>
          <cell r="E7401" t="str">
            <v>515.51503</v>
          </cell>
          <cell r="F7401">
            <v>881.62300000000005</v>
          </cell>
          <cell r="G7401">
            <v>0</v>
          </cell>
          <cell r="H7401">
            <v>0</v>
          </cell>
          <cell r="I7401">
            <v>0</v>
          </cell>
          <cell r="J7401">
            <v>0</v>
          </cell>
          <cell r="K7401">
            <v>0</v>
          </cell>
          <cell r="L7401">
            <v>1</v>
          </cell>
        </row>
        <row r="7402">
          <cell r="A7402" t="str">
            <v>20442.01612</v>
          </cell>
          <cell r="B7402" t="str">
            <v>FOND AVEC BOITE A GARNITURE</v>
          </cell>
          <cell r="C7402" t="str">
            <v>710196    LC 50-350 N2 PLAN A-3986354  REP-1222</v>
          </cell>
          <cell r="D7402" t="str">
            <v>PE</v>
          </cell>
          <cell r="E7402" t="str">
            <v>515.51503</v>
          </cell>
          <cell r="F7402">
            <v>20998.927800000001</v>
          </cell>
          <cell r="G7402">
            <v>0</v>
          </cell>
          <cell r="H7402">
            <v>0</v>
          </cell>
          <cell r="I7402">
            <v>0</v>
          </cell>
          <cell r="J7402">
            <v>1</v>
          </cell>
          <cell r="K7402">
            <v>0</v>
          </cell>
          <cell r="L7402">
            <v>3</v>
          </cell>
        </row>
        <row r="7403">
          <cell r="A7403" t="str">
            <v>20442.01613</v>
          </cell>
          <cell r="B7403" t="str">
            <v>ROUE</v>
          </cell>
          <cell r="C7403" t="str">
            <v>LC 50-350 N2 PLAN A-3986354  REP-2250</v>
          </cell>
          <cell r="D7403" t="str">
            <v>PE</v>
          </cell>
          <cell r="E7403" t="str">
            <v>515.51503</v>
          </cell>
          <cell r="F7403">
            <v>17094.884999999998</v>
          </cell>
          <cell r="G7403">
            <v>0</v>
          </cell>
          <cell r="H7403">
            <v>1</v>
          </cell>
          <cell r="I7403">
            <v>0</v>
          </cell>
          <cell r="J7403">
            <v>1</v>
          </cell>
          <cell r="K7403">
            <v>0</v>
          </cell>
          <cell r="L7403">
            <v>3</v>
          </cell>
        </row>
        <row r="7404">
          <cell r="A7404" t="str">
            <v>20442.01614</v>
          </cell>
          <cell r="B7404" t="str">
            <v>ENTRETOISE DE ROULEMENT</v>
          </cell>
          <cell r="C7404" t="str">
            <v>LC 50-350 N2 PLAN A-3986354  REP-2461</v>
          </cell>
          <cell r="D7404" t="str">
            <v>PE</v>
          </cell>
          <cell r="E7404" t="str">
            <v>515.51503</v>
          </cell>
          <cell r="F7404">
            <v>56.5871</v>
          </cell>
          <cell r="G7404">
            <v>0</v>
          </cell>
          <cell r="H7404">
            <v>0</v>
          </cell>
          <cell r="I7404">
            <v>0</v>
          </cell>
          <cell r="J7404">
            <v>0</v>
          </cell>
          <cell r="K7404">
            <v>0</v>
          </cell>
          <cell r="L7404">
            <v>3</v>
          </cell>
        </row>
        <row r="7405">
          <cell r="A7405" t="str">
            <v>20438.00496</v>
          </cell>
          <cell r="B7405" t="str">
            <v>KIT DE RECHANGES POUR ACTIONNEUR SIMPLE EFFET</v>
          </cell>
          <cell r="C7405" t="str">
            <v>XSRE263016 MODEL XS630</v>
          </cell>
          <cell r="D7405" t="str">
            <v>PE</v>
          </cell>
          <cell r="E7405" t="str">
            <v>515.51511</v>
          </cell>
          <cell r="F7405">
            <v>3619.64</v>
          </cell>
          <cell r="G7405">
            <v>0</v>
          </cell>
          <cell r="H7405">
            <v>0</v>
          </cell>
          <cell r="I7405">
            <v>0</v>
          </cell>
          <cell r="J7405">
            <v>0</v>
          </cell>
          <cell r="K7405">
            <v>0</v>
          </cell>
          <cell r="L7405">
            <v>3</v>
          </cell>
        </row>
        <row r="7406">
          <cell r="A7406" t="str">
            <v>20438.00497</v>
          </cell>
          <cell r="B7406" t="str">
            <v>KIT DE RECHANGES POUR ACTIONNEUR SIMPLE EFFET</v>
          </cell>
          <cell r="C7406" t="str">
            <v>XSRE309010 MODEL XS090</v>
          </cell>
          <cell r="D7406" t="str">
            <v>PE</v>
          </cell>
          <cell r="E7406" t="str">
            <v>515.51511</v>
          </cell>
          <cell r="F7406">
            <v>1171.06</v>
          </cell>
          <cell r="G7406">
            <v>0</v>
          </cell>
          <cell r="H7406">
            <v>0</v>
          </cell>
          <cell r="I7406">
            <v>0</v>
          </cell>
          <cell r="J7406">
            <v>0</v>
          </cell>
          <cell r="K7406">
            <v>0</v>
          </cell>
          <cell r="L7406">
            <v>2</v>
          </cell>
        </row>
        <row r="7407">
          <cell r="A7407" t="str">
            <v>20438.00498</v>
          </cell>
          <cell r="B7407" t="str">
            <v>KIT DE RECHANGES POUR ACTIONNEUR SIMPLE EFFET</v>
          </cell>
          <cell r="C7407" t="str">
            <v>XSRE220514 MODEL XS205</v>
          </cell>
          <cell r="D7407" t="str">
            <v>PE</v>
          </cell>
          <cell r="E7407" t="str">
            <v>515.51511</v>
          </cell>
          <cell r="F7407">
            <v>2650.8539999999998</v>
          </cell>
          <cell r="G7407">
            <v>0</v>
          </cell>
          <cell r="H7407">
            <v>0</v>
          </cell>
          <cell r="I7407">
            <v>0</v>
          </cell>
          <cell r="J7407">
            <v>0</v>
          </cell>
          <cell r="K7407">
            <v>0</v>
          </cell>
          <cell r="L7407">
            <v>3</v>
          </cell>
        </row>
        <row r="7408">
          <cell r="A7408" t="str">
            <v>20438.00499</v>
          </cell>
          <cell r="B7408" t="str">
            <v>KIT DE RECHANGES POUR ACTIONNEUR SIMPLE EFFET</v>
          </cell>
          <cell r="C7408" t="str">
            <v>XSRE296016 MODEL XS960</v>
          </cell>
          <cell r="D7408" t="str">
            <v>PE</v>
          </cell>
          <cell r="E7408" t="str">
            <v>515.51511</v>
          </cell>
          <cell r="F7408">
            <v>5589.15</v>
          </cell>
          <cell r="G7408">
            <v>0</v>
          </cell>
          <cell r="H7408">
            <v>0</v>
          </cell>
          <cell r="I7408">
            <v>0</v>
          </cell>
          <cell r="J7408">
            <v>0</v>
          </cell>
          <cell r="K7408">
            <v>0</v>
          </cell>
          <cell r="L7408">
            <v>4</v>
          </cell>
        </row>
        <row r="7409">
          <cell r="A7409" t="str">
            <v>20438.00500</v>
          </cell>
          <cell r="B7409" t="str">
            <v>KIT DE RECHANGES POUR ACTIONNEUR SIMPLE EFFET</v>
          </cell>
          <cell r="C7409" t="str">
            <v>XSRE305007 MODEL XS050</v>
          </cell>
          <cell r="D7409" t="str">
            <v>PE</v>
          </cell>
          <cell r="E7409" t="str">
            <v>515.51511</v>
          </cell>
          <cell r="F7409">
            <v>977.39790000000005</v>
          </cell>
          <cell r="G7409">
            <v>0</v>
          </cell>
          <cell r="H7409">
            <v>0</v>
          </cell>
          <cell r="I7409">
            <v>0</v>
          </cell>
          <cell r="J7409">
            <v>0</v>
          </cell>
          <cell r="K7409">
            <v>0</v>
          </cell>
          <cell r="L7409">
            <v>0</v>
          </cell>
        </row>
        <row r="7410">
          <cell r="A7410" t="str">
            <v>20438.00501</v>
          </cell>
          <cell r="B7410" t="str">
            <v>KIT DE RECHANGES POUR ACTIONNEUR SIMPLE EFFET</v>
          </cell>
          <cell r="C7410" t="str">
            <v>XSRE301205 MODEL XS012</v>
          </cell>
          <cell r="D7410" t="str">
            <v>PE</v>
          </cell>
          <cell r="E7410" t="str">
            <v>515.51511</v>
          </cell>
          <cell r="F7410">
            <v>643.93269999999995</v>
          </cell>
          <cell r="G7410">
            <v>0</v>
          </cell>
          <cell r="H7410">
            <v>0</v>
          </cell>
          <cell r="I7410">
            <v>0</v>
          </cell>
          <cell r="J7410">
            <v>0</v>
          </cell>
          <cell r="K7410">
            <v>0</v>
          </cell>
          <cell r="L7410">
            <v>0</v>
          </cell>
        </row>
        <row r="7411">
          <cell r="A7411" t="str">
            <v>20442.01594</v>
          </cell>
          <cell r="B7411" t="str">
            <v>ARBRE</v>
          </cell>
          <cell r="C7411" t="str">
            <v>LC 50-350 N1 PLAN A-3986360 REP-2110</v>
          </cell>
          <cell r="D7411" t="str">
            <v>PE</v>
          </cell>
          <cell r="E7411" t="str">
            <v>515.51503</v>
          </cell>
          <cell r="F7411">
            <v>12033.23</v>
          </cell>
          <cell r="G7411">
            <v>0</v>
          </cell>
          <cell r="H7411">
            <v>0</v>
          </cell>
          <cell r="I7411">
            <v>0</v>
          </cell>
          <cell r="J7411">
            <v>0</v>
          </cell>
          <cell r="K7411">
            <v>0</v>
          </cell>
          <cell r="L7411">
            <v>2</v>
          </cell>
        </row>
        <row r="7412">
          <cell r="A7412" t="str">
            <v>20442.01596</v>
          </cell>
          <cell r="B7412" t="str">
            <v>ENTRETOISE DE ROULEMENT</v>
          </cell>
          <cell r="C7412" t="str">
            <v>640162     LC 50-350 N1 PLAN A-3986360 REP-2461</v>
          </cell>
          <cell r="D7412" t="str">
            <v>PE</v>
          </cell>
          <cell r="E7412" t="str">
            <v>515.51503</v>
          </cell>
          <cell r="F7412">
            <v>297.06349999999998</v>
          </cell>
          <cell r="G7412">
            <v>0</v>
          </cell>
          <cell r="H7412">
            <v>0</v>
          </cell>
          <cell r="I7412">
            <v>0</v>
          </cell>
          <cell r="J7412">
            <v>0</v>
          </cell>
          <cell r="K7412">
            <v>0</v>
          </cell>
          <cell r="L7412">
            <v>0</v>
          </cell>
        </row>
        <row r="7413">
          <cell r="A7413" t="str">
            <v>20428.09325</v>
          </cell>
          <cell r="B7413" t="str">
            <v>CORPS DE PALIER</v>
          </cell>
          <cell r="C7413" t="str">
            <v>500VE470-54-2R  PLAN : 1054518  N° DE FABRICATION : T085541-50 REP 2</v>
          </cell>
          <cell r="D7413" t="str">
            <v>PE</v>
          </cell>
          <cell r="E7413" t="str">
            <v>515.51503</v>
          </cell>
          <cell r="F7413">
            <v>21560.810300000001</v>
          </cell>
          <cell r="G7413">
            <v>0</v>
          </cell>
          <cell r="H7413">
            <v>0</v>
          </cell>
          <cell r="I7413">
            <v>0</v>
          </cell>
          <cell r="J7413">
            <v>0</v>
          </cell>
          <cell r="K7413">
            <v>0</v>
          </cell>
          <cell r="L7413">
            <v>1</v>
          </cell>
        </row>
        <row r="7414">
          <cell r="A7414" t="str">
            <v>20442.01326</v>
          </cell>
          <cell r="B7414" t="str">
            <v>COUVERCLE COTE POMPE</v>
          </cell>
          <cell r="C7414" t="str">
            <v>719074 TYPE:LCH 50-350 N° 2 S=SP53200273-01 REP:3262</v>
          </cell>
          <cell r="D7414" t="str">
            <v>PE</v>
          </cell>
          <cell r="E7414" t="str">
            <v>515.51503</v>
          </cell>
          <cell r="F7414">
            <v>994.04949999999997</v>
          </cell>
          <cell r="G7414">
            <v>0</v>
          </cell>
          <cell r="H7414">
            <v>0</v>
          </cell>
          <cell r="I7414">
            <v>0</v>
          </cell>
          <cell r="J7414">
            <v>0</v>
          </cell>
          <cell r="K7414">
            <v>0</v>
          </cell>
          <cell r="L7414">
            <v>0</v>
          </cell>
        </row>
        <row r="7415">
          <cell r="A7415" t="str">
            <v>20442.01327</v>
          </cell>
          <cell r="B7415" t="str">
            <v>DISQUE DE SOUPAPE A GRAISSE</v>
          </cell>
          <cell r="C7415" t="str">
            <v>719112 TYPE:LCH 50-350 N° 2 S=SP53200273-01 REP:3863</v>
          </cell>
          <cell r="D7415" t="str">
            <v>PE</v>
          </cell>
          <cell r="E7415" t="str">
            <v>515.51503</v>
          </cell>
          <cell r="F7415">
            <v>301.04199999999997</v>
          </cell>
          <cell r="G7415">
            <v>0</v>
          </cell>
          <cell r="H7415">
            <v>0</v>
          </cell>
          <cell r="I7415">
            <v>1</v>
          </cell>
          <cell r="J7415">
            <v>0</v>
          </cell>
          <cell r="K7415">
            <v>0</v>
          </cell>
          <cell r="L7415">
            <v>1</v>
          </cell>
        </row>
        <row r="7416">
          <cell r="A7416" t="str">
            <v>20428.09574</v>
          </cell>
          <cell r="B7416" t="str">
            <v xml:space="preserve">ECROU DE CALAGE </v>
          </cell>
          <cell r="C7416" t="str">
            <v>NCE 250-40   PLAN FA 21405    REP 92</v>
          </cell>
          <cell r="D7416" t="str">
            <v>PE</v>
          </cell>
          <cell r="E7416" t="str">
            <v>515.51503</v>
          </cell>
          <cell r="F7416">
            <v>361.65429999999998</v>
          </cell>
          <cell r="G7416">
            <v>0</v>
          </cell>
          <cell r="H7416">
            <v>0</v>
          </cell>
          <cell r="I7416">
            <v>0</v>
          </cell>
          <cell r="J7416">
            <v>0</v>
          </cell>
          <cell r="K7416">
            <v>0</v>
          </cell>
          <cell r="L7416">
            <v>1</v>
          </cell>
        </row>
        <row r="7417">
          <cell r="A7417" t="str">
            <v>20428.09575</v>
          </cell>
          <cell r="B7417" t="str">
            <v xml:space="preserve">TUBE RETIENT HUILE </v>
          </cell>
          <cell r="C7417" t="str">
            <v>500VE470-54/1R  PLAN SEC06.50897T      REP 38</v>
          </cell>
          <cell r="D7417" t="str">
            <v>PE</v>
          </cell>
          <cell r="E7417" t="str">
            <v>515.51503</v>
          </cell>
          <cell r="F7417">
            <v>5810.8896999999997</v>
          </cell>
          <cell r="G7417">
            <v>0</v>
          </cell>
          <cell r="H7417">
            <v>0</v>
          </cell>
          <cell r="I7417">
            <v>0</v>
          </cell>
          <cell r="J7417">
            <v>0</v>
          </cell>
          <cell r="K7417">
            <v>0</v>
          </cell>
          <cell r="L7417">
            <v>3</v>
          </cell>
        </row>
        <row r="7418">
          <cell r="A7418" t="str">
            <v>20428.09576</v>
          </cell>
          <cell r="B7418" t="str">
            <v xml:space="preserve">DEFLECTEUR SUPERIEUR </v>
          </cell>
          <cell r="C7418" t="str">
            <v xml:space="preserve">500VE470-54/2R PLAN SEC06.50896T     REP 9A </v>
          </cell>
          <cell r="D7418" t="str">
            <v>PE</v>
          </cell>
          <cell r="E7418" t="str">
            <v>515.51503</v>
          </cell>
          <cell r="F7418">
            <v>2663.8980000000001</v>
          </cell>
          <cell r="G7418">
            <v>0</v>
          </cell>
          <cell r="H7418">
            <v>0</v>
          </cell>
          <cell r="I7418">
            <v>0</v>
          </cell>
          <cell r="J7418">
            <v>0</v>
          </cell>
          <cell r="K7418">
            <v>0</v>
          </cell>
          <cell r="L7418">
            <v>2</v>
          </cell>
        </row>
        <row r="7419">
          <cell r="A7419" t="str">
            <v>20428.09577</v>
          </cell>
          <cell r="B7419" t="str">
            <v xml:space="preserve">TUBE RETIENT HUILE </v>
          </cell>
          <cell r="C7419" t="str">
            <v xml:space="preserve">500VE470-54/2R PLAN SEC06.50896T     REP 38 </v>
          </cell>
          <cell r="D7419" t="str">
            <v>PE</v>
          </cell>
          <cell r="E7419" t="str">
            <v>515.51503</v>
          </cell>
          <cell r="F7419">
            <v>5810.8896999999997</v>
          </cell>
          <cell r="G7419">
            <v>0</v>
          </cell>
          <cell r="H7419">
            <v>0</v>
          </cell>
          <cell r="I7419">
            <v>0</v>
          </cell>
          <cell r="J7419">
            <v>0</v>
          </cell>
          <cell r="K7419">
            <v>0</v>
          </cell>
          <cell r="L7419">
            <v>1</v>
          </cell>
        </row>
        <row r="7420">
          <cell r="A7420" t="str">
            <v>20428.09570</v>
          </cell>
          <cell r="B7420" t="str">
            <v xml:space="preserve">ENTRETOISE </v>
          </cell>
          <cell r="C7420" t="str">
            <v>EMTECH65-315E-IN   PLAN F102-24-0700.02    REP 141</v>
          </cell>
          <cell r="D7420" t="str">
            <v>PE</v>
          </cell>
          <cell r="E7420" t="str">
            <v>515.51503</v>
          </cell>
          <cell r="F7420">
            <v>8366.1458999999995</v>
          </cell>
          <cell r="G7420">
            <v>0</v>
          </cell>
          <cell r="H7420">
            <v>0</v>
          </cell>
          <cell r="I7420">
            <v>0</v>
          </cell>
          <cell r="J7420">
            <v>0</v>
          </cell>
          <cell r="K7420">
            <v>1</v>
          </cell>
          <cell r="L7420">
            <v>2</v>
          </cell>
        </row>
        <row r="7421">
          <cell r="A7421" t="str">
            <v>20428.09571</v>
          </cell>
          <cell r="B7421" t="str">
            <v xml:space="preserve">BAGUE DE FOND </v>
          </cell>
          <cell r="C7421" t="str">
            <v>MN508A   PLAN SEC0650892T    REP108</v>
          </cell>
          <cell r="D7421" t="str">
            <v>PE</v>
          </cell>
          <cell r="E7421" t="str">
            <v>515.51503</v>
          </cell>
          <cell r="F7421">
            <v>3375.6673000000001</v>
          </cell>
          <cell r="G7421">
            <v>0</v>
          </cell>
          <cell r="H7421">
            <v>0</v>
          </cell>
          <cell r="I7421">
            <v>0</v>
          </cell>
          <cell r="J7421">
            <v>0</v>
          </cell>
          <cell r="K7421">
            <v>0</v>
          </cell>
          <cell r="L7421">
            <v>15</v>
          </cell>
        </row>
        <row r="7422">
          <cell r="A7422" t="str">
            <v>20428.09572</v>
          </cell>
          <cell r="B7422" t="str">
            <v xml:space="preserve">JEU DE JOINT </v>
          </cell>
          <cell r="C7422" t="str">
            <v>MN508A   PLAN SEC0650892T    REP T3-T4-T14-T16-T21-T22-T24-T25</v>
          </cell>
          <cell r="D7422" t="str">
            <v>PE</v>
          </cell>
          <cell r="E7422" t="str">
            <v>515.51503</v>
          </cell>
          <cell r="F7422">
            <v>18612.441900000002</v>
          </cell>
          <cell r="G7422">
            <v>0</v>
          </cell>
          <cell r="H7422">
            <v>0</v>
          </cell>
          <cell r="I7422">
            <v>1</v>
          </cell>
          <cell r="J7422">
            <v>0</v>
          </cell>
          <cell r="K7422">
            <v>0</v>
          </cell>
          <cell r="L7422">
            <v>1</v>
          </cell>
        </row>
        <row r="7423">
          <cell r="A7423" t="str">
            <v>20428.09573</v>
          </cell>
          <cell r="B7423" t="str">
            <v xml:space="preserve">PATE D'ASSISE </v>
          </cell>
          <cell r="C7423" t="str">
            <v>NCE50-32  PLAN FA 21402     REP 109</v>
          </cell>
          <cell r="D7423" t="str">
            <v>PE</v>
          </cell>
          <cell r="E7423" t="str">
            <v>515.51503</v>
          </cell>
          <cell r="F7423">
            <v>2084.2035999999998</v>
          </cell>
          <cell r="G7423">
            <v>0</v>
          </cell>
          <cell r="H7423">
            <v>0</v>
          </cell>
          <cell r="I7423">
            <v>0</v>
          </cell>
          <cell r="J7423">
            <v>0</v>
          </cell>
          <cell r="K7423">
            <v>0</v>
          </cell>
          <cell r="L7423">
            <v>1</v>
          </cell>
        </row>
        <row r="7424">
          <cell r="A7424" t="str">
            <v>20428.09579</v>
          </cell>
          <cell r="B7424" t="str">
            <v xml:space="preserve">BOUCHON  </v>
          </cell>
          <cell r="C7424" t="str">
            <v>NCE150-26A   PLAN FA 21408   REP 30</v>
          </cell>
          <cell r="D7424" t="str">
            <v>PE</v>
          </cell>
          <cell r="E7424" t="str">
            <v>515.51503</v>
          </cell>
          <cell r="F7424">
            <v>153.18690000000001</v>
          </cell>
          <cell r="G7424">
            <v>0</v>
          </cell>
          <cell r="H7424">
            <v>0</v>
          </cell>
          <cell r="I7424">
            <v>0</v>
          </cell>
          <cell r="J7424">
            <v>0</v>
          </cell>
          <cell r="K7424">
            <v>0</v>
          </cell>
          <cell r="L7424">
            <v>1</v>
          </cell>
        </row>
        <row r="7425">
          <cell r="A7425" t="str">
            <v>20428.02035</v>
          </cell>
          <cell r="B7425" t="str">
            <v>ROUE</v>
          </cell>
          <cell r="C7425" t="str">
            <v>PLRD 80.40 SERIE 065183001PO1 PL : FA21466 REP : 55</v>
          </cell>
          <cell r="D7425" t="str">
            <v>PE</v>
          </cell>
          <cell r="E7425" t="str">
            <v>515.51503</v>
          </cell>
          <cell r="F7425">
            <v>41454.652900000001</v>
          </cell>
          <cell r="G7425">
            <v>0</v>
          </cell>
          <cell r="H7425">
            <v>0</v>
          </cell>
          <cell r="I7425">
            <v>0</v>
          </cell>
          <cell r="J7425">
            <v>0</v>
          </cell>
          <cell r="K7425">
            <v>0</v>
          </cell>
          <cell r="L7425">
            <v>2</v>
          </cell>
        </row>
        <row r="7426">
          <cell r="A7426" t="str">
            <v>20428.09158</v>
          </cell>
          <cell r="B7426" t="str">
            <v>BOUCHON AVEC JOINT</v>
          </cell>
          <cell r="C7426" t="str">
            <v>EMTECH 65-315E-IN PLAN F102-24-0700-.02 REP 30 ET 12</v>
          </cell>
          <cell r="D7426" t="str">
            <v>PE</v>
          </cell>
          <cell r="E7426" t="str">
            <v>515.51503</v>
          </cell>
          <cell r="F7426">
            <v>250.68879999999999</v>
          </cell>
          <cell r="G7426">
            <v>0</v>
          </cell>
          <cell r="H7426">
            <v>1</v>
          </cell>
          <cell r="I7426">
            <v>0</v>
          </cell>
          <cell r="J7426">
            <v>0</v>
          </cell>
          <cell r="K7426">
            <v>0</v>
          </cell>
          <cell r="L7426">
            <v>6</v>
          </cell>
        </row>
        <row r="7427">
          <cell r="A7427" t="str">
            <v>20428.09159</v>
          </cell>
          <cell r="B7427" t="str">
            <v>JOINT</v>
          </cell>
          <cell r="C7427" t="str">
            <v>EMTECH 65-315E-IN PLAN F102-24-0700-.02 REP T2</v>
          </cell>
          <cell r="D7427" t="str">
            <v>PE</v>
          </cell>
          <cell r="E7427" t="str">
            <v>515.51503</v>
          </cell>
          <cell r="F7427">
            <v>1162.0953999999999</v>
          </cell>
          <cell r="G7427">
            <v>0</v>
          </cell>
          <cell r="H7427">
            <v>0</v>
          </cell>
          <cell r="I7427">
            <v>0</v>
          </cell>
          <cell r="J7427">
            <v>0</v>
          </cell>
          <cell r="K7427">
            <v>0</v>
          </cell>
          <cell r="L7427">
            <v>0</v>
          </cell>
        </row>
        <row r="7428">
          <cell r="A7428" t="str">
            <v>20428.09163</v>
          </cell>
          <cell r="B7428" t="str">
            <v>VOYANT</v>
          </cell>
          <cell r="C7428" t="str">
            <v>EMTECH125-400E-IN   PLAN F102-24-0700.02      REP192A</v>
          </cell>
          <cell r="D7428" t="str">
            <v>PE</v>
          </cell>
          <cell r="E7428" t="str">
            <v>515.51503</v>
          </cell>
          <cell r="F7428">
            <v>265.45949999999999</v>
          </cell>
          <cell r="G7428">
            <v>0</v>
          </cell>
          <cell r="H7428">
            <v>0</v>
          </cell>
          <cell r="I7428">
            <v>0</v>
          </cell>
          <cell r="J7428">
            <v>0</v>
          </cell>
          <cell r="K7428">
            <v>0</v>
          </cell>
          <cell r="L7428">
            <v>2</v>
          </cell>
        </row>
        <row r="7429">
          <cell r="A7429" t="str">
            <v>20428.09151</v>
          </cell>
          <cell r="B7429" t="str">
            <v>BOUCHON AVEC JOINT</v>
          </cell>
          <cell r="C7429" t="str">
            <v>EMTECH 40-315K PLAN F101-24-0400 REP 30 ET J12</v>
          </cell>
          <cell r="D7429" t="str">
            <v>PE</v>
          </cell>
          <cell r="E7429" t="str">
            <v>515.51503</v>
          </cell>
          <cell r="F7429">
            <v>250.416</v>
          </cell>
          <cell r="G7429">
            <v>0</v>
          </cell>
          <cell r="H7429">
            <v>0</v>
          </cell>
          <cell r="I7429">
            <v>1</v>
          </cell>
          <cell r="J7429">
            <v>1</v>
          </cell>
          <cell r="K7429">
            <v>0</v>
          </cell>
          <cell r="L7429">
            <v>5</v>
          </cell>
        </row>
        <row r="7430">
          <cell r="A7430" t="str">
            <v>20428.09154</v>
          </cell>
          <cell r="B7430" t="str">
            <v>ENTRETOISE</v>
          </cell>
          <cell r="C7430" t="str">
            <v>EMTECH 40-315K PLAN F101-24-0400 REP 141</v>
          </cell>
          <cell r="D7430" t="str">
            <v>PE</v>
          </cell>
          <cell r="E7430" t="str">
            <v>515.51503</v>
          </cell>
          <cell r="F7430">
            <v>8973.9411</v>
          </cell>
          <cell r="G7430">
            <v>0</v>
          </cell>
          <cell r="H7430">
            <v>1</v>
          </cell>
          <cell r="I7430">
            <v>0</v>
          </cell>
          <cell r="J7430">
            <v>0</v>
          </cell>
          <cell r="K7430">
            <v>1</v>
          </cell>
          <cell r="L7430">
            <v>2</v>
          </cell>
        </row>
        <row r="7431">
          <cell r="A7431" t="str">
            <v>20428.09155</v>
          </cell>
          <cell r="B7431" t="str">
            <v>JEU DE COUVERCLE DE PALIER</v>
          </cell>
          <cell r="C7431" t="str">
            <v>EMTECH 40-315K PLAN F101-24-0400 REP 4 ET 5</v>
          </cell>
          <cell r="D7431" t="str">
            <v>PE</v>
          </cell>
          <cell r="E7431" t="str">
            <v>515.51503</v>
          </cell>
          <cell r="F7431">
            <v>6523.5418</v>
          </cell>
          <cell r="G7431">
            <v>0</v>
          </cell>
          <cell r="H7431">
            <v>0</v>
          </cell>
          <cell r="I7431">
            <v>0</v>
          </cell>
          <cell r="J7431">
            <v>0</v>
          </cell>
          <cell r="K7431">
            <v>0</v>
          </cell>
          <cell r="L7431">
            <v>1</v>
          </cell>
        </row>
        <row r="7432">
          <cell r="A7432" t="str">
            <v>20428.09156</v>
          </cell>
          <cell r="B7432" t="str">
            <v>VOYANT</v>
          </cell>
          <cell r="C7432" t="str">
            <v>EMTECH 40-315K PLAN F101-24-0400 REP 192A</v>
          </cell>
          <cell r="D7432" t="str">
            <v>PE</v>
          </cell>
          <cell r="E7432" t="str">
            <v>515.51503</v>
          </cell>
          <cell r="F7432">
            <v>301.03719999999998</v>
          </cell>
          <cell r="G7432">
            <v>0</v>
          </cell>
          <cell r="H7432">
            <v>0</v>
          </cell>
          <cell r="I7432">
            <v>1</v>
          </cell>
          <cell r="J7432">
            <v>0</v>
          </cell>
          <cell r="K7432">
            <v>0</v>
          </cell>
          <cell r="L7432">
            <v>4</v>
          </cell>
        </row>
        <row r="7433">
          <cell r="A7433" t="str">
            <v>20428.09157</v>
          </cell>
          <cell r="B7433" t="str">
            <v>PALIER</v>
          </cell>
          <cell r="C7433" t="str">
            <v>EMTECH 65-315E-IN PLAN F102-24-0700-.02 REP 1</v>
          </cell>
          <cell r="D7433" t="str">
            <v>PE</v>
          </cell>
          <cell r="E7433" t="str">
            <v>515.51503</v>
          </cell>
          <cell r="F7433">
            <v>7323.6659</v>
          </cell>
          <cell r="G7433">
            <v>0</v>
          </cell>
          <cell r="H7433">
            <v>0</v>
          </cell>
          <cell r="I7433">
            <v>0</v>
          </cell>
          <cell r="J7433">
            <v>0</v>
          </cell>
          <cell r="K7433">
            <v>0</v>
          </cell>
          <cell r="L7433">
            <v>1</v>
          </cell>
        </row>
        <row r="7434">
          <cell r="A7434" t="str">
            <v>20428.09124</v>
          </cell>
          <cell r="B7434" t="str">
            <v>BOITE A ROULEMENT SUPERIEUR</v>
          </cell>
          <cell r="C7434" t="str">
            <v>CAHRK 1200GV  PLAN SEC06503001   REP2</v>
          </cell>
          <cell r="D7434" t="str">
            <v>PE</v>
          </cell>
          <cell r="E7434" t="str">
            <v>515.51503</v>
          </cell>
          <cell r="F7434">
            <v>28985.017400000001</v>
          </cell>
          <cell r="G7434">
            <v>0</v>
          </cell>
          <cell r="H7434">
            <v>0</v>
          </cell>
          <cell r="I7434">
            <v>0</v>
          </cell>
          <cell r="J7434">
            <v>0</v>
          </cell>
          <cell r="K7434">
            <v>0</v>
          </cell>
          <cell r="L7434">
            <v>1</v>
          </cell>
        </row>
        <row r="7435">
          <cell r="A7435" t="str">
            <v>20428.09125</v>
          </cell>
          <cell r="B7435" t="str">
            <v>BOITE A ROULEMENT INFERIEUR</v>
          </cell>
          <cell r="C7435" t="str">
            <v>CAHRK 1200GV  PLAN SEC06503001   REP2A</v>
          </cell>
          <cell r="D7435" t="str">
            <v>PE</v>
          </cell>
          <cell r="E7435" t="str">
            <v>515.51503</v>
          </cell>
          <cell r="F7435">
            <v>43180.061399999999</v>
          </cell>
          <cell r="G7435">
            <v>0</v>
          </cell>
          <cell r="H7435">
            <v>0</v>
          </cell>
          <cell r="I7435">
            <v>0</v>
          </cell>
          <cell r="J7435">
            <v>0</v>
          </cell>
          <cell r="K7435">
            <v>0</v>
          </cell>
          <cell r="L7435">
            <v>1</v>
          </cell>
        </row>
        <row r="7436">
          <cell r="A7436" t="str">
            <v>20428.09133</v>
          </cell>
          <cell r="B7436" t="str">
            <v>PLATEAU D'EQUILIBRAGE</v>
          </cell>
          <cell r="C7436" t="str">
            <v>MN508A   PLAN SEC0650892T    REP101</v>
          </cell>
          <cell r="D7436" t="str">
            <v>PE</v>
          </cell>
          <cell r="E7436" t="str">
            <v>515.51503</v>
          </cell>
          <cell r="F7436">
            <v>28114.1047</v>
          </cell>
          <cell r="G7436">
            <v>0</v>
          </cell>
          <cell r="H7436">
            <v>0</v>
          </cell>
          <cell r="I7436">
            <v>0</v>
          </cell>
          <cell r="J7436">
            <v>1</v>
          </cell>
          <cell r="K7436">
            <v>0</v>
          </cell>
          <cell r="L7436">
            <v>1</v>
          </cell>
        </row>
        <row r="7437">
          <cell r="A7437" t="str">
            <v>20428.09142</v>
          </cell>
          <cell r="B7437" t="str">
            <v>JEU DE COUVERCLE DE PALIER</v>
          </cell>
          <cell r="C7437" t="str">
            <v>NCE 250-40   PLAN FA 21405    REP4 ET 5</v>
          </cell>
          <cell r="D7437" t="str">
            <v>PE</v>
          </cell>
          <cell r="E7437" t="str">
            <v>515.51503</v>
          </cell>
          <cell r="F7437">
            <v>8178.6248999999998</v>
          </cell>
          <cell r="G7437">
            <v>0</v>
          </cell>
          <cell r="H7437">
            <v>0</v>
          </cell>
          <cell r="I7437">
            <v>0</v>
          </cell>
          <cell r="J7437">
            <v>0</v>
          </cell>
          <cell r="K7437">
            <v>0</v>
          </cell>
          <cell r="L7437">
            <v>1</v>
          </cell>
        </row>
        <row r="7438">
          <cell r="A7438" t="str">
            <v>20428.09143</v>
          </cell>
          <cell r="B7438" t="str">
            <v>BOUCHON</v>
          </cell>
          <cell r="C7438" t="str">
            <v>NCE 250-40   PLAN FA 21405    REP30</v>
          </cell>
          <cell r="D7438" t="str">
            <v>PE</v>
          </cell>
          <cell r="E7438" t="str">
            <v>515.51503</v>
          </cell>
          <cell r="F7438">
            <v>322.54219999999998</v>
          </cell>
          <cell r="G7438">
            <v>0</v>
          </cell>
          <cell r="H7438">
            <v>0</v>
          </cell>
          <cell r="I7438">
            <v>0</v>
          </cell>
          <cell r="J7438">
            <v>0</v>
          </cell>
          <cell r="K7438">
            <v>0</v>
          </cell>
          <cell r="L7438">
            <v>1</v>
          </cell>
        </row>
        <row r="7439">
          <cell r="A7439" t="str">
            <v>20428.09148</v>
          </cell>
          <cell r="B7439" t="str">
            <v>JEU DE COUVERCLE DE PALIER</v>
          </cell>
          <cell r="C7439" t="str">
            <v>NCE150-26A  PLA FA 21408    REP4 ET 5</v>
          </cell>
          <cell r="D7439" t="str">
            <v>PE</v>
          </cell>
          <cell r="E7439" t="str">
            <v>515.51503</v>
          </cell>
          <cell r="F7439">
            <v>11955.808999999999</v>
          </cell>
          <cell r="G7439">
            <v>0</v>
          </cell>
          <cell r="H7439">
            <v>0</v>
          </cell>
          <cell r="I7439">
            <v>0</v>
          </cell>
          <cell r="J7439">
            <v>0</v>
          </cell>
          <cell r="K7439">
            <v>0</v>
          </cell>
          <cell r="L7439">
            <v>1</v>
          </cell>
        </row>
        <row r="7440">
          <cell r="A7440" t="str">
            <v>20428.09149</v>
          </cell>
          <cell r="B7440" t="str">
            <v>BOITE A BOURAGE</v>
          </cell>
          <cell r="C7440" t="str">
            <v>NCE150-26A  PLA FA 21408    REP83</v>
          </cell>
          <cell r="D7440" t="str">
            <v>PE</v>
          </cell>
          <cell r="E7440" t="str">
            <v>515.51503</v>
          </cell>
          <cell r="F7440">
            <v>41736.705000000002</v>
          </cell>
          <cell r="G7440">
            <v>0</v>
          </cell>
          <cell r="H7440">
            <v>0</v>
          </cell>
          <cell r="I7440">
            <v>0</v>
          </cell>
          <cell r="J7440">
            <v>0</v>
          </cell>
          <cell r="K7440">
            <v>0</v>
          </cell>
          <cell r="L7440">
            <v>1</v>
          </cell>
        </row>
        <row r="7441">
          <cell r="A7441" t="str">
            <v>20428.09134</v>
          </cell>
          <cell r="B7441" t="str">
            <v>BOUCHON DE PROTECTION</v>
          </cell>
          <cell r="C7441" t="str">
            <v>MN508A   PLAN SEC0650892T    REP146</v>
          </cell>
          <cell r="D7441" t="str">
            <v>PE</v>
          </cell>
          <cell r="E7441" t="str">
            <v>515.51503</v>
          </cell>
          <cell r="F7441">
            <v>1099.4930999999999</v>
          </cell>
          <cell r="G7441">
            <v>0</v>
          </cell>
          <cell r="H7441">
            <v>0</v>
          </cell>
          <cell r="I7441">
            <v>0</v>
          </cell>
          <cell r="J7441">
            <v>0</v>
          </cell>
          <cell r="K7441">
            <v>0</v>
          </cell>
          <cell r="L7441">
            <v>3</v>
          </cell>
        </row>
        <row r="7442">
          <cell r="A7442" t="str">
            <v>20428.09139</v>
          </cell>
          <cell r="B7442" t="str">
            <v>BOUCHON</v>
          </cell>
          <cell r="C7442" t="str">
            <v>NCE50-32  PLAN FA 21402    REP30</v>
          </cell>
          <cell r="D7442" t="str">
            <v>PE</v>
          </cell>
          <cell r="E7442" t="str">
            <v>515.51503</v>
          </cell>
          <cell r="F7442">
            <v>337.15609999999998</v>
          </cell>
          <cell r="G7442">
            <v>0</v>
          </cell>
          <cell r="H7442">
            <v>0</v>
          </cell>
          <cell r="I7442">
            <v>0</v>
          </cell>
          <cell r="J7442">
            <v>0</v>
          </cell>
          <cell r="K7442">
            <v>0</v>
          </cell>
          <cell r="L7442">
            <v>1</v>
          </cell>
        </row>
        <row r="7443">
          <cell r="A7443" t="str">
            <v>20428.09140</v>
          </cell>
          <cell r="B7443" t="str">
            <v>BOITE DE BOURAGE</v>
          </cell>
          <cell r="C7443" t="str">
            <v>NCE50-32  PLAN FA 21402    REP83</v>
          </cell>
          <cell r="D7443" t="str">
            <v>PE</v>
          </cell>
          <cell r="E7443" t="str">
            <v>515.51503</v>
          </cell>
          <cell r="F7443">
            <v>23952.4679</v>
          </cell>
          <cell r="G7443">
            <v>0</v>
          </cell>
          <cell r="H7443">
            <v>0</v>
          </cell>
          <cell r="I7443">
            <v>0</v>
          </cell>
          <cell r="J7443">
            <v>0</v>
          </cell>
          <cell r="K7443">
            <v>0</v>
          </cell>
          <cell r="L7443">
            <v>1</v>
          </cell>
        </row>
        <row r="7444">
          <cell r="A7444" t="str">
            <v>20428.09141</v>
          </cell>
          <cell r="B7444" t="str">
            <v>PALIER</v>
          </cell>
          <cell r="C7444" t="str">
            <v>NCE 250-40   PLAN FA 21405    REP1</v>
          </cell>
          <cell r="D7444" t="str">
            <v>PE</v>
          </cell>
          <cell r="E7444" t="str">
            <v>515.51503</v>
          </cell>
          <cell r="F7444">
            <v>16147.5915</v>
          </cell>
          <cell r="G7444">
            <v>0</v>
          </cell>
          <cell r="H7444">
            <v>0</v>
          </cell>
          <cell r="I7444">
            <v>0</v>
          </cell>
          <cell r="J7444">
            <v>0</v>
          </cell>
          <cell r="K7444">
            <v>0</v>
          </cell>
          <cell r="L7444">
            <v>1</v>
          </cell>
        </row>
        <row r="7445">
          <cell r="A7445" t="str">
            <v>20428.09164</v>
          </cell>
          <cell r="B7445" t="str">
            <v>BAGUE DE BUTEE</v>
          </cell>
          <cell r="C7445" t="str">
            <v>PLRD80-40   PLAN FA 21965     REP6</v>
          </cell>
          <cell r="D7445" t="str">
            <v>PE</v>
          </cell>
          <cell r="E7445" t="str">
            <v>515.51503</v>
          </cell>
          <cell r="F7445">
            <v>4728.8158999999996</v>
          </cell>
          <cell r="G7445">
            <v>0</v>
          </cell>
          <cell r="H7445">
            <v>0</v>
          </cell>
          <cell r="I7445">
            <v>0</v>
          </cell>
          <cell r="J7445">
            <v>0</v>
          </cell>
          <cell r="K7445">
            <v>0</v>
          </cell>
          <cell r="L7445">
            <v>1</v>
          </cell>
        </row>
        <row r="7446">
          <cell r="A7446" t="str">
            <v>20428.09165</v>
          </cell>
          <cell r="B7446" t="str">
            <v>BOITE A ROULEMENT</v>
          </cell>
          <cell r="C7446" t="str">
            <v>PLRD80-40   PLAN FA 21965     REP2</v>
          </cell>
          <cell r="D7446" t="str">
            <v>PE</v>
          </cell>
          <cell r="E7446" t="str">
            <v>515.51503</v>
          </cell>
          <cell r="F7446">
            <v>11954.6888</v>
          </cell>
          <cell r="G7446">
            <v>0</v>
          </cell>
          <cell r="H7446">
            <v>0</v>
          </cell>
          <cell r="I7446">
            <v>0</v>
          </cell>
          <cell r="J7446">
            <v>0</v>
          </cell>
          <cell r="K7446">
            <v>0</v>
          </cell>
          <cell r="L7446">
            <v>1</v>
          </cell>
        </row>
        <row r="7447">
          <cell r="A7447" t="str">
            <v>20428.09168</v>
          </cell>
          <cell r="B7447" t="str">
            <v>BOITE A GARNITURE</v>
          </cell>
          <cell r="C7447" t="str">
            <v>PLRD80-40   PLAN FA 21965     REP83</v>
          </cell>
          <cell r="D7447" t="str">
            <v>PE</v>
          </cell>
          <cell r="E7447" t="str">
            <v>515.51503</v>
          </cell>
          <cell r="F7447">
            <v>40960.670599999998</v>
          </cell>
          <cell r="G7447">
            <v>0</v>
          </cell>
          <cell r="H7447">
            <v>0</v>
          </cell>
          <cell r="I7447">
            <v>0</v>
          </cell>
          <cell r="J7447">
            <v>0</v>
          </cell>
          <cell r="K7447">
            <v>0</v>
          </cell>
          <cell r="L7447">
            <v>1</v>
          </cell>
        </row>
        <row r="7448">
          <cell r="A7448" t="str">
            <v>20428.09171</v>
          </cell>
          <cell r="B7448" t="str">
            <v>BAGUE D'APPUI</v>
          </cell>
          <cell r="C7448" t="str">
            <v>NC 200-150-600 PLAN 12320A REP 525</v>
          </cell>
          <cell r="D7448" t="str">
            <v>PE</v>
          </cell>
          <cell r="E7448" t="str">
            <v>515.51503</v>
          </cell>
          <cell r="F7448">
            <v>1525.0273</v>
          </cell>
          <cell r="G7448">
            <v>0</v>
          </cell>
          <cell r="H7448">
            <v>0</v>
          </cell>
          <cell r="I7448">
            <v>0</v>
          </cell>
          <cell r="J7448">
            <v>0</v>
          </cell>
          <cell r="K7448">
            <v>0</v>
          </cell>
          <cell r="L7448">
            <v>2</v>
          </cell>
        </row>
        <row r="7449">
          <cell r="A7449" t="str">
            <v>20428.09172</v>
          </cell>
          <cell r="B7449" t="str">
            <v>CALE PELABLE</v>
          </cell>
          <cell r="C7449" t="str">
            <v>NC 200-150-600 PLAN 12320A REP 553</v>
          </cell>
          <cell r="D7449" t="str">
            <v>PE</v>
          </cell>
          <cell r="E7449" t="str">
            <v>515.51503</v>
          </cell>
          <cell r="F7449">
            <v>445.78250000000003</v>
          </cell>
          <cell r="G7449">
            <v>0</v>
          </cell>
          <cell r="H7449">
            <v>0</v>
          </cell>
          <cell r="I7449">
            <v>0</v>
          </cell>
          <cell r="J7449">
            <v>0</v>
          </cell>
          <cell r="K7449">
            <v>0</v>
          </cell>
          <cell r="L7449">
            <v>2</v>
          </cell>
        </row>
        <row r="7450">
          <cell r="A7450" t="str">
            <v>20428.09173</v>
          </cell>
          <cell r="B7450" t="str">
            <v>DEFLECTEUR</v>
          </cell>
          <cell r="C7450" t="str">
            <v>VRN 20 SEC065073001 REP 9</v>
          </cell>
          <cell r="D7450" t="str">
            <v>PE</v>
          </cell>
          <cell r="E7450" t="str">
            <v>515.51503</v>
          </cell>
          <cell r="F7450">
            <v>4239.6980999999996</v>
          </cell>
          <cell r="G7450">
            <v>0</v>
          </cell>
          <cell r="H7450">
            <v>0</v>
          </cell>
          <cell r="I7450">
            <v>2</v>
          </cell>
          <cell r="J7450">
            <v>0</v>
          </cell>
          <cell r="K7450">
            <v>0</v>
          </cell>
          <cell r="L7450">
            <v>0</v>
          </cell>
        </row>
        <row r="7451">
          <cell r="A7451" t="str">
            <v>20428.09174</v>
          </cell>
          <cell r="B7451" t="str">
            <v>COUVERCLE COTE COMMANDE</v>
          </cell>
          <cell r="C7451" t="str">
            <v>VRN 20 SEC065073001 REP 15</v>
          </cell>
          <cell r="D7451" t="str">
            <v>PE</v>
          </cell>
          <cell r="E7451" t="str">
            <v>515.51503</v>
          </cell>
          <cell r="F7451">
            <v>6153.6557000000003</v>
          </cell>
          <cell r="G7451">
            <v>0</v>
          </cell>
          <cell r="H7451">
            <v>0</v>
          </cell>
          <cell r="I7451">
            <v>0</v>
          </cell>
          <cell r="J7451">
            <v>0</v>
          </cell>
          <cell r="K7451">
            <v>0</v>
          </cell>
          <cell r="L7451">
            <v>2</v>
          </cell>
        </row>
        <row r="7452">
          <cell r="A7452" t="str">
            <v>20428.09175</v>
          </cell>
          <cell r="B7452" t="str">
            <v>COUVERCLE INTERIEUR</v>
          </cell>
          <cell r="C7452" t="str">
            <v>VRN 20 SEC065073001 REP 15B</v>
          </cell>
          <cell r="D7452" t="str">
            <v>PE</v>
          </cell>
          <cell r="E7452" t="str">
            <v>515.51503</v>
          </cell>
          <cell r="F7452">
            <v>11104.7194</v>
          </cell>
          <cell r="G7452">
            <v>0</v>
          </cell>
          <cell r="H7452">
            <v>0</v>
          </cell>
          <cell r="I7452">
            <v>0</v>
          </cell>
          <cell r="J7452">
            <v>1</v>
          </cell>
          <cell r="K7452">
            <v>0</v>
          </cell>
          <cell r="L7452">
            <v>1</v>
          </cell>
        </row>
        <row r="7453">
          <cell r="A7453" t="str">
            <v>20428.09176</v>
          </cell>
          <cell r="B7453" t="str">
            <v>COUVERCLE BORGNE</v>
          </cell>
          <cell r="C7453" t="str">
            <v>VRN 20 SEC065073001 REP 16</v>
          </cell>
          <cell r="D7453" t="str">
            <v>PE</v>
          </cell>
          <cell r="E7453" t="str">
            <v>515.51503</v>
          </cell>
          <cell r="F7453">
            <v>7356.8530000000001</v>
          </cell>
          <cell r="G7453">
            <v>0</v>
          </cell>
          <cell r="H7453">
            <v>0</v>
          </cell>
          <cell r="I7453">
            <v>0</v>
          </cell>
          <cell r="J7453">
            <v>0</v>
          </cell>
          <cell r="K7453">
            <v>0</v>
          </cell>
          <cell r="L7453">
            <v>1</v>
          </cell>
        </row>
        <row r="7454">
          <cell r="A7454" t="str">
            <v>20428.09177</v>
          </cell>
          <cell r="B7454" t="str">
            <v>PRESSE ETOUPE EN 2 PIECES</v>
          </cell>
          <cell r="C7454" t="str">
            <v>VRN 20 SEC065073001 REP 62</v>
          </cell>
          <cell r="D7454" t="str">
            <v>PE</v>
          </cell>
          <cell r="E7454" t="str">
            <v>515.51503</v>
          </cell>
          <cell r="F7454">
            <v>3439.6188999999999</v>
          </cell>
          <cell r="G7454">
            <v>0</v>
          </cell>
          <cell r="H7454">
            <v>0</v>
          </cell>
          <cell r="I7454">
            <v>0</v>
          </cell>
          <cell r="J7454">
            <v>0</v>
          </cell>
          <cell r="K7454">
            <v>0</v>
          </cell>
          <cell r="L7454">
            <v>4</v>
          </cell>
        </row>
        <row r="7455">
          <cell r="A7455" t="str">
            <v>20428.09580</v>
          </cell>
          <cell r="B7455" t="str">
            <v xml:space="preserve">BAGUE DE PROTECTION </v>
          </cell>
          <cell r="C7455" t="str">
            <v>VRN 20 SEC065073001 REP  79</v>
          </cell>
          <cell r="D7455" t="str">
            <v>PE</v>
          </cell>
          <cell r="E7455" t="str">
            <v>515.51503</v>
          </cell>
          <cell r="F7455">
            <v>14297.444</v>
          </cell>
          <cell r="G7455">
            <v>0</v>
          </cell>
          <cell r="H7455">
            <v>0</v>
          </cell>
          <cell r="I7455">
            <v>0</v>
          </cell>
          <cell r="J7455">
            <v>0</v>
          </cell>
          <cell r="K7455">
            <v>0</v>
          </cell>
          <cell r="L7455">
            <v>0</v>
          </cell>
        </row>
        <row r="7456">
          <cell r="A7456" t="str">
            <v>20428.09581</v>
          </cell>
          <cell r="B7456" t="str">
            <v xml:space="preserve">RONDELLE D'EPAISSEUR </v>
          </cell>
          <cell r="C7456" t="str">
            <v>VRN 20 SEC065073001 REP RE1</v>
          </cell>
          <cell r="D7456" t="str">
            <v>PE</v>
          </cell>
          <cell r="E7456" t="str">
            <v>515.51503</v>
          </cell>
          <cell r="F7456">
            <v>569.89970000000005</v>
          </cell>
          <cell r="G7456">
            <v>0</v>
          </cell>
          <cell r="H7456">
            <v>0</v>
          </cell>
          <cell r="I7456">
            <v>0</v>
          </cell>
          <cell r="J7456">
            <v>0</v>
          </cell>
          <cell r="K7456">
            <v>0</v>
          </cell>
          <cell r="L7456">
            <v>1</v>
          </cell>
        </row>
        <row r="7457">
          <cell r="A7457" t="str">
            <v>20428.09582</v>
          </cell>
          <cell r="B7457" t="str">
            <v xml:space="preserve">ARBRE COTE COMMANDE </v>
          </cell>
          <cell r="C7457" t="str">
            <v>VRN 20 SEC065073001 REP 59</v>
          </cell>
          <cell r="D7457" t="str">
            <v>PE</v>
          </cell>
          <cell r="E7457" t="str">
            <v>515.51503</v>
          </cell>
          <cell r="F7457">
            <v>165498.60870000001</v>
          </cell>
          <cell r="G7457">
            <v>0</v>
          </cell>
          <cell r="H7457">
            <v>0</v>
          </cell>
          <cell r="I7457">
            <v>0</v>
          </cell>
          <cell r="J7457">
            <v>0</v>
          </cell>
          <cell r="K7457">
            <v>1</v>
          </cell>
          <cell r="L7457">
            <v>1</v>
          </cell>
        </row>
        <row r="7458">
          <cell r="A7458" t="str">
            <v>20428.09583</v>
          </cell>
          <cell r="B7458" t="str">
            <v xml:space="preserve">ARBRE COTE OPPOSE COMMANDE </v>
          </cell>
          <cell r="C7458" t="str">
            <v>VRN 20 SEC065073001 REP 59A</v>
          </cell>
          <cell r="D7458" t="str">
            <v>PE</v>
          </cell>
          <cell r="E7458" t="str">
            <v>515.51503</v>
          </cell>
          <cell r="F7458">
            <v>155811.43979999999</v>
          </cell>
          <cell r="G7458">
            <v>0</v>
          </cell>
          <cell r="H7458">
            <v>0</v>
          </cell>
          <cell r="I7458">
            <v>0</v>
          </cell>
          <cell r="J7458">
            <v>0</v>
          </cell>
          <cell r="K7458">
            <v>1</v>
          </cell>
          <cell r="L7458">
            <v>1</v>
          </cell>
        </row>
        <row r="7459">
          <cell r="A7459" t="str">
            <v>20442.01598</v>
          </cell>
          <cell r="B7459" t="str">
            <v>CHAISE DE PALIER</v>
          </cell>
          <cell r="C7459" t="str">
            <v>709203    LC 50-350 N1  PLAN A-3986360 REP-3120</v>
          </cell>
          <cell r="D7459" t="str">
            <v>PE</v>
          </cell>
          <cell r="E7459" t="str">
            <v>515.51503</v>
          </cell>
          <cell r="F7459">
            <v>24638.929599999999</v>
          </cell>
          <cell r="G7459">
            <v>0</v>
          </cell>
          <cell r="H7459">
            <v>0</v>
          </cell>
          <cell r="I7459">
            <v>0</v>
          </cell>
          <cell r="J7459">
            <v>0</v>
          </cell>
          <cell r="K7459">
            <v>0</v>
          </cell>
          <cell r="L7459">
            <v>0</v>
          </cell>
        </row>
        <row r="7460">
          <cell r="A7460" t="str">
            <v>20442.01600</v>
          </cell>
          <cell r="B7460" t="str">
            <v>COUVERCLE DE PALIER COTE COMMANDE</v>
          </cell>
          <cell r="C7460" t="str">
            <v>719073      LC 50-350 N1 PLAN A-3986360 REP-3261</v>
          </cell>
          <cell r="D7460" t="str">
            <v>PE</v>
          </cell>
          <cell r="E7460" t="str">
            <v>515.51503</v>
          </cell>
          <cell r="F7460">
            <v>2412.0801999999999</v>
          </cell>
          <cell r="G7460">
            <v>0</v>
          </cell>
          <cell r="H7460">
            <v>0</v>
          </cell>
          <cell r="I7460">
            <v>0</v>
          </cell>
          <cell r="J7460">
            <v>0</v>
          </cell>
          <cell r="K7460">
            <v>0</v>
          </cell>
          <cell r="L7460">
            <v>3</v>
          </cell>
        </row>
        <row r="7461">
          <cell r="A7461" t="str">
            <v>20442.01601</v>
          </cell>
          <cell r="B7461" t="str">
            <v>COUVERCLE DE PALIER COTE POMPE</v>
          </cell>
          <cell r="C7461" t="str">
            <v>LC 50-350 N1 PLAN A-3986360 REP-3262</v>
          </cell>
          <cell r="D7461" t="str">
            <v>PE</v>
          </cell>
          <cell r="E7461" t="str">
            <v>515.51503</v>
          </cell>
          <cell r="F7461">
            <v>2668.8377</v>
          </cell>
          <cell r="G7461">
            <v>0</v>
          </cell>
          <cell r="H7461">
            <v>0</v>
          </cell>
          <cell r="I7461">
            <v>0</v>
          </cell>
          <cell r="J7461">
            <v>0</v>
          </cell>
          <cell r="K7461">
            <v>0</v>
          </cell>
          <cell r="L7461">
            <v>3</v>
          </cell>
        </row>
        <row r="7462">
          <cell r="A7462" t="str">
            <v>20442.01364</v>
          </cell>
          <cell r="B7462" t="str">
            <v>FOND AVEC BOITE A GARNITURE REPER 1222</v>
          </cell>
          <cell r="C7462" t="str">
            <v>710194 POUR POMPE LC 50 - 350 N1</v>
          </cell>
          <cell r="D7462" t="str">
            <v>PE</v>
          </cell>
          <cell r="E7462" t="str">
            <v>515.51503</v>
          </cell>
          <cell r="F7462">
            <v>12575.3256</v>
          </cell>
          <cell r="G7462">
            <v>0</v>
          </cell>
          <cell r="H7462">
            <v>0</v>
          </cell>
          <cell r="I7462">
            <v>0</v>
          </cell>
          <cell r="J7462">
            <v>0</v>
          </cell>
          <cell r="K7462">
            <v>0</v>
          </cell>
          <cell r="L7462">
            <v>0</v>
          </cell>
        </row>
        <row r="7463">
          <cell r="A7463" t="str">
            <v>20442.01365</v>
          </cell>
          <cell r="B7463" t="str">
            <v>ROUE REPER 2280</v>
          </cell>
          <cell r="C7463" t="str">
            <v>709620 POUR POMPE LC 50 - 350 N1</v>
          </cell>
          <cell r="D7463" t="str">
            <v>PE</v>
          </cell>
          <cell r="E7463" t="str">
            <v>515.51503</v>
          </cell>
          <cell r="F7463">
            <v>12575.3256</v>
          </cell>
          <cell r="G7463">
            <v>0</v>
          </cell>
          <cell r="H7463">
            <v>0</v>
          </cell>
          <cell r="I7463">
            <v>0</v>
          </cell>
          <cell r="J7463">
            <v>0</v>
          </cell>
          <cell r="K7463">
            <v>0</v>
          </cell>
          <cell r="L7463">
            <v>0</v>
          </cell>
        </row>
        <row r="7464">
          <cell r="A7464" t="str">
            <v>20442.01366</v>
          </cell>
          <cell r="B7464" t="str">
            <v>JOINT PLAT REPER 4590.1</v>
          </cell>
          <cell r="C7464" t="str">
            <v>705497 POUR POMPE LC 50 - 350 N1</v>
          </cell>
          <cell r="D7464" t="str">
            <v>PE</v>
          </cell>
          <cell r="E7464" t="str">
            <v>515.51503</v>
          </cell>
          <cell r="F7464">
            <v>322.54500000000002</v>
          </cell>
          <cell r="G7464">
            <v>0</v>
          </cell>
          <cell r="H7464">
            <v>0</v>
          </cell>
          <cell r="I7464">
            <v>0</v>
          </cell>
          <cell r="J7464">
            <v>0</v>
          </cell>
          <cell r="K7464">
            <v>1</v>
          </cell>
          <cell r="L7464">
            <v>3</v>
          </cell>
        </row>
        <row r="7465">
          <cell r="A7465" t="str">
            <v>20431.00421</v>
          </cell>
          <cell r="B7465" t="str">
            <v>ENSEMBLE CARTOUCHE</v>
          </cell>
          <cell r="C7465" t="str">
            <v>77350   TYPE MILTON ROY CEGA 5P1T3</v>
          </cell>
          <cell r="D7465" t="str">
            <v>PE</v>
          </cell>
          <cell r="E7465" t="str">
            <v>515.51511</v>
          </cell>
          <cell r="F7465">
            <v>145.69999999999999</v>
          </cell>
          <cell r="G7465">
            <v>0</v>
          </cell>
          <cell r="H7465">
            <v>0</v>
          </cell>
          <cell r="I7465">
            <v>0</v>
          </cell>
          <cell r="J7465">
            <v>0</v>
          </cell>
          <cell r="K7465">
            <v>0</v>
          </cell>
          <cell r="L7465">
            <v>16</v>
          </cell>
        </row>
        <row r="7466">
          <cell r="A7466" t="str">
            <v>20431.00422</v>
          </cell>
          <cell r="B7466" t="str">
            <v>LOT DE RACCORDEMENT</v>
          </cell>
          <cell r="C7466" t="str">
            <v>77400   TYPE  MILTON ROY CEGA 5P1T3</v>
          </cell>
          <cell r="D7466" t="str">
            <v>PE</v>
          </cell>
          <cell r="E7466" t="str">
            <v>515.51511</v>
          </cell>
          <cell r="F7466">
            <v>223.61</v>
          </cell>
          <cell r="G7466">
            <v>0</v>
          </cell>
          <cell r="H7466">
            <v>0</v>
          </cell>
          <cell r="I7466">
            <v>0</v>
          </cell>
          <cell r="J7466">
            <v>0</v>
          </cell>
          <cell r="K7466">
            <v>0</v>
          </cell>
          <cell r="L7466">
            <v>8</v>
          </cell>
        </row>
        <row r="7467">
          <cell r="A7467" t="str">
            <v>20431.00044</v>
          </cell>
          <cell r="B7467" t="str">
            <v>POMPE DOSEUSE</v>
          </cell>
          <cell r="C7467" t="str">
            <v>TYPE : GA5P1T3   SERIE: G   N° SERIE : 070251545  MOTEUR 0,12KW 3000T/MN 230/400V TRI-50HZ</v>
          </cell>
          <cell r="D7467" t="str">
            <v>PE</v>
          </cell>
          <cell r="E7467" t="str">
            <v>515.51511</v>
          </cell>
          <cell r="F7467">
            <v>8989.0400000000009</v>
          </cell>
          <cell r="G7467">
            <v>0</v>
          </cell>
          <cell r="H7467">
            <v>2</v>
          </cell>
          <cell r="I7467">
            <v>0</v>
          </cell>
          <cell r="J7467">
            <v>0</v>
          </cell>
          <cell r="K7467">
            <v>0</v>
          </cell>
          <cell r="L7467">
            <v>1</v>
          </cell>
        </row>
        <row r="7468">
          <cell r="A7468" t="str">
            <v>20431.00048</v>
          </cell>
          <cell r="B7468" t="str">
            <v>SOUPAPE DE SECURITE BRIDEE  EN INOX 316L</v>
          </cell>
          <cell r="C7468" t="str">
            <v>PLAN : 1065.993.000   DN40   PN10    PRESSION TARRAGE : 2BAR</v>
          </cell>
          <cell r="D7468" t="str">
            <v>PE</v>
          </cell>
          <cell r="E7468" t="str">
            <v>515.51511</v>
          </cell>
          <cell r="F7468">
            <v>13812.5267</v>
          </cell>
          <cell r="G7468">
            <v>0</v>
          </cell>
          <cell r="H7468">
            <v>0</v>
          </cell>
          <cell r="I7468">
            <v>0</v>
          </cell>
          <cell r="J7468">
            <v>0</v>
          </cell>
          <cell r="K7468">
            <v>0</v>
          </cell>
          <cell r="L7468">
            <v>2</v>
          </cell>
        </row>
        <row r="7469">
          <cell r="A7469" t="str">
            <v>20431.00047</v>
          </cell>
          <cell r="B7469" t="str">
            <v>POMPE DOSEUSE</v>
          </cell>
          <cell r="C7469" t="str">
            <v>TYPE: B913-392S3   SERIE : LMI  N° SERIE : 060651179  ALIMENTATION : 230V AC/DIN</v>
          </cell>
          <cell r="D7469" t="str">
            <v>PE</v>
          </cell>
          <cell r="E7469" t="str">
            <v>515.51511</v>
          </cell>
          <cell r="F7469">
            <v>14800</v>
          </cell>
          <cell r="G7469">
            <v>0</v>
          </cell>
          <cell r="H7469">
            <v>0</v>
          </cell>
          <cell r="I7469">
            <v>0</v>
          </cell>
          <cell r="J7469">
            <v>0</v>
          </cell>
          <cell r="K7469">
            <v>0</v>
          </cell>
          <cell r="L7469">
            <v>2</v>
          </cell>
        </row>
        <row r="7470">
          <cell r="A7470" t="str">
            <v>20432.10499</v>
          </cell>
          <cell r="B7470" t="str">
            <v xml:space="preserve">REGULATEUR DE PRESSION </v>
          </cell>
          <cell r="C7470" t="str">
            <v xml:space="preserve">TYPE 627M PLAGE PRESS SORTIE:1,0 A 2,8 BAR DIAM ORIFICE:4,8(3/16) PRESS MAX:20,7 BAR  PRESS REGLE:2,25 </v>
          </cell>
          <cell r="D7470" t="str">
            <v>PE</v>
          </cell>
          <cell r="E7470" t="str">
            <v>512.51201</v>
          </cell>
          <cell r="F7470">
            <v>27650</v>
          </cell>
          <cell r="G7470">
            <v>0</v>
          </cell>
          <cell r="H7470">
            <v>0</v>
          </cell>
          <cell r="I7470">
            <v>0</v>
          </cell>
          <cell r="J7470">
            <v>1</v>
          </cell>
          <cell r="K7470">
            <v>0</v>
          </cell>
          <cell r="L7470">
            <v>0</v>
          </cell>
        </row>
        <row r="7471">
          <cell r="A7471" t="str">
            <v>20432.10500</v>
          </cell>
          <cell r="B7471" t="str">
            <v xml:space="preserve">DEVERSEUR </v>
          </cell>
          <cell r="C7471" t="str">
            <v>TYPE 98H ECHELLE RESSORT: 1,0-2,4BAR PRESSION REGLEE A:2,5BAR</v>
          </cell>
          <cell r="D7471" t="str">
            <v>PE</v>
          </cell>
          <cell r="E7471" t="str">
            <v>512.51201</v>
          </cell>
          <cell r="F7471">
            <v>17837.987499999999</v>
          </cell>
          <cell r="G7471">
            <v>0</v>
          </cell>
          <cell r="H7471">
            <v>0</v>
          </cell>
          <cell r="I7471">
            <v>0</v>
          </cell>
          <cell r="J7471">
            <v>0</v>
          </cell>
          <cell r="K7471">
            <v>0</v>
          </cell>
          <cell r="L7471">
            <v>0</v>
          </cell>
        </row>
        <row r="7472">
          <cell r="A7472" t="str">
            <v>20431.00726</v>
          </cell>
          <cell r="B7472" t="str">
            <v>JOINT TORIQUE 40,9X3,53</v>
          </cell>
          <cell r="C7472" t="str">
            <v>MILTON ROY 4380065001N</v>
          </cell>
          <cell r="D7472" t="str">
            <v>PE</v>
          </cell>
          <cell r="E7472" t="str">
            <v>515.51511</v>
          </cell>
          <cell r="F7472">
            <v>223.44</v>
          </cell>
          <cell r="G7472">
            <v>0</v>
          </cell>
          <cell r="H7472">
            <v>0</v>
          </cell>
          <cell r="I7472">
            <v>0</v>
          </cell>
          <cell r="J7472">
            <v>0</v>
          </cell>
          <cell r="K7472">
            <v>0</v>
          </cell>
          <cell r="L7472">
            <v>2</v>
          </cell>
        </row>
        <row r="7473">
          <cell r="A7473" t="str">
            <v>20431.00727</v>
          </cell>
          <cell r="B7473" t="str">
            <v>POIGNEE DE BLOCAGE</v>
          </cell>
          <cell r="C7473" t="str">
            <v>MILTON ROY 4400082000N</v>
          </cell>
          <cell r="D7473" t="str">
            <v>PE</v>
          </cell>
          <cell r="E7473" t="str">
            <v>515.51511</v>
          </cell>
          <cell r="F7473">
            <v>329.28</v>
          </cell>
          <cell r="G7473">
            <v>0</v>
          </cell>
          <cell r="H7473">
            <v>0</v>
          </cell>
          <cell r="I7473">
            <v>0</v>
          </cell>
          <cell r="J7473">
            <v>0</v>
          </cell>
          <cell r="K7473">
            <v>0</v>
          </cell>
          <cell r="L7473">
            <v>2</v>
          </cell>
        </row>
        <row r="7474">
          <cell r="A7474" t="str">
            <v>20431.00728</v>
          </cell>
          <cell r="B7474" t="str">
            <v>BAGUE D45 (STAR 45X10)</v>
          </cell>
          <cell r="C7474" t="str">
            <v>MILTON ROY 4400002021N</v>
          </cell>
          <cell r="D7474" t="str">
            <v>PE</v>
          </cell>
          <cell r="E7474" t="str">
            <v>515.51511</v>
          </cell>
          <cell r="F7474">
            <v>159.93600000000001</v>
          </cell>
          <cell r="G7474">
            <v>0</v>
          </cell>
          <cell r="H7474">
            <v>0</v>
          </cell>
          <cell r="I7474">
            <v>0</v>
          </cell>
          <cell r="J7474">
            <v>0</v>
          </cell>
          <cell r="K7474">
            <v>0</v>
          </cell>
          <cell r="L7474">
            <v>2</v>
          </cell>
        </row>
        <row r="7475">
          <cell r="A7475" t="str">
            <v>20431.00744</v>
          </cell>
          <cell r="B7475" t="str">
            <v>JOINT TORIQUE 19,8X3,6</v>
          </cell>
          <cell r="C7475" t="str">
            <v>MILTON ROY 4380006181N</v>
          </cell>
          <cell r="D7475" t="str">
            <v>PE</v>
          </cell>
          <cell r="E7475" t="str">
            <v>515.51511</v>
          </cell>
          <cell r="F7475">
            <v>284.59199999999998</v>
          </cell>
          <cell r="G7475">
            <v>0</v>
          </cell>
          <cell r="H7475">
            <v>0</v>
          </cell>
          <cell r="I7475">
            <v>0</v>
          </cell>
          <cell r="J7475">
            <v>0</v>
          </cell>
          <cell r="K7475">
            <v>0</v>
          </cell>
          <cell r="L7475">
            <v>4</v>
          </cell>
        </row>
        <row r="7476">
          <cell r="A7476" t="str">
            <v>20431.00755</v>
          </cell>
          <cell r="B7476" t="str">
            <v>RESSORT DE SOUPAPE REP 080A PL N°1065814310</v>
          </cell>
          <cell r="C7476" t="str">
            <v>0800112006N  POUR POMPE TYPE : RB96J7H10/9.HS.VV3</v>
          </cell>
          <cell r="D7476" t="str">
            <v>PE</v>
          </cell>
          <cell r="E7476" t="str">
            <v>515.51511</v>
          </cell>
          <cell r="F7476">
            <v>396.31200000000001</v>
          </cell>
          <cell r="G7476">
            <v>0</v>
          </cell>
          <cell r="H7476">
            <v>0</v>
          </cell>
          <cell r="I7476">
            <v>0</v>
          </cell>
          <cell r="J7476">
            <v>0</v>
          </cell>
          <cell r="K7476">
            <v>0</v>
          </cell>
          <cell r="L7476">
            <v>4</v>
          </cell>
        </row>
        <row r="7477">
          <cell r="A7477" t="str">
            <v>20432.01218</v>
          </cell>
          <cell r="B7477" t="str">
            <v>POSITIONNEUR NUMERIQUE</v>
          </cell>
          <cell r="C7477" t="str">
            <v>DVC6020 P/ACTIONNEUR 1052 TAILLE 33</v>
          </cell>
          <cell r="D7477" t="str">
            <v>PE</v>
          </cell>
          <cell r="E7477" t="str">
            <v>512.51201</v>
          </cell>
          <cell r="F7477">
            <v>13392.239</v>
          </cell>
          <cell r="G7477">
            <v>0</v>
          </cell>
          <cell r="H7477">
            <v>0</v>
          </cell>
          <cell r="I7477">
            <v>0</v>
          </cell>
          <cell r="J7477">
            <v>1</v>
          </cell>
          <cell r="K7477">
            <v>0</v>
          </cell>
          <cell r="L7477">
            <v>0</v>
          </cell>
        </row>
        <row r="7478">
          <cell r="A7478" t="str">
            <v>20432.01351</v>
          </cell>
          <cell r="B7478" t="str">
            <v>POSITIONNEUR NUM DVC 6010</v>
          </cell>
          <cell r="C7478" t="str">
            <v>DVC6010</v>
          </cell>
          <cell r="D7478" t="str">
            <v>PE</v>
          </cell>
          <cell r="E7478" t="str">
            <v>515.51511</v>
          </cell>
          <cell r="F7478">
            <v>25200</v>
          </cell>
          <cell r="G7478">
            <v>0</v>
          </cell>
          <cell r="H7478">
            <v>0</v>
          </cell>
          <cell r="I7478">
            <v>0</v>
          </cell>
          <cell r="J7478">
            <v>0</v>
          </cell>
          <cell r="K7478">
            <v>0</v>
          </cell>
          <cell r="L7478">
            <v>0</v>
          </cell>
        </row>
        <row r="7479">
          <cell r="A7479" t="str">
            <v>20432.01421</v>
          </cell>
          <cell r="B7479" t="str">
            <v>POSITIONNEUR ELECTROPNEUMATIQUE</v>
          </cell>
          <cell r="C7479" t="str">
            <v>DVC6030HC  + MTG VDI/VDE  + 67CFR</v>
          </cell>
          <cell r="D7479" t="str">
            <v>PE</v>
          </cell>
          <cell r="E7479" t="str">
            <v>515.51511</v>
          </cell>
          <cell r="F7479">
            <v>13392.239</v>
          </cell>
          <cell r="G7479">
            <v>0</v>
          </cell>
          <cell r="H7479">
            <v>0</v>
          </cell>
          <cell r="I7479">
            <v>0</v>
          </cell>
          <cell r="J7479">
            <v>0</v>
          </cell>
          <cell r="K7479">
            <v>0</v>
          </cell>
          <cell r="L7479">
            <v>0</v>
          </cell>
        </row>
        <row r="7480">
          <cell r="A7480" t="str">
            <v>39131.00004</v>
          </cell>
          <cell r="B7480" t="str">
            <v>TOILE FILTRANTE</v>
          </cell>
          <cell r="C7480" t="str">
            <v>TOILE FILTRANTE EN PPPOUR FILTRE A BOUILLIE PRAYON 24-135EEMATIERE POLYPROPYLENE REF:05-1001-K215; TYPE MONOFILAMENT; POROSITE 3500M/H SOUS 20MNDIMENSIONS 2600MM/1270MM/5080MMSUIVANT CROQUIS CI-JOINT</v>
          </cell>
          <cell r="D7480" t="str">
            <v>PE</v>
          </cell>
          <cell r="E7480" t="str">
            <v>24.0503</v>
          </cell>
          <cell r="F7480">
            <v>543.25130000000001</v>
          </cell>
          <cell r="G7480">
            <v>0</v>
          </cell>
          <cell r="H7480">
            <v>0</v>
          </cell>
          <cell r="I7480">
            <v>0</v>
          </cell>
          <cell r="J7480">
            <v>0</v>
          </cell>
          <cell r="K7480">
            <v>0</v>
          </cell>
          <cell r="L7480">
            <v>0</v>
          </cell>
        </row>
        <row r="7481">
          <cell r="A7481" t="str">
            <v>39131.00004</v>
          </cell>
          <cell r="B7481" t="str">
            <v>TOILE FILTRANTE</v>
          </cell>
          <cell r="C7481" t="str">
            <v>TOILE FILTRANTE EN PPPOUR FILTRE A BOUILLIE PRAYON 24-135EEMATIERE POLYPROPYLENE REF:05-1001-K215; TYPE MONOFILAMENT; POROSITE 3500M/H SOUS 20MNDIMENSIONS 2600MM/1270MM/5080MMSUIVANT CROQUIS CI-JOINT</v>
          </cell>
          <cell r="D7481" t="str">
            <v>PE</v>
          </cell>
          <cell r="E7481" t="str">
            <v>24.0503</v>
          </cell>
          <cell r="F7481">
            <v>543.25130000000001</v>
          </cell>
          <cell r="G7481">
            <v>0</v>
          </cell>
          <cell r="H7481">
            <v>0</v>
          </cell>
          <cell r="I7481">
            <v>0</v>
          </cell>
          <cell r="J7481">
            <v>0</v>
          </cell>
          <cell r="K7481">
            <v>0</v>
          </cell>
          <cell r="L7481">
            <v>0</v>
          </cell>
        </row>
        <row r="7482">
          <cell r="A7482" t="str">
            <v>39131.00011</v>
          </cell>
          <cell r="B7482" t="str">
            <v>HUILE DTE 26</v>
          </cell>
          <cell r="C7482" t="str">
            <v>HUILE DTE 26</v>
          </cell>
          <cell r="D7482" t="str">
            <v>KG</v>
          </cell>
          <cell r="E7482" t="str">
            <v>28.0670</v>
          </cell>
          <cell r="F7482">
            <v>17.37</v>
          </cell>
          <cell r="G7482">
            <v>0</v>
          </cell>
          <cell r="H7482">
            <v>0</v>
          </cell>
          <cell r="I7482">
            <v>0</v>
          </cell>
          <cell r="J7482">
            <v>0</v>
          </cell>
          <cell r="K7482">
            <v>188</v>
          </cell>
          <cell r="L7482">
            <v>0</v>
          </cell>
        </row>
        <row r="7483">
          <cell r="A7483" t="str">
            <v>39131.00001</v>
          </cell>
          <cell r="B7483" t="str">
            <v>GRAISSE KLUBER</v>
          </cell>
          <cell r="C7483" t="str">
            <v>GRAISSE KLUBER REF:GRAFLOSCON A-GI ULTRA</v>
          </cell>
          <cell r="D7483" t="str">
            <v>KG</v>
          </cell>
          <cell r="E7483" t="str">
            <v>28.0670</v>
          </cell>
          <cell r="F7483">
            <v>456</v>
          </cell>
          <cell r="G7483">
            <v>0</v>
          </cell>
          <cell r="H7483">
            <v>0</v>
          </cell>
          <cell r="I7483">
            <v>0</v>
          </cell>
          <cell r="J7483">
            <v>0</v>
          </cell>
          <cell r="K7483">
            <v>0</v>
          </cell>
          <cell r="L7483">
            <v>0</v>
          </cell>
        </row>
        <row r="7484">
          <cell r="A7484" t="str">
            <v>39131.00002</v>
          </cell>
          <cell r="B7484" t="str">
            <v>GRAISSE KLUBER</v>
          </cell>
          <cell r="C7484" t="str">
            <v>GRAISSE KLUBER REF:GRAFLOSCON BS-GOO ULTRA</v>
          </cell>
          <cell r="D7484" t="str">
            <v>KG</v>
          </cell>
          <cell r="E7484" t="str">
            <v>28.0670</v>
          </cell>
          <cell r="F7484">
            <v>288</v>
          </cell>
          <cell r="G7484">
            <v>0</v>
          </cell>
          <cell r="H7484">
            <v>0</v>
          </cell>
          <cell r="I7484">
            <v>0</v>
          </cell>
          <cell r="J7484">
            <v>0</v>
          </cell>
          <cell r="K7484">
            <v>0</v>
          </cell>
          <cell r="L7484">
            <v>0</v>
          </cell>
        </row>
        <row r="7485">
          <cell r="A7485" t="str">
            <v>39131.00003</v>
          </cell>
          <cell r="B7485" t="str">
            <v>GRAISSE KLUBER</v>
          </cell>
          <cell r="C7485" t="str">
            <v>GRAISSE KLUBER REF:KLUBERFLUID CF3 ULTRA</v>
          </cell>
          <cell r="D7485" t="str">
            <v>KG</v>
          </cell>
          <cell r="E7485" t="str">
            <v>28.0670</v>
          </cell>
          <cell r="F7485">
            <v>192</v>
          </cell>
          <cell r="G7485">
            <v>0</v>
          </cell>
          <cell r="H7485">
            <v>0</v>
          </cell>
          <cell r="I7485">
            <v>0</v>
          </cell>
          <cell r="J7485">
            <v>0</v>
          </cell>
          <cell r="K7485">
            <v>0</v>
          </cell>
          <cell r="L7485">
            <v>0</v>
          </cell>
        </row>
        <row r="7486">
          <cell r="A7486" t="str">
            <v>20428.02583</v>
          </cell>
          <cell r="B7486" t="str">
            <v>ARBRE EN U45N</v>
          </cell>
          <cell r="C7486" t="str">
            <v>500VE 470-54/1R PLAN- SEC 06.50905T REP-59</v>
          </cell>
          <cell r="D7486" t="str">
            <v>PE</v>
          </cell>
          <cell r="E7486" t="str">
            <v>515.51503</v>
          </cell>
          <cell r="F7486">
            <v>164447.09400000001</v>
          </cell>
          <cell r="G7486">
            <v>0</v>
          </cell>
          <cell r="H7486">
            <v>0</v>
          </cell>
          <cell r="I7486">
            <v>0</v>
          </cell>
          <cell r="J7486">
            <v>0</v>
          </cell>
          <cell r="K7486">
            <v>0</v>
          </cell>
          <cell r="L7486">
            <v>1</v>
          </cell>
        </row>
        <row r="7487">
          <cell r="A7487" t="str">
            <v>20428.02585</v>
          </cell>
          <cell r="B7487" t="str">
            <v>ARBRE EN U45N</v>
          </cell>
          <cell r="C7487" t="str">
            <v>500VE 470-54/2R PLAN- SEC 06.50906T REP-59</v>
          </cell>
          <cell r="D7487" t="str">
            <v>PE</v>
          </cell>
          <cell r="E7487" t="str">
            <v>515.51503</v>
          </cell>
          <cell r="F7487">
            <v>172950.54139999999</v>
          </cell>
          <cell r="G7487">
            <v>0</v>
          </cell>
          <cell r="H7487">
            <v>0</v>
          </cell>
          <cell r="I7487">
            <v>1</v>
          </cell>
          <cell r="J7487">
            <v>0</v>
          </cell>
          <cell r="K7487">
            <v>0</v>
          </cell>
          <cell r="L7487">
            <v>0</v>
          </cell>
        </row>
        <row r="7488">
          <cell r="A7488" t="str">
            <v>20428.02586</v>
          </cell>
          <cell r="B7488" t="str">
            <v>ARBRE EN 42CD4</v>
          </cell>
          <cell r="C7488" t="str">
            <v>MN508A serie N° T06.5090.002PO REP-59</v>
          </cell>
          <cell r="D7488" t="str">
            <v>PE</v>
          </cell>
          <cell r="E7488" t="str">
            <v>515.51503</v>
          </cell>
          <cell r="F7488">
            <v>61190.555800000002</v>
          </cell>
          <cell r="G7488">
            <v>0</v>
          </cell>
          <cell r="H7488">
            <v>0</v>
          </cell>
          <cell r="I7488">
            <v>0</v>
          </cell>
          <cell r="J7488">
            <v>0</v>
          </cell>
          <cell r="K7488">
            <v>0</v>
          </cell>
          <cell r="L7488">
            <v>1</v>
          </cell>
        </row>
        <row r="7489">
          <cell r="A7489" t="str">
            <v>20428.02587</v>
          </cell>
          <cell r="B7489" t="str">
            <v>ROUE ASPIRATION</v>
          </cell>
          <cell r="C7489" t="str">
            <v>MN508A serie N° T06.5090.002PO REP-56</v>
          </cell>
          <cell r="D7489" t="str">
            <v>PE</v>
          </cell>
          <cell r="E7489" t="str">
            <v>515.51503</v>
          </cell>
          <cell r="F7489">
            <v>48773.112000000001</v>
          </cell>
          <cell r="G7489">
            <v>0</v>
          </cell>
          <cell r="H7489">
            <v>0</v>
          </cell>
          <cell r="I7489">
            <v>0</v>
          </cell>
          <cell r="J7489">
            <v>0</v>
          </cell>
          <cell r="K7489">
            <v>0</v>
          </cell>
          <cell r="L7489">
            <v>1</v>
          </cell>
        </row>
        <row r="7490">
          <cell r="A7490" t="str">
            <v>20428.02588</v>
          </cell>
          <cell r="B7490" t="str">
            <v>CERCLE FEMELLE OUÏE</v>
          </cell>
          <cell r="C7490" t="str">
            <v>MN508A serie N° T06.5090.002PO REP-67</v>
          </cell>
          <cell r="D7490" t="str">
            <v>PE</v>
          </cell>
          <cell r="E7490" t="str">
            <v>515.51503</v>
          </cell>
          <cell r="F7490">
            <v>8908.1026000000002</v>
          </cell>
          <cell r="G7490">
            <v>0</v>
          </cell>
          <cell r="H7490">
            <v>0</v>
          </cell>
          <cell r="I7490">
            <v>4</v>
          </cell>
          <cell r="J7490">
            <v>7</v>
          </cell>
          <cell r="K7490">
            <v>0</v>
          </cell>
          <cell r="L7490">
            <v>3</v>
          </cell>
        </row>
        <row r="7491">
          <cell r="A7491" t="str">
            <v>20428.02589</v>
          </cell>
          <cell r="B7491" t="str">
            <v>CERCLE FEMELLE OUÏE POUR ROUE (REP 56)</v>
          </cell>
          <cell r="C7491" t="str">
            <v>MN508A serie N° T06.5090.002PO REP-67A</v>
          </cell>
          <cell r="D7491" t="str">
            <v>PE</v>
          </cell>
          <cell r="E7491" t="str">
            <v>515.51503</v>
          </cell>
          <cell r="F7491">
            <v>9351.2831999999999</v>
          </cell>
          <cell r="G7491">
            <v>0</v>
          </cell>
          <cell r="H7491">
            <v>0</v>
          </cell>
          <cell r="I7491">
            <v>0</v>
          </cell>
          <cell r="J7491">
            <v>0</v>
          </cell>
          <cell r="K7491">
            <v>0</v>
          </cell>
          <cell r="L7491">
            <v>12</v>
          </cell>
        </row>
        <row r="7492">
          <cell r="A7492" t="str">
            <v>20428.02407</v>
          </cell>
          <cell r="B7492" t="str">
            <v>VOYANT</v>
          </cell>
          <cell r="C7492" t="str">
            <v xml:space="preserve">EMTECH 100-315E  PLAN F102-24-0800  REP 192A REF 90761500    </v>
          </cell>
          <cell r="D7492" t="str">
            <v>PE</v>
          </cell>
          <cell r="E7492" t="str">
            <v>515.51503</v>
          </cell>
          <cell r="F7492">
            <v>193.7629</v>
          </cell>
          <cell r="G7492">
            <v>0</v>
          </cell>
          <cell r="H7492">
            <v>0</v>
          </cell>
          <cell r="I7492">
            <v>0</v>
          </cell>
          <cell r="J7492">
            <v>0</v>
          </cell>
          <cell r="K7492">
            <v>0</v>
          </cell>
          <cell r="L7492">
            <v>1</v>
          </cell>
        </row>
        <row r="7493">
          <cell r="A7493" t="str">
            <v>20428.02297</v>
          </cell>
          <cell r="B7493" t="str">
            <v>ECROU DE ROUE</v>
          </cell>
          <cell r="C7493" t="str">
            <v>NCE 50.32 N° 065089003PO1 REP 58 REF ECRS0026-00U45</v>
          </cell>
          <cell r="D7493" t="str">
            <v>PE</v>
          </cell>
          <cell r="E7493" t="str">
            <v>515.51503</v>
          </cell>
          <cell r="F7493">
            <v>6732.2313000000004</v>
          </cell>
          <cell r="G7493">
            <v>0</v>
          </cell>
          <cell r="H7493">
            <v>0</v>
          </cell>
          <cell r="I7493">
            <v>0</v>
          </cell>
          <cell r="J7493">
            <v>0</v>
          </cell>
          <cell r="K7493">
            <v>1</v>
          </cell>
          <cell r="L7493">
            <v>2</v>
          </cell>
        </row>
        <row r="7494">
          <cell r="A7494" t="str">
            <v>20428.02298</v>
          </cell>
          <cell r="B7494" t="str">
            <v>CERCLE D'USURE FEMELLE</v>
          </cell>
          <cell r="C7494" t="str">
            <v>NCE 50.32 N° 065089003PO1 REP 67 REF CERL0017AA02U45</v>
          </cell>
          <cell r="D7494" t="str">
            <v>PE</v>
          </cell>
          <cell r="E7494" t="str">
            <v>515.51503</v>
          </cell>
          <cell r="F7494">
            <v>7092.8842000000004</v>
          </cell>
          <cell r="G7494">
            <v>0</v>
          </cell>
          <cell r="H7494">
            <v>0</v>
          </cell>
          <cell r="I7494">
            <v>0</v>
          </cell>
          <cell r="J7494">
            <v>0</v>
          </cell>
          <cell r="K7494">
            <v>0</v>
          </cell>
          <cell r="L7494">
            <v>2</v>
          </cell>
        </row>
        <row r="7495">
          <cell r="A7495" t="str">
            <v>20428.02299</v>
          </cell>
          <cell r="B7495" t="str">
            <v>CHEMISE D'ARBRE</v>
          </cell>
          <cell r="C7495" t="str">
            <v>NCE 50.32 N° 065089003PO1 REP 60 REF CHEE0206-00/6L</v>
          </cell>
          <cell r="D7495" t="str">
            <v>PE</v>
          </cell>
          <cell r="E7495" t="str">
            <v>515.51503</v>
          </cell>
          <cell r="F7495">
            <v>10841.237300000001</v>
          </cell>
          <cell r="G7495">
            <v>0</v>
          </cell>
          <cell r="H7495">
            <v>0</v>
          </cell>
          <cell r="I7495">
            <v>0</v>
          </cell>
          <cell r="J7495">
            <v>0</v>
          </cell>
          <cell r="K7495">
            <v>0</v>
          </cell>
          <cell r="L7495">
            <v>2</v>
          </cell>
        </row>
        <row r="7496">
          <cell r="A7496" t="str">
            <v>20428.02300</v>
          </cell>
          <cell r="B7496" t="str">
            <v>JEU DE JOINTS</v>
          </cell>
          <cell r="C7496" t="str">
            <v>NCE 50.32 N° 065089003PO1 REP T1. T2. T8. T12. T16. T17. J2. J3. V1. V2 REF 116775007JJ</v>
          </cell>
          <cell r="D7496" t="str">
            <v>PE</v>
          </cell>
          <cell r="E7496" t="str">
            <v>515.51503</v>
          </cell>
          <cell r="F7496">
            <v>3229.9252000000001</v>
          </cell>
          <cell r="G7496">
            <v>0</v>
          </cell>
          <cell r="H7496">
            <v>0</v>
          </cell>
          <cell r="I7496">
            <v>0</v>
          </cell>
          <cell r="J7496">
            <v>0</v>
          </cell>
          <cell r="K7496">
            <v>1</v>
          </cell>
          <cell r="L7496">
            <v>2</v>
          </cell>
        </row>
        <row r="7497">
          <cell r="A7497" t="str">
            <v>20428.02036</v>
          </cell>
          <cell r="B7497" t="str">
            <v>ROUE DE DECHARGE</v>
          </cell>
          <cell r="C7497" t="str">
            <v>PLRD 80.40 SERIE 065183001PO1 PL : FA21466 REP : 55A</v>
          </cell>
          <cell r="D7497" t="str">
            <v>PE</v>
          </cell>
          <cell r="E7497" t="str">
            <v>515.51503</v>
          </cell>
          <cell r="F7497">
            <v>29175.487499999999</v>
          </cell>
          <cell r="G7497">
            <v>0</v>
          </cell>
          <cell r="H7497">
            <v>0</v>
          </cell>
          <cell r="I7497">
            <v>0</v>
          </cell>
          <cell r="J7497">
            <v>0</v>
          </cell>
          <cell r="K7497">
            <v>0</v>
          </cell>
          <cell r="L7497">
            <v>2</v>
          </cell>
        </row>
        <row r="7498">
          <cell r="A7498" t="str">
            <v>20428.02037</v>
          </cell>
          <cell r="B7498" t="str">
            <v>ARBRE</v>
          </cell>
          <cell r="C7498" t="str">
            <v>PLRD 80.40 SERIE 065183001PO1 PL : FA21466 REP : 59</v>
          </cell>
          <cell r="D7498" t="str">
            <v>PE</v>
          </cell>
          <cell r="E7498" t="str">
            <v>515.51503</v>
          </cell>
          <cell r="F7498">
            <v>20007.238600000001</v>
          </cell>
          <cell r="G7498">
            <v>0</v>
          </cell>
          <cell r="H7498">
            <v>0</v>
          </cell>
          <cell r="I7498">
            <v>0</v>
          </cell>
          <cell r="J7498">
            <v>0</v>
          </cell>
          <cell r="K7498">
            <v>0</v>
          </cell>
          <cell r="L7498">
            <v>0</v>
          </cell>
        </row>
        <row r="7499">
          <cell r="A7499" t="str">
            <v>20428.02039</v>
          </cell>
          <cell r="B7499" t="str">
            <v>FLASQUE</v>
          </cell>
          <cell r="C7499" t="str">
            <v>PLRD 80.40 SERIE 065183001PO1 PL : FA21466 REP : 73</v>
          </cell>
          <cell r="D7499" t="str">
            <v>PE</v>
          </cell>
          <cell r="E7499" t="str">
            <v>515.51503</v>
          </cell>
          <cell r="F7499">
            <v>39501.460099999997</v>
          </cell>
          <cell r="G7499">
            <v>0</v>
          </cell>
          <cell r="H7499">
            <v>0</v>
          </cell>
          <cell r="I7499">
            <v>0</v>
          </cell>
          <cell r="J7499">
            <v>0</v>
          </cell>
          <cell r="K7499">
            <v>0</v>
          </cell>
          <cell r="L7499">
            <v>2</v>
          </cell>
        </row>
        <row r="7500">
          <cell r="A7500" t="str">
            <v>20428.02041</v>
          </cell>
          <cell r="B7500" t="str">
            <v>JEU DE JOINTS</v>
          </cell>
          <cell r="C7500" t="str">
            <v>PLRD 80.40 SERIE 065183001PO1 PL : FA21466 REP : J1-T5 A T7/T9A712/T19</v>
          </cell>
          <cell r="D7500" t="str">
            <v>PE</v>
          </cell>
          <cell r="E7500" t="str">
            <v>515.51503</v>
          </cell>
          <cell r="F7500">
            <v>6930.6270000000004</v>
          </cell>
          <cell r="G7500">
            <v>0</v>
          </cell>
          <cell r="H7500">
            <v>0</v>
          </cell>
          <cell r="I7500">
            <v>0</v>
          </cell>
          <cell r="J7500">
            <v>0</v>
          </cell>
          <cell r="K7500">
            <v>1</v>
          </cell>
          <cell r="L7500">
            <v>2</v>
          </cell>
        </row>
        <row r="7501">
          <cell r="A7501" t="str">
            <v>20428.02049</v>
          </cell>
          <cell r="B7501" t="str">
            <v>CHEMISE D ARBRE</v>
          </cell>
          <cell r="C7501" t="str">
            <v>PLRD 80.40 SERIE 065183006PO1 PL : FA21480 REP : 60</v>
          </cell>
          <cell r="D7501" t="str">
            <v>PE</v>
          </cell>
          <cell r="E7501" t="str">
            <v>515.51503</v>
          </cell>
          <cell r="F7501">
            <v>11596.5283</v>
          </cell>
          <cell r="G7501">
            <v>0</v>
          </cell>
          <cell r="H7501">
            <v>0</v>
          </cell>
          <cell r="I7501">
            <v>0</v>
          </cell>
          <cell r="J7501">
            <v>0</v>
          </cell>
          <cell r="K7501">
            <v>0</v>
          </cell>
          <cell r="L7501">
            <v>1</v>
          </cell>
        </row>
        <row r="7502">
          <cell r="A7502" t="str">
            <v>20428.02122</v>
          </cell>
          <cell r="B7502" t="str">
            <v>FOND DE DECHARGE</v>
          </cell>
          <cell r="C7502" t="str">
            <v>MP 150.125.250 SERIE N° 065376001PO1 PLAN J4955 REP 1221.2</v>
          </cell>
          <cell r="D7502" t="str">
            <v>PE</v>
          </cell>
          <cell r="E7502" t="str">
            <v>515.51503</v>
          </cell>
          <cell r="F7502">
            <v>8361.5331999999999</v>
          </cell>
          <cell r="G7502">
            <v>0</v>
          </cell>
          <cell r="H7502">
            <v>0</v>
          </cell>
          <cell r="I7502">
            <v>0</v>
          </cell>
          <cell r="J7502">
            <v>0</v>
          </cell>
          <cell r="K7502">
            <v>0</v>
          </cell>
          <cell r="L7502">
            <v>0</v>
          </cell>
        </row>
        <row r="7503">
          <cell r="A7503" t="str">
            <v>20428.02169</v>
          </cell>
          <cell r="B7503" t="str">
            <v>ECROU</v>
          </cell>
          <cell r="C7503" t="str">
            <v>VRN 20 SERIE 06.5073001PO REP 92</v>
          </cell>
          <cell r="D7503" t="str">
            <v>PE</v>
          </cell>
          <cell r="E7503" t="str">
            <v>515.51503</v>
          </cell>
          <cell r="F7503">
            <v>313.767</v>
          </cell>
          <cell r="G7503">
            <v>0</v>
          </cell>
          <cell r="H7503">
            <v>0</v>
          </cell>
          <cell r="I7503">
            <v>0</v>
          </cell>
          <cell r="J7503">
            <v>0</v>
          </cell>
          <cell r="K7503">
            <v>0</v>
          </cell>
          <cell r="L7503">
            <v>3</v>
          </cell>
        </row>
        <row r="7504">
          <cell r="A7504" t="str">
            <v>20428.02172</v>
          </cell>
          <cell r="B7504" t="str">
            <v>CLAPET COMPLET</v>
          </cell>
          <cell r="C7504" t="str">
            <v>VRN 20 SERIE 06.5073001PO REP 176-233-234</v>
          </cell>
          <cell r="D7504" t="str">
            <v>PE</v>
          </cell>
          <cell r="E7504" t="str">
            <v>515.51503</v>
          </cell>
          <cell r="F7504">
            <v>32969.0242</v>
          </cell>
          <cell r="G7504">
            <v>0</v>
          </cell>
          <cell r="H7504">
            <v>0</v>
          </cell>
          <cell r="I7504">
            <v>0</v>
          </cell>
          <cell r="J7504">
            <v>0</v>
          </cell>
          <cell r="K7504">
            <v>1</v>
          </cell>
          <cell r="L7504">
            <v>0</v>
          </cell>
        </row>
        <row r="7505">
          <cell r="A7505" t="str">
            <v>20428.02173</v>
          </cell>
          <cell r="B7505" t="str">
            <v>ROUE</v>
          </cell>
          <cell r="C7505" t="str">
            <v>VAP 14 EMTECH 40-315K SERIE 06.5296.022PO REP 55</v>
          </cell>
          <cell r="D7505" t="str">
            <v>PE</v>
          </cell>
          <cell r="E7505" t="str">
            <v>515.51503</v>
          </cell>
          <cell r="F7505">
            <v>11846.077600000001</v>
          </cell>
          <cell r="G7505">
            <v>0</v>
          </cell>
          <cell r="H7505">
            <v>0</v>
          </cell>
          <cell r="I7505">
            <v>1</v>
          </cell>
          <cell r="J7505">
            <v>0</v>
          </cell>
          <cell r="K7505">
            <v>1</v>
          </cell>
          <cell r="L7505">
            <v>1</v>
          </cell>
        </row>
        <row r="7506">
          <cell r="A7506" t="str">
            <v>20428.02174</v>
          </cell>
          <cell r="B7506" t="str">
            <v>ARBRE</v>
          </cell>
          <cell r="C7506" t="str">
            <v>EMTECH 50-250K GMS CB3/NZ144 SERIE POM 061223/02-065222001PC001 REP 59</v>
          </cell>
          <cell r="D7506" t="str">
            <v>PE</v>
          </cell>
          <cell r="E7506" t="str">
            <v>515.51503</v>
          </cell>
          <cell r="F7506">
            <v>52851.843999999997</v>
          </cell>
          <cell r="G7506">
            <v>0</v>
          </cell>
          <cell r="H7506">
            <v>0</v>
          </cell>
          <cell r="I7506">
            <v>0</v>
          </cell>
          <cell r="J7506">
            <v>0</v>
          </cell>
          <cell r="K7506">
            <v>0</v>
          </cell>
          <cell r="L7506">
            <v>1</v>
          </cell>
        </row>
        <row r="7507">
          <cell r="A7507" t="str">
            <v>20428.02175</v>
          </cell>
          <cell r="B7507" t="str">
            <v>ECROU</v>
          </cell>
          <cell r="C7507" t="str">
            <v>EMTECH 50-250K GMS CB3/NZ144 SERIE POM 061223/02-065222001PC001 REP 92</v>
          </cell>
          <cell r="D7507" t="str">
            <v>PE</v>
          </cell>
          <cell r="E7507" t="str">
            <v>515.51503</v>
          </cell>
          <cell r="F7507">
            <v>170.7037</v>
          </cell>
          <cell r="G7507">
            <v>0</v>
          </cell>
          <cell r="H7507">
            <v>0</v>
          </cell>
          <cell r="I7507">
            <v>0</v>
          </cell>
          <cell r="J7507">
            <v>0</v>
          </cell>
          <cell r="K7507">
            <v>0</v>
          </cell>
          <cell r="L7507">
            <v>6</v>
          </cell>
        </row>
        <row r="7508">
          <cell r="A7508" t="str">
            <v>20428.02178</v>
          </cell>
          <cell r="B7508" t="str">
            <v>JEU DE JOINTS</v>
          </cell>
          <cell r="C7508" t="str">
            <v>EMTECH 50-250K GMS CB3/NZ144 SERIE POM 061223/02-065222001PC001 REP J2-J3-T2-T16-T17-T27-T28</v>
          </cell>
          <cell r="D7508" t="str">
            <v>JE</v>
          </cell>
          <cell r="E7508" t="str">
            <v>515.51503</v>
          </cell>
          <cell r="F7508">
            <v>4752.7605999999996</v>
          </cell>
          <cell r="G7508">
            <v>0</v>
          </cell>
          <cell r="H7508">
            <v>0</v>
          </cell>
          <cell r="I7508">
            <v>0</v>
          </cell>
          <cell r="J7508">
            <v>0</v>
          </cell>
          <cell r="K7508">
            <v>0</v>
          </cell>
          <cell r="L7508">
            <v>5</v>
          </cell>
        </row>
        <row r="7509">
          <cell r="A7509" t="str">
            <v>20428.02179</v>
          </cell>
          <cell r="B7509" t="str">
            <v>ARBRE</v>
          </cell>
          <cell r="C7509" t="str">
            <v>EMTECH 50-250K GMS CB3/NZ144 SERIE POM 061223/02-065222001PC001 REP 59</v>
          </cell>
          <cell r="D7509" t="str">
            <v>PE</v>
          </cell>
          <cell r="E7509" t="str">
            <v>515.51503</v>
          </cell>
          <cell r="F7509">
            <v>8121.5230000000001</v>
          </cell>
          <cell r="G7509">
            <v>0</v>
          </cell>
          <cell r="H7509">
            <v>0</v>
          </cell>
          <cell r="I7509">
            <v>0</v>
          </cell>
          <cell r="J7509">
            <v>0</v>
          </cell>
          <cell r="K7509">
            <v>1</v>
          </cell>
          <cell r="L7509">
            <v>0</v>
          </cell>
        </row>
        <row r="7510">
          <cell r="A7510" t="str">
            <v>20428.02176</v>
          </cell>
          <cell r="B7510" t="str">
            <v>JEU DE JOINTS</v>
          </cell>
          <cell r="C7510" t="str">
            <v>VAP 14 EMTECH 40-315K SERIE 06.5296.022PO REP J1-J2-J3-J4-T1-V1</v>
          </cell>
          <cell r="D7510" t="str">
            <v>JE</v>
          </cell>
          <cell r="E7510" t="str">
            <v>515.51503</v>
          </cell>
          <cell r="F7510">
            <v>3866.1932000000002</v>
          </cell>
          <cell r="G7510">
            <v>0</v>
          </cell>
          <cell r="H7510">
            <v>0</v>
          </cell>
          <cell r="I7510">
            <v>0</v>
          </cell>
          <cell r="J7510">
            <v>0</v>
          </cell>
          <cell r="K7510">
            <v>0</v>
          </cell>
          <cell r="L7510">
            <v>4</v>
          </cell>
        </row>
        <row r="7511">
          <cell r="A7511" t="str">
            <v>20428.02177</v>
          </cell>
          <cell r="B7511" t="str">
            <v>RONDELLE FREIN</v>
          </cell>
          <cell r="C7511" t="str">
            <v>VAP 14 EMTECH 40-315K SERIE 06.5296.022PO REP S1</v>
          </cell>
          <cell r="D7511" t="str">
            <v>PE</v>
          </cell>
          <cell r="E7511" t="str">
            <v>515.51503</v>
          </cell>
          <cell r="F7511">
            <v>83.475700000000003</v>
          </cell>
          <cell r="G7511">
            <v>0</v>
          </cell>
          <cell r="H7511">
            <v>0</v>
          </cell>
          <cell r="I7511">
            <v>0</v>
          </cell>
          <cell r="J7511">
            <v>0</v>
          </cell>
          <cell r="K7511">
            <v>0</v>
          </cell>
          <cell r="L7511">
            <v>6</v>
          </cell>
        </row>
        <row r="7512">
          <cell r="A7512" t="str">
            <v>20428.02136</v>
          </cell>
          <cell r="B7512" t="str">
            <v>LANTERNE</v>
          </cell>
          <cell r="C7512" t="str">
            <v>CHARK 1200 GV SERIE 06.5030001PO REP 77</v>
          </cell>
          <cell r="D7512" t="str">
            <v>PE</v>
          </cell>
          <cell r="E7512" t="str">
            <v>515.51503</v>
          </cell>
          <cell r="F7512">
            <v>23748.196100000001</v>
          </cell>
          <cell r="G7512">
            <v>1</v>
          </cell>
          <cell r="H7512">
            <v>0</v>
          </cell>
          <cell r="I7512">
            <v>0</v>
          </cell>
          <cell r="J7512">
            <v>0</v>
          </cell>
          <cell r="K7512">
            <v>0</v>
          </cell>
          <cell r="L7512">
            <v>1</v>
          </cell>
        </row>
        <row r="7513">
          <cell r="A7513" t="str">
            <v>20428.02399</v>
          </cell>
          <cell r="B7513" t="str">
            <v>BOUCHON AVEC JOINT</v>
          </cell>
          <cell r="C7513" t="str">
            <v xml:space="preserve">EMTECH 100-315E  PLAN F102-24-0800  REP 30+J12 REF 90740800    </v>
          </cell>
          <cell r="D7513" t="str">
            <v>PE</v>
          </cell>
          <cell r="E7513" t="str">
            <v>515.51503</v>
          </cell>
          <cell r="F7513">
            <v>198.3492</v>
          </cell>
          <cell r="G7513">
            <v>0</v>
          </cell>
          <cell r="H7513">
            <v>0</v>
          </cell>
          <cell r="I7513">
            <v>0</v>
          </cell>
          <cell r="J7513">
            <v>0</v>
          </cell>
          <cell r="K7513">
            <v>0</v>
          </cell>
          <cell r="L7513">
            <v>2</v>
          </cell>
        </row>
        <row r="7514">
          <cell r="A7514" t="str">
            <v>20428.02137</v>
          </cell>
          <cell r="B7514" t="str">
            <v>CHEMISE</v>
          </cell>
          <cell r="C7514" t="str">
            <v>CHARK 1200 GV SERIE 06.5030001PO REP 60</v>
          </cell>
          <cell r="D7514" t="str">
            <v>PE</v>
          </cell>
          <cell r="E7514" t="str">
            <v>515.51503</v>
          </cell>
          <cell r="F7514">
            <v>94171.693199999994</v>
          </cell>
          <cell r="G7514">
            <v>1</v>
          </cell>
          <cell r="H7514">
            <v>0</v>
          </cell>
          <cell r="I7514">
            <v>1</v>
          </cell>
          <cell r="J7514">
            <v>0</v>
          </cell>
          <cell r="K7514">
            <v>1</v>
          </cell>
          <cell r="L7514">
            <v>0</v>
          </cell>
        </row>
        <row r="7515">
          <cell r="A7515" t="str">
            <v>20428.02138</v>
          </cell>
          <cell r="B7515" t="str">
            <v>DISQUE DE PROTECTION INFERIEUR</v>
          </cell>
          <cell r="C7515" t="str">
            <v>CHARK 1200 GV SERIE 06.5030001PO REP 9</v>
          </cell>
          <cell r="D7515" t="str">
            <v>PE</v>
          </cell>
          <cell r="E7515" t="str">
            <v>515.51503</v>
          </cell>
          <cell r="F7515">
            <v>13602.9185</v>
          </cell>
          <cell r="G7515">
            <v>1</v>
          </cell>
          <cell r="H7515">
            <v>0</v>
          </cell>
          <cell r="I7515">
            <v>0</v>
          </cell>
          <cell r="J7515">
            <v>0</v>
          </cell>
          <cell r="K7515">
            <v>0</v>
          </cell>
          <cell r="L7515">
            <v>1</v>
          </cell>
        </row>
        <row r="7516">
          <cell r="A7516" t="str">
            <v>20428.09338</v>
          </cell>
          <cell r="B7516" t="str">
            <v xml:space="preserve">BOUCHON AVEC JOINT PLAT </v>
          </cell>
          <cell r="C7516" t="str">
            <v>MN508A   SERIE 065089002PO REP30+J12</v>
          </cell>
          <cell r="D7516" t="str">
            <v>PE</v>
          </cell>
          <cell r="E7516" t="str">
            <v>515.51503</v>
          </cell>
          <cell r="F7516">
            <v>153.18690000000001</v>
          </cell>
          <cell r="G7516">
            <v>0</v>
          </cell>
          <cell r="H7516">
            <v>0</v>
          </cell>
          <cell r="I7516">
            <v>0</v>
          </cell>
          <cell r="J7516">
            <v>0</v>
          </cell>
          <cell r="K7516">
            <v>0</v>
          </cell>
          <cell r="L7516">
            <v>3</v>
          </cell>
        </row>
        <row r="7517">
          <cell r="A7517" t="str">
            <v>20428.02139</v>
          </cell>
          <cell r="B7517" t="str">
            <v>DISQUE DE PROTECTION SUPERIEUR</v>
          </cell>
          <cell r="C7517" t="str">
            <v>CHARK 1200 GV SERIE 06.5030001PO REP 9A</v>
          </cell>
          <cell r="D7517" t="str">
            <v>PE</v>
          </cell>
          <cell r="E7517" t="str">
            <v>515.51503</v>
          </cell>
          <cell r="F7517">
            <v>6211.1939000000002</v>
          </cell>
          <cell r="G7517">
            <v>1</v>
          </cell>
          <cell r="H7517">
            <v>0</v>
          </cell>
          <cell r="I7517">
            <v>0</v>
          </cell>
          <cell r="J7517">
            <v>0</v>
          </cell>
          <cell r="K7517">
            <v>0</v>
          </cell>
          <cell r="L7517">
            <v>2</v>
          </cell>
        </row>
        <row r="7518">
          <cell r="A7518" t="str">
            <v>20428.09339</v>
          </cell>
          <cell r="B7518" t="str">
            <v xml:space="preserve">PLAQUE DE FROTTEMENT DE PLATEAU </v>
          </cell>
          <cell r="C7518" t="str">
            <v>MN508A   SERIE 065089002PO REP100</v>
          </cell>
          <cell r="D7518" t="str">
            <v>PE</v>
          </cell>
          <cell r="E7518" t="str">
            <v>515.51503</v>
          </cell>
          <cell r="F7518">
            <v>34112.578200000004</v>
          </cell>
          <cell r="G7518">
            <v>0</v>
          </cell>
          <cell r="H7518">
            <v>0</v>
          </cell>
          <cell r="I7518">
            <v>1</v>
          </cell>
          <cell r="J7518">
            <v>1</v>
          </cell>
          <cell r="K7518">
            <v>0</v>
          </cell>
          <cell r="L7518">
            <v>1</v>
          </cell>
        </row>
        <row r="7519">
          <cell r="A7519" t="str">
            <v>20428.09340</v>
          </cell>
          <cell r="B7519" t="str">
            <v xml:space="preserve">COURONNE INTERCALAIRE </v>
          </cell>
          <cell r="C7519" t="str">
            <v>MN508A   SERIE 065089002PO REP54</v>
          </cell>
          <cell r="D7519" t="str">
            <v>PE</v>
          </cell>
          <cell r="E7519" t="str">
            <v>515.51503</v>
          </cell>
          <cell r="F7519">
            <v>42919.131099999999</v>
          </cell>
          <cell r="G7519">
            <v>0</v>
          </cell>
          <cell r="H7519">
            <v>0</v>
          </cell>
          <cell r="I7519">
            <v>1</v>
          </cell>
          <cell r="J7519">
            <v>0</v>
          </cell>
          <cell r="K7519">
            <v>0</v>
          </cell>
          <cell r="L7519">
            <v>13</v>
          </cell>
        </row>
        <row r="7520">
          <cell r="A7520" t="str">
            <v>20428.09341</v>
          </cell>
          <cell r="B7520" t="str">
            <v xml:space="preserve">TOLE DE FERMETURE </v>
          </cell>
          <cell r="C7520" t="str">
            <v>MN508A   SERIE 065089002PO REP305</v>
          </cell>
          <cell r="D7520" t="str">
            <v>PE</v>
          </cell>
          <cell r="E7520" t="str">
            <v>515.51503</v>
          </cell>
          <cell r="F7520">
            <v>2799.9265</v>
          </cell>
          <cell r="G7520">
            <v>0</v>
          </cell>
          <cell r="H7520">
            <v>0</v>
          </cell>
          <cell r="I7520">
            <v>0</v>
          </cell>
          <cell r="J7520">
            <v>0</v>
          </cell>
          <cell r="K7520">
            <v>0</v>
          </cell>
          <cell r="L7520">
            <v>6</v>
          </cell>
        </row>
        <row r="7521">
          <cell r="A7521" t="str">
            <v>20428.02141</v>
          </cell>
          <cell r="B7521" t="str">
            <v>RONDELLE DE SECURITE</v>
          </cell>
          <cell r="C7521" t="str">
            <v>CHARK 1200 GV SERIE 06.5030001PO REP S1 SUR REP 92</v>
          </cell>
          <cell r="D7521" t="str">
            <v>PE</v>
          </cell>
          <cell r="E7521" t="str">
            <v>515.51503</v>
          </cell>
          <cell r="F7521">
            <v>858.51580000000001</v>
          </cell>
          <cell r="G7521">
            <v>0</v>
          </cell>
          <cell r="H7521">
            <v>0</v>
          </cell>
          <cell r="I7521">
            <v>0</v>
          </cell>
          <cell r="J7521">
            <v>0</v>
          </cell>
          <cell r="K7521">
            <v>0</v>
          </cell>
          <cell r="L7521">
            <v>2</v>
          </cell>
        </row>
        <row r="7522">
          <cell r="A7522" t="str">
            <v>20428.09342</v>
          </cell>
          <cell r="B7522" t="str">
            <v xml:space="preserve">HUILEUR </v>
          </cell>
          <cell r="C7522" t="str">
            <v>NCE 250-40 SERIE 065089004PO REP192</v>
          </cell>
          <cell r="D7522" t="str">
            <v>PE</v>
          </cell>
          <cell r="E7522" t="str">
            <v>515.51503</v>
          </cell>
          <cell r="F7522">
            <v>3159.2112999999999</v>
          </cell>
          <cell r="G7522">
            <v>0</v>
          </cell>
          <cell r="H7522">
            <v>0</v>
          </cell>
          <cell r="I7522">
            <v>0</v>
          </cell>
          <cell r="J7522">
            <v>0</v>
          </cell>
          <cell r="K7522">
            <v>0</v>
          </cell>
          <cell r="L7522">
            <v>2</v>
          </cell>
        </row>
        <row r="7523">
          <cell r="A7523" t="str">
            <v>20428.09343</v>
          </cell>
          <cell r="B7523" t="str">
            <v xml:space="preserve">VOYANT D'HUILE </v>
          </cell>
          <cell r="C7523" t="str">
            <v>NCE 250-40 SERIE 065089004PO REP192A</v>
          </cell>
          <cell r="D7523" t="str">
            <v>PE</v>
          </cell>
          <cell r="E7523" t="str">
            <v>515.51503</v>
          </cell>
          <cell r="F7523">
            <v>246.8588</v>
          </cell>
          <cell r="G7523">
            <v>0</v>
          </cell>
          <cell r="H7523">
            <v>0</v>
          </cell>
          <cell r="I7523">
            <v>0</v>
          </cell>
          <cell r="J7523">
            <v>0</v>
          </cell>
          <cell r="K7523">
            <v>0</v>
          </cell>
          <cell r="L7523">
            <v>2</v>
          </cell>
        </row>
        <row r="7524">
          <cell r="A7524" t="str">
            <v>20428.09344</v>
          </cell>
          <cell r="B7524" t="str">
            <v xml:space="preserve">RONDELLE D'EPAISSEUR </v>
          </cell>
          <cell r="C7524" t="str">
            <v>VRN 20 SERIE REP RE1</v>
          </cell>
          <cell r="D7524" t="str">
            <v>PE</v>
          </cell>
          <cell r="E7524" t="str">
            <v>515.51503</v>
          </cell>
          <cell r="F7524">
            <v>635.50540000000001</v>
          </cell>
          <cell r="G7524">
            <v>0</v>
          </cell>
          <cell r="H7524">
            <v>0</v>
          </cell>
          <cell r="I7524">
            <v>0</v>
          </cell>
          <cell r="J7524">
            <v>0</v>
          </cell>
          <cell r="K7524">
            <v>0</v>
          </cell>
          <cell r="L7524">
            <v>1</v>
          </cell>
        </row>
        <row r="7525">
          <cell r="A7525" t="str">
            <v>20428.02130</v>
          </cell>
          <cell r="B7525" t="str">
            <v>ROULEMENT</v>
          </cell>
          <cell r="C7525" t="str">
            <v>CHARK 1200 GV SERIE 06.5030001PO REP R1</v>
          </cell>
          <cell r="D7525" t="str">
            <v>PE</v>
          </cell>
          <cell r="E7525" t="str">
            <v>515.51503</v>
          </cell>
          <cell r="F7525">
            <v>28821.955600000001</v>
          </cell>
          <cell r="G7525">
            <v>1</v>
          </cell>
          <cell r="H7525">
            <v>0</v>
          </cell>
          <cell r="I7525">
            <v>0</v>
          </cell>
          <cell r="J7525">
            <v>0</v>
          </cell>
          <cell r="K7525">
            <v>0</v>
          </cell>
          <cell r="L7525">
            <v>1</v>
          </cell>
        </row>
        <row r="7526">
          <cell r="A7526" t="str">
            <v>20428.02133</v>
          </cell>
          <cell r="B7526" t="str">
            <v>JEU DE TRESSE</v>
          </cell>
          <cell r="C7526" t="str">
            <v>CHARK 1200 GV SERIE 06.5030001PO REP 252</v>
          </cell>
          <cell r="D7526" t="str">
            <v>JE</v>
          </cell>
          <cell r="E7526" t="str">
            <v>515.51503</v>
          </cell>
          <cell r="F7526">
            <v>17677.063600000001</v>
          </cell>
          <cell r="G7526">
            <v>1</v>
          </cell>
          <cell r="H7526">
            <v>0</v>
          </cell>
          <cell r="I7526">
            <v>1</v>
          </cell>
          <cell r="J7526">
            <v>1</v>
          </cell>
          <cell r="K7526">
            <v>0</v>
          </cell>
          <cell r="L7526">
            <v>1</v>
          </cell>
        </row>
        <row r="7527">
          <cell r="A7527" t="str">
            <v>20428.02134</v>
          </cell>
          <cell r="B7527" t="str">
            <v>BAGUE EN DEUX PIECES</v>
          </cell>
          <cell r="C7527" t="str">
            <v>CHARK 1200 GV SERIE 06.5030001PO REP 132</v>
          </cell>
          <cell r="D7527" t="str">
            <v>PE</v>
          </cell>
          <cell r="E7527" t="str">
            <v>515.51503</v>
          </cell>
          <cell r="F7527">
            <v>8577.2945999999993</v>
          </cell>
          <cell r="G7527">
            <v>1</v>
          </cell>
          <cell r="H7527">
            <v>0</v>
          </cell>
          <cell r="I7527">
            <v>0</v>
          </cell>
          <cell r="J7527">
            <v>0</v>
          </cell>
          <cell r="K7527">
            <v>0</v>
          </cell>
          <cell r="L7527">
            <v>1</v>
          </cell>
        </row>
        <row r="7528">
          <cell r="A7528" t="str">
            <v>20428.02135</v>
          </cell>
          <cell r="B7528" t="str">
            <v>BAGUE D'USURE CORPS</v>
          </cell>
          <cell r="C7528" t="str">
            <v>CHARK 1200 GV SERIE 06.5030001PO REP 67</v>
          </cell>
          <cell r="D7528" t="str">
            <v>PE</v>
          </cell>
          <cell r="E7528" t="str">
            <v>515.51503</v>
          </cell>
          <cell r="F7528">
            <v>260410.21679999999</v>
          </cell>
          <cell r="G7528">
            <v>1</v>
          </cell>
          <cell r="H7528">
            <v>0</v>
          </cell>
          <cell r="I7528">
            <v>0</v>
          </cell>
          <cell r="J7528">
            <v>1</v>
          </cell>
          <cell r="K7528">
            <v>1</v>
          </cell>
          <cell r="L7528">
            <v>0</v>
          </cell>
        </row>
        <row r="7529">
          <cell r="A7529" t="str">
            <v>20428.02180</v>
          </cell>
          <cell r="B7529" t="str">
            <v>CHEMISE</v>
          </cell>
          <cell r="C7529" t="str">
            <v>EMTECH 50-250K GMS CB3/NZ144 SERIE POM 061223/02-065222001PC001 REP 60</v>
          </cell>
          <cell r="D7529" t="str">
            <v>PE</v>
          </cell>
          <cell r="E7529" t="str">
            <v>515.51503</v>
          </cell>
          <cell r="F7529">
            <v>8584.3919999999998</v>
          </cell>
          <cell r="G7529">
            <v>0</v>
          </cell>
          <cell r="H7529">
            <v>0</v>
          </cell>
          <cell r="I7529">
            <v>0</v>
          </cell>
          <cell r="J7529">
            <v>0</v>
          </cell>
          <cell r="K7529">
            <v>1</v>
          </cell>
          <cell r="L7529">
            <v>1</v>
          </cell>
        </row>
        <row r="7530">
          <cell r="A7530" t="str">
            <v>20428.02181</v>
          </cell>
          <cell r="B7530" t="str">
            <v>ECROU</v>
          </cell>
          <cell r="C7530" t="str">
            <v>EMTECH 50-250K GMS CB3/NZ144 SERIE POM 061223/02-065222001PC001 REP 92</v>
          </cell>
          <cell r="D7530" t="str">
            <v>PE</v>
          </cell>
          <cell r="E7530" t="str">
            <v>515.51503</v>
          </cell>
          <cell r="F7530">
            <v>181.06649999999999</v>
          </cell>
          <cell r="G7530">
            <v>0</v>
          </cell>
          <cell r="H7530">
            <v>0</v>
          </cell>
          <cell r="I7530">
            <v>0</v>
          </cell>
          <cell r="J7530">
            <v>0</v>
          </cell>
          <cell r="K7530">
            <v>1</v>
          </cell>
          <cell r="L7530">
            <v>0</v>
          </cell>
        </row>
        <row r="7531">
          <cell r="A7531" t="str">
            <v>20428.02182</v>
          </cell>
          <cell r="B7531" t="str">
            <v>RONDELLE</v>
          </cell>
          <cell r="C7531" t="str">
            <v>EMTECH 50-250K GMS CB3/NZ144 SERIE POM 061223/02-065222001PC001 REP S3</v>
          </cell>
          <cell r="D7531" t="str">
            <v>PE</v>
          </cell>
          <cell r="E7531" t="str">
            <v>515.51503</v>
          </cell>
          <cell r="F7531">
            <v>19.511700000000001</v>
          </cell>
          <cell r="G7531">
            <v>0</v>
          </cell>
          <cell r="H7531">
            <v>0</v>
          </cell>
          <cell r="I7531">
            <v>0</v>
          </cell>
          <cell r="J7531">
            <v>0</v>
          </cell>
          <cell r="K7531">
            <v>4</v>
          </cell>
          <cell r="L7531">
            <v>0</v>
          </cell>
        </row>
        <row r="7532">
          <cell r="A7532" t="str">
            <v>20428.02183</v>
          </cell>
          <cell r="B7532" t="str">
            <v>GARNITURE MECANIQUE JOHN CRAN TYPE 10RQXS1SX/V</v>
          </cell>
          <cell r="C7532" t="str">
            <v>EMTECH 50-250K GMS CB3/NZ144 SERIE POM 061223/02-065222001PC001 SANS REP</v>
          </cell>
          <cell r="D7532" t="str">
            <v>PE</v>
          </cell>
          <cell r="E7532" t="str">
            <v>515.51503</v>
          </cell>
          <cell r="F7532">
            <v>35244.853300000002</v>
          </cell>
          <cell r="G7532">
            <v>0</v>
          </cell>
          <cell r="H7532">
            <v>0</v>
          </cell>
          <cell r="I7532">
            <v>0</v>
          </cell>
          <cell r="J7532">
            <v>0</v>
          </cell>
          <cell r="K7532">
            <v>0</v>
          </cell>
          <cell r="L7532">
            <v>3</v>
          </cell>
        </row>
        <row r="7533">
          <cell r="A7533" t="str">
            <v>20428.02184</v>
          </cell>
          <cell r="B7533" t="str">
            <v>DEFLECTEURS</v>
          </cell>
          <cell r="C7533" t="str">
            <v>EMTECH 50-250K GMS CB3/NZ144 SERIE POM 061223/02-065222001PC001 REP 9-23</v>
          </cell>
          <cell r="D7533" t="str">
            <v>PE</v>
          </cell>
          <cell r="E7533" t="str">
            <v>515.51503</v>
          </cell>
          <cell r="F7533">
            <v>1134.9717000000001</v>
          </cell>
          <cell r="G7533">
            <v>0</v>
          </cell>
          <cell r="H7533">
            <v>0</v>
          </cell>
          <cell r="I7533">
            <v>0</v>
          </cell>
          <cell r="J7533">
            <v>0</v>
          </cell>
          <cell r="K7533">
            <v>0</v>
          </cell>
          <cell r="L7533">
            <v>3</v>
          </cell>
        </row>
        <row r="7534">
          <cell r="A7534" t="str">
            <v>20428.02185</v>
          </cell>
          <cell r="B7534" t="str">
            <v>JEU DE JOINTS</v>
          </cell>
          <cell r="C7534" t="str">
            <v>VAP 24 PLR 50-32 SERIE 06.5296013PO REP J1-J2-J3-J4-T1 et V1</v>
          </cell>
          <cell r="D7534" t="str">
            <v>JE</v>
          </cell>
          <cell r="E7534" t="str">
            <v>515.51503</v>
          </cell>
          <cell r="F7534">
            <v>3802.3975</v>
          </cell>
          <cell r="G7534">
            <v>0</v>
          </cell>
          <cell r="H7534">
            <v>0</v>
          </cell>
          <cell r="I7534">
            <v>0</v>
          </cell>
          <cell r="J7534">
            <v>0</v>
          </cell>
          <cell r="K7534">
            <v>1</v>
          </cell>
          <cell r="L7534">
            <v>0</v>
          </cell>
        </row>
        <row r="7535">
          <cell r="A7535" t="str">
            <v>20428.02186</v>
          </cell>
          <cell r="B7535" t="str">
            <v>ARBRE</v>
          </cell>
          <cell r="C7535" t="str">
            <v>VAP 24 PLR 50-32 SERIE 06.5296013PO REP 59</v>
          </cell>
          <cell r="D7535" t="str">
            <v>PE</v>
          </cell>
          <cell r="E7535" t="str">
            <v>515.51503</v>
          </cell>
          <cell r="F7535">
            <v>39648.964399999997</v>
          </cell>
          <cell r="G7535">
            <v>0</v>
          </cell>
          <cell r="H7535">
            <v>0</v>
          </cell>
          <cell r="I7535">
            <v>0</v>
          </cell>
          <cell r="J7535">
            <v>0</v>
          </cell>
          <cell r="K7535">
            <v>0</v>
          </cell>
          <cell r="L7535">
            <v>1</v>
          </cell>
        </row>
        <row r="7536">
          <cell r="A7536" t="str">
            <v>20428.02187</v>
          </cell>
          <cell r="B7536" t="str">
            <v>ECROU</v>
          </cell>
          <cell r="C7536" t="str">
            <v>VAP 24 PLR 50-32 SERIE 06.5296013PO REP 92</v>
          </cell>
          <cell r="D7536" t="str">
            <v>PE</v>
          </cell>
          <cell r="E7536" t="str">
            <v>515.51503</v>
          </cell>
          <cell r="F7536">
            <v>181.06649999999999</v>
          </cell>
          <cell r="G7536">
            <v>0</v>
          </cell>
          <cell r="H7536">
            <v>0</v>
          </cell>
          <cell r="I7536">
            <v>0</v>
          </cell>
          <cell r="J7536">
            <v>0</v>
          </cell>
          <cell r="K7536">
            <v>1</v>
          </cell>
          <cell r="L7536">
            <v>0</v>
          </cell>
        </row>
        <row r="7537">
          <cell r="A7537" t="str">
            <v>20428.02188</v>
          </cell>
          <cell r="B7537" t="str">
            <v>RONDELLE FREIN</v>
          </cell>
          <cell r="C7537" t="str">
            <v>VAP 24 PLR 50-32 SERIE 06.5296013PO REP S1</v>
          </cell>
          <cell r="D7537" t="str">
            <v>PE</v>
          </cell>
          <cell r="E7537" t="str">
            <v>515.51503</v>
          </cell>
          <cell r="F7537">
            <v>20.118500000000001</v>
          </cell>
          <cell r="G7537">
            <v>0</v>
          </cell>
          <cell r="H7537">
            <v>0</v>
          </cell>
          <cell r="I7537">
            <v>0</v>
          </cell>
          <cell r="J7537">
            <v>0</v>
          </cell>
          <cell r="K7537">
            <v>1</v>
          </cell>
          <cell r="L7537">
            <v>0</v>
          </cell>
        </row>
        <row r="7538">
          <cell r="A7538" t="str">
            <v>20428.02189</v>
          </cell>
          <cell r="B7538" t="str">
            <v>JEU DE JOINT</v>
          </cell>
          <cell r="C7538" t="str">
            <v>PLRD 150-40 SERIE 06.5296.007PO REP J1-T5-T6-T7-T9-T10-T11</v>
          </cell>
          <cell r="D7538" t="str">
            <v>JE</v>
          </cell>
          <cell r="E7538" t="str">
            <v>515.51503</v>
          </cell>
          <cell r="F7538">
            <v>6294.9462000000003</v>
          </cell>
          <cell r="G7538">
            <v>0</v>
          </cell>
          <cell r="H7538">
            <v>0</v>
          </cell>
          <cell r="I7538">
            <v>0</v>
          </cell>
          <cell r="J7538">
            <v>0</v>
          </cell>
          <cell r="K7538">
            <v>1</v>
          </cell>
          <cell r="L7538">
            <v>0</v>
          </cell>
        </row>
        <row r="7539">
          <cell r="A7539" t="str">
            <v>20428.02190</v>
          </cell>
          <cell r="B7539" t="str">
            <v>CHEMISE</v>
          </cell>
          <cell r="C7539" t="str">
            <v>PLRD 150-40 SERIE 06.5296.007PO REP 60</v>
          </cell>
          <cell r="D7539" t="str">
            <v>PE</v>
          </cell>
          <cell r="E7539" t="str">
            <v>515.51503</v>
          </cell>
          <cell r="F7539">
            <v>26741.611499999999</v>
          </cell>
          <cell r="G7539">
            <v>0</v>
          </cell>
          <cell r="H7539">
            <v>0</v>
          </cell>
          <cell r="I7539">
            <v>0</v>
          </cell>
          <cell r="J7539">
            <v>0</v>
          </cell>
          <cell r="K7539">
            <v>0</v>
          </cell>
          <cell r="L7539">
            <v>0</v>
          </cell>
        </row>
        <row r="7540">
          <cell r="A7540" t="str">
            <v>20428.02191</v>
          </cell>
          <cell r="B7540" t="str">
            <v>ARBRE</v>
          </cell>
          <cell r="C7540" t="str">
            <v>PLRD 150-40 SERIE 06.5296.007PO REP 59</v>
          </cell>
          <cell r="D7540" t="str">
            <v>PE</v>
          </cell>
          <cell r="E7540" t="str">
            <v>515.51503</v>
          </cell>
          <cell r="F7540">
            <v>20322.5141</v>
          </cell>
          <cell r="G7540">
            <v>0</v>
          </cell>
          <cell r="H7540">
            <v>0</v>
          </cell>
          <cell r="I7540">
            <v>0</v>
          </cell>
          <cell r="J7540">
            <v>0</v>
          </cell>
          <cell r="K7540">
            <v>1</v>
          </cell>
          <cell r="L7540">
            <v>0</v>
          </cell>
        </row>
        <row r="7541">
          <cell r="A7541" t="str">
            <v>20428.02192</v>
          </cell>
          <cell r="B7541" t="str">
            <v>LANTERNE</v>
          </cell>
          <cell r="C7541" t="str">
            <v>PLRD 150-40 SERIE 06.5296.007PO REP 77</v>
          </cell>
          <cell r="D7541" t="str">
            <v>PE</v>
          </cell>
          <cell r="E7541" t="str">
            <v>515.51503</v>
          </cell>
          <cell r="F7541">
            <v>3934.8737999999998</v>
          </cell>
          <cell r="G7541">
            <v>0</v>
          </cell>
          <cell r="H7541">
            <v>0</v>
          </cell>
          <cell r="I7541">
            <v>0</v>
          </cell>
          <cell r="J7541">
            <v>0</v>
          </cell>
          <cell r="K7541">
            <v>1</v>
          </cell>
          <cell r="L7541">
            <v>0</v>
          </cell>
        </row>
        <row r="7542">
          <cell r="A7542" t="str">
            <v>20428.02193</v>
          </cell>
          <cell r="B7542" t="str">
            <v>JEU DE TRESSE</v>
          </cell>
          <cell r="C7542" t="str">
            <v>PLRD 150-40 SERIE 06.5296.007PO REP 252</v>
          </cell>
          <cell r="D7542" t="str">
            <v>JE</v>
          </cell>
          <cell r="E7542" t="str">
            <v>515.51503</v>
          </cell>
          <cell r="F7542">
            <v>3285.1343999999999</v>
          </cell>
          <cell r="G7542">
            <v>0</v>
          </cell>
          <cell r="H7542">
            <v>0</v>
          </cell>
          <cell r="I7542">
            <v>0</v>
          </cell>
          <cell r="J7542">
            <v>0</v>
          </cell>
          <cell r="K7542">
            <v>0</v>
          </cell>
          <cell r="L7542">
            <v>1</v>
          </cell>
        </row>
        <row r="7543">
          <cell r="A7543" t="str">
            <v>20428.02194</v>
          </cell>
          <cell r="B7543" t="str">
            <v>ECROU</v>
          </cell>
          <cell r="C7543" t="str">
            <v>PLRD 150-40 SERIE 06.5296.007PO REP 92</v>
          </cell>
          <cell r="D7543" t="str">
            <v>PE</v>
          </cell>
          <cell r="E7543" t="str">
            <v>515.51503</v>
          </cell>
          <cell r="F7543">
            <v>570.02430000000004</v>
          </cell>
          <cell r="G7543">
            <v>0</v>
          </cell>
          <cell r="H7543">
            <v>0</v>
          </cell>
          <cell r="I7543">
            <v>0</v>
          </cell>
          <cell r="J7543">
            <v>0</v>
          </cell>
          <cell r="K7543">
            <v>1</v>
          </cell>
          <cell r="L7543">
            <v>0</v>
          </cell>
        </row>
        <row r="7544">
          <cell r="A7544" t="str">
            <v>20428.02195</v>
          </cell>
          <cell r="B7544" t="str">
            <v>RONDELLE</v>
          </cell>
          <cell r="C7544" t="str">
            <v>PLRD 150-40 SERIE 06.5296.007PO REP S3</v>
          </cell>
          <cell r="D7544" t="str">
            <v>PE</v>
          </cell>
          <cell r="E7544" t="str">
            <v>515.51503</v>
          </cell>
          <cell r="F7544">
            <v>24.142199999999999</v>
          </cell>
          <cell r="G7544">
            <v>0</v>
          </cell>
          <cell r="H7544">
            <v>0</v>
          </cell>
          <cell r="I7544">
            <v>0</v>
          </cell>
          <cell r="J7544">
            <v>0</v>
          </cell>
          <cell r="K7544">
            <v>1</v>
          </cell>
          <cell r="L7544">
            <v>0</v>
          </cell>
        </row>
        <row r="7545">
          <cell r="A7545" t="str">
            <v>20428.02196</v>
          </cell>
          <cell r="B7545" t="str">
            <v>JEU DE JOINT</v>
          </cell>
          <cell r="C7545" t="str">
            <v>PLRD 150-40 SERIE 06.5296.007PO REP J1-T5-T6-T7-T9-T10-T11</v>
          </cell>
          <cell r="D7545" t="str">
            <v>JE</v>
          </cell>
          <cell r="E7545" t="str">
            <v>515.51503</v>
          </cell>
          <cell r="F7545">
            <v>6294.6779999999999</v>
          </cell>
          <cell r="G7545">
            <v>0</v>
          </cell>
          <cell r="H7545">
            <v>0</v>
          </cell>
          <cell r="I7545">
            <v>0</v>
          </cell>
          <cell r="J7545">
            <v>0</v>
          </cell>
          <cell r="K7545">
            <v>2</v>
          </cell>
          <cell r="L7545">
            <v>0</v>
          </cell>
        </row>
        <row r="7546">
          <cell r="A7546" t="str">
            <v>20428.02590</v>
          </cell>
          <cell r="B7546" t="str">
            <v>ROUE</v>
          </cell>
          <cell r="C7546" t="str">
            <v>MN508A serie N° T06.5090.002PO REP-55</v>
          </cell>
          <cell r="D7546" t="str">
            <v>PE</v>
          </cell>
          <cell r="E7546" t="str">
            <v>515.51503</v>
          </cell>
          <cell r="F7546">
            <v>73718.5913</v>
          </cell>
          <cell r="G7546">
            <v>0</v>
          </cell>
          <cell r="H7546">
            <v>0</v>
          </cell>
          <cell r="I7546">
            <v>0</v>
          </cell>
          <cell r="J7546">
            <v>0</v>
          </cell>
          <cell r="K7546">
            <v>0</v>
          </cell>
          <cell r="L7546">
            <v>7</v>
          </cell>
        </row>
        <row r="7547">
          <cell r="A7547" t="str">
            <v>20428.09520</v>
          </cell>
          <cell r="B7547" t="str">
            <v xml:space="preserve">ARBRE </v>
          </cell>
          <cell r="C7547" t="str">
            <v>500VE470-54/2R PLAN SEC06.50896T     REP59</v>
          </cell>
          <cell r="D7547" t="str">
            <v>PE</v>
          </cell>
          <cell r="E7547" t="str">
            <v>515.51503</v>
          </cell>
          <cell r="F7547">
            <v>133606.6789</v>
          </cell>
          <cell r="G7547">
            <v>0</v>
          </cell>
          <cell r="H7547">
            <v>0</v>
          </cell>
          <cell r="I7547">
            <v>0</v>
          </cell>
          <cell r="J7547">
            <v>0</v>
          </cell>
          <cell r="K7547">
            <v>0</v>
          </cell>
          <cell r="L7547">
            <v>0</v>
          </cell>
        </row>
        <row r="7548">
          <cell r="A7548" t="str">
            <v>20428.09521</v>
          </cell>
          <cell r="B7548" t="str">
            <v xml:space="preserve">JEU DE VIS DE POSITIONNEMENT </v>
          </cell>
          <cell r="C7548" t="str">
            <v>500VE470-54/2R PLAN SEC06.50896T     REP144A</v>
          </cell>
          <cell r="D7548" t="str">
            <v>PE</v>
          </cell>
          <cell r="E7548" t="str">
            <v>515.51503</v>
          </cell>
          <cell r="F7548">
            <v>66.381</v>
          </cell>
          <cell r="G7548">
            <v>0</v>
          </cell>
          <cell r="H7548">
            <v>0</v>
          </cell>
          <cell r="I7548">
            <v>0</v>
          </cell>
          <cell r="J7548">
            <v>0</v>
          </cell>
          <cell r="K7548">
            <v>0</v>
          </cell>
          <cell r="L7548">
            <v>2</v>
          </cell>
        </row>
        <row r="7549">
          <cell r="A7549" t="str">
            <v>20428.02202</v>
          </cell>
          <cell r="B7549" t="str">
            <v>RONDELLE</v>
          </cell>
          <cell r="C7549" t="str">
            <v>PLRD 150-40 SERIE 06.5296.007PO REP S3</v>
          </cell>
          <cell r="D7549" t="str">
            <v>PE</v>
          </cell>
          <cell r="E7549" t="str">
            <v>515.51503</v>
          </cell>
          <cell r="F7549">
            <v>24.142199999999999</v>
          </cell>
          <cell r="G7549">
            <v>0</v>
          </cell>
          <cell r="H7549">
            <v>0</v>
          </cell>
          <cell r="I7549">
            <v>0</v>
          </cell>
          <cell r="J7549">
            <v>0</v>
          </cell>
          <cell r="K7549">
            <v>2</v>
          </cell>
          <cell r="L7549">
            <v>0</v>
          </cell>
        </row>
        <row r="7550">
          <cell r="A7550" t="str">
            <v>20428.02206</v>
          </cell>
          <cell r="B7550" t="str">
            <v>ARBRE</v>
          </cell>
          <cell r="C7550" t="str">
            <v>VAP 24 CRW 50-32 SERIE 06.5296.016PO REP 59</v>
          </cell>
          <cell r="D7550" t="str">
            <v>PE</v>
          </cell>
          <cell r="E7550" t="str">
            <v>515.51503</v>
          </cell>
          <cell r="F7550">
            <v>82278.101200000005</v>
          </cell>
          <cell r="G7550">
            <v>0</v>
          </cell>
          <cell r="H7550">
            <v>0</v>
          </cell>
          <cell r="I7550">
            <v>0</v>
          </cell>
          <cell r="J7550">
            <v>1</v>
          </cell>
          <cell r="K7550">
            <v>0</v>
          </cell>
          <cell r="L7550">
            <v>1</v>
          </cell>
        </row>
        <row r="7551">
          <cell r="A7551" t="str">
            <v>20428.02207</v>
          </cell>
          <cell r="B7551" t="str">
            <v>ECROU</v>
          </cell>
          <cell r="C7551" t="str">
            <v>VAP 24 CRW 50-32 SERIE 06.5296.016PO REP 92</v>
          </cell>
          <cell r="D7551" t="str">
            <v>PE</v>
          </cell>
          <cell r="E7551" t="str">
            <v>515.51503</v>
          </cell>
          <cell r="F7551">
            <v>175.96350000000001</v>
          </cell>
          <cell r="G7551">
            <v>0</v>
          </cell>
          <cell r="H7551">
            <v>0</v>
          </cell>
          <cell r="I7551">
            <v>0</v>
          </cell>
          <cell r="J7551">
            <v>0</v>
          </cell>
          <cell r="K7551">
            <v>0</v>
          </cell>
          <cell r="L7551">
            <v>4</v>
          </cell>
        </row>
        <row r="7552">
          <cell r="A7552" t="str">
            <v>20428.02208</v>
          </cell>
          <cell r="B7552" t="str">
            <v>RONDELLE FREIN</v>
          </cell>
          <cell r="C7552" t="str">
            <v>VAP 24 CRW 50-32 SERIE 06.5296.016PO REP S1</v>
          </cell>
          <cell r="D7552" t="str">
            <v>PE</v>
          </cell>
          <cell r="E7552" t="str">
            <v>515.51503</v>
          </cell>
          <cell r="F7552">
            <v>19.113199999999999</v>
          </cell>
          <cell r="G7552">
            <v>0</v>
          </cell>
          <cell r="H7552">
            <v>0</v>
          </cell>
          <cell r="I7552">
            <v>0</v>
          </cell>
          <cell r="J7552">
            <v>0</v>
          </cell>
          <cell r="K7552">
            <v>5</v>
          </cell>
          <cell r="L7552">
            <v>0</v>
          </cell>
        </row>
        <row r="7553">
          <cell r="A7553" t="str">
            <v>20428.02197</v>
          </cell>
          <cell r="B7553" t="str">
            <v>CHEMISE</v>
          </cell>
          <cell r="C7553" t="str">
            <v>PLRD 150-40 SERIE 06.5296.007PO REP 60</v>
          </cell>
          <cell r="D7553" t="str">
            <v>PE</v>
          </cell>
          <cell r="E7553" t="str">
            <v>515.51503</v>
          </cell>
          <cell r="F7553">
            <v>26337.1597</v>
          </cell>
          <cell r="G7553">
            <v>0</v>
          </cell>
          <cell r="H7553">
            <v>0</v>
          </cell>
          <cell r="I7553">
            <v>0</v>
          </cell>
          <cell r="J7553">
            <v>0</v>
          </cell>
          <cell r="K7553">
            <v>1</v>
          </cell>
          <cell r="L7553">
            <v>0</v>
          </cell>
        </row>
        <row r="7554">
          <cell r="A7554" t="str">
            <v>20428.02198</v>
          </cell>
          <cell r="B7554" t="str">
            <v>ARBRE</v>
          </cell>
          <cell r="C7554" t="str">
            <v>PLRD 150-40 SERIE 06.5296.007PO REP 59</v>
          </cell>
          <cell r="D7554" t="str">
            <v>PE</v>
          </cell>
          <cell r="E7554" t="str">
            <v>515.51503</v>
          </cell>
          <cell r="F7554">
            <v>20322.5141</v>
          </cell>
          <cell r="G7554">
            <v>0</v>
          </cell>
          <cell r="H7554">
            <v>0</v>
          </cell>
          <cell r="I7554">
            <v>0</v>
          </cell>
          <cell r="J7554">
            <v>0</v>
          </cell>
          <cell r="K7554">
            <v>1</v>
          </cell>
          <cell r="L7554">
            <v>0</v>
          </cell>
        </row>
        <row r="7555">
          <cell r="A7555" t="str">
            <v>20428.02199</v>
          </cell>
          <cell r="B7555" t="str">
            <v>LANTERNE</v>
          </cell>
          <cell r="C7555" t="str">
            <v>PLRD 150-40 SERIE 06.5296.007PO REP 77</v>
          </cell>
          <cell r="D7555" t="str">
            <v>PE</v>
          </cell>
          <cell r="E7555" t="str">
            <v>515.51503</v>
          </cell>
          <cell r="F7555">
            <v>3875.5315000000001</v>
          </cell>
          <cell r="G7555">
            <v>0</v>
          </cell>
          <cell r="H7555">
            <v>0</v>
          </cell>
          <cell r="I7555">
            <v>0</v>
          </cell>
          <cell r="J7555">
            <v>0</v>
          </cell>
          <cell r="K7555">
            <v>0</v>
          </cell>
          <cell r="L7555">
            <v>2</v>
          </cell>
        </row>
        <row r="7556">
          <cell r="A7556" t="str">
            <v>20428.02200</v>
          </cell>
          <cell r="B7556" t="str">
            <v>JEU DE TRESSE</v>
          </cell>
          <cell r="C7556" t="str">
            <v>PLRD 150-40 SERIE 06.5296.007PO REP 252</v>
          </cell>
          <cell r="D7556" t="str">
            <v>JE</v>
          </cell>
          <cell r="E7556" t="str">
            <v>515.51503</v>
          </cell>
          <cell r="F7556">
            <v>3285.1343999999999</v>
          </cell>
          <cell r="G7556">
            <v>0</v>
          </cell>
          <cell r="H7556">
            <v>0</v>
          </cell>
          <cell r="I7556">
            <v>0</v>
          </cell>
          <cell r="J7556">
            <v>0</v>
          </cell>
          <cell r="K7556">
            <v>0</v>
          </cell>
          <cell r="L7556">
            <v>1</v>
          </cell>
        </row>
        <row r="7557">
          <cell r="A7557" t="str">
            <v>20428.02201</v>
          </cell>
          <cell r="B7557" t="str">
            <v>ECROU</v>
          </cell>
          <cell r="C7557" t="str">
            <v>PLRD 150-40 SERIE 06.5296.007PO REP 92</v>
          </cell>
          <cell r="D7557" t="str">
            <v>PE</v>
          </cell>
          <cell r="E7557" t="str">
            <v>515.51503</v>
          </cell>
          <cell r="F7557">
            <v>570.02430000000004</v>
          </cell>
          <cell r="G7557">
            <v>0</v>
          </cell>
          <cell r="H7557">
            <v>0</v>
          </cell>
          <cell r="I7557">
            <v>0</v>
          </cell>
          <cell r="J7557">
            <v>0</v>
          </cell>
          <cell r="K7557">
            <v>2</v>
          </cell>
          <cell r="L7557">
            <v>0</v>
          </cell>
        </row>
        <row r="7558">
          <cell r="A7558" t="str">
            <v>20428.02209</v>
          </cell>
          <cell r="B7558" t="str">
            <v>DEFLECTEURS</v>
          </cell>
          <cell r="C7558" t="str">
            <v>VAP 24 CRW 50-32 SERIE 06.5296.016PO REP 9-9A</v>
          </cell>
          <cell r="D7558" t="str">
            <v>PE</v>
          </cell>
          <cell r="E7558" t="str">
            <v>515.51503</v>
          </cell>
          <cell r="F7558">
            <v>12337.652</v>
          </cell>
          <cell r="G7558">
            <v>0</v>
          </cell>
          <cell r="H7558">
            <v>0</v>
          </cell>
          <cell r="I7558">
            <v>0</v>
          </cell>
          <cell r="J7558">
            <v>0</v>
          </cell>
          <cell r="K7558">
            <v>1</v>
          </cell>
          <cell r="L7558">
            <v>1</v>
          </cell>
        </row>
        <row r="7559">
          <cell r="A7559" t="str">
            <v>20428.02210</v>
          </cell>
          <cell r="B7559" t="str">
            <v>ROUE</v>
          </cell>
          <cell r="C7559" t="str">
            <v>EMTECH 40-315K SERIE 06.5296.031PO REP 55</v>
          </cell>
          <cell r="D7559" t="str">
            <v>PE</v>
          </cell>
          <cell r="E7559" t="str">
            <v>515.51503</v>
          </cell>
          <cell r="F7559">
            <v>11846.077600000001</v>
          </cell>
          <cell r="G7559">
            <v>0</v>
          </cell>
          <cell r="H7559">
            <v>1</v>
          </cell>
          <cell r="I7559">
            <v>1</v>
          </cell>
          <cell r="J7559">
            <v>0</v>
          </cell>
          <cell r="K7559">
            <v>2</v>
          </cell>
          <cell r="L7559">
            <v>1</v>
          </cell>
        </row>
        <row r="7560">
          <cell r="A7560" t="str">
            <v>20428.02211</v>
          </cell>
          <cell r="B7560" t="str">
            <v>ARBRE</v>
          </cell>
          <cell r="C7560" t="str">
            <v>EMTECH 40-315K SERIE 06.5296.031PO REP 59</v>
          </cell>
          <cell r="D7560" t="str">
            <v>PE</v>
          </cell>
          <cell r="E7560" t="str">
            <v>515.51503</v>
          </cell>
          <cell r="F7560">
            <v>6663.7809999999999</v>
          </cell>
          <cell r="G7560">
            <v>0</v>
          </cell>
          <cell r="H7560">
            <v>0</v>
          </cell>
          <cell r="I7560">
            <v>0</v>
          </cell>
          <cell r="J7560">
            <v>0</v>
          </cell>
          <cell r="K7560">
            <v>0</v>
          </cell>
          <cell r="L7560">
            <v>3</v>
          </cell>
        </row>
        <row r="7561">
          <cell r="A7561" t="str">
            <v>20428.02212</v>
          </cell>
          <cell r="B7561" t="str">
            <v>CHEMISE</v>
          </cell>
          <cell r="C7561" t="str">
            <v>EMTECH 40-315K SERIE 06.5296.031PO REP 60</v>
          </cell>
          <cell r="D7561" t="str">
            <v>PE</v>
          </cell>
          <cell r="E7561" t="str">
            <v>515.51503</v>
          </cell>
          <cell r="F7561">
            <v>3881.7966999999999</v>
          </cell>
          <cell r="G7561">
            <v>0</v>
          </cell>
          <cell r="H7561">
            <v>0</v>
          </cell>
          <cell r="I7561">
            <v>0</v>
          </cell>
          <cell r="J7561">
            <v>0</v>
          </cell>
          <cell r="K7561">
            <v>0</v>
          </cell>
          <cell r="L7561">
            <v>6</v>
          </cell>
        </row>
        <row r="7562">
          <cell r="A7562" t="str">
            <v>20428.02213</v>
          </cell>
          <cell r="B7562" t="str">
            <v>ECROU</v>
          </cell>
          <cell r="C7562" t="str">
            <v>EMTECH 40-315K SERIE 06.5296.031PO REP 92</v>
          </cell>
          <cell r="D7562" t="str">
            <v>PE</v>
          </cell>
          <cell r="E7562" t="str">
            <v>515.51503</v>
          </cell>
          <cell r="F7562">
            <v>207.26499999999999</v>
          </cell>
          <cell r="G7562">
            <v>0</v>
          </cell>
          <cell r="H7562">
            <v>0</v>
          </cell>
          <cell r="I7562">
            <v>0</v>
          </cell>
          <cell r="J7562">
            <v>0</v>
          </cell>
          <cell r="K7562">
            <v>2</v>
          </cell>
          <cell r="L7562">
            <v>1</v>
          </cell>
        </row>
        <row r="7563">
          <cell r="A7563" t="str">
            <v>20428.02214</v>
          </cell>
          <cell r="B7563" t="str">
            <v>JEU DE JOINTS</v>
          </cell>
          <cell r="C7563" t="str">
            <v>EMTECH 40-315K SERIE 06.5296.031PO REP J2-J3-T2-T7-T16-T17-T23-T27-T28</v>
          </cell>
          <cell r="D7563" t="str">
            <v>JE</v>
          </cell>
          <cell r="E7563" t="str">
            <v>515.51503</v>
          </cell>
          <cell r="F7563">
            <v>3934.5529999999999</v>
          </cell>
          <cell r="G7563">
            <v>0</v>
          </cell>
          <cell r="H7563">
            <v>0</v>
          </cell>
          <cell r="I7563">
            <v>1</v>
          </cell>
          <cell r="J7563">
            <v>0</v>
          </cell>
          <cell r="K7563">
            <v>2</v>
          </cell>
          <cell r="L7563">
            <v>1</v>
          </cell>
        </row>
        <row r="7564">
          <cell r="A7564" t="str">
            <v>20428.02215</v>
          </cell>
          <cell r="B7564" t="str">
            <v>JOINT</v>
          </cell>
          <cell r="C7564" t="str">
            <v>EMTECH 40-315K SERIE 06.5296.031PO REP T8</v>
          </cell>
          <cell r="D7564" t="str">
            <v>PE</v>
          </cell>
          <cell r="E7564" t="str">
            <v>515.51503</v>
          </cell>
          <cell r="F7564">
            <v>249.36580000000001</v>
          </cell>
          <cell r="G7564">
            <v>0</v>
          </cell>
          <cell r="H7564">
            <v>0</v>
          </cell>
          <cell r="I7564">
            <v>1</v>
          </cell>
          <cell r="J7564">
            <v>0</v>
          </cell>
          <cell r="K7564">
            <v>0</v>
          </cell>
          <cell r="L7564">
            <v>3</v>
          </cell>
        </row>
        <row r="7565">
          <cell r="A7565" t="str">
            <v>20428.02216</v>
          </cell>
          <cell r="B7565" t="str">
            <v>RONDELLE FREIN</v>
          </cell>
          <cell r="C7565" t="str">
            <v>EMTECH 40-315K SERIE 06.5296.031PO REP S3</v>
          </cell>
          <cell r="D7565" t="str">
            <v>PE</v>
          </cell>
          <cell r="E7565" t="str">
            <v>515.51503</v>
          </cell>
          <cell r="F7565">
            <v>20.118500000000001</v>
          </cell>
          <cell r="G7565">
            <v>0</v>
          </cell>
          <cell r="H7565">
            <v>0</v>
          </cell>
          <cell r="I7565">
            <v>0</v>
          </cell>
          <cell r="J7565">
            <v>0</v>
          </cell>
          <cell r="K7565">
            <v>4</v>
          </cell>
          <cell r="L7565">
            <v>0</v>
          </cell>
        </row>
        <row r="7566">
          <cell r="A7566" t="str">
            <v>20428.02217</v>
          </cell>
          <cell r="B7566" t="str">
            <v>GATNITURE MECANIQUE</v>
          </cell>
          <cell r="C7566" t="str">
            <v>EMTECH 40-315K SERIE 06.5296.031PO REP GM</v>
          </cell>
          <cell r="D7566" t="str">
            <v>PE</v>
          </cell>
          <cell r="E7566" t="str">
            <v>515.51503</v>
          </cell>
          <cell r="F7566">
            <v>18948.688099999999</v>
          </cell>
          <cell r="G7566">
            <v>0</v>
          </cell>
          <cell r="H7566">
            <v>0</v>
          </cell>
          <cell r="I7566">
            <v>2</v>
          </cell>
          <cell r="J7566">
            <v>0</v>
          </cell>
          <cell r="K7566">
            <v>1</v>
          </cell>
          <cell r="L7566">
            <v>1</v>
          </cell>
        </row>
        <row r="7567">
          <cell r="A7567" t="str">
            <v>20211.10184</v>
          </cell>
          <cell r="B7567" t="str">
            <v>RONDELLE JOINT</v>
          </cell>
          <cell r="C7567" t="str">
            <v>KN114157  TURBINE TYPE SST-400 ATP3 CE 190L-1 SERIE T6453 PLAN 1CW0052145 REP112-113-114</v>
          </cell>
          <cell r="D7567" t="str">
            <v>PE</v>
          </cell>
          <cell r="E7567" t="str">
            <v>512.51201</v>
          </cell>
          <cell r="F7567">
            <v>626.62</v>
          </cell>
          <cell r="G7567">
            <v>0</v>
          </cell>
          <cell r="H7567">
            <v>0</v>
          </cell>
          <cell r="I7567">
            <v>0</v>
          </cell>
          <cell r="J7567">
            <v>0</v>
          </cell>
          <cell r="K7567">
            <v>0</v>
          </cell>
          <cell r="L7567">
            <v>0</v>
          </cell>
        </row>
        <row r="7568">
          <cell r="A7568" t="str">
            <v>20428.02132</v>
          </cell>
          <cell r="B7568" t="str">
            <v>JEU DE JOINTS</v>
          </cell>
          <cell r="C7568" t="str">
            <v>CHARK 1200 GV SERIE 06.5030001PO REP J1-T1-T2-T3-T4-T5-T6-T7 et F1</v>
          </cell>
          <cell r="D7568" t="str">
            <v>JE</v>
          </cell>
          <cell r="E7568" t="str">
            <v>515.51503</v>
          </cell>
          <cell r="F7568">
            <v>47160.518100000001</v>
          </cell>
          <cell r="G7568">
            <v>1</v>
          </cell>
          <cell r="H7568">
            <v>0</v>
          </cell>
          <cell r="I7568">
            <v>1</v>
          </cell>
          <cell r="J7568">
            <v>0</v>
          </cell>
          <cell r="K7568">
            <v>0</v>
          </cell>
          <cell r="L7568">
            <v>2</v>
          </cell>
        </row>
        <row r="7569">
          <cell r="A7569" t="str">
            <v>20428.02140</v>
          </cell>
          <cell r="B7569" t="str">
            <v>ECROU DE CALAGE ROULEMENT</v>
          </cell>
          <cell r="C7569" t="str">
            <v>CHARK 1200 GV SERIE 06.5030001PO REP 92</v>
          </cell>
          <cell r="D7569" t="str">
            <v>PE</v>
          </cell>
          <cell r="E7569" t="str">
            <v>515.51503</v>
          </cell>
          <cell r="F7569">
            <v>1206.7340999999999</v>
          </cell>
          <cell r="G7569">
            <v>0</v>
          </cell>
          <cell r="H7569">
            <v>0</v>
          </cell>
          <cell r="I7569">
            <v>0</v>
          </cell>
          <cell r="J7569">
            <v>0</v>
          </cell>
          <cell r="K7569">
            <v>0</v>
          </cell>
          <cell r="L7569">
            <v>3</v>
          </cell>
        </row>
        <row r="7570">
          <cell r="A7570" t="str">
            <v>20211.10191</v>
          </cell>
          <cell r="B7570" t="str">
            <v>ECROU HEXAGONAL</v>
          </cell>
          <cell r="C7570" t="str">
            <v>KN25452  TURBINE TYPE SST-400 ATP3 CE 190L-1 SERIE T6453 PLAN ZG0556619.1 REP31</v>
          </cell>
          <cell r="D7570" t="str">
            <v>PE</v>
          </cell>
          <cell r="E7570" t="str">
            <v>512.51201</v>
          </cell>
          <cell r="F7570">
            <v>157.13999999999999</v>
          </cell>
          <cell r="G7570">
            <v>0</v>
          </cell>
          <cell r="H7570">
            <v>0</v>
          </cell>
          <cell r="I7570">
            <v>0</v>
          </cell>
          <cell r="J7570">
            <v>0</v>
          </cell>
          <cell r="K7570">
            <v>0</v>
          </cell>
          <cell r="L7570">
            <v>0</v>
          </cell>
        </row>
        <row r="7571">
          <cell r="A7571" t="str">
            <v>20211.10192</v>
          </cell>
          <cell r="B7571" t="str">
            <v>RONDELLE A13</v>
          </cell>
          <cell r="C7571" t="str">
            <v>KN26815  TURBINE TYPE SST-400 ATP3 CE 190L-1 SERIE T6453 PLAN ZG048121.0 REP7</v>
          </cell>
          <cell r="D7571" t="str">
            <v>PE</v>
          </cell>
          <cell r="E7571" t="str">
            <v>512.51201</v>
          </cell>
          <cell r="F7571">
            <v>78.569999999999993</v>
          </cell>
          <cell r="G7571">
            <v>0</v>
          </cell>
          <cell r="H7571">
            <v>0</v>
          </cell>
          <cell r="I7571">
            <v>0</v>
          </cell>
          <cell r="J7571">
            <v>0</v>
          </cell>
          <cell r="K7571">
            <v>0</v>
          </cell>
          <cell r="L7571">
            <v>0</v>
          </cell>
        </row>
        <row r="7572">
          <cell r="A7572" t="str">
            <v>20428.02218</v>
          </cell>
          <cell r="B7572" t="str">
            <v>GARNITURE MECANIQUE</v>
          </cell>
          <cell r="C7572" t="str">
            <v>EMTECH 40-315K SERIE 06.5296.031PO REP GM1</v>
          </cell>
          <cell r="D7572" t="str">
            <v>PE</v>
          </cell>
          <cell r="E7572" t="str">
            <v>515.51503</v>
          </cell>
          <cell r="F7572">
            <v>7204.7624999999998</v>
          </cell>
          <cell r="G7572">
            <v>0</v>
          </cell>
          <cell r="H7572">
            <v>0</v>
          </cell>
          <cell r="I7572">
            <v>2</v>
          </cell>
          <cell r="J7572">
            <v>0</v>
          </cell>
          <cell r="K7572">
            <v>2</v>
          </cell>
          <cell r="L7572">
            <v>2</v>
          </cell>
        </row>
        <row r="7573">
          <cell r="A7573" t="str">
            <v>20211.10194</v>
          </cell>
          <cell r="B7573" t="str">
            <v>RONDELLE 21</v>
          </cell>
          <cell r="C7573" t="str">
            <v>KN27474  TURBINE TYPE SST-400 ATP3 CE 190L-1 SERIE T6453 PLAN ZG048003.0 REP11</v>
          </cell>
          <cell r="D7573" t="str">
            <v>PE</v>
          </cell>
          <cell r="E7573" t="str">
            <v>512.51201</v>
          </cell>
          <cell r="F7573">
            <v>78.569999999999993</v>
          </cell>
          <cell r="G7573">
            <v>0</v>
          </cell>
          <cell r="H7573">
            <v>0</v>
          </cell>
          <cell r="I7573">
            <v>0</v>
          </cell>
          <cell r="J7573">
            <v>0</v>
          </cell>
          <cell r="K7573">
            <v>0</v>
          </cell>
          <cell r="L7573">
            <v>0</v>
          </cell>
        </row>
        <row r="7574">
          <cell r="A7574" t="str">
            <v>20428.02219</v>
          </cell>
          <cell r="B7574" t="str">
            <v>FOND</v>
          </cell>
          <cell r="C7574" t="str">
            <v>EMTECH 40-315K SERIE 06.5296.031PO REP 83</v>
          </cell>
          <cell r="D7574" t="str">
            <v>PE</v>
          </cell>
          <cell r="E7574" t="str">
            <v>515.51503</v>
          </cell>
          <cell r="F7574">
            <v>27683.3838</v>
          </cell>
          <cell r="G7574">
            <v>0</v>
          </cell>
          <cell r="H7574">
            <v>0</v>
          </cell>
          <cell r="I7574">
            <v>0</v>
          </cell>
          <cell r="J7574">
            <v>0</v>
          </cell>
          <cell r="K7574">
            <v>1</v>
          </cell>
          <cell r="L7574">
            <v>2</v>
          </cell>
        </row>
        <row r="7575">
          <cell r="A7575" t="str">
            <v>20211.10185</v>
          </cell>
          <cell r="B7575" t="str">
            <v>JOINT TORIQUE</v>
          </cell>
          <cell r="C7575" t="str">
            <v>KN135285  TURBINE TYPE SST-400 ATP3 CE 190L-1 SERIE T6453 PLAN ZG041922.0 REP56</v>
          </cell>
          <cell r="D7575" t="str">
            <v>PE</v>
          </cell>
          <cell r="E7575" t="str">
            <v>512.51201</v>
          </cell>
          <cell r="F7575">
            <v>313.31</v>
          </cell>
          <cell r="G7575">
            <v>0</v>
          </cell>
          <cell r="H7575">
            <v>0</v>
          </cell>
          <cell r="I7575">
            <v>0</v>
          </cell>
          <cell r="J7575">
            <v>0</v>
          </cell>
          <cell r="K7575">
            <v>0</v>
          </cell>
          <cell r="L7575">
            <v>0</v>
          </cell>
        </row>
        <row r="7576">
          <cell r="A7576" t="str">
            <v>20428.02220</v>
          </cell>
          <cell r="B7576" t="str">
            <v>VOLUTE</v>
          </cell>
          <cell r="C7576" t="str">
            <v>EMTECH 40-315K SERIE 06.5296.031PO REP 51</v>
          </cell>
          <cell r="D7576" t="str">
            <v>PE</v>
          </cell>
          <cell r="E7576" t="str">
            <v>515.51503</v>
          </cell>
          <cell r="F7576">
            <v>64781.015899999999</v>
          </cell>
          <cell r="G7576">
            <v>0</v>
          </cell>
          <cell r="H7576">
            <v>0</v>
          </cell>
          <cell r="I7576">
            <v>0</v>
          </cell>
          <cell r="J7576">
            <v>0</v>
          </cell>
          <cell r="K7576">
            <v>1</v>
          </cell>
          <cell r="L7576">
            <v>3</v>
          </cell>
        </row>
        <row r="7577">
          <cell r="A7577" t="str">
            <v>20211.10188</v>
          </cell>
          <cell r="B7577" t="str">
            <v>BOULON</v>
          </cell>
          <cell r="C7577" t="str">
            <v>KN20206  TURBINE TYPE SST-400 ATP3 CE 190L-1 SERIE T6453 PLAN ZG044573.0 REP22</v>
          </cell>
          <cell r="D7577" t="str">
            <v>PE</v>
          </cell>
          <cell r="E7577" t="str">
            <v>512.51201</v>
          </cell>
          <cell r="F7577">
            <v>78.569999999999993</v>
          </cell>
          <cell r="G7577">
            <v>0</v>
          </cell>
          <cell r="H7577">
            <v>0</v>
          </cell>
          <cell r="I7577">
            <v>0</v>
          </cell>
          <cell r="J7577">
            <v>0</v>
          </cell>
          <cell r="K7577">
            <v>0</v>
          </cell>
          <cell r="L7577">
            <v>0</v>
          </cell>
        </row>
        <row r="7578">
          <cell r="A7578" t="str">
            <v>20428.02221</v>
          </cell>
          <cell r="B7578" t="str">
            <v>DEFLECTEUR</v>
          </cell>
          <cell r="C7578" t="str">
            <v>EMTECH 40-315K SERIE 06.5296.031PO REP 9-23</v>
          </cell>
          <cell r="D7578" t="str">
            <v>PE</v>
          </cell>
          <cell r="E7578" t="str">
            <v>515.51503</v>
          </cell>
          <cell r="F7578">
            <v>1238.0705</v>
          </cell>
          <cell r="G7578">
            <v>0</v>
          </cell>
          <cell r="H7578">
            <v>0</v>
          </cell>
          <cell r="I7578">
            <v>1</v>
          </cell>
          <cell r="J7578">
            <v>0</v>
          </cell>
          <cell r="K7578">
            <v>0</v>
          </cell>
          <cell r="L7578">
            <v>4</v>
          </cell>
        </row>
        <row r="7579">
          <cell r="A7579" t="str">
            <v>20211.10189</v>
          </cell>
          <cell r="B7579" t="str">
            <v>VIS CYLINDRIQUE</v>
          </cell>
          <cell r="C7579" t="str">
            <v>KN20859  TURBINE TYPE SST-400 ATP3 CE 190L-1 SERIE T6453 PLAN ZG035965 REP11</v>
          </cell>
          <cell r="D7579" t="str">
            <v>PE</v>
          </cell>
          <cell r="E7579" t="str">
            <v>512.51201</v>
          </cell>
          <cell r="F7579">
            <v>78.569999999999993</v>
          </cell>
          <cell r="G7579">
            <v>0</v>
          </cell>
          <cell r="H7579">
            <v>0</v>
          </cell>
          <cell r="I7579">
            <v>0</v>
          </cell>
          <cell r="J7579">
            <v>0</v>
          </cell>
          <cell r="K7579">
            <v>1</v>
          </cell>
          <cell r="L7579">
            <v>0</v>
          </cell>
        </row>
        <row r="7580">
          <cell r="A7580" t="str">
            <v>20428.02131</v>
          </cell>
          <cell r="B7580" t="str">
            <v>RONDELLE</v>
          </cell>
          <cell r="C7580" t="str">
            <v>CHARK 1200 GV SERIE 06.5030001PO REP RE</v>
          </cell>
          <cell r="D7580" t="str">
            <v>PE</v>
          </cell>
          <cell r="E7580" t="str">
            <v>515.51503</v>
          </cell>
          <cell r="F7580">
            <v>3729.4020999999998</v>
          </cell>
          <cell r="G7580">
            <v>0</v>
          </cell>
          <cell r="H7580">
            <v>0</v>
          </cell>
          <cell r="I7580">
            <v>0</v>
          </cell>
          <cell r="J7580">
            <v>0</v>
          </cell>
          <cell r="K7580">
            <v>0</v>
          </cell>
          <cell r="L7580">
            <v>5</v>
          </cell>
        </row>
        <row r="7581">
          <cell r="A7581" t="str">
            <v>20428.02906</v>
          </cell>
          <cell r="B7581" t="str">
            <v>ARBRE</v>
          </cell>
          <cell r="C7581" t="str">
            <v>NCE 250-40  PLAN FA 21405   REP59</v>
          </cell>
          <cell r="D7581" t="str">
            <v>PE</v>
          </cell>
          <cell r="E7581" t="str">
            <v>515.51503</v>
          </cell>
          <cell r="F7581">
            <v>12242.564899999999</v>
          </cell>
          <cell r="G7581">
            <v>0</v>
          </cell>
          <cell r="H7581">
            <v>0</v>
          </cell>
          <cell r="I7581">
            <v>0</v>
          </cell>
          <cell r="J7581">
            <v>0</v>
          </cell>
          <cell r="K7581">
            <v>0</v>
          </cell>
          <cell r="L7581">
            <v>1</v>
          </cell>
        </row>
        <row r="7582">
          <cell r="A7582" t="str">
            <v>20211.10206</v>
          </cell>
          <cell r="B7582" t="str">
            <v>GOUJON FILETE</v>
          </cell>
          <cell r="C7582" t="str">
            <v>KN54981  TURBINE TYPE SST-400 ATP3 CE 190L-1 SERIE T6453 PLAN ZG048121.0 REP3</v>
          </cell>
          <cell r="D7582" t="str">
            <v>PE</v>
          </cell>
          <cell r="E7582" t="str">
            <v>512.51201</v>
          </cell>
          <cell r="F7582">
            <v>235.71</v>
          </cell>
          <cell r="G7582">
            <v>0</v>
          </cell>
          <cell r="H7582">
            <v>0</v>
          </cell>
          <cell r="I7582">
            <v>0</v>
          </cell>
          <cell r="J7582">
            <v>0</v>
          </cell>
          <cell r="K7582">
            <v>0</v>
          </cell>
          <cell r="L7582">
            <v>0</v>
          </cell>
        </row>
        <row r="7583">
          <cell r="A7583" t="str">
            <v>20211.10197</v>
          </cell>
          <cell r="B7583" t="str">
            <v>VIS DE FERMETURE</v>
          </cell>
          <cell r="C7583" t="str">
            <v>KN300046  TURBINE TYPE SST-400 ATP3 CE 190L-1 SERIE T6453 PLAN ZG048208.0 REP77</v>
          </cell>
          <cell r="D7583" t="str">
            <v>PE</v>
          </cell>
          <cell r="E7583" t="str">
            <v>512.51201</v>
          </cell>
          <cell r="F7583">
            <v>391.88</v>
          </cell>
          <cell r="G7583">
            <v>0</v>
          </cell>
          <cell r="H7583">
            <v>0</v>
          </cell>
          <cell r="I7583">
            <v>0</v>
          </cell>
          <cell r="J7583">
            <v>0</v>
          </cell>
          <cell r="K7583">
            <v>0</v>
          </cell>
          <cell r="L7583">
            <v>0</v>
          </cell>
        </row>
        <row r="7584">
          <cell r="A7584" t="str">
            <v>20211.10199</v>
          </cell>
          <cell r="B7584" t="str">
            <v>GOUPILLE CANNELEE</v>
          </cell>
          <cell r="C7584" t="str">
            <v>KN31112  TURBINE TYPE SST-400 ATP3 CE 190L-1 SERIE T6453 PLAN ZG044573.0 REP30</v>
          </cell>
          <cell r="D7584" t="str">
            <v>PE</v>
          </cell>
          <cell r="E7584" t="str">
            <v>512.51201</v>
          </cell>
          <cell r="F7584">
            <v>78.569999999999993</v>
          </cell>
          <cell r="G7584">
            <v>0</v>
          </cell>
          <cell r="H7584">
            <v>0</v>
          </cell>
          <cell r="I7584">
            <v>0</v>
          </cell>
          <cell r="J7584">
            <v>0</v>
          </cell>
          <cell r="K7584">
            <v>2</v>
          </cell>
          <cell r="L7584">
            <v>0</v>
          </cell>
        </row>
        <row r="7585">
          <cell r="A7585" t="str">
            <v>20211.10200</v>
          </cell>
          <cell r="B7585" t="str">
            <v>ECROU A CHAPEAU</v>
          </cell>
          <cell r="C7585" t="str">
            <v>KN323881  TURBINE TYPE SST-400 ATP3 CE 190L-1 SERIE T6453 PLAN ZG048121.0 REP4</v>
          </cell>
          <cell r="D7585" t="str">
            <v>PE</v>
          </cell>
          <cell r="E7585" t="str">
            <v>512.51201</v>
          </cell>
          <cell r="F7585">
            <v>391.88</v>
          </cell>
          <cell r="G7585">
            <v>0</v>
          </cell>
          <cell r="H7585">
            <v>0</v>
          </cell>
          <cell r="I7585">
            <v>0</v>
          </cell>
          <cell r="J7585">
            <v>0</v>
          </cell>
          <cell r="K7585">
            <v>0</v>
          </cell>
          <cell r="L7585">
            <v>0</v>
          </cell>
        </row>
        <row r="7586">
          <cell r="A7586" t="str">
            <v>20211.10201</v>
          </cell>
          <cell r="B7586" t="str">
            <v>DOUILLE DE DILATATION</v>
          </cell>
          <cell r="C7586" t="str">
            <v>KN342923 TURBINE TYPE SST-400 ATP3 CE 190L-1 SERIE T6453 PLAN ZG055619.1 REP5</v>
          </cell>
          <cell r="D7586" t="str">
            <v>PE</v>
          </cell>
          <cell r="E7586" t="str">
            <v>512.51201</v>
          </cell>
          <cell r="F7586">
            <v>4461.03</v>
          </cell>
          <cell r="G7586">
            <v>0</v>
          </cell>
          <cell r="H7586">
            <v>0</v>
          </cell>
          <cell r="I7586">
            <v>0</v>
          </cell>
          <cell r="J7586">
            <v>0</v>
          </cell>
          <cell r="K7586">
            <v>0</v>
          </cell>
          <cell r="L7586">
            <v>0</v>
          </cell>
        </row>
        <row r="7587">
          <cell r="A7587" t="str">
            <v>20211.10202</v>
          </cell>
          <cell r="B7587" t="str">
            <v>ECROU DE TUYAU</v>
          </cell>
          <cell r="C7587" t="str">
            <v>KN344507 TURBINE TYPE SST-400 ATP3 CE 190L-1 SERIE T6453 PLAN ZG055619.1 REP3</v>
          </cell>
          <cell r="D7587" t="str">
            <v>PE</v>
          </cell>
          <cell r="E7587" t="str">
            <v>512.51201</v>
          </cell>
          <cell r="F7587">
            <v>5086.68</v>
          </cell>
          <cell r="G7587">
            <v>0</v>
          </cell>
          <cell r="H7587">
            <v>0</v>
          </cell>
          <cell r="I7587">
            <v>0</v>
          </cell>
          <cell r="J7587">
            <v>0</v>
          </cell>
          <cell r="K7587">
            <v>0</v>
          </cell>
          <cell r="L7587">
            <v>0</v>
          </cell>
        </row>
        <row r="7588">
          <cell r="A7588" t="str">
            <v>20211.10218</v>
          </cell>
          <cell r="B7588" t="str">
            <v>THERMOMETRE A RESISTANCE</v>
          </cell>
          <cell r="C7588" t="str">
            <v>LV57275-01  TURBINE TYPE SST-400 ATP3 CE 190L-1 SERIE T6453 PLAN 1CW0052145 REP71</v>
          </cell>
          <cell r="D7588" t="str">
            <v>PE</v>
          </cell>
          <cell r="E7588" t="str">
            <v>512.51201</v>
          </cell>
          <cell r="F7588">
            <v>19327.25</v>
          </cell>
          <cell r="G7588">
            <v>0</v>
          </cell>
          <cell r="H7588">
            <v>0</v>
          </cell>
          <cell r="I7588">
            <v>0</v>
          </cell>
          <cell r="J7588">
            <v>0</v>
          </cell>
          <cell r="K7588">
            <v>0</v>
          </cell>
          <cell r="L7588">
            <v>0</v>
          </cell>
        </row>
        <row r="7589">
          <cell r="A7589" t="str">
            <v>20211.10223</v>
          </cell>
          <cell r="B7589" t="str">
            <v>TRANSMETTEUR PRESSION</v>
          </cell>
          <cell r="C7589" t="str">
            <v>LV59153-09  TURBINE TYPE SST-400 ATP3 CE 190L-1 SERIE T6453 PLAN 1CW0052145 REP3</v>
          </cell>
          <cell r="D7589" t="str">
            <v>PE</v>
          </cell>
          <cell r="E7589" t="str">
            <v>512.51201</v>
          </cell>
          <cell r="F7589">
            <v>32160.35</v>
          </cell>
          <cell r="G7589">
            <v>0</v>
          </cell>
          <cell r="H7589">
            <v>0</v>
          </cell>
          <cell r="I7589">
            <v>0</v>
          </cell>
          <cell r="J7589">
            <v>0</v>
          </cell>
          <cell r="K7589">
            <v>1</v>
          </cell>
          <cell r="L7589">
            <v>0</v>
          </cell>
        </row>
        <row r="7590">
          <cell r="A7590" t="str">
            <v>20211.10208</v>
          </cell>
          <cell r="B7590" t="str">
            <v>GOUPILLE CYLINDRIQUE</v>
          </cell>
          <cell r="C7590" t="str">
            <v>KN87288  TURBINE TYPE SST-400 ATP3 CE 190L-1 SERIE T6453 PLAN ZG053043.1 REP29</v>
          </cell>
          <cell r="D7590" t="str">
            <v>PE</v>
          </cell>
          <cell r="E7590" t="str">
            <v>512.51201</v>
          </cell>
          <cell r="F7590">
            <v>78.569999999999993</v>
          </cell>
          <cell r="G7590">
            <v>0</v>
          </cell>
          <cell r="H7590">
            <v>0</v>
          </cell>
          <cell r="I7590">
            <v>0</v>
          </cell>
          <cell r="J7590">
            <v>0</v>
          </cell>
          <cell r="K7590">
            <v>0</v>
          </cell>
          <cell r="L7590">
            <v>0</v>
          </cell>
        </row>
        <row r="7591">
          <cell r="A7591" t="str">
            <v>20211.10209</v>
          </cell>
          <cell r="B7591" t="str">
            <v>BOULON HEXAGONAL</v>
          </cell>
          <cell r="C7591" t="str">
            <v>KN99689  TURBINE TYPE SST-400 ATP3 CE 190L-1 SERIE T6453 PLAN ZG044573.0 REP23</v>
          </cell>
          <cell r="D7591" t="str">
            <v>PE</v>
          </cell>
          <cell r="E7591" t="str">
            <v>512.51201</v>
          </cell>
          <cell r="F7591">
            <v>235.71</v>
          </cell>
          <cell r="G7591">
            <v>0</v>
          </cell>
          <cell r="H7591">
            <v>0</v>
          </cell>
          <cell r="I7591">
            <v>0</v>
          </cell>
          <cell r="J7591">
            <v>0</v>
          </cell>
          <cell r="K7591">
            <v>0</v>
          </cell>
          <cell r="L7591">
            <v>0</v>
          </cell>
        </row>
        <row r="7592">
          <cell r="A7592" t="str">
            <v>20211.10210</v>
          </cell>
          <cell r="B7592" t="str">
            <v>ELECTO-AIMANT CAPTEUR</v>
          </cell>
          <cell r="C7592" t="str">
            <v>LV30660-42  TURBINE TYPE SST-400 ATP3 CE 190L-1 SERIE T6453 PLAN 1CW0052145 REP92-94</v>
          </cell>
          <cell r="D7592" t="str">
            <v>PE</v>
          </cell>
          <cell r="E7592" t="str">
            <v>512.51201</v>
          </cell>
          <cell r="F7592">
            <v>14085.37</v>
          </cell>
          <cell r="G7592">
            <v>0</v>
          </cell>
          <cell r="H7592">
            <v>0</v>
          </cell>
          <cell r="I7592">
            <v>0</v>
          </cell>
          <cell r="J7592">
            <v>0</v>
          </cell>
          <cell r="K7592">
            <v>0</v>
          </cell>
          <cell r="L7592">
            <v>1</v>
          </cell>
        </row>
        <row r="7593">
          <cell r="A7593" t="str">
            <v>20428.02792</v>
          </cell>
          <cell r="B7593" t="str">
            <v>BOITE A BOURRAGE</v>
          </cell>
          <cell r="C7593" t="str">
            <v>EMTECH 50-250K N° FAB POM061268-065284001PC001 REP 83 REF 061223/01-05</v>
          </cell>
          <cell r="D7593" t="str">
            <v>PE</v>
          </cell>
          <cell r="E7593" t="str">
            <v>515.51503</v>
          </cell>
          <cell r="F7593">
            <v>20206.242999999999</v>
          </cell>
          <cell r="G7593">
            <v>0</v>
          </cell>
          <cell r="H7593">
            <v>0</v>
          </cell>
          <cell r="I7593">
            <v>0</v>
          </cell>
          <cell r="J7593">
            <v>0</v>
          </cell>
          <cell r="K7593">
            <v>0</v>
          </cell>
          <cell r="L7593">
            <v>1</v>
          </cell>
        </row>
        <row r="7594">
          <cell r="A7594" t="str">
            <v>20428.02793</v>
          </cell>
          <cell r="B7594" t="str">
            <v>COUVERCLE DE GARNITURE</v>
          </cell>
          <cell r="C7594" t="str">
            <v>EMTECH 50-250K N° FAB POM061268-065284001PC001 REP 84 REF 061223/01-06</v>
          </cell>
          <cell r="D7594" t="str">
            <v>PE</v>
          </cell>
          <cell r="E7594" t="str">
            <v>515.51503</v>
          </cell>
          <cell r="F7594">
            <v>5866.1931999999997</v>
          </cell>
          <cell r="G7594">
            <v>0</v>
          </cell>
          <cell r="H7594">
            <v>0</v>
          </cell>
          <cell r="I7594">
            <v>0</v>
          </cell>
          <cell r="J7594">
            <v>0</v>
          </cell>
          <cell r="K7594">
            <v>0</v>
          </cell>
          <cell r="L7594">
            <v>2</v>
          </cell>
        </row>
        <row r="7595">
          <cell r="A7595" t="str">
            <v>20428.02794</v>
          </cell>
          <cell r="B7595" t="str">
            <v>BAGUE D'EPAULEMENT</v>
          </cell>
          <cell r="C7595" t="str">
            <v>EMTECH 50-250K N° FAB POM061268-065284001PC001 REP 85 REF 81846232</v>
          </cell>
          <cell r="D7595" t="str">
            <v>PE</v>
          </cell>
          <cell r="E7595" t="str">
            <v>515.51503</v>
          </cell>
          <cell r="F7595">
            <v>2168.0230000000001</v>
          </cell>
          <cell r="G7595">
            <v>0</v>
          </cell>
          <cell r="H7595">
            <v>0</v>
          </cell>
          <cell r="I7595">
            <v>0</v>
          </cell>
          <cell r="J7595">
            <v>0</v>
          </cell>
          <cell r="K7595">
            <v>0</v>
          </cell>
          <cell r="L7595">
            <v>1</v>
          </cell>
        </row>
        <row r="7596">
          <cell r="A7596" t="str">
            <v>20211.10231</v>
          </cell>
          <cell r="B7596" t="str">
            <v>DISTRIBUTEUR</v>
          </cell>
          <cell r="C7596" t="str">
            <v>LV60663-15  TURBINE TYPE SST-400 ATP3 CE 190L-1 SERIE T6453 PLAN 1CW0049905  PLAN 1CW0049905  REP25</v>
          </cell>
          <cell r="D7596" t="str">
            <v>PE</v>
          </cell>
          <cell r="E7596" t="str">
            <v>512.51201</v>
          </cell>
          <cell r="F7596">
            <v>5556.16</v>
          </cell>
          <cell r="G7596">
            <v>0</v>
          </cell>
          <cell r="H7596">
            <v>0</v>
          </cell>
          <cell r="I7596">
            <v>0</v>
          </cell>
          <cell r="J7596">
            <v>0</v>
          </cell>
          <cell r="K7596">
            <v>0</v>
          </cell>
          <cell r="L7596">
            <v>0</v>
          </cell>
        </row>
        <row r="7597">
          <cell r="A7597" t="str">
            <v>20211.10232</v>
          </cell>
          <cell r="B7597" t="str">
            <v>CLAPET ANTI-RETOUR</v>
          </cell>
          <cell r="C7597" t="str">
            <v>LV60663-27  TURBINE TYPE SST-400 ATP3 CE 190L-1 SERIE T6453  PLAN 1CW0049905  REP47</v>
          </cell>
          <cell r="D7597" t="str">
            <v>PE</v>
          </cell>
          <cell r="E7597" t="str">
            <v>512.51201</v>
          </cell>
          <cell r="F7597">
            <v>3834.41</v>
          </cell>
          <cell r="G7597">
            <v>0</v>
          </cell>
          <cell r="H7597">
            <v>0</v>
          </cell>
          <cell r="I7597">
            <v>0</v>
          </cell>
          <cell r="J7597">
            <v>0</v>
          </cell>
          <cell r="K7597">
            <v>0</v>
          </cell>
          <cell r="L7597">
            <v>0</v>
          </cell>
        </row>
        <row r="7598">
          <cell r="A7598" t="str">
            <v>20211.10234</v>
          </cell>
          <cell r="B7598" t="str">
            <v>INDICATEUR D'ENCRASSEMENT</v>
          </cell>
          <cell r="C7598" t="str">
            <v>LV60663-3  TURBINE TYPE SST-400 ATP3 CE 190L-1 SERIE T6453  PLAN 1CW0049905 REP22</v>
          </cell>
          <cell r="D7598" t="str">
            <v>PE</v>
          </cell>
          <cell r="E7598" t="str">
            <v>512.51201</v>
          </cell>
          <cell r="F7598">
            <v>5399.99</v>
          </cell>
          <cell r="G7598">
            <v>0</v>
          </cell>
          <cell r="H7598">
            <v>0</v>
          </cell>
          <cell r="I7598">
            <v>0</v>
          </cell>
          <cell r="J7598">
            <v>0</v>
          </cell>
          <cell r="K7598">
            <v>0</v>
          </cell>
          <cell r="L7598">
            <v>0</v>
          </cell>
        </row>
        <row r="7599">
          <cell r="A7599" t="str">
            <v>20211.10224</v>
          </cell>
          <cell r="B7599" t="str">
            <v>TRANSMETTEUR PRESSION</v>
          </cell>
          <cell r="C7599" t="str">
            <v>LV59153-18  TURBINE TYPE SST-400 ATP3 CE 190L-1 SERIE T6453 PLAN 1CW0052145 REP10-11-12</v>
          </cell>
          <cell r="D7599" t="str">
            <v>PE</v>
          </cell>
          <cell r="E7599" t="str">
            <v>512.51201</v>
          </cell>
          <cell r="F7599">
            <v>19327.25</v>
          </cell>
          <cell r="G7599">
            <v>0</v>
          </cell>
          <cell r="H7599">
            <v>0</v>
          </cell>
          <cell r="I7599">
            <v>0</v>
          </cell>
          <cell r="J7599">
            <v>0</v>
          </cell>
          <cell r="K7599">
            <v>1</v>
          </cell>
          <cell r="L7599">
            <v>0</v>
          </cell>
        </row>
        <row r="7600">
          <cell r="A7600" t="str">
            <v>20211.10225</v>
          </cell>
          <cell r="B7600" t="str">
            <v>THERMOCOUPLE</v>
          </cell>
          <cell r="C7600" t="str">
            <v>LV59165-07   TURBINE TYPE SST-400 ATP3 CE 190L-1 SERIE T6453 PLAN 1CW0052145 REP57-58-59</v>
          </cell>
          <cell r="D7600" t="str">
            <v>PE</v>
          </cell>
          <cell r="E7600" t="str">
            <v>512.51201</v>
          </cell>
          <cell r="F7600">
            <v>19327.25</v>
          </cell>
          <cell r="G7600">
            <v>0</v>
          </cell>
          <cell r="H7600">
            <v>0</v>
          </cell>
          <cell r="I7600">
            <v>0</v>
          </cell>
          <cell r="J7600">
            <v>0</v>
          </cell>
          <cell r="K7600">
            <v>0</v>
          </cell>
          <cell r="L7600">
            <v>1</v>
          </cell>
        </row>
        <row r="7601">
          <cell r="A7601" t="str">
            <v>20211.10226</v>
          </cell>
          <cell r="B7601" t="str">
            <v>VANNE DE PURGE</v>
          </cell>
          <cell r="C7601" t="str">
            <v>LV60663-04  TURBINE TYPE SST-400 ATP3 CE 190L-1 SERIE T6453 PLAN 1CW0049905  REP11</v>
          </cell>
          <cell r="D7601" t="str">
            <v>PE</v>
          </cell>
          <cell r="E7601" t="str">
            <v>512.51201</v>
          </cell>
          <cell r="F7601">
            <v>2583.11</v>
          </cell>
          <cell r="G7601">
            <v>0</v>
          </cell>
          <cell r="H7601">
            <v>0</v>
          </cell>
          <cell r="I7601">
            <v>0</v>
          </cell>
          <cell r="J7601">
            <v>0</v>
          </cell>
          <cell r="K7601">
            <v>0</v>
          </cell>
          <cell r="L7601">
            <v>0</v>
          </cell>
        </row>
        <row r="7602">
          <cell r="A7602" t="str">
            <v>20211.10227</v>
          </cell>
          <cell r="B7602" t="str">
            <v>LIMITEUR DE PRESSION</v>
          </cell>
          <cell r="C7602" t="str">
            <v>LV60663-05  TURBINE TYPE SST-400 ATP3 CE 190L-1 SERIE T6453 PLAN 1CW0049905  REP14</v>
          </cell>
          <cell r="D7602" t="str">
            <v>PE</v>
          </cell>
          <cell r="E7602" t="str">
            <v>512.51201</v>
          </cell>
          <cell r="F7602">
            <v>9312</v>
          </cell>
          <cell r="G7602">
            <v>0</v>
          </cell>
          <cell r="H7602">
            <v>0</v>
          </cell>
          <cell r="I7602">
            <v>0</v>
          </cell>
          <cell r="J7602">
            <v>0</v>
          </cell>
          <cell r="K7602">
            <v>0</v>
          </cell>
          <cell r="L7602">
            <v>0</v>
          </cell>
        </row>
        <row r="7603">
          <cell r="A7603" t="str">
            <v>20211.10244</v>
          </cell>
          <cell r="B7603" t="str">
            <v>AXE DE GUIDAGE</v>
          </cell>
          <cell r="C7603" t="str">
            <v>ZG78242.3-02  TURBINE TYPE SST-400 ATP3 CE 190L-1 SERIE T6453 PLAN ZG078249.3 REP1</v>
          </cell>
          <cell r="D7603" t="str">
            <v>PE</v>
          </cell>
          <cell r="E7603" t="str">
            <v>512.51201</v>
          </cell>
          <cell r="F7603">
            <v>3364.93</v>
          </cell>
          <cell r="G7603">
            <v>0</v>
          </cell>
          <cell r="H7603">
            <v>0</v>
          </cell>
          <cell r="I7603">
            <v>0</v>
          </cell>
          <cell r="J7603">
            <v>0</v>
          </cell>
          <cell r="K7603">
            <v>0</v>
          </cell>
          <cell r="L7603">
            <v>0</v>
          </cell>
        </row>
        <row r="7604">
          <cell r="A7604" t="str">
            <v>20211.10279</v>
          </cell>
          <cell r="B7604" t="str">
            <v>GOUPILLE CONIQUE</v>
          </cell>
          <cell r="C7604" t="str">
            <v>KN323527 TURBINE TYPE SST-400 ATP3 CE 190L-1 SERIE T6453 PLAN ZG055619.1 REP11</v>
          </cell>
          <cell r="D7604" t="str">
            <v>PE</v>
          </cell>
          <cell r="E7604" t="str">
            <v>512.51201</v>
          </cell>
          <cell r="F7604">
            <v>626.62</v>
          </cell>
          <cell r="G7604">
            <v>0</v>
          </cell>
          <cell r="H7604">
            <v>0</v>
          </cell>
          <cell r="I7604">
            <v>0</v>
          </cell>
          <cell r="J7604">
            <v>0</v>
          </cell>
          <cell r="K7604">
            <v>0</v>
          </cell>
          <cell r="L7604">
            <v>0</v>
          </cell>
        </row>
        <row r="7605">
          <cell r="A7605" t="str">
            <v>20211.10280</v>
          </cell>
          <cell r="B7605" t="str">
            <v>ECROU A CHAPEAU</v>
          </cell>
          <cell r="C7605" t="str">
            <v>KN323881 TURBINE TYPE SST-400 ATP3 CE 190L-1 SERIE T6453 PLAN ZG47997.0 REP4</v>
          </cell>
          <cell r="D7605" t="str">
            <v>PE</v>
          </cell>
          <cell r="E7605" t="str">
            <v>512.51201</v>
          </cell>
          <cell r="F7605">
            <v>470.45</v>
          </cell>
          <cell r="G7605">
            <v>0</v>
          </cell>
          <cell r="H7605">
            <v>0</v>
          </cell>
          <cell r="I7605">
            <v>0</v>
          </cell>
          <cell r="J7605">
            <v>0</v>
          </cell>
          <cell r="K7605">
            <v>0</v>
          </cell>
          <cell r="L7605">
            <v>0</v>
          </cell>
        </row>
        <row r="7606">
          <cell r="A7606" t="str">
            <v>20211.10281</v>
          </cell>
          <cell r="B7606" t="str">
            <v>VIS CYLINDRIQUE</v>
          </cell>
          <cell r="C7606" t="str">
            <v>KN333146  TURBINE TYPE SST-400 ATP3 CE 190L-1 SERIE T6453 PLAN ZG078250.3 REP2</v>
          </cell>
          <cell r="D7606" t="str">
            <v>PE</v>
          </cell>
          <cell r="E7606" t="str">
            <v>512.51201</v>
          </cell>
          <cell r="F7606">
            <v>235.71</v>
          </cell>
          <cell r="G7606">
            <v>0</v>
          </cell>
          <cell r="H7606">
            <v>0</v>
          </cell>
          <cell r="I7606">
            <v>0</v>
          </cell>
          <cell r="J7606">
            <v>0</v>
          </cell>
          <cell r="K7606">
            <v>0</v>
          </cell>
          <cell r="L7606">
            <v>0</v>
          </cell>
        </row>
        <row r="7607">
          <cell r="A7607" t="str">
            <v>20211.10240</v>
          </cell>
          <cell r="B7607" t="str">
            <v>TOLE DE LABYRINTE</v>
          </cell>
          <cell r="C7607" t="str">
            <v>ZG40622.0-70  TURBINE TYPE SST-400 ATP3 CE 190L-1 SERIE T6453 PLAN ZG040622.0 REP70</v>
          </cell>
          <cell r="D7607" t="str">
            <v>PE</v>
          </cell>
          <cell r="E7607" t="str">
            <v>512.51201</v>
          </cell>
          <cell r="F7607">
            <v>2739.28</v>
          </cell>
          <cell r="G7607">
            <v>0</v>
          </cell>
          <cell r="H7607">
            <v>0</v>
          </cell>
          <cell r="I7607">
            <v>0</v>
          </cell>
          <cell r="J7607">
            <v>0</v>
          </cell>
          <cell r="K7607">
            <v>0</v>
          </cell>
          <cell r="L7607">
            <v>0</v>
          </cell>
        </row>
        <row r="7608">
          <cell r="A7608" t="str">
            <v>20428.02146</v>
          </cell>
          <cell r="B7608" t="str">
            <v>CHEMISE</v>
          </cell>
          <cell r="C7608" t="str">
            <v>EMTECH 65-315E-IN SERIE 06.5296.034PO REP 67.A</v>
          </cell>
          <cell r="D7608" t="str">
            <v>PE</v>
          </cell>
          <cell r="E7608" t="str">
            <v>515.51503</v>
          </cell>
          <cell r="F7608">
            <v>5350.4381999999996</v>
          </cell>
          <cell r="G7608">
            <v>0</v>
          </cell>
          <cell r="H7608">
            <v>0</v>
          </cell>
          <cell r="I7608">
            <v>0</v>
          </cell>
          <cell r="J7608">
            <v>0</v>
          </cell>
          <cell r="K7608">
            <v>0</v>
          </cell>
          <cell r="L7608">
            <v>5</v>
          </cell>
        </row>
        <row r="7609">
          <cell r="A7609" t="str">
            <v>20428.02147</v>
          </cell>
          <cell r="B7609" t="str">
            <v>ECROU</v>
          </cell>
          <cell r="C7609" t="str">
            <v>EMTECH 65-315E-IN SERIE 06.5296.034PO REP 92</v>
          </cell>
          <cell r="D7609" t="str">
            <v>PE</v>
          </cell>
          <cell r="E7609" t="str">
            <v>515.51503</v>
          </cell>
          <cell r="F7609">
            <v>355.42689999999999</v>
          </cell>
          <cell r="G7609">
            <v>0</v>
          </cell>
          <cell r="H7609">
            <v>0</v>
          </cell>
          <cell r="I7609">
            <v>0</v>
          </cell>
          <cell r="J7609">
            <v>0</v>
          </cell>
          <cell r="K7609">
            <v>2</v>
          </cell>
          <cell r="L7609">
            <v>0</v>
          </cell>
        </row>
        <row r="7610">
          <cell r="A7610" t="str">
            <v>20211.10400</v>
          </cell>
          <cell r="B7610" t="str">
            <v>TAMIS</v>
          </cell>
          <cell r="C7610" t="str">
            <v>ST297042   TURBINE TYPE SST-400 ATP3 CE 190L-1 SERIE T6453 PLAN ZG044573.0 REP18</v>
          </cell>
          <cell r="D7610" t="str">
            <v>PE</v>
          </cell>
          <cell r="E7610" t="str">
            <v>512.51201</v>
          </cell>
          <cell r="F7610">
            <v>327854.2</v>
          </cell>
          <cell r="G7610">
            <v>0</v>
          </cell>
          <cell r="H7610">
            <v>0</v>
          </cell>
          <cell r="I7610">
            <v>0</v>
          </cell>
          <cell r="J7610">
            <v>0</v>
          </cell>
          <cell r="K7610">
            <v>0</v>
          </cell>
          <cell r="L7610">
            <v>0</v>
          </cell>
        </row>
        <row r="7611">
          <cell r="A7611" t="str">
            <v>20428.02148</v>
          </cell>
          <cell r="B7611" t="str">
            <v>RONDELLE FREIN</v>
          </cell>
          <cell r="C7611" t="str">
            <v>EMTECH 65-315E-IN SERIE 06.5296.034PO REP S3</v>
          </cell>
          <cell r="D7611" t="str">
            <v>PE</v>
          </cell>
          <cell r="E7611" t="str">
            <v>515.51503</v>
          </cell>
          <cell r="F7611">
            <v>20.789100000000001</v>
          </cell>
          <cell r="G7611">
            <v>0</v>
          </cell>
          <cell r="H7611">
            <v>0</v>
          </cell>
          <cell r="I7611">
            <v>0</v>
          </cell>
          <cell r="J7611">
            <v>0</v>
          </cell>
          <cell r="K7611">
            <v>2</v>
          </cell>
          <cell r="L7611">
            <v>0</v>
          </cell>
        </row>
        <row r="7612">
          <cell r="A7612" t="str">
            <v>20428.02149</v>
          </cell>
          <cell r="B7612" t="str">
            <v>JEU DE JOINTS</v>
          </cell>
          <cell r="C7612" t="str">
            <v>EMTECH 65-315E-IN SERIE 06.5296.034PO REP J2-J3-J14-T1-T12-T16-T17-T27-T28</v>
          </cell>
          <cell r="D7612" t="str">
            <v>JE</v>
          </cell>
          <cell r="E7612" t="str">
            <v>515.51503</v>
          </cell>
          <cell r="F7612">
            <v>4192.6872999999996</v>
          </cell>
          <cell r="G7612">
            <v>0</v>
          </cell>
          <cell r="H7612">
            <v>0</v>
          </cell>
          <cell r="I7612">
            <v>0</v>
          </cell>
          <cell r="J7612">
            <v>1</v>
          </cell>
          <cell r="K7612">
            <v>1</v>
          </cell>
          <cell r="L7612">
            <v>0</v>
          </cell>
        </row>
        <row r="7613">
          <cell r="A7613" t="str">
            <v>20211.10282</v>
          </cell>
          <cell r="B7613" t="str">
            <v>VIS CYLINDRIQUE</v>
          </cell>
          <cell r="C7613" t="str">
            <v>KN333153  TURBINE TYPE SST-400 ATP3 CE 190L-1 SERIE T6453 PLAN ZG078250.3 REP2</v>
          </cell>
          <cell r="D7613" t="str">
            <v>PE</v>
          </cell>
          <cell r="E7613" t="str">
            <v>512.51201</v>
          </cell>
          <cell r="F7613">
            <v>939.93</v>
          </cell>
          <cell r="G7613">
            <v>0</v>
          </cell>
          <cell r="H7613">
            <v>0</v>
          </cell>
          <cell r="I7613">
            <v>0</v>
          </cell>
          <cell r="J7613">
            <v>0</v>
          </cell>
          <cell r="K7613">
            <v>0</v>
          </cell>
          <cell r="L7613">
            <v>0</v>
          </cell>
        </row>
        <row r="7614">
          <cell r="A7614" t="str">
            <v>20211.10283</v>
          </cell>
          <cell r="B7614" t="str">
            <v>VIS CYLINDRIQUE</v>
          </cell>
          <cell r="C7614" t="str">
            <v>KN337253  TURBINE TYPE SST-400 ATP3 CE 190L-1 SERIE T6453 PLAN ZG078250.3 REP2</v>
          </cell>
          <cell r="D7614" t="str">
            <v>PE</v>
          </cell>
          <cell r="E7614" t="str">
            <v>512.51201</v>
          </cell>
          <cell r="F7614">
            <v>235.71</v>
          </cell>
          <cell r="G7614">
            <v>0</v>
          </cell>
          <cell r="H7614">
            <v>0</v>
          </cell>
          <cell r="I7614">
            <v>0</v>
          </cell>
          <cell r="J7614">
            <v>0</v>
          </cell>
          <cell r="K7614">
            <v>0</v>
          </cell>
          <cell r="L7614">
            <v>0</v>
          </cell>
        </row>
        <row r="7615">
          <cell r="A7615" t="str">
            <v>20428.02142</v>
          </cell>
          <cell r="B7615" t="str">
            <v>ROUE</v>
          </cell>
          <cell r="C7615" t="str">
            <v>EMTECH 65-315E-IN SERIE 06.5296.034PO REP 55</v>
          </cell>
          <cell r="D7615" t="str">
            <v>PE</v>
          </cell>
          <cell r="E7615" t="str">
            <v>515.51503</v>
          </cell>
          <cell r="F7615">
            <v>25380.2268</v>
          </cell>
          <cell r="G7615">
            <v>0</v>
          </cell>
          <cell r="H7615">
            <v>0</v>
          </cell>
          <cell r="I7615">
            <v>0</v>
          </cell>
          <cell r="J7615">
            <v>0</v>
          </cell>
          <cell r="K7615">
            <v>0</v>
          </cell>
          <cell r="L7615">
            <v>2</v>
          </cell>
        </row>
        <row r="7616">
          <cell r="A7616" t="str">
            <v>20428.02143</v>
          </cell>
          <cell r="B7616" t="str">
            <v>ARBRE</v>
          </cell>
          <cell r="C7616" t="str">
            <v>EMTECH 65-315E-IN SERIE 06.5296.034PO REP 59</v>
          </cell>
          <cell r="D7616" t="str">
            <v>PE</v>
          </cell>
          <cell r="E7616" t="str">
            <v>515.51503</v>
          </cell>
          <cell r="F7616">
            <v>13526.833699999999</v>
          </cell>
          <cell r="G7616">
            <v>0</v>
          </cell>
          <cell r="H7616">
            <v>0</v>
          </cell>
          <cell r="I7616">
            <v>0</v>
          </cell>
          <cell r="J7616">
            <v>0</v>
          </cell>
          <cell r="K7616">
            <v>1</v>
          </cell>
          <cell r="L7616">
            <v>1</v>
          </cell>
        </row>
        <row r="7617">
          <cell r="A7617" t="str">
            <v>20428.02144</v>
          </cell>
          <cell r="B7617" t="str">
            <v>CHEMISE</v>
          </cell>
          <cell r="C7617" t="str">
            <v>EMTECH 65-315E-IN SERIE 06.5296.034PO REP 60</v>
          </cell>
          <cell r="D7617" t="str">
            <v>PE</v>
          </cell>
          <cell r="E7617" t="str">
            <v>515.51503</v>
          </cell>
          <cell r="F7617">
            <v>5662.2353000000003</v>
          </cell>
          <cell r="G7617">
            <v>0</v>
          </cell>
          <cell r="H7617">
            <v>0</v>
          </cell>
          <cell r="I7617">
            <v>0</v>
          </cell>
          <cell r="J7617">
            <v>0</v>
          </cell>
          <cell r="K7617">
            <v>0</v>
          </cell>
          <cell r="L7617">
            <v>4</v>
          </cell>
        </row>
        <row r="7618">
          <cell r="A7618" t="str">
            <v>20428.02145</v>
          </cell>
          <cell r="B7618" t="str">
            <v>BAGUE D'USURE</v>
          </cell>
          <cell r="C7618" t="str">
            <v>EMTECH 65-315E-IN SERIE 06.5296.034PO REP 67</v>
          </cell>
          <cell r="D7618" t="str">
            <v>PE</v>
          </cell>
          <cell r="E7618" t="str">
            <v>515.51503</v>
          </cell>
          <cell r="F7618">
            <v>4524.7609000000002</v>
          </cell>
          <cell r="G7618">
            <v>0</v>
          </cell>
          <cell r="H7618">
            <v>0</v>
          </cell>
          <cell r="I7618">
            <v>0</v>
          </cell>
          <cell r="J7618">
            <v>0</v>
          </cell>
          <cell r="K7618">
            <v>0</v>
          </cell>
          <cell r="L7618">
            <v>3</v>
          </cell>
        </row>
        <row r="7619">
          <cell r="A7619" t="str">
            <v>20211.10409</v>
          </cell>
          <cell r="B7619" t="str">
            <v>GARNITURE LABYRINTE</v>
          </cell>
          <cell r="C7619" t="str">
            <v>ST320359  TURBINE TYPE SST-400 ATP3 CE 190L-1 SERIE T6453 PLAN ZG047996.0 REP31-40</v>
          </cell>
          <cell r="D7619" t="str">
            <v>PE</v>
          </cell>
          <cell r="E7619" t="str">
            <v>512.51201</v>
          </cell>
          <cell r="F7619">
            <v>37480.800000000003</v>
          </cell>
          <cell r="G7619">
            <v>0</v>
          </cell>
          <cell r="H7619">
            <v>0</v>
          </cell>
          <cell r="I7619">
            <v>0</v>
          </cell>
          <cell r="J7619">
            <v>0</v>
          </cell>
          <cell r="K7619">
            <v>0</v>
          </cell>
          <cell r="L7619">
            <v>0</v>
          </cell>
        </row>
        <row r="7620">
          <cell r="A7620" t="str">
            <v>20211.10523</v>
          </cell>
          <cell r="B7620" t="str">
            <v>RONDELLE A21</v>
          </cell>
          <cell r="C7620" t="str">
            <v xml:space="preserve">KN26856  TURBINE TYPE SST-400 ATP3 CE 190-1 SERIE T6453 PLAN ZG055619.1 REP12  </v>
          </cell>
          <cell r="D7620" t="str">
            <v>PE</v>
          </cell>
          <cell r="E7620" t="str">
            <v>512.51201</v>
          </cell>
          <cell r="F7620">
            <v>78.569999999999993</v>
          </cell>
          <cell r="G7620">
            <v>0</v>
          </cell>
          <cell r="H7620">
            <v>0</v>
          </cell>
          <cell r="I7620">
            <v>0</v>
          </cell>
          <cell r="J7620">
            <v>0</v>
          </cell>
          <cell r="K7620">
            <v>0</v>
          </cell>
          <cell r="L7620">
            <v>0</v>
          </cell>
        </row>
        <row r="7621">
          <cell r="A7621" t="str">
            <v>20211.10524</v>
          </cell>
          <cell r="B7621" t="str">
            <v>ECROU HEXAGONAL</v>
          </cell>
          <cell r="C7621" t="str">
            <v xml:space="preserve">KN25387  TURBINE TYPE SST-400 ATP3 CE 190-1 SERIE T6453 PLAN ZG044841.0 </v>
          </cell>
          <cell r="D7621" t="str">
            <v>PE</v>
          </cell>
          <cell r="E7621" t="str">
            <v>512.51201</v>
          </cell>
          <cell r="F7621">
            <v>78.569999999999993</v>
          </cell>
          <cell r="G7621">
            <v>0</v>
          </cell>
          <cell r="H7621">
            <v>0</v>
          </cell>
          <cell r="I7621">
            <v>0</v>
          </cell>
          <cell r="J7621">
            <v>0</v>
          </cell>
          <cell r="K7621">
            <v>0</v>
          </cell>
          <cell r="L7621">
            <v>0</v>
          </cell>
        </row>
        <row r="7622">
          <cell r="A7622" t="str">
            <v>20211.10525</v>
          </cell>
          <cell r="B7622" t="str">
            <v>RONDELLE</v>
          </cell>
          <cell r="C7622" t="str">
            <v xml:space="preserve">ZG77496.4-05  TURBINE TYPE SST-400 ATP3 CE 190-1 SERIE T6453 PLAN ZG048003.0 REP8 </v>
          </cell>
          <cell r="D7622" t="str">
            <v>PE</v>
          </cell>
          <cell r="E7622" t="str">
            <v>512.51201</v>
          </cell>
          <cell r="F7622">
            <v>78.569999999999993</v>
          </cell>
          <cell r="G7622">
            <v>0</v>
          </cell>
          <cell r="H7622">
            <v>0</v>
          </cell>
          <cell r="I7622">
            <v>0</v>
          </cell>
          <cell r="J7622">
            <v>0</v>
          </cell>
          <cell r="K7622">
            <v>0</v>
          </cell>
          <cell r="L7622">
            <v>0</v>
          </cell>
        </row>
        <row r="7623">
          <cell r="A7623" t="str">
            <v>20211.10526</v>
          </cell>
          <cell r="B7623" t="str">
            <v>BAGUE D'ETANCHEITE</v>
          </cell>
          <cell r="C7623" t="str">
            <v xml:space="preserve">KN29538  TURBINE TYPE SST-400 ATP3 CE 190-1 SERIE T6453 PLAN ZG048208.0 REP74 </v>
          </cell>
          <cell r="D7623" t="str">
            <v>PE</v>
          </cell>
          <cell r="E7623" t="str">
            <v>512.51201</v>
          </cell>
          <cell r="F7623">
            <v>470.45</v>
          </cell>
          <cell r="G7623">
            <v>0</v>
          </cell>
          <cell r="H7623">
            <v>0</v>
          </cell>
          <cell r="I7623">
            <v>0</v>
          </cell>
          <cell r="J7623">
            <v>0</v>
          </cell>
          <cell r="K7623">
            <v>0</v>
          </cell>
          <cell r="L7623">
            <v>1</v>
          </cell>
        </row>
        <row r="7624">
          <cell r="A7624" t="str">
            <v>20211.10527</v>
          </cell>
          <cell r="B7624" t="str">
            <v>BAGUE D'ETANCHEITE</v>
          </cell>
          <cell r="C7624" t="str">
            <v xml:space="preserve">KN29512  TURBINE TYPE SST-400 ATP3 CE 190-1 SERIE T6453 PLAN ZG052978.1 REP17  </v>
          </cell>
          <cell r="D7624" t="str">
            <v>PE</v>
          </cell>
          <cell r="E7624" t="str">
            <v>512.51201</v>
          </cell>
          <cell r="F7624">
            <v>470.45</v>
          </cell>
          <cell r="G7624">
            <v>0</v>
          </cell>
          <cell r="H7624">
            <v>0</v>
          </cell>
          <cell r="I7624">
            <v>0</v>
          </cell>
          <cell r="J7624">
            <v>0</v>
          </cell>
          <cell r="K7624">
            <v>0</v>
          </cell>
          <cell r="L7624">
            <v>2</v>
          </cell>
        </row>
        <row r="7625">
          <cell r="A7625" t="str">
            <v>20428.02154</v>
          </cell>
          <cell r="B7625" t="str">
            <v>FOND</v>
          </cell>
          <cell r="C7625" t="str">
            <v>NC 200-150-600 SERIE 06.5296.001PO/004PO REP 161</v>
          </cell>
          <cell r="D7625" t="str">
            <v>PE</v>
          </cell>
          <cell r="E7625" t="str">
            <v>515.51503</v>
          </cell>
          <cell r="F7625">
            <v>106737.148</v>
          </cell>
          <cell r="G7625">
            <v>0</v>
          </cell>
          <cell r="H7625">
            <v>0</v>
          </cell>
          <cell r="I7625">
            <v>0</v>
          </cell>
          <cell r="J7625">
            <v>0</v>
          </cell>
          <cell r="K7625">
            <v>1</v>
          </cell>
          <cell r="L7625">
            <v>1</v>
          </cell>
        </row>
        <row r="7626">
          <cell r="A7626" t="str">
            <v>20428.02155</v>
          </cell>
          <cell r="B7626" t="str">
            <v>CHEMISE D'ARBRE</v>
          </cell>
          <cell r="C7626" t="str">
            <v>NC 200-150-600 SERIE 06.5296.001PO/004PO REP 520</v>
          </cell>
          <cell r="D7626" t="str">
            <v>PE</v>
          </cell>
          <cell r="E7626" t="str">
            <v>515.51503</v>
          </cell>
          <cell r="F7626">
            <v>15896.0465</v>
          </cell>
          <cell r="G7626">
            <v>0</v>
          </cell>
          <cell r="H7626">
            <v>0</v>
          </cell>
          <cell r="I7626">
            <v>0</v>
          </cell>
          <cell r="J7626">
            <v>0</v>
          </cell>
          <cell r="K7626">
            <v>0</v>
          </cell>
          <cell r="L7626">
            <v>3</v>
          </cell>
        </row>
        <row r="7627">
          <cell r="A7627" t="str">
            <v>20428.02156</v>
          </cell>
          <cell r="B7627" t="str">
            <v>JEU DE TRESSE</v>
          </cell>
          <cell r="C7627" t="str">
            <v>NC 200-150-600 SERIE 06.5296.001PO/004PO REP 461</v>
          </cell>
          <cell r="D7627" t="str">
            <v>JE</v>
          </cell>
          <cell r="E7627" t="str">
            <v>515.51503</v>
          </cell>
          <cell r="F7627">
            <v>3658.7505999999998</v>
          </cell>
          <cell r="G7627">
            <v>0</v>
          </cell>
          <cell r="H7627">
            <v>0</v>
          </cell>
          <cell r="I7627">
            <v>0</v>
          </cell>
          <cell r="J7627">
            <v>0</v>
          </cell>
          <cell r="K7627">
            <v>1</v>
          </cell>
          <cell r="L7627">
            <v>1</v>
          </cell>
        </row>
        <row r="7628">
          <cell r="A7628" t="str">
            <v>20428.02157</v>
          </cell>
          <cell r="B7628" t="str">
            <v>JEU DE JOINTS HYDRAULIQUE</v>
          </cell>
          <cell r="C7628" t="str">
            <v>NC 200-150-600 SERIE 06.5296.001PO/004PO REP 400.1-400.2-412.1-412.2-412.3-412.4-413</v>
          </cell>
          <cell r="D7628" t="str">
            <v>JE</v>
          </cell>
          <cell r="E7628" t="str">
            <v>515.51503</v>
          </cell>
          <cell r="F7628">
            <v>5242.2950000000001</v>
          </cell>
          <cell r="G7628">
            <v>0</v>
          </cell>
          <cell r="H7628">
            <v>0</v>
          </cell>
          <cell r="I7628">
            <v>0</v>
          </cell>
          <cell r="J7628">
            <v>0</v>
          </cell>
          <cell r="K7628">
            <v>0</v>
          </cell>
          <cell r="L7628">
            <v>4</v>
          </cell>
        </row>
        <row r="7629">
          <cell r="A7629" t="str">
            <v>20428.02158</v>
          </cell>
          <cell r="B7629" t="str">
            <v>JEU DE JOINT PALIER</v>
          </cell>
          <cell r="C7629" t="str">
            <v>NC 200-150-600 SERIE 06.5296.001PO/004PO REP 400.3-412.5-420.1-420.2</v>
          </cell>
          <cell r="D7629" t="str">
            <v>JE</v>
          </cell>
          <cell r="E7629" t="str">
            <v>515.51503</v>
          </cell>
          <cell r="F7629">
            <v>2195.5464000000002</v>
          </cell>
          <cell r="G7629">
            <v>0</v>
          </cell>
          <cell r="H7629">
            <v>0</v>
          </cell>
          <cell r="I7629">
            <v>0</v>
          </cell>
          <cell r="J7629">
            <v>0</v>
          </cell>
          <cell r="K7629">
            <v>0</v>
          </cell>
          <cell r="L7629">
            <v>4</v>
          </cell>
        </row>
        <row r="7630">
          <cell r="A7630" t="str">
            <v>20428.02150</v>
          </cell>
          <cell r="B7630" t="str">
            <v>DEFLECTEUR</v>
          </cell>
          <cell r="C7630" t="str">
            <v>EMTECH 65-315E-IN SERIE 06.5296.034PO REP 9-23</v>
          </cell>
          <cell r="D7630" t="str">
            <v>PE</v>
          </cell>
          <cell r="E7630" t="str">
            <v>515.51503</v>
          </cell>
          <cell r="F7630">
            <v>1511.6289999999999</v>
          </cell>
          <cell r="G7630">
            <v>0</v>
          </cell>
          <cell r="H7630">
            <v>1</v>
          </cell>
          <cell r="I7630">
            <v>0</v>
          </cell>
          <cell r="J7630">
            <v>0</v>
          </cell>
          <cell r="K7630">
            <v>0</v>
          </cell>
          <cell r="L7630">
            <v>3</v>
          </cell>
        </row>
        <row r="7631">
          <cell r="A7631" t="str">
            <v>20428.02151</v>
          </cell>
          <cell r="B7631" t="str">
            <v>GARNITURE TYPE NORMOPAC B34FA</v>
          </cell>
          <cell r="C7631" t="str">
            <v>EMTECH 65-315E-IN SERIE 06.5296.034PO SANS REP</v>
          </cell>
          <cell r="D7631" t="str">
            <v>PE</v>
          </cell>
          <cell r="E7631" t="str">
            <v>515.51503</v>
          </cell>
          <cell r="F7631">
            <v>8452.3044000000009</v>
          </cell>
          <cell r="G7631">
            <v>0</v>
          </cell>
          <cell r="H7631">
            <v>1</v>
          </cell>
          <cell r="I7631">
            <v>2</v>
          </cell>
          <cell r="J7631">
            <v>0</v>
          </cell>
          <cell r="K7631">
            <v>0</v>
          </cell>
          <cell r="L7631">
            <v>0</v>
          </cell>
        </row>
        <row r="7632">
          <cell r="A7632" t="str">
            <v>20428.02152</v>
          </cell>
          <cell r="B7632" t="str">
            <v>ARBRE</v>
          </cell>
          <cell r="C7632" t="str">
            <v>NC 200-150-600 SERIE 06.5296.001PO/004PO REP 230</v>
          </cell>
          <cell r="D7632" t="str">
            <v>PE</v>
          </cell>
          <cell r="E7632" t="str">
            <v>515.51503</v>
          </cell>
          <cell r="F7632">
            <v>27168.684099999999</v>
          </cell>
          <cell r="G7632">
            <v>0</v>
          </cell>
          <cell r="H7632">
            <v>0</v>
          </cell>
          <cell r="I7632">
            <v>0</v>
          </cell>
          <cell r="J7632">
            <v>0</v>
          </cell>
          <cell r="K7632">
            <v>0</v>
          </cell>
          <cell r="L7632">
            <v>1</v>
          </cell>
        </row>
        <row r="7633">
          <cell r="A7633" t="str">
            <v>20428.02153</v>
          </cell>
          <cell r="B7633" t="str">
            <v>ROUE</v>
          </cell>
          <cell r="C7633" t="str">
            <v>NC 200-150-600 SERIE 06.5296.001PO/004PO REP 230</v>
          </cell>
          <cell r="D7633" t="str">
            <v>PE</v>
          </cell>
          <cell r="E7633" t="str">
            <v>515.51503</v>
          </cell>
          <cell r="F7633">
            <v>120690.2611</v>
          </cell>
          <cell r="G7633">
            <v>0</v>
          </cell>
          <cell r="H7633">
            <v>0</v>
          </cell>
          <cell r="I7633">
            <v>0</v>
          </cell>
          <cell r="J7633">
            <v>0</v>
          </cell>
          <cell r="K7633">
            <v>1</v>
          </cell>
          <cell r="L7633">
            <v>1</v>
          </cell>
        </row>
        <row r="7634">
          <cell r="A7634" t="str">
            <v>20428.02159</v>
          </cell>
          <cell r="B7634" t="str">
            <v>ECROU DE ROULEMENT</v>
          </cell>
          <cell r="C7634" t="str">
            <v>NC 200-150-600 SERIE 06.5296.001PO/004PO REP 923</v>
          </cell>
          <cell r="D7634" t="str">
            <v>PE</v>
          </cell>
          <cell r="E7634" t="str">
            <v>515.51503</v>
          </cell>
          <cell r="F7634">
            <v>995.18910000000005</v>
          </cell>
          <cell r="G7634">
            <v>0</v>
          </cell>
          <cell r="H7634">
            <v>0</v>
          </cell>
          <cell r="I7634">
            <v>0</v>
          </cell>
          <cell r="J7634">
            <v>0</v>
          </cell>
          <cell r="K7634">
            <v>0</v>
          </cell>
          <cell r="L7634">
            <v>6</v>
          </cell>
        </row>
        <row r="7635">
          <cell r="A7635" t="str">
            <v>20428.02160</v>
          </cell>
          <cell r="B7635" t="str">
            <v>RONDELLE FREIN</v>
          </cell>
          <cell r="C7635" t="str">
            <v>NC 200-150-600 SERIE 06.5296.001PO/004PO REP 933</v>
          </cell>
          <cell r="D7635" t="str">
            <v>PE</v>
          </cell>
          <cell r="E7635" t="str">
            <v>515.51503</v>
          </cell>
          <cell r="F7635">
            <v>247.8218</v>
          </cell>
          <cell r="G7635">
            <v>0</v>
          </cell>
          <cell r="H7635">
            <v>0</v>
          </cell>
          <cell r="I7635">
            <v>0</v>
          </cell>
          <cell r="J7635">
            <v>0</v>
          </cell>
          <cell r="K7635">
            <v>0</v>
          </cell>
          <cell r="L7635">
            <v>8</v>
          </cell>
        </row>
        <row r="7636">
          <cell r="A7636" t="str">
            <v>20428.02161</v>
          </cell>
          <cell r="B7636" t="str">
            <v>GRAISSEUR</v>
          </cell>
          <cell r="C7636" t="str">
            <v>NC 200-150-600 SERIE 06.5296.001PO/004PO REP 563</v>
          </cell>
          <cell r="D7636" t="str">
            <v>PE</v>
          </cell>
          <cell r="E7636" t="str">
            <v>515.51503</v>
          </cell>
          <cell r="F7636">
            <v>52.999099999999999</v>
          </cell>
          <cell r="G7636">
            <v>0</v>
          </cell>
          <cell r="H7636">
            <v>0</v>
          </cell>
          <cell r="I7636">
            <v>0</v>
          </cell>
          <cell r="J7636">
            <v>0</v>
          </cell>
          <cell r="K7636">
            <v>4</v>
          </cell>
          <cell r="L7636">
            <v>0</v>
          </cell>
        </row>
        <row r="7637">
          <cell r="A7637" t="str">
            <v>20428.02162</v>
          </cell>
          <cell r="B7637" t="str">
            <v>TURBINE DE DECHARGE</v>
          </cell>
          <cell r="C7637" t="str">
            <v>NC 200-150-600 SERIE 06.5296.001PO/004PO REP 604</v>
          </cell>
          <cell r="D7637" t="str">
            <v>PE</v>
          </cell>
          <cell r="E7637" t="str">
            <v>515.51503</v>
          </cell>
          <cell r="F7637">
            <v>32111.255499999999</v>
          </cell>
          <cell r="G7637">
            <v>0</v>
          </cell>
          <cell r="H7637">
            <v>0</v>
          </cell>
          <cell r="I7637">
            <v>0</v>
          </cell>
          <cell r="J7637">
            <v>0</v>
          </cell>
          <cell r="K7637">
            <v>0</v>
          </cell>
          <cell r="L7637">
            <v>1</v>
          </cell>
        </row>
        <row r="7638">
          <cell r="A7638" t="str">
            <v>20428.02163</v>
          </cell>
          <cell r="B7638" t="str">
            <v>BAGUE LANTERNE</v>
          </cell>
          <cell r="C7638" t="str">
            <v>NC 200-150-600 SERIE 06.5296.001PO/004PO REP 458</v>
          </cell>
          <cell r="D7638" t="str">
            <v>PE</v>
          </cell>
          <cell r="E7638" t="str">
            <v>515.51503</v>
          </cell>
          <cell r="F7638">
            <v>6846.4295000000002</v>
          </cell>
          <cell r="G7638">
            <v>0</v>
          </cell>
          <cell r="H7638">
            <v>0</v>
          </cell>
          <cell r="I7638">
            <v>0</v>
          </cell>
          <cell r="J7638">
            <v>0</v>
          </cell>
          <cell r="K7638">
            <v>0</v>
          </cell>
          <cell r="L7638">
            <v>1</v>
          </cell>
        </row>
        <row r="7639">
          <cell r="A7639" t="str">
            <v>20428.02164</v>
          </cell>
          <cell r="B7639" t="str">
            <v>ECROU DE ROUE</v>
          </cell>
          <cell r="C7639" t="str">
            <v>NC 200-150-600 SERIE 06.5296.001PO/004PO REP 260</v>
          </cell>
          <cell r="D7639" t="str">
            <v>PE</v>
          </cell>
          <cell r="E7639" t="str">
            <v>515.51503</v>
          </cell>
          <cell r="F7639">
            <v>3822.7782000000002</v>
          </cell>
          <cell r="G7639">
            <v>0</v>
          </cell>
          <cell r="H7639">
            <v>0</v>
          </cell>
          <cell r="I7639">
            <v>0</v>
          </cell>
          <cell r="J7639">
            <v>0</v>
          </cell>
          <cell r="K7639">
            <v>0</v>
          </cell>
          <cell r="L7639">
            <v>3</v>
          </cell>
        </row>
        <row r="7640">
          <cell r="A7640" t="str">
            <v>20428.02165</v>
          </cell>
          <cell r="B7640" t="str">
            <v>DEFLECTEUR</v>
          </cell>
          <cell r="C7640" t="str">
            <v>NC 200-150-600 SERIE 06.5296.001PO/004PO REP 270</v>
          </cell>
          <cell r="D7640" t="str">
            <v>PE</v>
          </cell>
          <cell r="E7640" t="str">
            <v>515.51503</v>
          </cell>
          <cell r="F7640">
            <v>7530.7142999999996</v>
          </cell>
          <cell r="G7640">
            <v>0</v>
          </cell>
          <cell r="H7640">
            <v>0</v>
          </cell>
          <cell r="I7640">
            <v>0</v>
          </cell>
          <cell r="J7640">
            <v>0</v>
          </cell>
          <cell r="K7640">
            <v>0</v>
          </cell>
          <cell r="L7640">
            <v>1</v>
          </cell>
        </row>
        <row r="7641">
          <cell r="A7641" t="str">
            <v>20428.02166</v>
          </cell>
          <cell r="B7641" t="str">
            <v>JEU DE JOINT</v>
          </cell>
          <cell r="C7641" t="str">
            <v>VRN 20 SERIE 06.5073001PO REP J1-J2-J3-J4-J5 et T1-T2-T3-T4-T5-T6 et F1-F2</v>
          </cell>
          <cell r="D7641" t="str">
            <v>JE</v>
          </cell>
          <cell r="E7641" t="str">
            <v>515.51503</v>
          </cell>
          <cell r="F7641">
            <v>6655.6052</v>
          </cell>
          <cell r="G7641">
            <v>0</v>
          </cell>
          <cell r="H7641">
            <v>0</v>
          </cell>
          <cell r="I7641">
            <v>1</v>
          </cell>
          <cell r="J7641">
            <v>1</v>
          </cell>
          <cell r="K7641">
            <v>0</v>
          </cell>
          <cell r="L7641">
            <v>1</v>
          </cell>
        </row>
        <row r="7642">
          <cell r="A7642" t="str">
            <v>20211.07000</v>
          </cell>
          <cell r="B7642" t="str">
            <v>VIS DE SERRAGE</v>
          </cell>
          <cell r="C7642" t="str">
            <v>PLAN   ZG052978.1   REP18   SECTION 1MAA10AA051</v>
          </cell>
          <cell r="D7642" t="str">
            <v>PE</v>
          </cell>
          <cell r="E7642" t="str">
            <v>512.51201</v>
          </cell>
          <cell r="F7642">
            <v>533</v>
          </cell>
          <cell r="G7642">
            <v>0</v>
          </cell>
          <cell r="H7642">
            <v>0</v>
          </cell>
          <cell r="I7642">
            <v>0</v>
          </cell>
          <cell r="J7642">
            <v>0</v>
          </cell>
          <cell r="K7642">
            <v>0</v>
          </cell>
          <cell r="L7642">
            <v>4</v>
          </cell>
        </row>
        <row r="7643">
          <cell r="A7643" t="str">
            <v>20428.02170</v>
          </cell>
          <cell r="B7643" t="str">
            <v>LANTERNE</v>
          </cell>
          <cell r="C7643" t="str">
            <v>VRN 20 SERIE 06.5073001PO REP 77</v>
          </cell>
          <cell r="D7643" t="str">
            <v>PE</v>
          </cell>
          <cell r="E7643" t="str">
            <v>515.51503</v>
          </cell>
          <cell r="F7643">
            <v>13681.4548</v>
          </cell>
          <cell r="G7643">
            <v>0</v>
          </cell>
          <cell r="H7643">
            <v>0</v>
          </cell>
          <cell r="I7643">
            <v>2</v>
          </cell>
          <cell r="J7643">
            <v>0</v>
          </cell>
          <cell r="K7643">
            <v>0</v>
          </cell>
          <cell r="L7643">
            <v>0</v>
          </cell>
        </row>
        <row r="7644">
          <cell r="A7644" t="str">
            <v>20428.02171</v>
          </cell>
          <cell r="B7644" t="str">
            <v>MEMBRANE</v>
          </cell>
          <cell r="C7644" t="str">
            <v>VRN 20 SERIE 06.5073001PO REP 248</v>
          </cell>
          <cell r="D7644" t="str">
            <v>PE</v>
          </cell>
          <cell r="E7644" t="str">
            <v>515.51503</v>
          </cell>
          <cell r="F7644">
            <v>1956.6563000000001</v>
          </cell>
          <cell r="G7644">
            <v>0</v>
          </cell>
          <cell r="H7644">
            <v>0</v>
          </cell>
          <cell r="I7644">
            <v>0</v>
          </cell>
          <cell r="J7644">
            <v>0</v>
          </cell>
          <cell r="K7644">
            <v>0</v>
          </cell>
          <cell r="L7644">
            <v>2</v>
          </cell>
        </row>
        <row r="7645">
          <cell r="A7645" t="str">
            <v>20428.02203</v>
          </cell>
          <cell r="B7645" t="str">
            <v>JEU DE JOINTS</v>
          </cell>
          <cell r="C7645" t="str">
            <v>VAP 24 CRW 50-32 SERIE 06.5296.016PO REP J1-J2-J3-J4-T1 et V1</v>
          </cell>
          <cell r="D7645" t="str">
            <v>JE</v>
          </cell>
          <cell r="E7645" t="str">
            <v>515.51503</v>
          </cell>
          <cell r="F7645">
            <v>3696.4074999999998</v>
          </cell>
          <cell r="G7645">
            <v>0</v>
          </cell>
          <cell r="H7645">
            <v>0</v>
          </cell>
          <cell r="I7645">
            <v>1</v>
          </cell>
          <cell r="J7645">
            <v>1</v>
          </cell>
          <cell r="K7645">
            <v>0</v>
          </cell>
          <cell r="L7645">
            <v>0</v>
          </cell>
        </row>
        <row r="7646">
          <cell r="A7646" t="str">
            <v>20428.02167</v>
          </cell>
          <cell r="B7646" t="str">
            <v>JEU DE TRESSES</v>
          </cell>
          <cell r="C7646" t="str">
            <v>VRN 20 SERIE 06.5073001PO REP 252</v>
          </cell>
          <cell r="D7646" t="str">
            <v>JE</v>
          </cell>
          <cell r="E7646" t="str">
            <v>515.51503</v>
          </cell>
          <cell r="F7646">
            <v>6081.1427000000003</v>
          </cell>
          <cell r="G7646">
            <v>0</v>
          </cell>
          <cell r="H7646">
            <v>0</v>
          </cell>
          <cell r="I7646">
            <v>0</v>
          </cell>
          <cell r="J7646">
            <v>0</v>
          </cell>
          <cell r="K7646">
            <v>0</v>
          </cell>
          <cell r="L7646">
            <v>3</v>
          </cell>
        </row>
        <row r="7647">
          <cell r="A7647" t="str">
            <v>20428.02168</v>
          </cell>
          <cell r="B7647" t="str">
            <v>CHEMISE D'ARBRE</v>
          </cell>
          <cell r="C7647" t="str">
            <v>VRN 20 SERIE 06.5073001PO REP 60</v>
          </cell>
          <cell r="D7647" t="str">
            <v>PE</v>
          </cell>
          <cell r="E7647" t="str">
            <v>515.51503</v>
          </cell>
          <cell r="F7647">
            <v>39438.127800000002</v>
          </cell>
          <cell r="G7647">
            <v>0</v>
          </cell>
          <cell r="H7647">
            <v>0</v>
          </cell>
          <cell r="I7647">
            <v>4</v>
          </cell>
          <cell r="J7647">
            <v>0</v>
          </cell>
          <cell r="K7647">
            <v>0</v>
          </cell>
          <cell r="L7647">
            <v>0</v>
          </cell>
        </row>
        <row r="7648">
          <cell r="A7648" t="str">
            <v>20428.02204</v>
          </cell>
          <cell r="B7648" t="str">
            <v>FLASQUE</v>
          </cell>
          <cell r="C7648" t="str">
            <v>VAP 24 CRW 50-32 SERIE 06.5296.016PO REP 73</v>
          </cell>
          <cell r="D7648" t="str">
            <v>PE</v>
          </cell>
          <cell r="E7648" t="str">
            <v>515.51503</v>
          </cell>
          <cell r="F7648">
            <v>39070.481800000001</v>
          </cell>
          <cell r="G7648">
            <v>0</v>
          </cell>
          <cell r="H7648">
            <v>0</v>
          </cell>
          <cell r="I7648">
            <v>0</v>
          </cell>
          <cell r="J7648">
            <v>0</v>
          </cell>
          <cell r="K7648">
            <v>0</v>
          </cell>
          <cell r="L7648">
            <v>1</v>
          </cell>
        </row>
        <row r="7649">
          <cell r="A7649" t="str">
            <v>20428.02205</v>
          </cell>
          <cell r="B7649" t="str">
            <v>ROUE</v>
          </cell>
          <cell r="C7649" t="str">
            <v>VAP 24 CRW 50-32 SERIE 06.5296.016PO REP 55</v>
          </cell>
          <cell r="D7649" t="str">
            <v>PE</v>
          </cell>
          <cell r="E7649" t="str">
            <v>515.51503</v>
          </cell>
          <cell r="F7649">
            <v>43522.653599999998</v>
          </cell>
          <cell r="G7649">
            <v>0</v>
          </cell>
          <cell r="H7649">
            <v>0</v>
          </cell>
          <cell r="I7649">
            <v>0</v>
          </cell>
          <cell r="J7649">
            <v>0</v>
          </cell>
          <cell r="K7649">
            <v>1</v>
          </cell>
          <cell r="L7649">
            <v>1</v>
          </cell>
        </row>
        <row r="7650">
          <cell r="A7650" t="str">
            <v>20211.07001</v>
          </cell>
          <cell r="B7650" t="str">
            <v>GOUPILLE</v>
          </cell>
          <cell r="C7650" t="str">
            <v>PLAN  ZG052978.1  REP19   SECTION 1MAA10AA051</v>
          </cell>
          <cell r="D7650" t="str">
            <v>PE</v>
          </cell>
          <cell r="E7650" t="str">
            <v>512.51201</v>
          </cell>
          <cell r="F7650">
            <v>761</v>
          </cell>
          <cell r="G7650">
            <v>0</v>
          </cell>
          <cell r="H7650">
            <v>0</v>
          </cell>
          <cell r="I7650">
            <v>0</v>
          </cell>
          <cell r="J7650">
            <v>0</v>
          </cell>
          <cell r="K7650">
            <v>0</v>
          </cell>
          <cell r="L7650">
            <v>4</v>
          </cell>
        </row>
        <row r="7651">
          <cell r="A7651" t="str">
            <v>20428.02685</v>
          </cell>
          <cell r="B7651" t="str">
            <v>BOITE A BOURRAGE</v>
          </cell>
          <cell r="C7651" t="str">
            <v>EMTECH 40-315K   PLAN N°: SEC 04.21938 REP: 73</v>
          </cell>
          <cell r="D7651" t="str">
            <v>PE</v>
          </cell>
          <cell r="E7651" t="str">
            <v>515.51503</v>
          </cell>
          <cell r="F7651">
            <v>31176.731</v>
          </cell>
          <cell r="G7651">
            <v>0</v>
          </cell>
          <cell r="H7651">
            <v>0</v>
          </cell>
          <cell r="I7651">
            <v>0</v>
          </cell>
          <cell r="J7651">
            <v>0</v>
          </cell>
          <cell r="K7651">
            <v>0</v>
          </cell>
          <cell r="L7651">
            <v>2</v>
          </cell>
        </row>
        <row r="7652">
          <cell r="A7652" t="str">
            <v>20428.02915</v>
          </cell>
          <cell r="B7652" t="str">
            <v>CORPS DE POMPE</v>
          </cell>
          <cell r="C7652" t="str">
            <v>NCE50-32  PLAN FA 21402    REP51</v>
          </cell>
          <cell r="D7652" t="str">
            <v>PE</v>
          </cell>
          <cell r="E7652" t="str">
            <v>515.51503</v>
          </cell>
          <cell r="F7652">
            <v>32815.876400000001</v>
          </cell>
          <cell r="G7652">
            <v>0</v>
          </cell>
          <cell r="H7652">
            <v>0</v>
          </cell>
          <cell r="I7652">
            <v>0</v>
          </cell>
          <cell r="J7652">
            <v>0</v>
          </cell>
          <cell r="K7652">
            <v>0</v>
          </cell>
          <cell r="L7652">
            <v>1</v>
          </cell>
        </row>
        <row r="7653">
          <cell r="A7653" t="str">
            <v>20428.02987</v>
          </cell>
          <cell r="B7653" t="str">
            <v>CORPS DE POMPE</v>
          </cell>
          <cell r="C7653" t="str">
            <v>PLRD80-40  PLAN FA 21965    REP51</v>
          </cell>
          <cell r="D7653" t="str">
            <v>PE</v>
          </cell>
          <cell r="E7653" t="str">
            <v>515.51503</v>
          </cell>
          <cell r="F7653">
            <v>79823.938899999994</v>
          </cell>
          <cell r="G7653">
            <v>0</v>
          </cell>
          <cell r="H7653">
            <v>0</v>
          </cell>
          <cell r="I7653">
            <v>0</v>
          </cell>
          <cell r="J7653">
            <v>0</v>
          </cell>
          <cell r="K7653">
            <v>0</v>
          </cell>
          <cell r="L7653">
            <v>2</v>
          </cell>
        </row>
        <row r="7654">
          <cell r="A7654" t="str">
            <v>20428.02240</v>
          </cell>
          <cell r="B7654" t="str">
            <v>COUVERCLE DE ROUE</v>
          </cell>
          <cell r="C7654" t="str">
            <v>CHARK 1200 GV SERIE 06.5030001PO REP 58</v>
          </cell>
          <cell r="D7654" t="str">
            <v>PE</v>
          </cell>
          <cell r="E7654" t="str">
            <v>515.51503</v>
          </cell>
          <cell r="F7654">
            <v>23495.42</v>
          </cell>
          <cell r="G7654">
            <v>0</v>
          </cell>
          <cell r="H7654">
            <v>0</v>
          </cell>
          <cell r="I7654">
            <v>0</v>
          </cell>
          <cell r="J7654">
            <v>0</v>
          </cell>
          <cell r="K7654">
            <v>0</v>
          </cell>
          <cell r="L7654">
            <v>2</v>
          </cell>
        </row>
        <row r="7655">
          <cell r="A7655" t="str">
            <v>20428.02241</v>
          </cell>
          <cell r="B7655" t="str">
            <v>ROUE</v>
          </cell>
          <cell r="C7655" t="str">
            <v>NCE 150.26A N° 065089008PO1 REP 55 REF ROUF0054AA03U55</v>
          </cell>
          <cell r="D7655" t="str">
            <v>PE</v>
          </cell>
          <cell r="E7655" t="str">
            <v>515.51503</v>
          </cell>
          <cell r="F7655">
            <v>45805.665699999998</v>
          </cell>
          <cell r="G7655">
            <v>0</v>
          </cell>
          <cell r="H7655">
            <v>0</v>
          </cell>
          <cell r="I7655">
            <v>0</v>
          </cell>
          <cell r="J7655">
            <v>0</v>
          </cell>
          <cell r="K7655">
            <v>0</v>
          </cell>
          <cell r="L7655">
            <v>1</v>
          </cell>
        </row>
        <row r="7656">
          <cell r="A7656" t="str">
            <v>20428.02242</v>
          </cell>
          <cell r="B7656" t="str">
            <v>ECROU DE ROUE</v>
          </cell>
          <cell r="C7656" t="str">
            <v>NCE 150.26 N° 065089008PO1 REP 58  REF ECRS0070-00U45</v>
          </cell>
          <cell r="D7656" t="str">
            <v>PE</v>
          </cell>
          <cell r="E7656" t="str">
            <v>515.51503</v>
          </cell>
          <cell r="F7656">
            <v>7519.2049999999999</v>
          </cell>
          <cell r="G7656">
            <v>0</v>
          </cell>
          <cell r="H7656">
            <v>0</v>
          </cell>
          <cell r="I7656">
            <v>0</v>
          </cell>
          <cell r="J7656">
            <v>0</v>
          </cell>
          <cell r="K7656">
            <v>0</v>
          </cell>
          <cell r="L7656">
            <v>2</v>
          </cell>
        </row>
        <row r="7657">
          <cell r="A7657" t="str">
            <v>20428.02243</v>
          </cell>
          <cell r="B7657" t="str">
            <v>CHEMISE D'ARBRE</v>
          </cell>
          <cell r="C7657" t="str">
            <v>NCE 150.26 N° 065089008PO1 REP 60  REF CHEE0066-23/6L</v>
          </cell>
          <cell r="D7657" t="str">
            <v>PE</v>
          </cell>
          <cell r="E7657" t="str">
            <v>515.51503</v>
          </cell>
          <cell r="F7657">
            <v>14609.7973</v>
          </cell>
          <cell r="G7657">
            <v>0</v>
          </cell>
          <cell r="H7657">
            <v>0</v>
          </cell>
          <cell r="I7657">
            <v>0</v>
          </cell>
          <cell r="J7657">
            <v>0</v>
          </cell>
          <cell r="K7657">
            <v>0</v>
          </cell>
          <cell r="L7657">
            <v>2</v>
          </cell>
        </row>
        <row r="7658">
          <cell r="A7658" t="str">
            <v>20428.02244</v>
          </cell>
          <cell r="B7658" t="str">
            <v>CERCLE D'USURE</v>
          </cell>
          <cell r="C7658" t="str">
            <v>NCE 150.26 N° 065089008PO1 REP 67 REF CERL0045AA02U45</v>
          </cell>
          <cell r="D7658" t="str">
            <v>PE</v>
          </cell>
          <cell r="E7658" t="str">
            <v>515.51503</v>
          </cell>
          <cell r="F7658">
            <v>10489.703</v>
          </cell>
          <cell r="G7658">
            <v>0</v>
          </cell>
          <cell r="H7658">
            <v>0</v>
          </cell>
          <cell r="I7658">
            <v>0</v>
          </cell>
          <cell r="J7658">
            <v>0</v>
          </cell>
          <cell r="K7658">
            <v>0</v>
          </cell>
          <cell r="L7658">
            <v>2</v>
          </cell>
        </row>
        <row r="7659">
          <cell r="A7659" t="str">
            <v>20428.02239</v>
          </cell>
          <cell r="B7659" t="str">
            <v>ROUE</v>
          </cell>
          <cell r="C7659" t="str">
            <v>CHARK 1200 GV SERIE 06.5030001PO REP 55</v>
          </cell>
          <cell r="D7659" t="str">
            <v>PE</v>
          </cell>
          <cell r="E7659" t="str">
            <v>515.51503</v>
          </cell>
          <cell r="F7659">
            <v>761329.76850000001</v>
          </cell>
          <cell r="G7659">
            <v>1</v>
          </cell>
          <cell r="H7659">
            <v>0</v>
          </cell>
          <cell r="I7659">
            <v>1</v>
          </cell>
          <cell r="J7659">
            <v>0</v>
          </cell>
          <cell r="K7659">
            <v>1</v>
          </cell>
          <cell r="L7659">
            <v>0</v>
          </cell>
        </row>
        <row r="7660">
          <cell r="A7660" t="str">
            <v>20428.02293</v>
          </cell>
          <cell r="B7660" t="str">
            <v>JEU DE CERCLE FEMELLE</v>
          </cell>
          <cell r="C7660" t="str">
            <v>500VE 470.54/1R N° 065089005PO REP 67.68 REF: 116775006PC003</v>
          </cell>
          <cell r="D7660" t="str">
            <v>PE</v>
          </cell>
          <cell r="E7660" t="str">
            <v>515.51503</v>
          </cell>
          <cell r="F7660">
            <v>48410.313399999999</v>
          </cell>
          <cell r="G7660">
            <v>0</v>
          </cell>
          <cell r="H7660">
            <v>0</v>
          </cell>
          <cell r="I7660">
            <v>0</v>
          </cell>
          <cell r="J7660">
            <v>0</v>
          </cell>
          <cell r="K7660">
            <v>0</v>
          </cell>
          <cell r="L7660">
            <v>3</v>
          </cell>
        </row>
        <row r="7661">
          <cell r="A7661" t="str">
            <v>20428.02250</v>
          </cell>
          <cell r="B7661" t="str">
            <v>JEU DE JOINT</v>
          </cell>
          <cell r="C7661" t="str">
            <v>NCE 250.40 N° 065089004PO1 REP T1.T2.T5.T6.T17.J2.J3 REF 116775003JJ</v>
          </cell>
          <cell r="D7661" t="str">
            <v>PE</v>
          </cell>
          <cell r="E7661" t="str">
            <v>515.51503</v>
          </cell>
          <cell r="F7661">
            <v>3861.4780000000001</v>
          </cell>
          <cell r="G7661">
            <v>0</v>
          </cell>
          <cell r="H7661">
            <v>0</v>
          </cell>
          <cell r="I7661">
            <v>0</v>
          </cell>
          <cell r="J7661">
            <v>0</v>
          </cell>
          <cell r="K7661">
            <v>0</v>
          </cell>
          <cell r="L7661">
            <v>2</v>
          </cell>
        </row>
        <row r="7662">
          <cell r="A7662" t="str">
            <v>20428.02251</v>
          </cell>
          <cell r="B7662" t="str">
            <v>ROUE</v>
          </cell>
          <cell r="C7662" t="str">
            <v>500VE 470.54/2R N° 065089006PO REP 55A  REF 116775003PC</v>
          </cell>
          <cell r="D7662" t="str">
            <v>PE</v>
          </cell>
          <cell r="E7662" t="str">
            <v>515.51503</v>
          </cell>
          <cell r="F7662">
            <v>178782.45</v>
          </cell>
          <cell r="G7662">
            <v>0</v>
          </cell>
          <cell r="H7662">
            <v>0</v>
          </cell>
          <cell r="I7662">
            <v>0</v>
          </cell>
          <cell r="J7662">
            <v>0</v>
          </cell>
          <cell r="K7662">
            <v>0</v>
          </cell>
          <cell r="L7662">
            <v>1</v>
          </cell>
        </row>
        <row r="7663">
          <cell r="A7663" t="str">
            <v>20428.02252</v>
          </cell>
          <cell r="B7663" t="str">
            <v>ECROU DE ROUE</v>
          </cell>
          <cell r="C7663" t="str">
            <v>500VE 470.54/2R N° 065089006PO REP 58 REF ECRS0141-01U45</v>
          </cell>
          <cell r="D7663" t="str">
            <v>PE</v>
          </cell>
          <cell r="E7663" t="str">
            <v>515.51503</v>
          </cell>
          <cell r="F7663">
            <v>14688.2917</v>
          </cell>
          <cell r="G7663">
            <v>0</v>
          </cell>
          <cell r="H7663">
            <v>0</v>
          </cell>
          <cell r="I7663">
            <v>0</v>
          </cell>
          <cell r="J7663">
            <v>0</v>
          </cell>
          <cell r="K7663">
            <v>0</v>
          </cell>
          <cell r="L7663">
            <v>2</v>
          </cell>
        </row>
        <row r="7664">
          <cell r="A7664" t="str">
            <v>20428.02253</v>
          </cell>
          <cell r="B7664" t="str">
            <v>JEU DE CHEMISE</v>
          </cell>
          <cell r="C7664" t="str">
            <v>500VE 470.54/2R N° 065089006PO REP 60.60A.60B REF 116775003PC001</v>
          </cell>
          <cell r="D7664" t="str">
            <v>PE</v>
          </cell>
          <cell r="E7664" t="str">
            <v>515.51503</v>
          </cell>
          <cell r="F7664">
            <v>52108.553699999997</v>
          </cell>
          <cell r="G7664">
            <v>1</v>
          </cell>
          <cell r="H7664">
            <v>0</v>
          </cell>
          <cell r="I7664">
            <v>0</v>
          </cell>
          <cell r="J7664">
            <v>1</v>
          </cell>
          <cell r="K7664">
            <v>1</v>
          </cell>
          <cell r="L7664">
            <v>0</v>
          </cell>
        </row>
        <row r="7665">
          <cell r="A7665" t="str">
            <v>20428.02245</v>
          </cell>
          <cell r="B7665" t="str">
            <v>JEU DE JOINT</v>
          </cell>
          <cell r="C7665" t="str">
            <v>NCE 150.26 N° 065089008PO1 REP T1.T2.T16.T17.J2.J3.V1.V2 REF 116775001JJ</v>
          </cell>
          <cell r="D7665" t="str">
            <v>PE</v>
          </cell>
          <cell r="E7665" t="str">
            <v>515.51503</v>
          </cell>
          <cell r="F7665">
            <v>3277.8951000000002</v>
          </cell>
          <cell r="G7665">
            <v>0</v>
          </cell>
          <cell r="H7665">
            <v>0</v>
          </cell>
          <cell r="I7665">
            <v>0</v>
          </cell>
          <cell r="J7665">
            <v>0</v>
          </cell>
          <cell r="K7665">
            <v>0</v>
          </cell>
          <cell r="L7665">
            <v>2</v>
          </cell>
        </row>
        <row r="7666">
          <cell r="A7666" t="str">
            <v>20428.02246</v>
          </cell>
          <cell r="B7666" t="str">
            <v>ROUE</v>
          </cell>
          <cell r="C7666" t="str">
            <v>NCE 250.40 N° 065089004PO1 REP 55 REF ROUF0096AA01U55</v>
          </cell>
          <cell r="D7666" t="str">
            <v>PE</v>
          </cell>
          <cell r="E7666" t="str">
            <v>515.51503</v>
          </cell>
          <cell r="F7666">
            <v>52636.6734</v>
          </cell>
          <cell r="G7666">
            <v>0</v>
          </cell>
          <cell r="H7666">
            <v>0</v>
          </cell>
          <cell r="I7666">
            <v>0</v>
          </cell>
          <cell r="J7666">
            <v>0</v>
          </cell>
          <cell r="K7666">
            <v>0</v>
          </cell>
          <cell r="L7666">
            <v>1</v>
          </cell>
        </row>
        <row r="7667">
          <cell r="A7667" t="str">
            <v>20428.02247</v>
          </cell>
          <cell r="B7667" t="str">
            <v>ECROU DE ROUE</v>
          </cell>
          <cell r="C7667" t="str">
            <v>NCE 250.40 N° 065089004PO1 REP 58 REF ECRS0093-02U45</v>
          </cell>
          <cell r="D7667" t="str">
            <v>PE</v>
          </cell>
          <cell r="E7667" t="str">
            <v>515.51503</v>
          </cell>
          <cell r="F7667">
            <v>10556.938399999999</v>
          </cell>
          <cell r="G7667">
            <v>0</v>
          </cell>
          <cell r="H7667">
            <v>0</v>
          </cell>
          <cell r="I7667">
            <v>0</v>
          </cell>
          <cell r="J7667">
            <v>0</v>
          </cell>
          <cell r="K7667">
            <v>0</v>
          </cell>
          <cell r="L7667">
            <v>2</v>
          </cell>
        </row>
        <row r="7668">
          <cell r="A7668" t="str">
            <v>20428.02248</v>
          </cell>
          <cell r="B7668" t="str">
            <v>CHEMISE D'ARBRE</v>
          </cell>
          <cell r="C7668" t="str">
            <v>NCE 250.40 N° 065089004PO1 REP 60 REF CHEE0226-06/6L</v>
          </cell>
          <cell r="D7668" t="str">
            <v>PE</v>
          </cell>
          <cell r="E7668" t="str">
            <v>515.51503</v>
          </cell>
          <cell r="F7668">
            <v>20904.505799999999</v>
          </cell>
          <cell r="G7668">
            <v>0</v>
          </cell>
          <cell r="H7668">
            <v>0</v>
          </cell>
          <cell r="I7668">
            <v>0</v>
          </cell>
          <cell r="J7668">
            <v>0</v>
          </cell>
          <cell r="K7668">
            <v>0</v>
          </cell>
          <cell r="L7668">
            <v>2</v>
          </cell>
        </row>
        <row r="7669">
          <cell r="A7669" t="str">
            <v>20428.02249</v>
          </cell>
          <cell r="B7669" t="str">
            <v>CERCLE D'USURE</v>
          </cell>
          <cell r="C7669" t="str">
            <v>NCE 250.40 N° 065089004PO1 REP 67 REF CERZF 103AU45</v>
          </cell>
          <cell r="D7669" t="str">
            <v>PE</v>
          </cell>
          <cell r="E7669" t="str">
            <v>515.51503</v>
          </cell>
          <cell r="F7669">
            <v>22313.761600000002</v>
          </cell>
          <cell r="G7669">
            <v>0</v>
          </cell>
          <cell r="H7669">
            <v>0</v>
          </cell>
          <cell r="I7669">
            <v>0</v>
          </cell>
          <cell r="J7669">
            <v>0</v>
          </cell>
          <cell r="K7669">
            <v>0</v>
          </cell>
          <cell r="L7669">
            <v>2</v>
          </cell>
        </row>
        <row r="7670">
          <cell r="A7670" t="str">
            <v>20428.02258</v>
          </cell>
          <cell r="B7670" t="str">
            <v>ECROU DE REGLAGE PALIER</v>
          </cell>
          <cell r="C7670" t="str">
            <v>500VE 470.54/2R N° 065089006PO REP 92A REF ECRS0095-00AC2</v>
          </cell>
          <cell r="D7670" t="str">
            <v>PE</v>
          </cell>
          <cell r="E7670" t="str">
            <v>515.51503</v>
          </cell>
          <cell r="F7670">
            <v>16290.21</v>
          </cell>
          <cell r="G7670">
            <v>0</v>
          </cell>
          <cell r="H7670">
            <v>0</v>
          </cell>
          <cell r="I7670">
            <v>0</v>
          </cell>
          <cell r="J7670">
            <v>0</v>
          </cell>
          <cell r="K7670">
            <v>0</v>
          </cell>
          <cell r="L7670">
            <v>2</v>
          </cell>
        </row>
        <row r="7671">
          <cell r="A7671" t="str">
            <v>20428.02259</v>
          </cell>
          <cell r="B7671" t="str">
            <v>ECROU DE SERRAGE RULEMENT</v>
          </cell>
          <cell r="C7671" t="str">
            <v>500VE 470.54/2R N° 065089006PO REP 92 REF RLKM26</v>
          </cell>
          <cell r="D7671" t="str">
            <v>PE</v>
          </cell>
          <cell r="E7671" t="str">
            <v>515.51503</v>
          </cell>
          <cell r="F7671">
            <v>1502.3942</v>
          </cell>
          <cell r="G7671">
            <v>0</v>
          </cell>
          <cell r="H7671">
            <v>0</v>
          </cell>
          <cell r="I7671">
            <v>0</v>
          </cell>
          <cell r="J7671">
            <v>0</v>
          </cell>
          <cell r="K7671">
            <v>0</v>
          </cell>
          <cell r="L7671">
            <v>3</v>
          </cell>
        </row>
        <row r="7672">
          <cell r="A7672" t="str">
            <v>20428.02260</v>
          </cell>
          <cell r="B7672" t="str">
            <v>BAGUE SUPPORT ROULEMENT</v>
          </cell>
          <cell r="C7672" t="str">
            <v>500VE 470.54/2R N° 065089006PO REP 17 REF CHEE0112-02AC2</v>
          </cell>
          <cell r="D7672" t="str">
            <v>PE</v>
          </cell>
          <cell r="E7672" t="str">
            <v>515.51503</v>
          </cell>
          <cell r="F7672">
            <v>18035.5065</v>
          </cell>
          <cell r="G7672">
            <v>0</v>
          </cell>
          <cell r="H7672">
            <v>0</v>
          </cell>
          <cell r="I7672">
            <v>0</v>
          </cell>
          <cell r="J7672">
            <v>0</v>
          </cell>
          <cell r="K7672">
            <v>1</v>
          </cell>
          <cell r="L7672">
            <v>0</v>
          </cell>
        </row>
        <row r="7673">
          <cell r="A7673" t="str">
            <v>20428.02261</v>
          </cell>
          <cell r="B7673" t="str">
            <v>RONDELLE</v>
          </cell>
          <cell r="C7673" t="str">
            <v>500VE 470.54/2R N° 065089006PO REP S1 REF RLMB26</v>
          </cell>
          <cell r="D7673" t="str">
            <v>PE</v>
          </cell>
          <cell r="E7673" t="str">
            <v>515.51503</v>
          </cell>
          <cell r="F7673">
            <v>750.90219999999999</v>
          </cell>
          <cell r="G7673">
            <v>0</v>
          </cell>
          <cell r="H7673">
            <v>0</v>
          </cell>
          <cell r="I7673">
            <v>0</v>
          </cell>
          <cell r="J7673">
            <v>0</v>
          </cell>
          <cell r="K7673">
            <v>0</v>
          </cell>
          <cell r="L7673">
            <v>3</v>
          </cell>
        </row>
        <row r="7674">
          <cell r="A7674" t="str">
            <v>20428.02254</v>
          </cell>
          <cell r="B7674" t="str">
            <v>JEU DE CERCLE D'USURE FEMELLE</v>
          </cell>
          <cell r="C7674" t="str">
            <v>500VE 470.54/2R N° 065089006PO REP 67.68 REF 116775003PC002</v>
          </cell>
          <cell r="D7674" t="str">
            <v>PE</v>
          </cell>
          <cell r="E7674" t="str">
            <v>515.51503</v>
          </cell>
          <cell r="F7674">
            <v>107283.5048</v>
          </cell>
          <cell r="G7674">
            <v>0</v>
          </cell>
          <cell r="H7674">
            <v>0</v>
          </cell>
          <cell r="I7674">
            <v>0</v>
          </cell>
          <cell r="J7674">
            <v>0</v>
          </cell>
          <cell r="K7674">
            <v>0</v>
          </cell>
          <cell r="L7674">
            <v>2</v>
          </cell>
        </row>
        <row r="7675">
          <cell r="A7675" t="str">
            <v>20428.02255</v>
          </cell>
          <cell r="B7675" t="str">
            <v>JEU DE CERCLE D'USURE MALE</v>
          </cell>
          <cell r="C7675" t="str">
            <v>500VE 470.54/2R N° 065089006PO REP 70.71 REF 116775003PC003</v>
          </cell>
          <cell r="D7675" t="str">
            <v>PE</v>
          </cell>
          <cell r="E7675" t="str">
            <v>515.51503</v>
          </cell>
          <cell r="F7675">
            <v>91605.952799999999</v>
          </cell>
          <cell r="G7675">
            <v>0</v>
          </cell>
          <cell r="H7675">
            <v>0</v>
          </cell>
          <cell r="I7675">
            <v>0</v>
          </cell>
          <cell r="J7675">
            <v>0</v>
          </cell>
          <cell r="K7675">
            <v>0</v>
          </cell>
          <cell r="L7675">
            <v>2</v>
          </cell>
        </row>
        <row r="7676">
          <cell r="A7676" t="str">
            <v>20428.02256</v>
          </cell>
          <cell r="B7676" t="str">
            <v>JEU DE JOINT</v>
          </cell>
          <cell r="C7676" t="str">
            <v>500VE 470.54/2R N° 065089006PO REP T1.T2.T3T4 REF 116775003PC004</v>
          </cell>
          <cell r="D7676" t="str">
            <v>PE</v>
          </cell>
          <cell r="E7676" t="str">
            <v>515.51503</v>
          </cell>
          <cell r="F7676">
            <v>12256.584999999999</v>
          </cell>
          <cell r="G7676">
            <v>0</v>
          </cell>
          <cell r="H7676">
            <v>0</v>
          </cell>
          <cell r="I7676">
            <v>0</v>
          </cell>
          <cell r="J7676">
            <v>0</v>
          </cell>
          <cell r="K7676">
            <v>0</v>
          </cell>
          <cell r="L7676">
            <v>3</v>
          </cell>
        </row>
        <row r="7677">
          <cell r="A7677" t="str">
            <v>20428.02257</v>
          </cell>
          <cell r="B7677" t="str">
            <v>BAGUE DE FOND</v>
          </cell>
          <cell r="C7677" t="str">
            <v>500VE 470.54/2R N° 065089006PO REP 10 REF BAGF0122-01U45</v>
          </cell>
          <cell r="D7677" t="str">
            <v>PE</v>
          </cell>
          <cell r="E7677" t="str">
            <v>515.51503</v>
          </cell>
          <cell r="F7677">
            <v>11249.33</v>
          </cell>
          <cell r="G7677">
            <v>0</v>
          </cell>
          <cell r="H7677">
            <v>0</v>
          </cell>
          <cell r="I7677">
            <v>0</v>
          </cell>
          <cell r="J7677">
            <v>0</v>
          </cell>
          <cell r="K7677">
            <v>1</v>
          </cell>
          <cell r="L7677">
            <v>2</v>
          </cell>
        </row>
        <row r="7678">
          <cell r="A7678" t="str">
            <v>20428.09566</v>
          </cell>
          <cell r="B7678" t="str">
            <v xml:space="preserve">PALIER </v>
          </cell>
          <cell r="C7678" t="str">
            <v>EMTECH 40-315K PLAN F101-24-0400 REP 1</v>
          </cell>
          <cell r="D7678" t="str">
            <v>PE</v>
          </cell>
          <cell r="E7678" t="str">
            <v>515.51503</v>
          </cell>
          <cell r="F7678">
            <v>6931.2067999999999</v>
          </cell>
          <cell r="G7678">
            <v>0</v>
          </cell>
          <cell r="H7678">
            <v>0</v>
          </cell>
          <cell r="I7678">
            <v>0</v>
          </cell>
          <cell r="J7678">
            <v>0</v>
          </cell>
          <cell r="K7678">
            <v>0</v>
          </cell>
          <cell r="L7678">
            <v>1</v>
          </cell>
        </row>
        <row r="7679">
          <cell r="A7679" t="str">
            <v>20428.09567</v>
          </cell>
          <cell r="B7679" t="str">
            <v xml:space="preserve">BEQUILLE </v>
          </cell>
          <cell r="C7679" t="str">
            <v>EMTECH 40-315K PLAN F101-24-0400 REP 109</v>
          </cell>
          <cell r="D7679" t="str">
            <v>PE</v>
          </cell>
          <cell r="E7679" t="str">
            <v>515.51503</v>
          </cell>
          <cell r="F7679">
            <v>893.59029999999996</v>
          </cell>
          <cell r="G7679">
            <v>0</v>
          </cell>
          <cell r="H7679">
            <v>0</v>
          </cell>
          <cell r="I7679">
            <v>0</v>
          </cell>
          <cell r="J7679">
            <v>0</v>
          </cell>
          <cell r="K7679">
            <v>0</v>
          </cell>
          <cell r="L7679">
            <v>1</v>
          </cell>
        </row>
        <row r="7680">
          <cell r="A7680" t="str">
            <v>20428.09568</v>
          </cell>
          <cell r="B7680" t="str">
            <v xml:space="preserve">COUVERCLE GM </v>
          </cell>
          <cell r="C7680" t="str">
            <v>EMTECH 40-315K PLAN F101-24-0400 REP 43A</v>
          </cell>
          <cell r="D7680" t="str">
            <v>PE</v>
          </cell>
          <cell r="E7680" t="str">
            <v>515.51503</v>
          </cell>
          <cell r="F7680">
            <v>6122.8137999999999</v>
          </cell>
          <cell r="G7680">
            <v>0</v>
          </cell>
          <cell r="H7680">
            <v>0</v>
          </cell>
          <cell r="I7680">
            <v>1</v>
          </cell>
          <cell r="J7680">
            <v>0</v>
          </cell>
          <cell r="K7680">
            <v>0</v>
          </cell>
          <cell r="L7680">
            <v>0</v>
          </cell>
        </row>
        <row r="7681">
          <cell r="A7681" t="str">
            <v>20428.09569</v>
          </cell>
          <cell r="B7681" t="str">
            <v>GRAISSEUR VAP 14 EMTECH 40-315K PLAN SEC065296019 REP G</v>
          </cell>
          <cell r="C7681" t="str">
            <v>VAP 14 EMTECH 40-315K PLAN SEC065296019 REP G</v>
          </cell>
          <cell r="D7681" t="str">
            <v>PE</v>
          </cell>
          <cell r="E7681" t="str">
            <v>515.51503</v>
          </cell>
          <cell r="F7681">
            <v>66.381</v>
          </cell>
          <cell r="G7681">
            <v>0</v>
          </cell>
          <cell r="H7681">
            <v>0</v>
          </cell>
          <cell r="I7681">
            <v>0</v>
          </cell>
          <cell r="J7681">
            <v>0</v>
          </cell>
          <cell r="K7681">
            <v>0</v>
          </cell>
          <cell r="L7681">
            <v>1</v>
          </cell>
        </row>
        <row r="7682">
          <cell r="A7682" t="str">
            <v>20428.02988</v>
          </cell>
          <cell r="B7682" t="str">
            <v>BAGUE LANTERNE</v>
          </cell>
          <cell r="C7682" t="str">
            <v>PLRD80-40  PLAN FA 21965      REP77</v>
          </cell>
          <cell r="D7682" t="str">
            <v>PE</v>
          </cell>
          <cell r="E7682" t="str">
            <v>515.51503</v>
          </cell>
          <cell r="F7682">
            <v>6696.3496999999998</v>
          </cell>
          <cell r="G7682">
            <v>0</v>
          </cell>
          <cell r="H7682">
            <v>0</v>
          </cell>
          <cell r="I7682">
            <v>0</v>
          </cell>
          <cell r="J7682">
            <v>0</v>
          </cell>
          <cell r="K7682">
            <v>0</v>
          </cell>
          <cell r="L7682">
            <v>2</v>
          </cell>
        </row>
        <row r="7683">
          <cell r="A7683" t="str">
            <v>20428.02989</v>
          </cell>
          <cell r="B7683" t="str">
            <v>ECROU DE ROULEMENT</v>
          </cell>
          <cell r="C7683" t="str">
            <v>PLRD80-40   PLAN FA 21965     REP92</v>
          </cell>
          <cell r="D7683" t="str">
            <v>PE</v>
          </cell>
          <cell r="E7683" t="str">
            <v>515.51503</v>
          </cell>
          <cell r="F7683">
            <v>263.78300000000002</v>
          </cell>
          <cell r="G7683">
            <v>0</v>
          </cell>
          <cell r="H7683">
            <v>0</v>
          </cell>
          <cell r="I7683">
            <v>0</v>
          </cell>
          <cell r="J7683">
            <v>0</v>
          </cell>
          <cell r="K7683">
            <v>0</v>
          </cell>
          <cell r="L7683">
            <v>2</v>
          </cell>
        </row>
        <row r="7684">
          <cell r="A7684" t="str">
            <v>20428.02990</v>
          </cell>
          <cell r="B7684" t="str">
            <v>JEU DE TRESSES</v>
          </cell>
          <cell r="C7684" t="str">
            <v>PLRD80-40   PLAN FA 21965    REP252</v>
          </cell>
          <cell r="D7684" t="str">
            <v>PE</v>
          </cell>
          <cell r="E7684" t="str">
            <v>515.51503</v>
          </cell>
          <cell r="F7684">
            <v>1232.1351999999999</v>
          </cell>
          <cell r="G7684">
            <v>0</v>
          </cell>
          <cell r="H7684">
            <v>0</v>
          </cell>
          <cell r="I7684">
            <v>0</v>
          </cell>
          <cell r="J7684">
            <v>0</v>
          </cell>
          <cell r="K7684">
            <v>1</v>
          </cell>
          <cell r="L7684">
            <v>2</v>
          </cell>
        </row>
        <row r="7685">
          <cell r="A7685" t="str">
            <v>20428.02991</v>
          </cell>
          <cell r="B7685" t="str">
            <v>RONDELLE FREIN</v>
          </cell>
          <cell r="C7685" t="str">
            <v>PLRD80-40  PLAN FA 21965   REPS3</v>
          </cell>
          <cell r="D7685" t="str">
            <v>PE</v>
          </cell>
          <cell r="E7685" t="str">
            <v>515.51503</v>
          </cell>
          <cell r="F7685">
            <v>139.7116</v>
          </cell>
          <cell r="G7685">
            <v>0</v>
          </cell>
          <cell r="H7685">
            <v>0</v>
          </cell>
          <cell r="I7685">
            <v>0</v>
          </cell>
          <cell r="J7685">
            <v>0</v>
          </cell>
          <cell r="K7685">
            <v>1</v>
          </cell>
          <cell r="L7685">
            <v>1</v>
          </cell>
        </row>
        <row r="7686">
          <cell r="A7686" t="str">
            <v>20428.02992</v>
          </cell>
          <cell r="B7686" t="str">
            <v>CIRCLIPS</v>
          </cell>
          <cell r="C7686" t="str">
            <v>PLRD80-40   PLAN FA 21965     REPC1</v>
          </cell>
          <cell r="D7686" t="str">
            <v>PE</v>
          </cell>
          <cell r="E7686" t="str">
            <v>515.51503</v>
          </cell>
          <cell r="F7686">
            <v>356.63229999999999</v>
          </cell>
          <cell r="G7686">
            <v>0</v>
          </cell>
          <cell r="H7686">
            <v>0</v>
          </cell>
          <cell r="I7686">
            <v>0</v>
          </cell>
          <cell r="J7686">
            <v>0</v>
          </cell>
          <cell r="K7686">
            <v>0</v>
          </cell>
          <cell r="L7686">
            <v>2</v>
          </cell>
        </row>
        <row r="7687">
          <cell r="A7687" t="str">
            <v>20428.02993</v>
          </cell>
          <cell r="B7687" t="str">
            <v>JEU DE JOINTS</v>
          </cell>
          <cell r="C7687" t="str">
            <v>PLRD80-40   PLAN FA 21965       REPT5,T6,T7</v>
          </cell>
          <cell r="D7687" t="str">
            <v>PE</v>
          </cell>
          <cell r="E7687" t="str">
            <v>515.51503</v>
          </cell>
          <cell r="F7687">
            <v>8392.1635999999999</v>
          </cell>
          <cell r="G7687">
            <v>0</v>
          </cell>
          <cell r="H7687">
            <v>0</v>
          </cell>
          <cell r="I7687">
            <v>0</v>
          </cell>
          <cell r="J7687">
            <v>0</v>
          </cell>
          <cell r="K7687">
            <v>0</v>
          </cell>
          <cell r="L7687">
            <v>2</v>
          </cell>
        </row>
        <row r="7688">
          <cell r="A7688" t="str">
            <v>20428.02994</v>
          </cell>
          <cell r="B7688" t="str">
            <v>JOINT</v>
          </cell>
          <cell r="C7688" t="str">
            <v>PLRD80-40  PLAN FA 21965     REPT9</v>
          </cell>
          <cell r="D7688" t="str">
            <v>PE</v>
          </cell>
          <cell r="E7688" t="str">
            <v>515.51503</v>
          </cell>
          <cell r="F7688">
            <v>234.0026</v>
          </cell>
          <cell r="G7688">
            <v>0</v>
          </cell>
          <cell r="H7688">
            <v>0</v>
          </cell>
          <cell r="I7688">
            <v>0</v>
          </cell>
          <cell r="J7688">
            <v>0</v>
          </cell>
          <cell r="K7688">
            <v>0</v>
          </cell>
          <cell r="L7688">
            <v>1</v>
          </cell>
        </row>
        <row r="7689">
          <cell r="A7689" t="str">
            <v>20428.02995</v>
          </cell>
          <cell r="B7689" t="str">
            <v>JOINT</v>
          </cell>
          <cell r="C7689" t="str">
            <v>PLRD80-40  PLAN FA 21965     REPT10</v>
          </cell>
          <cell r="D7689" t="str">
            <v>PE</v>
          </cell>
          <cell r="E7689" t="str">
            <v>515.51503</v>
          </cell>
          <cell r="F7689">
            <v>234.0026</v>
          </cell>
          <cell r="G7689">
            <v>0</v>
          </cell>
          <cell r="H7689">
            <v>0</v>
          </cell>
          <cell r="I7689">
            <v>0</v>
          </cell>
          <cell r="J7689">
            <v>0</v>
          </cell>
          <cell r="K7689">
            <v>0</v>
          </cell>
          <cell r="L7689">
            <v>1</v>
          </cell>
        </row>
        <row r="7690">
          <cell r="A7690" t="str">
            <v>20428.02996</v>
          </cell>
          <cell r="B7690" t="str">
            <v>JOINT</v>
          </cell>
          <cell r="C7690" t="str">
            <v>PLRD80-40  PLAN FA 21965    REPT11</v>
          </cell>
          <cell r="D7690" t="str">
            <v>PE</v>
          </cell>
          <cell r="E7690" t="str">
            <v>515.51503</v>
          </cell>
          <cell r="F7690">
            <v>204.2602</v>
          </cell>
          <cell r="G7690">
            <v>0</v>
          </cell>
          <cell r="H7690">
            <v>0</v>
          </cell>
          <cell r="I7690">
            <v>0</v>
          </cell>
          <cell r="J7690">
            <v>0</v>
          </cell>
          <cell r="K7690">
            <v>0</v>
          </cell>
          <cell r="L7690">
            <v>1</v>
          </cell>
        </row>
        <row r="7691">
          <cell r="A7691" t="str">
            <v>20428.02997</v>
          </cell>
          <cell r="B7691" t="str">
            <v>JEU DE JOINTS</v>
          </cell>
          <cell r="C7691" t="str">
            <v>PLRD80-40    PLAN FA 21965    REPBe1,Be2</v>
          </cell>
          <cell r="D7691" t="str">
            <v>PE</v>
          </cell>
          <cell r="E7691" t="str">
            <v>515.51503</v>
          </cell>
          <cell r="F7691">
            <v>586.65880000000004</v>
          </cell>
          <cell r="G7691">
            <v>0</v>
          </cell>
          <cell r="H7691">
            <v>0</v>
          </cell>
          <cell r="I7691">
            <v>0</v>
          </cell>
          <cell r="J7691">
            <v>0</v>
          </cell>
          <cell r="K7691">
            <v>1</v>
          </cell>
          <cell r="L7691">
            <v>2</v>
          </cell>
        </row>
        <row r="7692">
          <cell r="A7692" t="str">
            <v>20428.03000</v>
          </cell>
          <cell r="B7692" t="str">
            <v>JEU DE JOINTS</v>
          </cell>
          <cell r="C7692" t="str">
            <v>VAP24PLR50-32  PLAN SEC065296013   REPJ1,J2,J3,J4</v>
          </cell>
          <cell r="D7692" t="str">
            <v>PE</v>
          </cell>
          <cell r="E7692" t="str">
            <v>515.51503</v>
          </cell>
          <cell r="F7692">
            <v>1615.2738999999999</v>
          </cell>
          <cell r="G7692">
            <v>0</v>
          </cell>
          <cell r="H7692">
            <v>0</v>
          </cell>
          <cell r="I7692">
            <v>0</v>
          </cell>
          <cell r="J7692">
            <v>0</v>
          </cell>
          <cell r="K7692">
            <v>0</v>
          </cell>
          <cell r="L7692">
            <v>1</v>
          </cell>
        </row>
        <row r="7693">
          <cell r="A7693" t="str">
            <v>20428.03001</v>
          </cell>
          <cell r="B7693" t="str">
            <v>JOINT</v>
          </cell>
          <cell r="C7693" t="str">
            <v>VAP24PLR50-32  PLAN SEC065296013   REPT1</v>
          </cell>
          <cell r="D7693" t="str">
            <v>PE</v>
          </cell>
          <cell r="E7693" t="str">
            <v>515.51503</v>
          </cell>
          <cell r="F7693">
            <v>1150.3304000000001</v>
          </cell>
          <cell r="G7693">
            <v>0</v>
          </cell>
          <cell r="H7693">
            <v>0</v>
          </cell>
          <cell r="I7693">
            <v>0</v>
          </cell>
          <cell r="J7693">
            <v>0</v>
          </cell>
          <cell r="K7693">
            <v>0</v>
          </cell>
          <cell r="L7693">
            <v>1</v>
          </cell>
        </row>
        <row r="7694">
          <cell r="A7694" t="str">
            <v>20428.03002</v>
          </cell>
          <cell r="B7694" t="str">
            <v>JOINT</v>
          </cell>
          <cell r="C7694" t="str">
            <v>VAP24PLR50-32   PLAN SEC065296013    REPV1</v>
          </cell>
          <cell r="D7694" t="str">
            <v>PE</v>
          </cell>
          <cell r="E7694" t="str">
            <v>515.51503</v>
          </cell>
          <cell r="F7694">
            <v>1194.5065999999999</v>
          </cell>
          <cell r="G7694">
            <v>0</v>
          </cell>
          <cell r="H7694">
            <v>0</v>
          </cell>
          <cell r="I7694">
            <v>0</v>
          </cell>
          <cell r="J7694">
            <v>0</v>
          </cell>
          <cell r="K7694">
            <v>0</v>
          </cell>
          <cell r="L7694">
            <v>1</v>
          </cell>
        </row>
        <row r="7695">
          <cell r="A7695" t="str">
            <v>20428.03003</v>
          </cell>
          <cell r="B7695" t="str">
            <v>FLASQUE</v>
          </cell>
          <cell r="C7695" t="str">
            <v>VAP24PLR50-32    PLAN SEC065296013   REP73</v>
          </cell>
          <cell r="D7695" t="str">
            <v>PE</v>
          </cell>
          <cell r="E7695" t="str">
            <v>515.51503</v>
          </cell>
          <cell r="F7695">
            <v>20729.4575</v>
          </cell>
          <cell r="G7695">
            <v>0</v>
          </cell>
          <cell r="H7695">
            <v>0</v>
          </cell>
          <cell r="I7695">
            <v>0</v>
          </cell>
          <cell r="J7695">
            <v>0</v>
          </cell>
          <cell r="K7695">
            <v>0</v>
          </cell>
          <cell r="L7695">
            <v>1</v>
          </cell>
        </row>
        <row r="7696">
          <cell r="A7696" t="str">
            <v>20428.03004</v>
          </cell>
          <cell r="B7696" t="str">
            <v>COUVERCLE DE ROULEMENT</v>
          </cell>
          <cell r="C7696" t="str">
            <v>VAP24PLR50-32   PLAN SEC065296013    REP4</v>
          </cell>
          <cell r="D7696" t="str">
            <v>PE</v>
          </cell>
          <cell r="E7696" t="str">
            <v>515.51503</v>
          </cell>
          <cell r="F7696">
            <v>9174.76</v>
          </cell>
          <cell r="G7696">
            <v>0</v>
          </cell>
          <cell r="H7696">
            <v>0</v>
          </cell>
          <cell r="I7696">
            <v>0</v>
          </cell>
          <cell r="J7696">
            <v>0</v>
          </cell>
          <cell r="K7696">
            <v>0</v>
          </cell>
          <cell r="L7696">
            <v>1</v>
          </cell>
        </row>
        <row r="7697">
          <cell r="A7697" t="str">
            <v>20428.03005</v>
          </cell>
          <cell r="B7697" t="str">
            <v>COUVERCLE DE ROULEMENT</v>
          </cell>
          <cell r="C7697" t="str">
            <v>VAP24PLR50-32   PLAN SEC065296013  REP5</v>
          </cell>
          <cell r="D7697" t="str">
            <v>PE</v>
          </cell>
          <cell r="E7697" t="str">
            <v>515.51503</v>
          </cell>
          <cell r="F7697">
            <v>8930.5882000000001</v>
          </cell>
          <cell r="G7697">
            <v>0</v>
          </cell>
          <cell r="H7697">
            <v>0</v>
          </cell>
          <cell r="I7697">
            <v>0</v>
          </cell>
          <cell r="J7697">
            <v>0</v>
          </cell>
          <cell r="K7697">
            <v>0</v>
          </cell>
          <cell r="L7697">
            <v>1</v>
          </cell>
        </row>
        <row r="7698">
          <cell r="A7698" t="str">
            <v>20428.03006</v>
          </cell>
          <cell r="B7698" t="str">
            <v>ROUE</v>
          </cell>
          <cell r="C7698" t="str">
            <v>VAP24PLR50-32   PLAN SEC065296013  REP55</v>
          </cell>
          <cell r="D7698" t="str">
            <v>PE</v>
          </cell>
          <cell r="E7698" t="str">
            <v>515.51503</v>
          </cell>
          <cell r="F7698">
            <v>38666.8488</v>
          </cell>
          <cell r="G7698">
            <v>0</v>
          </cell>
          <cell r="H7698">
            <v>0</v>
          </cell>
          <cell r="I7698">
            <v>0</v>
          </cell>
          <cell r="J7698">
            <v>0</v>
          </cell>
          <cell r="K7698">
            <v>0</v>
          </cell>
          <cell r="L7698">
            <v>1</v>
          </cell>
        </row>
        <row r="7699">
          <cell r="A7699" t="str">
            <v>20428.03007</v>
          </cell>
          <cell r="B7699" t="str">
            <v>VOLUTE</v>
          </cell>
          <cell r="C7699" t="str">
            <v>VAP24PLR50-32   PLAN SEC065296013   REP51</v>
          </cell>
          <cell r="D7699" t="str">
            <v>PE</v>
          </cell>
          <cell r="E7699" t="str">
            <v>515.51503</v>
          </cell>
          <cell r="F7699">
            <v>37800.383099999999</v>
          </cell>
          <cell r="G7699">
            <v>0</v>
          </cell>
          <cell r="H7699">
            <v>0</v>
          </cell>
          <cell r="I7699">
            <v>0</v>
          </cell>
          <cell r="J7699">
            <v>0</v>
          </cell>
          <cell r="K7699">
            <v>0</v>
          </cell>
          <cell r="L7699">
            <v>1</v>
          </cell>
        </row>
        <row r="7700">
          <cell r="A7700" t="str">
            <v>20428.03008</v>
          </cell>
          <cell r="B7700" t="str">
            <v>DEFLECTEURS</v>
          </cell>
          <cell r="C7700" t="str">
            <v>VAP24PLR50-32  PLAN SEC065296013   REP9,9A</v>
          </cell>
          <cell r="D7700" t="str">
            <v>PE</v>
          </cell>
          <cell r="E7700" t="str">
            <v>515.51503</v>
          </cell>
          <cell r="F7700">
            <v>3189.4333000000001</v>
          </cell>
          <cell r="G7700">
            <v>0</v>
          </cell>
          <cell r="H7700">
            <v>0</v>
          </cell>
          <cell r="I7700">
            <v>0</v>
          </cell>
          <cell r="J7700">
            <v>0</v>
          </cell>
          <cell r="K7700">
            <v>0</v>
          </cell>
          <cell r="L7700">
            <v>1</v>
          </cell>
        </row>
        <row r="7701">
          <cell r="A7701" t="str">
            <v>39240.02409</v>
          </cell>
          <cell r="B7701" t="str">
            <v>BAC A ORDURE A 2 ROUES</v>
          </cell>
          <cell r="C7701" t="str">
            <v xml:space="preserve">. ARTICLES DE MENAGE  DESIGNATION: BAC A DEUX ROUES A ORDURES , EN POLYETHYLENE , CAPACITE : 120 LITRES , COULEUR : VERTES , AVEC MARQUAGE ET NUMEROTATION SUR LE CORPS </v>
          </cell>
          <cell r="D7701" t="str">
            <v>PE</v>
          </cell>
          <cell r="E7701" t="str">
            <v>11.0212</v>
          </cell>
          <cell r="F7701">
            <v>550.83600000000001</v>
          </cell>
          <cell r="G7701">
            <v>0</v>
          </cell>
          <cell r="H7701">
            <v>0</v>
          </cell>
          <cell r="I7701">
            <v>0</v>
          </cell>
          <cell r="J7701">
            <v>0</v>
          </cell>
          <cell r="K7701">
            <v>0</v>
          </cell>
          <cell r="L7701">
            <v>0</v>
          </cell>
        </row>
        <row r="7702">
          <cell r="A7702" t="str">
            <v>20428.02267</v>
          </cell>
          <cell r="B7702" t="str">
            <v>RONDELLE</v>
          </cell>
          <cell r="C7702" t="str">
            <v>MN 508 A N° 065089002PO1 REP S1 REF RLMB15</v>
          </cell>
          <cell r="D7702" t="str">
            <v>PE</v>
          </cell>
          <cell r="E7702" t="str">
            <v>515.51503</v>
          </cell>
          <cell r="F7702">
            <v>189.90379999999999</v>
          </cell>
          <cell r="G7702">
            <v>0</v>
          </cell>
          <cell r="H7702">
            <v>0</v>
          </cell>
          <cell r="I7702">
            <v>0</v>
          </cell>
          <cell r="J7702">
            <v>0</v>
          </cell>
          <cell r="K7702">
            <v>0</v>
          </cell>
          <cell r="L7702">
            <v>3</v>
          </cell>
        </row>
        <row r="7703">
          <cell r="A7703" t="str">
            <v>20428.02268</v>
          </cell>
          <cell r="B7703" t="str">
            <v>JEU DE COUSSINET</v>
          </cell>
          <cell r="C7703" t="str">
            <v>MN 508 A N° 065089002PO1 REP 82 REF 116775004PC003</v>
          </cell>
          <cell r="D7703" t="str">
            <v>PE</v>
          </cell>
          <cell r="E7703" t="str">
            <v>515.51503</v>
          </cell>
          <cell r="F7703">
            <v>15259.0118</v>
          </cell>
          <cell r="G7703">
            <v>0</v>
          </cell>
          <cell r="H7703">
            <v>0</v>
          </cell>
          <cell r="I7703">
            <v>1</v>
          </cell>
          <cell r="J7703">
            <v>1</v>
          </cell>
          <cell r="K7703">
            <v>0</v>
          </cell>
          <cell r="L7703">
            <v>1</v>
          </cell>
        </row>
        <row r="7704">
          <cell r="A7704" t="str">
            <v>20428.02269</v>
          </cell>
          <cell r="B7704" t="str">
            <v>JEU DE RONDELLE RESSORT</v>
          </cell>
          <cell r="C7704" t="str">
            <v>MN 508 A N° 065089002PO1 REP Re  REF 116775004PC004</v>
          </cell>
          <cell r="D7704" t="str">
            <v>PE</v>
          </cell>
          <cell r="E7704" t="str">
            <v>515.51503</v>
          </cell>
          <cell r="F7704">
            <v>34891.293599999997</v>
          </cell>
          <cell r="G7704">
            <v>0</v>
          </cell>
          <cell r="H7704">
            <v>0</v>
          </cell>
          <cell r="I7704">
            <v>0</v>
          </cell>
          <cell r="J7704">
            <v>0</v>
          </cell>
          <cell r="K7704">
            <v>0</v>
          </cell>
          <cell r="L7704">
            <v>2</v>
          </cell>
        </row>
        <row r="7705">
          <cell r="A7705" t="str">
            <v>20428.02270</v>
          </cell>
          <cell r="B7705" t="str">
            <v>JEU DE CERCLE FEMELLE</v>
          </cell>
          <cell r="C7705" t="str">
            <v>MN 508 A N° 065089002PO1 REP 87.87A REF 116775004PC005</v>
          </cell>
          <cell r="D7705" t="str">
            <v>PE</v>
          </cell>
          <cell r="E7705" t="str">
            <v>515.51503</v>
          </cell>
          <cell r="F7705">
            <v>32198.161</v>
          </cell>
          <cell r="G7705">
            <v>0</v>
          </cell>
          <cell r="H7705">
            <v>0</v>
          </cell>
          <cell r="I7705">
            <v>0</v>
          </cell>
          <cell r="J7705">
            <v>0</v>
          </cell>
          <cell r="K7705">
            <v>0</v>
          </cell>
          <cell r="L7705">
            <v>2</v>
          </cell>
        </row>
        <row r="7706">
          <cell r="A7706" t="str">
            <v>20428.02262</v>
          </cell>
          <cell r="B7706" t="str">
            <v>JEU DE COUSSINET</v>
          </cell>
          <cell r="C7706" t="str">
            <v>500VE 470.54/2R N° 065089006PO REP 82.82A REF116775003PC005</v>
          </cell>
          <cell r="D7706" t="str">
            <v>PE</v>
          </cell>
          <cell r="E7706" t="str">
            <v>515.51503</v>
          </cell>
          <cell r="F7706">
            <v>243418.927</v>
          </cell>
          <cell r="G7706">
            <v>0</v>
          </cell>
          <cell r="H7706">
            <v>0</v>
          </cell>
          <cell r="I7706">
            <v>0</v>
          </cell>
          <cell r="J7706">
            <v>0</v>
          </cell>
          <cell r="K7706">
            <v>2</v>
          </cell>
          <cell r="L7706">
            <v>1</v>
          </cell>
        </row>
        <row r="7707">
          <cell r="A7707" t="str">
            <v>20428.02263</v>
          </cell>
          <cell r="B7707" t="str">
            <v>JEU DE BAGUE</v>
          </cell>
          <cell r="C7707" t="str">
            <v>MN 508 A N° 065089002PO1 REP 10.10B REF 116775004PC</v>
          </cell>
          <cell r="D7707" t="str">
            <v>PE</v>
          </cell>
          <cell r="E7707" t="str">
            <v>515.51503</v>
          </cell>
          <cell r="F7707">
            <v>19214.698199999999</v>
          </cell>
          <cell r="G7707">
            <v>0</v>
          </cell>
          <cell r="H7707">
            <v>0</v>
          </cell>
          <cell r="I7707">
            <v>1</v>
          </cell>
          <cell r="J7707">
            <v>1</v>
          </cell>
          <cell r="K7707">
            <v>0</v>
          </cell>
          <cell r="L7707">
            <v>1</v>
          </cell>
        </row>
        <row r="7708">
          <cell r="A7708" t="str">
            <v>20428.02264</v>
          </cell>
          <cell r="B7708" t="str">
            <v>JEU DE JOINT</v>
          </cell>
          <cell r="C7708" t="str">
            <v>MN 508 A N° 065089002PO1 REP T1.T4.T14.T16.T21.T22.T14.T25 REF 116775004PC001</v>
          </cell>
          <cell r="D7708" t="str">
            <v>PE</v>
          </cell>
          <cell r="E7708" t="str">
            <v>515.51503</v>
          </cell>
          <cell r="F7708">
            <v>16643.3927</v>
          </cell>
          <cell r="G7708">
            <v>0</v>
          </cell>
          <cell r="H7708">
            <v>0</v>
          </cell>
          <cell r="I7708">
            <v>1</v>
          </cell>
          <cell r="J7708">
            <v>0</v>
          </cell>
          <cell r="K7708">
            <v>0</v>
          </cell>
          <cell r="L7708">
            <v>1</v>
          </cell>
        </row>
        <row r="7709">
          <cell r="A7709" t="str">
            <v>20428.02265</v>
          </cell>
          <cell r="B7709" t="str">
            <v>ECROU DE SERRAGE  ROULEMENT</v>
          </cell>
          <cell r="C7709" t="str">
            <v>MN 508 A N° 065089002PO1 REP 92 REF RLKM15</v>
          </cell>
          <cell r="D7709" t="str">
            <v>PE</v>
          </cell>
          <cell r="E7709" t="str">
            <v>515.51503</v>
          </cell>
          <cell r="F7709">
            <v>355.75880000000001</v>
          </cell>
          <cell r="G7709">
            <v>0</v>
          </cell>
          <cell r="H7709">
            <v>0</v>
          </cell>
          <cell r="I7709">
            <v>1</v>
          </cell>
          <cell r="J7709">
            <v>0</v>
          </cell>
          <cell r="K7709">
            <v>0</v>
          </cell>
          <cell r="L7709">
            <v>0</v>
          </cell>
        </row>
        <row r="7710">
          <cell r="A7710" t="str">
            <v>20428.02266</v>
          </cell>
          <cell r="B7710" t="str">
            <v>JEU DE CHEMISE</v>
          </cell>
          <cell r="C7710" t="str">
            <v>MN 508 A N° 065089002PO1 REP 60 REF 116775004PC002</v>
          </cell>
          <cell r="D7710" t="str">
            <v>PE</v>
          </cell>
          <cell r="E7710" t="str">
            <v>515.51503</v>
          </cell>
          <cell r="F7710">
            <v>69630.3842</v>
          </cell>
          <cell r="G7710">
            <v>0</v>
          </cell>
          <cell r="H7710">
            <v>0</v>
          </cell>
          <cell r="I7710">
            <v>1</v>
          </cell>
          <cell r="J7710">
            <v>1</v>
          </cell>
          <cell r="K7710">
            <v>0</v>
          </cell>
          <cell r="L7710">
            <v>1</v>
          </cell>
        </row>
        <row r="7711">
          <cell r="A7711" t="str">
            <v>20428.02275</v>
          </cell>
          <cell r="B7711" t="str">
            <v>JEU DE CERCLE FEMELLE</v>
          </cell>
          <cell r="C7711" t="str">
            <v>500VE 470.54/1R N° 065089007PO REP 67.68 REF 116775005PC002</v>
          </cell>
          <cell r="D7711" t="str">
            <v>PE</v>
          </cell>
          <cell r="E7711" t="str">
            <v>515.51503</v>
          </cell>
          <cell r="F7711">
            <v>40675.167500000003</v>
          </cell>
          <cell r="G7711">
            <v>0</v>
          </cell>
          <cell r="H7711">
            <v>0</v>
          </cell>
          <cell r="I7711">
            <v>0</v>
          </cell>
          <cell r="J7711">
            <v>0</v>
          </cell>
          <cell r="K7711">
            <v>0</v>
          </cell>
          <cell r="L7711">
            <v>3</v>
          </cell>
        </row>
        <row r="7712">
          <cell r="A7712" t="str">
            <v>20428.02276</v>
          </cell>
          <cell r="B7712" t="str">
            <v>JEU DE CERCLE MALE</v>
          </cell>
          <cell r="C7712" t="str">
            <v>500VE 470.54/1R N° 065089007PO REP 70.71 REF 116775005PC003</v>
          </cell>
          <cell r="D7712" t="str">
            <v>PE</v>
          </cell>
          <cell r="E7712" t="str">
            <v>515.51503</v>
          </cell>
          <cell r="F7712">
            <v>45742.201099999998</v>
          </cell>
          <cell r="G7712">
            <v>0</v>
          </cell>
          <cell r="H7712">
            <v>0</v>
          </cell>
          <cell r="I7712">
            <v>0</v>
          </cell>
          <cell r="J7712">
            <v>0</v>
          </cell>
          <cell r="K7712">
            <v>0</v>
          </cell>
          <cell r="L7712">
            <v>2</v>
          </cell>
        </row>
        <row r="7713">
          <cell r="A7713" t="str">
            <v>20428.02277</v>
          </cell>
          <cell r="B7713" t="str">
            <v>JEU DE JOINT</v>
          </cell>
          <cell r="C7713" t="str">
            <v>500VE 470.54/1R N° 065089007PO REP T1.T2.T3.T4 REF 116775005PC004</v>
          </cell>
          <cell r="D7713" t="str">
            <v>PE</v>
          </cell>
          <cell r="E7713" t="str">
            <v>515.51503</v>
          </cell>
          <cell r="F7713">
            <v>9391.3691999999992</v>
          </cell>
          <cell r="G7713">
            <v>0</v>
          </cell>
          <cell r="H7713">
            <v>0</v>
          </cell>
          <cell r="I7713">
            <v>0</v>
          </cell>
          <cell r="J7713">
            <v>0</v>
          </cell>
          <cell r="K7713">
            <v>0</v>
          </cell>
          <cell r="L7713">
            <v>8</v>
          </cell>
        </row>
        <row r="7714">
          <cell r="A7714" t="str">
            <v>20428.02278</v>
          </cell>
          <cell r="B7714" t="str">
            <v>BAGUE DE FOND</v>
          </cell>
          <cell r="C7714" t="str">
            <v>500VE 470.54/1R N° 065089007PO REP 10 REF BAGF 0122-01U45</v>
          </cell>
          <cell r="D7714" t="str">
            <v>PE</v>
          </cell>
          <cell r="E7714" t="str">
            <v>515.51503</v>
          </cell>
          <cell r="F7714">
            <v>9323.1417999999994</v>
          </cell>
          <cell r="G7714">
            <v>0</v>
          </cell>
          <cell r="H7714">
            <v>0</v>
          </cell>
          <cell r="I7714">
            <v>0</v>
          </cell>
          <cell r="J7714">
            <v>0</v>
          </cell>
          <cell r="K7714">
            <v>0</v>
          </cell>
          <cell r="L7714">
            <v>1</v>
          </cell>
        </row>
        <row r="7715">
          <cell r="A7715" t="str">
            <v>20428.02271</v>
          </cell>
          <cell r="B7715" t="str">
            <v>JEU DE CHEMISE INTERCALAIRE</v>
          </cell>
          <cell r="C7715" t="str">
            <v>MN 508 A N° 065089002PO1 REP 76.76A REF 116775004PC006</v>
          </cell>
          <cell r="D7715" t="str">
            <v>PE</v>
          </cell>
          <cell r="E7715" t="str">
            <v>515.51503</v>
          </cell>
          <cell r="F7715">
            <v>11212.9591</v>
          </cell>
          <cell r="G7715">
            <v>1</v>
          </cell>
          <cell r="H7715">
            <v>0</v>
          </cell>
          <cell r="I7715">
            <v>1</v>
          </cell>
          <cell r="J7715">
            <v>1</v>
          </cell>
          <cell r="K7715">
            <v>0</v>
          </cell>
          <cell r="L7715">
            <v>0</v>
          </cell>
        </row>
        <row r="7716">
          <cell r="A7716" t="str">
            <v>20428.02272</v>
          </cell>
          <cell r="B7716" t="str">
            <v>ROUE</v>
          </cell>
          <cell r="C7716" t="str">
            <v>500VE 470.54/1R N° 065089007PO REP 55 REF  116775005PC</v>
          </cell>
          <cell r="D7716" t="str">
            <v>PE</v>
          </cell>
          <cell r="E7716" t="str">
            <v>515.51503</v>
          </cell>
          <cell r="F7716">
            <v>216433.0558</v>
          </cell>
          <cell r="G7716">
            <v>0</v>
          </cell>
          <cell r="H7716">
            <v>0</v>
          </cell>
          <cell r="I7716">
            <v>0</v>
          </cell>
          <cell r="J7716">
            <v>0</v>
          </cell>
          <cell r="K7716">
            <v>0</v>
          </cell>
          <cell r="L7716">
            <v>1</v>
          </cell>
        </row>
        <row r="7717">
          <cell r="A7717" t="str">
            <v>20428.02273</v>
          </cell>
          <cell r="B7717" t="str">
            <v>ECROU DE ROUE</v>
          </cell>
          <cell r="C7717" t="str">
            <v>500VE 470.54/1R N° 065089007PO REP 58 REF ECRS0141-02U45</v>
          </cell>
          <cell r="D7717" t="str">
            <v>PE</v>
          </cell>
          <cell r="E7717" t="str">
            <v>515.51503</v>
          </cell>
          <cell r="F7717">
            <v>14853.1127</v>
          </cell>
          <cell r="G7717">
            <v>0</v>
          </cell>
          <cell r="H7717">
            <v>0</v>
          </cell>
          <cell r="I7717">
            <v>0</v>
          </cell>
          <cell r="J7717">
            <v>0</v>
          </cell>
          <cell r="K7717">
            <v>0</v>
          </cell>
          <cell r="L7717">
            <v>1</v>
          </cell>
        </row>
        <row r="7718">
          <cell r="A7718" t="str">
            <v>20428.02274</v>
          </cell>
          <cell r="B7718" t="str">
            <v>JEU DE CHEMISE</v>
          </cell>
          <cell r="C7718" t="str">
            <v>500VE 470.54/1R N° 065089007PO REP 60.60A.60B REF 116775005PC001</v>
          </cell>
          <cell r="D7718" t="str">
            <v>PE</v>
          </cell>
          <cell r="E7718" t="str">
            <v>515.51503</v>
          </cell>
          <cell r="F7718">
            <v>53002.185799999999</v>
          </cell>
          <cell r="G7718">
            <v>0</v>
          </cell>
          <cell r="H7718">
            <v>0</v>
          </cell>
          <cell r="I7718">
            <v>1</v>
          </cell>
          <cell r="J7718">
            <v>0</v>
          </cell>
          <cell r="K7718">
            <v>0</v>
          </cell>
          <cell r="L7718">
            <v>1</v>
          </cell>
        </row>
        <row r="7719">
          <cell r="A7719" t="str">
            <v>20428.02038</v>
          </cell>
          <cell r="B7719" t="str">
            <v>CHEMISE</v>
          </cell>
          <cell r="C7719" t="str">
            <v>PLRD 80.40 SERIE 065183001PO1 PL : FA21466 REP : 60</v>
          </cell>
          <cell r="D7719" t="str">
            <v>PE</v>
          </cell>
          <cell r="E7719" t="str">
            <v>515.51503</v>
          </cell>
          <cell r="F7719">
            <v>62461.979200000002</v>
          </cell>
          <cell r="G7719">
            <v>0</v>
          </cell>
          <cell r="H7719">
            <v>0</v>
          </cell>
          <cell r="I7719">
            <v>0</v>
          </cell>
          <cell r="J7719">
            <v>0</v>
          </cell>
          <cell r="K7719">
            <v>0</v>
          </cell>
          <cell r="L7719">
            <v>2</v>
          </cell>
        </row>
        <row r="7720">
          <cell r="A7720" t="str">
            <v>20428.02284</v>
          </cell>
          <cell r="B7720" t="str">
            <v>BAGUE DE FOND</v>
          </cell>
          <cell r="C7720" t="str">
            <v>500 VE 470.54/1R N° 065089007PO REP 10 REF BAGF0122-01U45</v>
          </cell>
          <cell r="D7720" t="str">
            <v>PE</v>
          </cell>
          <cell r="E7720" t="str">
            <v>515.51503</v>
          </cell>
          <cell r="F7720">
            <v>9486.7582000000002</v>
          </cell>
          <cell r="G7720">
            <v>0</v>
          </cell>
          <cell r="H7720">
            <v>0</v>
          </cell>
          <cell r="I7720">
            <v>0</v>
          </cell>
          <cell r="J7720">
            <v>1</v>
          </cell>
          <cell r="K7720">
            <v>0</v>
          </cell>
          <cell r="L7720">
            <v>1</v>
          </cell>
        </row>
        <row r="7721">
          <cell r="A7721" t="str">
            <v>20428.02285</v>
          </cell>
          <cell r="B7721" t="str">
            <v>ECROU DE REGLAGE PALIER</v>
          </cell>
          <cell r="C7721" t="str">
            <v>500 VE 470.54/1R N° 065089007PO REP 92A REF ECRS0095-00AC2</v>
          </cell>
          <cell r="D7721" t="str">
            <v>PE</v>
          </cell>
          <cell r="E7721" t="str">
            <v>515.51503</v>
          </cell>
          <cell r="F7721">
            <v>17111.877199999999</v>
          </cell>
          <cell r="G7721">
            <v>0</v>
          </cell>
          <cell r="H7721">
            <v>0</v>
          </cell>
          <cell r="I7721">
            <v>0</v>
          </cell>
          <cell r="J7721">
            <v>0</v>
          </cell>
          <cell r="K7721">
            <v>0</v>
          </cell>
          <cell r="L7721">
            <v>2</v>
          </cell>
        </row>
        <row r="7722">
          <cell r="A7722" t="str">
            <v>20428.02286</v>
          </cell>
          <cell r="B7722" t="str">
            <v>ECROU DE SERRAGE ROULEMENT</v>
          </cell>
          <cell r="C7722" t="str">
            <v>500 VE 470.54/1R N° 065089007PO REP 92 REF RLKM26</v>
          </cell>
          <cell r="D7722" t="str">
            <v>PE</v>
          </cell>
          <cell r="E7722" t="str">
            <v>515.51503</v>
          </cell>
          <cell r="F7722">
            <v>1574.9368999999999</v>
          </cell>
          <cell r="G7722">
            <v>0</v>
          </cell>
          <cell r="H7722">
            <v>0</v>
          </cell>
          <cell r="I7722">
            <v>0</v>
          </cell>
          <cell r="J7722">
            <v>0</v>
          </cell>
          <cell r="K7722">
            <v>0</v>
          </cell>
          <cell r="L7722">
            <v>6</v>
          </cell>
        </row>
        <row r="7723">
          <cell r="A7723" t="str">
            <v>20428.02287</v>
          </cell>
          <cell r="B7723" t="str">
            <v>BAGUE SUPPORT ROULEMENT</v>
          </cell>
          <cell r="C7723" t="str">
            <v>500 VE 470.54/1R N° 065089007PO REP 17 REF CHEE 0112-02AC2</v>
          </cell>
          <cell r="D7723" t="str">
            <v>PE</v>
          </cell>
          <cell r="E7723" t="str">
            <v>515.51503</v>
          </cell>
          <cell r="F7723">
            <v>17668.275000000001</v>
          </cell>
          <cell r="G7723">
            <v>0</v>
          </cell>
          <cell r="H7723">
            <v>0</v>
          </cell>
          <cell r="I7723">
            <v>0</v>
          </cell>
          <cell r="J7723">
            <v>0</v>
          </cell>
          <cell r="K7723">
            <v>0</v>
          </cell>
          <cell r="L7723">
            <v>2</v>
          </cell>
        </row>
        <row r="7724">
          <cell r="A7724" t="str">
            <v>20428.02279</v>
          </cell>
          <cell r="B7724" t="str">
            <v>ECROU DE REGLAGE PALIER</v>
          </cell>
          <cell r="C7724" t="str">
            <v>500VE 470.54/1R N° 065089007PO REP 92A REF ECRS0095-00AC2</v>
          </cell>
          <cell r="D7724" t="str">
            <v>PE</v>
          </cell>
          <cell r="E7724" t="str">
            <v>515.51503</v>
          </cell>
          <cell r="F7724">
            <v>16813.3809</v>
          </cell>
          <cell r="G7724">
            <v>0</v>
          </cell>
          <cell r="H7724">
            <v>0</v>
          </cell>
          <cell r="I7724">
            <v>0</v>
          </cell>
          <cell r="J7724">
            <v>0</v>
          </cell>
          <cell r="K7724">
            <v>0</v>
          </cell>
          <cell r="L7724">
            <v>1</v>
          </cell>
        </row>
        <row r="7725">
          <cell r="A7725" t="str">
            <v>20428.02280</v>
          </cell>
          <cell r="B7725" t="str">
            <v>ECROU DE SERRAGE DE ROULEMENT</v>
          </cell>
          <cell r="C7725" t="str">
            <v>500VE 470.54/1R N° 065089007PO REP 92 REF RLKM26</v>
          </cell>
          <cell r="D7725" t="str">
            <v>PE</v>
          </cell>
          <cell r="E7725" t="str">
            <v>515.51503</v>
          </cell>
          <cell r="F7725">
            <v>1468.1748</v>
          </cell>
          <cell r="G7725">
            <v>0</v>
          </cell>
          <cell r="H7725">
            <v>0</v>
          </cell>
          <cell r="I7725">
            <v>0</v>
          </cell>
          <cell r="J7725">
            <v>0</v>
          </cell>
          <cell r="K7725">
            <v>0</v>
          </cell>
          <cell r="L7725">
            <v>1</v>
          </cell>
        </row>
        <row r="7726">
          <cell r="A7726" t="str">
            <v>20428.02281</v>
          </cell>
          <cell r="B7726" t="str">
            <v>BAGUE SUPPORT ROULEMENT</v>
          </cell>
          <cell r="C7726" t="str">
            <v>500 VE 470.54/1R N° 065089007PO REP 17 REF CHEE0112-02AC2</v>
          </cell>
          <cell r="D7726" t="str">
            <v>PE</v>
          </cell>
          <cell r="E7726" t="str">
            <v>515.51503</v>
          </cell>
          <cell r="F7726">
            <v>19430.1031</v>
          </cell>
          <cell r="G7726">
            <v>0</v>
          </cell>
          <cell r="H7726">
            <v>0</v>
          </cell>
          <cell r="I7726">
            <v>0</v>
          </cell>
          <cell r="J7726">
            <v>0</v>
          </cell>
          <cell r="K7726">
            <v>0</v>
          </cell>
          <cell r="L7726">
            <v>3</v>
          </cell>
        </row>
        <row r="7727">
          <cell r="A7727" t="str">
            <v>20428.02282</v>
          </cell>
          <cell r="B7727" t="str">
            <v>RONDELLE</v>
          </cell>
          <cell r="C7727" t="str">
            <v>500 VE 470.54/1R N° 065089007PO REP S1 REF RLMB26</v>
          </cell>
          <cell r="D7727" t="str">
            <v>PE</v>
          </cell>
          <cell r="E7727" t="str">
            <v>515.51503</v>
          </cell>
          <cell r="F7727">
            <v>709.60990000000004</v>
          </cell>
          <cell r="G7727">
            <v>0</v>
          </cell>
          <cell r="H7727">
            <v>0</v>
          </cell>
          <cell r="I7727">
            <v>0</v>
          </cell>
          <cell r="J7727">
            <v>0</v>
          </cell>
          <cell r="K7727">
            <v>0</v>
          </cell>
          <cell r="L7727">
            <v>6</v>
          </cell>
        </row>
        <row r="7728">
          <cell r="A7728" t="str">
            <v>20428.02283</v>
          </cell>
          <cell r="B7728" t="str">
            <v>JEU DE COUSSINETS</v>
          </cell>
          <cell r="C7728" t="str">
            <v>500 VE 470.54/1R N° 065089007PO REP 82.82A REF 116775005PC005</v>
          </cell>
          <cell r="D7728" t="str">
            <v>PE</v>
          </cell>
          <cell r="E7728" t="str">
            <v>515.51503</v>
          </cell>
          <cell r="F7728">
            <v>161404.70110000001</v>
          </cell>
          <cell r="G7728">
            <v>0</v>
          </cell>
          <cell r="H7728">
            <v>0</v>
          </cell>
          <cell r="I7728">
            <v>0</v>
          </cell>
          <cell r="J7728">
            <v>0</v>
          </cell>
          <cell r="K7728">
            <v>0</v>
          </cell>
          <cell r="L7728">
            <v>2</v>
          </cell>
        </row>
        <row r="7729">
          <cell r="A7729" t="str">
            <v>20428.02292</v>
          </cell>
          <cell r="B7729" t="str">
            <v>JEU DE CHEMISES</v>
          </cell>
          <cell r="C7729" t="str">
            <v>500 VE 470.54/1R N° 065089007PO REP 60.60A.60B REF 116775006PC002</v>
          </cell>
          <cell r="D7729" t="str">
            <v>PE</v>
          </cell>
          <cell r="E7729" t="str">
            <v>515.51503</v>
          </cell>
          <cell r="F7729">
            <v>55576.059699999998</v>
          </cell>
          <cell r="G7729">
            <v>0</v>
          </cell>
          <cell r="H7729">
            <v>0</v>
          </cell>
          <cell r="I7729">
            <v>0</v>
          </cell>
          <cell r="J7729">
            <v>0</v>
          </cell>
          <cell r="K7729">
            <v>0</v>
          </cell>
          <cell r="L7729">
            <v>2</v>
          </cell>
        </row>
        <row r="7730">
          <cell r="A7730" t="str">
            <v>20428.02294</v>
          </cell>
          <cell r="B7730" t="str">
            <v>JEU DE CERCLE MALE</v>
          </cell>
          <cell r="C7730" t="str">
            <v>500 VE 470.54/1R N° 065089007PO REP 70.71 REF 116775006PC004</v>
          </cell>
          <cell r="D7730" t="str">
            <v>PE</v>
          </cell>
          <cell r="E7730" t="str">
            <v>515.51503</v>
          </cell>
          <cell r="F7730">
            <v>42115.705699999999</v>
          </cell>
          <cell r="G7730">
            <v>0</v>
          </cell>
          <cell r="H7730">
            <v>0</v>
          </cell>
          <cell r="I7730">
            <v>0</v>
          </cell>
          <cell r="J7730">
            <v>0</v>
          </cell>
          <cell r="K7730">
            <v>0</v>
          </cell>
          <cell r="L7730">
            <v>2</v>
          </cell>
        </row>
        <row r="7731">
          <cell r="A7731" t="str">
            <v>20428.02295</v>
          </cell>
          <cell r="B7731" t="str">
            <v>JEU DE JOINT</v>
          </cell>
          <cell r="C7731" t="str">
            <v>500 VE 470.54/1R N° 065089007PO REP T1.T2.T3.T4 REF 116775006PC005</v>
          </cell>
          <cell r="D7731" t="str">
            <v>PE</v>
          </cell>
          <cell r="E7731" t="str">
            <v>515.51503</v>
          </cell>
          <cell r="F7731">
            <v>9964.0439999999999</v>
          </cell>
          <cell r="G7731">
            <v>0</v>
          </cell>
          <cell r="H7731">
            <v>0</v>
          </cell>
          <cell r="I7731">
            <v>0</v>
          </cell>
          <cell r="J7731">
            <v>0</v>
          </cell>
          <cell r="K7731">
            <v>0</v>
          </cell>
          <cell r="L7731">
            <v>5</v>
          </cell>
        </row>
        <row r="7732">
          <cell r="A7732" t="str">
            <v>20428.02296</v>
          </cell>
          <cell r="B7732" t="str">
            <v>ROUE</v>
          </cell>
          <cell r="C7732" t="str">
            <v>NCE 50.32 N° 065089003PO1 REP 55 REF ROUF0055AA04U55</v>
          </cell>
          <cell r="D7732" t="str">
            <v>PE</v>
          </cell>
          <cell r="E7732" t="str">
            <v>515.51503</v>
          </cell>
          <cell r="F7732">
            <v>36715.114099999999</v>
          </cell>
          <cell r="G7732">
            <v>0</v>
          </cell>
          <cell r="H7732">
            <v>0</v>
          </cell>
          <cell r="I7732">
            <v>0</v>
          </cell>
          <cell r="J7732">
            <v>0</v>
          </cell>
          <cell r="K7732">
            <v>1</v>
          </cell>
          <cell r="L7732">
            <v>2</v>
          </cell>
        </row>
        <row r="7733">
          <cell r="A7733" t="str">
            <v>20428.02288</v>
          </cell>
          <cell r="B7733" t="str">
            <v>RONDELLE</v>
          </cell>
          <cell r="C7733" t="str">
            <v>500 VE 470.54/1R N° 065089007PO REP S1 REF RLMB26</v>
          </cell>
          <cell r="D7733" t="str">
            <v>PE</v>
          </cell>
          <cell r="E7733" t="str">
            <v>515.51503</v>
          </cell>
          <cell r="F7733">
            <v>733.90219999999999</v>
          </cell>
          <cell r="G7733">
            <v>0</v>
          </cell>
          <cell r="H7733">
            <v>0</v>
          </cell>
          <cell r="I7733">
            <v>0</v>
          </cell>
          <cell r="J7733">
            <v>0</v>
          </cell>
          <cell r="K7733">
            <v>0</v>
          </cell>
          <cell r="L7733">
            <v>1</v>
          </cell>
        </row>
        <row r="7734">
          <cell r="A7734" t="str">
            <v>20428.02289</v>
          </cell>
          <cell r="B7734" t="str">
            <v>JEU DE COUSSINETS</v>
          </cell>
          <cell r="C7734" t="str">
            <v>500 VE 470.54/1R N° 065089007PO REP 82 .82A REF 116775006PC</v>
          </cell>
          <cell r="D7734" t="str">
            <v>PE</v>
          </cell>
          <cell r="E7734" t="str">
            <v>515.51503</v>
          </cell>
          <cell r="F7734">
            <v>159368.1024</v>
          </cell>
          <cell r="G7734">
            <v>0</v>
          </cell>
          <cell r="H7734">
            <v>0</v>
          </cell>
          <cell r="I7734">
            <v>1</v>
          </cell>
          <cell r="J7734">
            <v>0</v>
          </cell>
          <cell r="K7734">
            <v>0</v>
          </cell>
          <cell r="L7734">
            <v>2</v>
          </cell>
        </row>
        <row r="7735">
          <cell r="A7735" t="str">
            <v>20428.02290</v>
          </cell>
          <cell r="B7735" t="str">
            <v>ROUE</v>
          </cell>
          <cell r="C7735" t="str">
            <v>500 VE 470.54/1R N° 065089007PO REP 55 REF 116775006PC001</v>
          </cell>
          <cell r="D7735" t="str">
            <v>PE</v>
          </cell>
          <cell r="E7735" t="str">
            <v>515.51503</v>
          </cell>
          <cell r="F7735">
            <v>216433.0558</v>
          </cell>
          <cell r="G7735">
            <v>0</v>
          </cell>
          <cell r="H7735">
            <v>0</v>
          </cell>
          <cell r="I7735">
            <v>1</v>
          </cell>
          <cell r="J7735">
            <v>0</v>
          </cell>
          <cell r="K7735">
            <v>0</v>
          </cell>
          <cell r="L7735">
            <v>0</v>
          </cell>
        </row>
        <row r="7736">
          <cell r="A7736" t="str">
            <v>20428.02291</v>
          </cell>
          <cell r="B7736" t="str">
            <v>ECROU DE ROUE</v>
          </cell>
          <cell r="C7736" t="str">
            <v>500 VE 470.54/1R N° 065089007PO REP 58 REF ECRS0141-02U45</v>
          </cell>
          <cell r="D7736" t="str">
            <v>PE</v>
          </cell>
          <cell r="E7736" t="str">
            <v>515.51503</v>
          </cell>
          <cell r="F7736">
            <v>14913.0324</v>
          </cell>
          <cell r="G7736">
            <v>0</v>
          </cell>
          <cell r="H7736">
            <v>0</v>
          </cell>
          <cell r="I7736">
            <v>0</v>
          </cell>
          <cell r="J7736">
            <v>0</v>
          </cell>
          <cell r="K7736">
            <v>0</v>
          </cell>
          <cell r="L7736">
            <v>2</v>
          </cell>
        </row>
        <row r="7737">
          <cell r="A7737" t="str">
            <v>20426.00773</v>
          </cell>
          <cell r="B7737" t="str">
            <v>BAGUE DE CENTRAGE EN 0.7043</v>
          </cell>
          <cell r="C7737" t="str">
            <v>RN100/400CS  REP 511.000.0  CODE A102697021016900</v>
          </cell>
          <cell r="D7737" t="str">
            <v>PE</v>
          </cell>
          <cell r="E7737" t="str">
            <v>515.51503</v>
          </cell>
          <cell r="F7737">
            <v>39605.573700000001</v>
          </cell>
          <cell r="G7737">
            <v>0</v>
          </cell>
          <cell r="H7737">
            <v>0</v>
          </cell>
          <cell r="I7737">
            <v>0</v>
          </cell>
          <cell r="J7737">
            <v>0</v>
          </cell>
          <cell r="K7737">
            <v>0</v>
          </cell>
          <cell r="L7737">
            <v>2</v>
          </cell>
        </row>
        <row r="7738">
          <cell r="A7738" t="str">
            <v>20426.00770</v>
          </cell>
          <cell r="B7738" t="str">
            <v>JOINT PLAT EN RF46  D 435/410X0,8</v>
          </cell>
          <cell r="C7738" t="str">
            <v>RN100/400CS  REP 443.400.0  CODE 3000015273344600</v>
          </cell>
          <cell r="D7738" t="str">
            <v>PE</v>
          </cell>
          <cell r="E7738" t="str">
            <v>515.51503</v>
          </cell>
          <cell r="F7738">
            <v>1355.3296</v>
          </cell>
          <cell r="G7738">
            <v>0</v>
          </cell>
          <cell r="H7738">
            <v>0</v>
          </cell>
          <cell r="I7738">
            <v>0</v>
          </cell>
          <cell r="J7738">
            <v>0</v>
          </cell>
          <cell r="K7738">
            <v>0</v>
          </cell>
          <cell r="L7738">
            <v>3</v>
          </cell>
        </row>
        <row r="7739">
          <cell r="A7739" t="str">
            <v>20426.00654</v>
          </cell>
          <cell r="B7739" t="str">
            <v>GRAIN SUPPORT</v>
          </cell>
          <cell r="C7739" t="str">
            <v>130235601 REP 476 TYPE RN 100/400 CS</v>
          </cell>
          <cell r="D7739" t="str">
            <v>PE</v>
          </cell>
          <cell r="E7739" t="str">
            <v>515.51503</v>
          </cell>
          <cell r="F7739">
            <v>12347.7927</v>
          </cell>
          <cell r="G7739">
            <v>0</v>
          </cell>
          <cell r="H7739">
            <v>0</v>
          </cell>
          <cell r="I7739">
            <v>0</v>
          </cell>
          <cell r="J7739">
            <v>0</v>
          </cell>
          <cell r="K7739">
            <v>0</v>
          </cell>
          <cell r="L7739">
            <v>2</v>
          </cell>
        </row>
        <row r="7740">
          <cell r="A7740" t="str">
            <v>20426.00655</v>
          </cell>
          <cell r="B7740" t="str">
            <v>ECROU D'ARBRE</v>
          </cell>
          <cell r="C7740" t="str">
            <v>RH 12333 REP 921 TYPE RN 100/400 CS</v>
          </cell>
          <cell r="D7740" t="str">
            <v>PE</v>
          </cell>
          <cell r="E7740" t="str">
            <v>515.51503</v>
          </cell>
          <cell r="F7740">
            <v>341.55</v>
          </cell>
          <cell r="G7740">
            <v>0</v>
          </cell>
          <cell r="H7740">
            <v>0</v>
          </cell>
          <cell r="I7740">
            <v>1</v>
          </cell>
          <cell r="J7740">
            <v>0</v>
          </cell>
          <cell r="K7740">
            <v>0</v>
          </cell>
          <cell r="L7740">
            <v>2</v>
          </cell>
        </row>
        <row r="7741">
          <cell r="A7741" t="str">
            <v>20426.00656</v>
          </cell>
          <cell r="B7741" t="str">
            <v>TOLE FREIN</v>
          </cell>
          <cell r="C7741" t="str">
            <v>RH 17255 REP 931 TYPE RN 100/400 CS</v>
          </cell>
          <cell r="D7741" t="str">
            <v>PE</v>
          </cell>
          <cell r="E7741" t="str">
            <v>515.51503</v>
          </cell>
          <cell r="F7741">
            <v>45.54</v>
          </cell>
          <cell r="G7741">
            <v>0</v>
          </cell>
          <cell r="H7741">
            <v>0</v>
          </cell>
          <cell r="I7741">
            <v>2</v>
          </cell>
          <cell r="J7741">
            <v>0</v>
          </cell>
          <cell r="K7741">
            <v>0</v>
          </cell>
          <cell r="L7741">
            <v>1</v>
          </cell>
        </row>
        <row r="7742">
          <cell r="A7742" t="str">
            <v>20426.00659</v>
          </cell>
          <cell r="B7742" t="str">
            <v>BAGUE D'ETANCHEITE</v>
          </cell>
          <cell r="C7742" t="str">
            <v>D50/65X8/NBR REP 361-421 TYPE RN 100/400 CS</v>
          </cell>
          <cell r="D7742" t="str">
            <v>PE</v>
          </cell>
          <cell r="E7742" t="str">
            <v>515.51503</v>
          </cell>
          <cell r="F7742">
            <v>432.63</v>
          </cell>
          <cell r="G7742">
            <v>0</v>
          </cell>
          <cell r="H7742">
            <v>0</v>
          </cell>
          <cell r="I7742">
            <v>7</v>
          </cell>
          <cell r="J7742">
            <v>0</v>
          </cell>
          <cell r="K7742">
            <v>0</v>
          </cell>
          <cell r="L7742">
            <v>1</v>
          </cell>
        </row>
        <row r="7743">
          <cell r="A7743" t="str">
            <v>20426.00660</v>
          </cell>
          <cell r="B7743" t="str">
            <v>JOINT TORIQUE EN VITON</v>
          </cell>
          <cell r="C7743" t="str">
            <v>108739002 REP 433-412 TYPE RN 100/400 CS</v>
          </cell>
          <cell r="D7743" t="str">
            <v>PE</v>
          </cell>
          <cell r="E7743" t="str">
            <v>515.51503</v>
          </cell>
          <cell r="F7743">
            <v>939.16319999999996</v>
          </cell>
          <cell r="G7743">
            <v>0</v>
          </cell>
          <cell r="H7743">
            <v>0</v>
          </cell>
          <cell r="I7743">
            <v>1</v>
          </cell>
          <cell r="J7743">
            <v>0</v>
          </cell>
          <cell r="K7743">
            <v>0</v>
          </cell>
          <cell r="L7743">
            <v>4</v>
          </cell>
        </row>
        <row r="7744">
          <cell r="A7744" t="str">
            <v>20426.00653</v>
          </cell>
          <cell r="B7744" t="str">
            <v>COUVERCLE DE GARNITURE</v>
          </cell>
          <cell r="C7744" t="str">
            <v>130235401 REP 471 TYPE RN 100/400 CS</v>
          </cell>
          <cell r="D7744" t="str">
            <v>PE</v>
          </cell>
          <cell r="E7744" t="str">
            <v>515.51503</v>
          </cell>
          <cell r="F7744">
            <v>17210.9637</v>
          </cell>
          <cell r="G7744">
            <v>0</v>
          </cell>
          <cell r="H7744">
            <v>0</v>
          </cell>
          <cell r="I7744">
            <v>0</v>
          </cell>
          <cell r="J7744">
            <v>0</v>
          </cell>
          <cell r="K7744">
            <v>0</v>
          </cell>
          <cell r="L7744">
            <v>2</v>
          </cell>
        </row>
        <row r="7745">
          <cell r="A7745" t="str">
            <v>20426.00824</v>
          </cell>
          <cell r="B7745" t="str">
            <v>JEU DE VISSERIS</v>
          </cell>
          <cell r="C7745" t="str">
            <v>TYPE : RN 100/400 CS   PLAN SZ503103   REP : 360.901/361.901</v>
          </cell>
          <cell r="D7745" t="str">
            <v>PE</v>
          </cell>
          <cell r="E7745" t="str">
            <v>515.51503</v>
          </cell>
          <cell r="F7745">
            <v>337.9162</v>
          </cell>
          <cell r="G7745">
            <v>0</v>
          </cell>
          <cell r="H7745">
            <v>0</v>
          </cell>
          <cell r="I7745">
            <v>0</v>
          </cell>
          <cell r="J7745">
            <v>0</v>
          </cell>
          <cell r="K7745">
            <v>0</v>
          </cell>
          <cell r="L7745">
            <v>0</v>
          </cell>
        </row>
        <row r="7746">
          <cell r="A7746" t="str">
            <v>20426.00662</v>
          </cell>
          <cell r="B7746" t="str">
            <v>GARNITURE MECANIQUE</v>
          </cell>
          <cell r="C7746" t="str">
            <v xml:space="preserve">RN 100/400 CS  ALLPAC'S 60/Q1Q1VT33Y REP 433 </v>
          </cell>
          <cell r="D7746" t="str">
            <v>PE</v>
          </cell>
          <cell r="E7746" t="str">
            <v>515.51503</v>
          </cell>
          <cell r="F7746">
            <v>34433.93</v>
          </cell>
          <cell r="G7746">
            <v>0</v>
          </cell>
          <cell r="H7746">
            <v>0</v>
          </cell>
          <cell r="I7746">
            <v>1</v>
          </cell>
          <cell r="J7746">
            <v>0</v>
          </cell>
          <cell r="K7746">
            <v>0</v>
          </cell>
          <cell r="L7746">
            <v>1</v>
          </cell>
        </row>
        <row r="7747">
          <cell r="A7747" t="str">
            <v>20426.00663</v>
          </cell>
          <cell r="B7747" t="str">
            <v>ROBINET A TOURNANT SPHERIQUE 1/4</v>
          </cell>
          <cell r="C7747" t="str">
            <v>VKDOM DN15 ETANCHEITE EPDM/PTFE</v>
          </cell>
          <cell r="D7747" t="str">
            <v>PE</v>
          </cell>
          <cell r="E7747" t="str">
            <v>515.51503</v>
          </cell>
          <cell r="F7747">
            <v>339.55579999999998</v>
          </cell>
          <cell r="G7747">
            <v>0</v>
          </cell>
          <cell r="H7747">
            <v>0</v>
          </cell>
          <cell r="I7747">
            <v>0</v>
          </cell>
          <cell r="J7747">
            <v>0</v>
          </cell>
          <cell r="K7747">
            <v>0</v>
          </cell>
          <cell r="L7747">
            <v>2</v>
          </cell>
        </row>
        <row r="7748">
          <cell r="A7748" t="str">
            <v>20426.00664</v>
          </cell>
          <cell r="B7748" t="str">
            <v>ROBINET A TOURNANT SPHERIQUE 1/4</v>
          </cell>
          <cell r="C7748" t="str">
            <v>VKDOM DN80 ETANCHEITE EPDM/PTFE</v>
          </cell>
          <cell r="D7748" t="str">
            <v>PE</v>
          </cell>
          <cell r="E7748" t="str">
            <v>515.51503</v>
          </cell>
          <cell r="F7748">
            <v>2781.3307</v>
          </cell>
          <cell r="G7748">
            <v>0</v>
          </cell>
          <cell r="H7748">
            <v>0</v>
          </cell>
          <cell r="I7748">
            <v>0</v>
          </cell>
          <cell r="J7748">
            <v>0</v>
          </cell>
          <cell r="K7748">
            <v>0</v>
          </cell>
          <cell r="L7748">
            <v>5</v>
          </cell>
        </row>
        <row r="7749">
          <cell r="A7749" t="str">
            <v>20426.00665</v>
          </cell>
          <cell r="B7749" t="str">
            <v>ROBINET A TOURNANT SPHERIQUE 1/4</v>
          </cell>
          <cell r="C7749" t="str">
            <v>VKDOM DN40 ETANCHEITE EPDM/PTFE</v>
          </cell>
          <cell r="D7749" t="str">
            <v>PE</v>
          </cell>
          <cell r="E7749" t="str">
            <v>515.51503</v>
          </cell>
          <cell r="F7749">
            <v>737.85619999999994</v>
          </cell>
          <cell r="G7749">
            <v>0</v>
          </cell>
          <cell r="H7749">
            <v>0</v>
          </cell>
          <cell r="I7749">
            <v>0</v>
          </cell>
          <cell r="J7749">
            <v>1</v>
          </cell>
          <cell r="K7749">
            <v>0</v>
          </cell>
          <cell r="L7749">
            <v>5</v>
          </cell>
        </row>
        <row r="7750">
          <cell r="A7750" t="str">
            <v>20426.00666</v>
          </cell>
          <cell r="B7750" t="str">
            <v>ROBINET A TOURNANT SPHERIQUE 1/4</v>
          </cell>
          <cell r="C7750" t="str">
            <v>VKDOM DN20 ETANCHEITE EPDM/PTFE</v>
          </cell>
          <cell r="D7750" t="str">
            <v>PE</v>
          </cell>
          <cell r="E7750" t="str">
            <v>515.51503</v>
          </cell>
          <cell r="F7750">
            <v>359.0761</v>
          </cell>
          <cell r="G7750">
            <v>0</v>
          </cell>
          <cell r="H7750">
            <v>0</v>
          </cell>
          <cell r="I7750">
            <v>0</v>
          </cell>
          <cell r="J7750">
            <v>0</v>
          </cell>
          <cell r="K7750">
            <v>0</v>
          </cell>
          <cell r="L7750">
            <v>4</v>
          </cell>
        </row>
        <row r="7751">
          <cell r="A7751" t="str">
            <v>20426.00667</v>
          </cell>
          <cell r="B7751" t="str">
            <v>ROBINET A TOURNANT SPHERIQUE 1/4</v>
          </cell>
          <cell r="C7751" t="str">
            <v>VKDFM 2" ETANCHEITE EPDM/PTFE</v>
          </cell>
          <cell r="D7751" t="str">
            <v>PE</v>
          </cell>
          <cell r="E7751" t="str">
            <v>515.51503</v>
          </cell>
          <cell r="F7751">
            <v>678.98919999999998</v>
          </cell>
          <cell r="G7751">
            <v>0</v>
          </cell>
          <cell r="H7751">
            <v>0</v>
          </cell>
          <cell r="I7751">
            <v>0</v>
          </cell>
          <cell r="J7751">
            <v>0</v>
          </cell>
          <cell r="K7751">
            <v>0</v>
          </cell>
          <cell r="L7751">
            <v>1</v>
          </cell>
        </row>
        <row r="7752">
          <cell r="A7752" t="str">
            <v>20426.00668</v>
          </cell>
          <cell r="B7752" t="str">
            <v>ROBINET A TOURNANT SPHERIQUE 1/4</v>
          </cell>
          <cell r="C7752" t="str">
            <v>VKDFM 1/2" ETANCHEITE EPDM/PTFE</v>
          </cell>
          <cell r="D7752" t="str">
            <v>PE</v>
          </cell>
          <cell r="E7752" t="str">
            <v>515.51503</v>
          </cell>
          <cell r="F7752">
            <v>207.4907</v>
          </cell>
          <cell r="G7752">
            <v>0</v>
          </cell>
          <cell r="H7752">
            <v>0</v>
          </cell>
          <cell r="I7752">
            <v>0</v>
          </cell>
          <cell r="J7752">
            <v>0</v>
          </cell>
          <cell r="K7752">
            <v>0</v>
          </cell>
          <cell r="L7752">
            <v>14</v>
          </cell>
        </row>
        <row r="7753">
          <cell r="A7753" t="str">
            <v>20426.00661</v>
          </cell>
          <cell r="B7753" t="str">
            <v>JOINT TORIQUE EN VITON</v>
          </cell>
          <cell r="C7753" t="str">
            <v>108739005 REP 433-412TYPE RN 100/400 CS</v>
          </cell>
          <cell r="D7753" t="str">
            <v>PE</v>
          </cell>
          <cell r="E7753" t="str">
            <v>515.51503</v>
          </cell>
          <cell r="F7753">
            <v>751.3306</v>
          </cell>
          <cell r="G7753">
            <v>0</v>
          </cell>
          <cell r="H7753">
            <v>0</v>
          </cell>
          <cell r="I7753">
            <v>1</v>
          </cell>
          <cell r="J7753">
            <v>0</v>
          </cell>
          <cell r="K7753">
            <v>0</v>
          </cell>
          <cell r="L7753">
            <v>2</v>
          </cell>
        </row>
        <row r="7754">
          <cell r="A7754" t="str">
            <v>20426.00673</v>
          </cell>
          <cell r="B7754" t="str">
            <v>ROBINET A TOURNANT SPHERIQUE 1/4</v>
          </cell>
          <cell r="C7754" t="str">
            <v>VKDOMCE DN25 ETANCHEITE EPDM/PTFE</v>
          </cell>
          <cell r="D7754" t="str">
            <v>PE</v>
          </cell>
          <cell r="E7754" t="str">
            <v>515.51503</v>
          </cell>
          <cell r="F7754">
            <v>3019.2</v>
          </cell>
          <cell r="G7754">
            <v>0</v>
          </cell>
          <cell r="H7754">
            <v>0</v>
          </cell>
          <cell r="I7754">
            <v>0</v>
          </cell>
          <cell r="J7754">
            <v>0</v>
          </cell>
          <cell r="K7754">
            <v>0</v>
          </cell>
          <cell r="L7754">
            <v>1</v>
          </cell>
        </row>
        <row r="7755">
          <cell r="A7755" t="str">
            <v>20426.00674</v>
          </cell>
          <cell r="B7755" t="str">
            <v>ROBINET A TOURNANT SPHERIQUE 1/4</v>
          </cell>
          <cell r="C7755" t="str">
            <v>VKDOM DN15 ETANCHEITE FPM/PTFE</v>
          </cell>
          <cell r="D7755" t="str">
            <v>PE</v>
          </cell>
          <cell r="E7755" t="str">
            <v>515.51503</v>
          </cell>
          <cell r="F7755">
            <v>384.77690000000001</v>
          </cell>
          <cell r="G7755">
            <v>0</v>
          </cell>
          <cell r="H7755">
            <v>0</v>
          </cell>
          <cell r="I7755">
            <v>0</v>
          </cell>
          <cell r="J7755">
            <v>0</v>
          </cell>
          <cell r="K7755">
            <v>0</v>
          </cell>
          <cell r="L7755">
            <v>2</v>
          </cell>
        </row>
        <row r="7756">
          <cell r="A7756" t="str">
            <v>20426.00675</v>
          </cell>
          <cell r="B7756" t="str">
            <v>ROBINET A TOURNANT SPHERIQUE 1/4</v>
          </cell>
          <cell r="C7756" t="str">
            <v>VKDOM DN20 ETANCHEITE FPM/PTFE</v>
          </cell>
          <cell r="D7756" t="str">
            <v>PE</v>
          </cell>
          <cell r="E7756" t="str">
            <v>515.51503</v>
          </cell>
          <cell r="F7756">
            <v>403.6241</v>
          </cell>
          <cell r="G7756">
            <v>0</v>
          </cell>
          <cell r="H7756">
            <v>0</v>
          </cell>
          <cell r="I7756">
            <v>0</v>
          </cell>
          <cell r="J7756">
            <v>0</v>
          </cell>
          <cell r="K7756">
            <v>0</v>
          </cell>
          <cell r="L7756">
            <v>0</v>
          </cell>
        </row>
        <row r="7757">
          <cell r="A7757" t="str">
            <v>20426.00676</v>
          </cell>
          <cell r="B7757" t="str">
            <v>ROBINET A TOURNANT SPHERIQUE 1/4</v>
          </cell>
          <cell r="C7757" t="str">
            <v>VKDOMCE DN40 ETANCHEITE FPM/PTFE</v>
          </cell>
          <cell r="D7757" t="str">
            <v>PE</v>
          </cell>
          <cell r="E7757" t="str">
            <v>515.51503</v>
          </cell>
          <cell r="F7757">
            <v>5320.56</v>
          </cell>
          <cell r="G7757">
            <v>0</v>
          </cell>
          <cell r="H7757">
            <v>0</v>
          </cell>
          <cell r="I7757">
            <v>0</v>
          </cell>
          <cell r="J7757">
            <v>0</v>
          </cell>
          <cell r="K7757">
            <v>0</v>
          </cell>
          <cell r="L7757">
            <v>0</v>
          </cell>
        </row>
        <row r="7758">
          <cell r="A7758" t="str">
            <v>20426.00677</v>
          </cell>
          <cell r="B7758" t="str">
            <v>ROBINET A TOURNANT SPHERIQUE 1/4</v>
          </cell>
          <cell r="C7758" t="str">
            <v>VKDOMCE DN15 ETANCHEITE FPM/PTFE</v>
          </cell>
          <cell r="D7758" t="str">
            <v>PE</v>
          </cell>
          <cell r="E7758" t="str">
            <v>515.51503</v>
          </cell>
          <cell r="F7758">
            <v>1709.04</v>
          </cell>
          <cell r="G7758">
            <v>1</v>
          </cell>
          <cell r="H7758">
            <v>0</v>
          </cell>
          <cell r="I7758">
            <v>0</v>
          </cell>
          <cell r="J7758">
            <v>0</v>
          </cell>
          <cell r="K7758">
            <v>0</v>
          </cell>
          <cell r="L7758">
            <v>1</v>
          </cell>
        </row>
        <row r="7759">
          <cell r="A7759" t="str">
            <v>20426.00669</v>
          </cell>
          <cell r="B7759" t="str">
            <v>ROBINET A TOURNANT SPHERIQUE 1/4</v>
          </cell>
          <cell r="C7759" t="str">
            <v>VKDOM DN25 ETANCHEITE EPDM/PTFE</v>
          </cell>
          <cell r="D7759" t="str">
            <v>PE</v>
          </cell>
          <cell r="E7759" t="str">
            <v>515.51503</v>
          </cell>
          <cell r="F7759">
            <v>496.39159999999998</v>
          </cell>
          <cell r="G7759">
            <v>0</v>
          </cell>
          <cell r="H7759">
            <v>0</v>
          </cell>
          <cell r="I7759">
            <v>0</v>
          </cell>
          <cell r="J7759">
            <v>0</v>
          </cell>
          <cell r="K7759">
            <v>0</v>
          </cell>
          <cell r="L7759">
            <v>1</v>
          </cell>
        </row>
        <row r="7760">
          <cell r="A7760" t="str">
            <v>20426.00670</v>
          </cell>
          <cell r="B7760" t="str">
            <v>ROBINET A TOURNANT SPHERIQUE 1/4</v>
          </cell>
          <cell r="C7760" t="str">
            <v>VKDOM DN50 ETANCHEITE EPDM/PTFE</v>
          </cell>
          <cell r="D7760" t="str">
            <v>PE</v>
          </cell>
          <cell r="E7760" t="str">
            <v>515.51503</v>
          </cell>
          <cell r="F7760">
            <v>808.71680000000003</v>
          </cell>
          <cell r="G7760">
            <v>0</v>
          </cell>
          <cell r="H7760">
            <v>0</v>
          </cell>
          <cell r="I7760">
            <v>0</v>
          </cell>
          <cell r="J7760">
            <v>0</v>
          </cell>
          <cell r="K7760">
            <v>0</v>
          </cell>
          <cell r="L7760">
            <v>2</v>
          </cell>
        </row>
        <row r="7761">
          <cell r="A7761" t="str">
            <v>20426.00671</v>
          </cell>
          <cell r="B7761" t="str">
            <v>ROBINET A TOURNANT SPHERIQUE 1/4</v>
          </cell>
          <cell r="C7761" t="str">
            <v>VKDOMCE DN50 ETANCHEITE EPDM/PTFE</v>
          </cell>
          <cell r="D7761" t="str">
            <v>PE</v>
          </cell>
          <cell r="E7761" t="str">
            <v>515.51503</v>
          </cell>
          <cell r="F7761">
            <v>7120.56</v>
          </cell>
          <cell r="G7761">
            <v>0</v>
          </cell>
          <cell r="H7761">
            <v>0</v>
          </cell>
          <cell r="I7761">
            <v>0</v>
          </cell>
          <cell r="J7761">
            <v>0</v>
          </cell>
          <cell r="K7761">
            <v>0</v>
          </cell>
          <cell r="L7761">
            <v>1</v>
          </cell>
        </row>
        <row r="7762">
          <cell r="A7762" t="str">
            <v>20426.00672</v>
          </cell>
          <cell r="B7762" t="str">
            <v>ROBINET A TOURNANT SPHERIQUE 1/4</v>
          </cell>
          <cell r="C7762" t="str">
            <v>VKDOMCE DN40 ETANCHEITE EPDM/PTFE</v>
          </cell>
          <cell r="D7762" t="str">
            <v>PE</v>
          </cell>
          <cell r="E7762" t="str">
            <v>515.51503</v>
          </cell>
          <cell r="F7762">
            <v>5320.56</v>
          </cell>
          <cell r="G7762">
            <v>0</v>
          </cell>
          <cell r="H7762">
            <v>0</v>
          </cell>
          <cell r="I7762">
            <v>0</v>
          </cell>
          <cell r="J7762">
            <v>1</v>
          </cell>
          <cell r="K7762">
            <v>0</v>
          </cell>
          <cell r="L7762">
            <v>1</v>
          </cell>
        </row>
        <row r="7763">
          <cell r="A7763" t="str">
            <v>20426.00681</v>
          </cell>
          <cell r="B7763" t="str">
            <v>CLAPET ANTI-RETOUR A BATTANT EN PVC</v>
          </cell>
          <cell r="C7763" t="str">
            <v>S460 DN250 ETANCHEITE EPDM</v>
          </cell>
          <cell r="D7763" t="str">
            <v>PE</v>
          </cell>
          <cell r="E7763" t="str">
            <v>515.51503</v>
          </cell>
          <cell r="F7763">
            <v>3390.0508</v>
          </cell>
          <cell r="G7763">
            <v>0</v>
          </cell>
          <cell r="H7763">
            <v>0</v>
          </cell>
          <cell r="I7763">
            <v>0</v>
          </cell>
          <cell r="J7763">
            <v>0</v>
          </cell>
          <cell r="K7763">
            <v>0</v>
          </cell>
          <cell r="L7763">
            <v>0</v>
          </cell>
        </row>
        <row r="7764">
          <cell r="A7764" t="str">
            <v>20426.00678</v>
          </cell>
          <cell r="B7764" t="str">
            <v>CLAPET ANTI-RETOUR A BATTANT EN PVC</v>
          </cell>
          <cell r="C7764" t="str">
            <v>S460 DN80 ETANCHEITE EPDM</v>
          </cell>
          <cell r="D7764" t="str">
            <v>PE</v>
          </cell>
          <cell r="E7764" t="str">
            <v>515.51503</v>
          </cell>
          <cell r="F7764">
            <v>767.71799999999996</v>
          </cell>
          <cell r="G7764">
            <v>0</v>
          </cell>
          <cell r="H7764">
            <v>0</v>
          </cell>
          <cell r="I7764">
            <v>0</v>
          </cell>
          <cell r="J7764">
            <v>0</v>
          </cell>
          <cell r="K7764">
            <v>0</v>
          </cell>
          <cell r="L7764">
            <v>0</v>
          </cell>
        </row>
        <row r="7765">
          <cell r="A7765" t="str">
            <v>20426.00679</v>
          </cell>
          <cell r="B7765" t="str">
            <v>CLAPET ANTI-RETOUR A BATTANT EN PVC</v>
          </cell>
          <cell r="C7765" t="str">
            <v>S460 DN150 ETANCHEITE EPDM</v>
          </cell>
          <cell r="D7765" t="str">
            <v>PE</v>
          </cell>
          <cell r="E7765" t="str">
            <v>515.51503</v>
          </cell>
          <cell r="F7765">
            <v>1267.6179</v>
          </cell>
          <cell r="G7765">
            <v>0</v>
          </cell>
          <cell r="H7765">
            <v>1</v>
          </cell>
          <cell r="I7765">
            <v>0</v>
          </cell>
          <cell r="J7765">
            <v>0</v>
          </cell>
          <cell r="K7765">
            <v>0</v>
          </cell>
          <cell r="L7765">
            <v>0</v>
          </cell>
        </row>
        <row r="7766">
          <cell r="A7766" t="str">
            <v>20426.00680</v>
          </cell>
          <cell r="B7766" t="str">
            <v>CLAPET ANTI-RETOUR A BATTANT EN PVC</v>
          </cell>
          <cell r="C7766" t="str">
            <v>S460 DN200 ETANCHEITE EPDM</v>
          </cell>
          <cell r="D7766" t="str">
            <v>PE</v>
          </cell>
          <cell r="E7766" t="str">
            <v>515.51503</v>
          </cell>
          <cell r="F7766">
            <v>2355.9016999999999</v>
          </cell>
          <cell r="G7766">
            <v>0</v>
          </cell>
          <cell r="H7766">
            <v>0</v>
          </cell>
          <cell r="I7766">
            <v>0</v>
          </cell>
          <cell r="J7766">
            <v>0</v>
          </cell>
          <cell r="K7766">
            <v>0</v>
          </cell>
          <cell r="L7766">
            <v>0</v>
          </cell>
        </row>
        <row r="7767">
          <cell r="A7767" t="str">
            <v>20426.00847</v>
          </cell>
          <cell r="B7767" t="str">
            <v>CORPS DE PALIER</v>
          </cell>
          <cell r="C7767" t="str">
            <v>RN 125/315 CSR PLAN SZ503103  REPERE 330  REF 1500303011000000</v>
          </cell>
          <cell r="D7767" t="str">
            <v>PE</v>
          </cell>
          <cell r="E7767" t="str">
            <v>515.51503</v>
          </cell>
          <cell r="F7767">
            <v>21515.008000000002</v>
          </cell>
          <cell r="G7767">
            <v>0</v>
          </cell>
          <cell r="H7767">
            <v>0</v>
          </cell>
          <cell r="I7767">
            <v>0</v>
          </cell>
          <cell r="J7767">
            <v>0</v>
          </cell>
          <cell r="K7767">
            <v>0</v>
          </cell>
          <cell r="L7767">
            <v>2</v>
          </cell>
        </row>
        <row r="7768">
          <cell r="A7768" t="str">
            <v>20426.00745</v>
          </cell>
          <cell r="B7768" t="str">
            <v>VANNE À MEMEBRANE À SEUIL ( PASSAGE INDIRECT )</v>
          </cell>
          <cell r="C7768" t="str">
            <v xml:space="preserve">TYPE: 987 (COMMANDE MANUEL À VOLANT AVEC INDICATEUR DE POSITION VISUEL) DN   40 PN 10 </v>
          </cell>
          <cell r="D7768" t="str">
            <v>PE</v>
          </cell>
          <cell r="E7768" t="str">
            <v>515.51503</v>
          </cell>
          <cell r="F7768">
            <v>2206.3784000000001</v>
          </cell>
          <cell r="G7768">
            <v>0</v>
          </cell>
          <cell r="H7768">
            <v>0</v>
          </cell>
          <cell r="I7768">
            <v>0</v>
          </cell>
          <cell r="J7768">
            <v>0</v>
          </cell>
          <cell r="K7768">
            <v>0</v>
          </cell>
          <cell r="L7768">
            <v>0</v>
          </cell>
        </row>
        <row r="7769">
          <cell r="A7769" t="str">
            <v>20406.00363</v>
          </cell>
          <cell r="B7769" t="str">
            <v>BOITIER SIGNALISA 8 CASE</v>
          </cell>
          <cell r="C7769" t="str">
            <v>A/2X4/A02/C1/101/5/BC 04L</v>
          </cell>
          <cell r="D7769" t="str">
            <v>PE</v>
          </cell>
          <cell r="E7769" t="str">
            <v>522.52206</v>
          </cell>
          <cell r="F7769">
            <v>3348</v>
          </cell>
          <cell r="G7769">
            <v>0</v>
          </cell>
          <cell r="H7769">
            <v>0</v>
          </cell>
          <cell r="I7769">
            <v>0</v>
          </cell>
          <cell r="J7769">
            <v>0</v>
          </cell>
          <cell r="K7769">
            <v>0</v>
          </cell>
          <cell r="L7769">
            <v>20</v>
          </cell>
        </row>
        <row r="7770">
          <cell r="A7770" t="str">
            <v>20415.01303</v>
          </cell>
          <cell r="B7770" t="str">
            <v>RALLONGE DE 4 PRISES 2P+T 220</v>
          </cell>
          <cell r="C7770" t="str">
            <v>505 52</v>
          </cell>
          <cell r="D7770" t="str">
            <v>PE</v>
          </cell>
          <cell r="E7770" t="str">
            <v>522.52206</v>
          </cell>
          <cell r="F7770">
            <v>64.680000000000007</v>
          </cell>
          <cell r="G7770">
            <v>0</v>
          </cell>
          <cell r="H7770">
            <v>0</v>
          </cell>
          <cell r="I7770">
            <v>0</v>
          </cell>
          <cell r="J7770">
            <v>0</v>
          </cell>
          <cell r="K7770">
            <v>0</v>
          </cell>
          <cell r="L7770">
            <v>0</v>
          </cell>
        </row>
        <row r="7771">
          <cell r="A7771" t="str">
            <v>20415.00115</v>
          </cell>
          <cell r="B7771" t="str">
            <v>REPARTITEUR 4X80A</v>
          </cell>
          <cell r="C7771" t="str">
            <v>048 84</v>
          </cell>
          <cell r="D7771" t="str">
            <v>PE</v>
          </cell>
          <cell r="E7771" t="str">
            <v>522.52206</v>
          </cell>
          <cell r="F7771">
            <v>144</v>
          </cell>
          <cell r="G7771">
            <v>3</v>
          </cell>
          <cell r="H7771">
            <v>0</v>
          </cell>
          <cell r="I7771">
            <v>0</v>
          </cell>
          <cell r="J7771">
            <v>0</v>
          </cell>
          <cell r="K7771">
            <v>0</v>
          </cell>
          <cell r="L7771">
            <v>0</v>
          </cell>
        </row>
        <row r="7772">
          <cell r="A7772" t="str">
            <v>20415.01352</v>
          </cell>
          <cell r="B7772" t="str">
            <v>BLOC MULTIPRISE 6 PRISES 2P + T - 10/16A</v>
          </cell>
          <cell r="C7772" t="str">
            <v>505 70</v>
          </cell>
          <cell r="D7772" t="str">
            <v>PE</v>
          </cell>
          <cell r="E7772" t="str">
            <v>522.52206</v>
          </cell>
          <cell r="F7772">
            <v>173.239</v>
          </cell>
          <cell r="G7772">
            <v>0</v>
          </cell>
          <cell r="H7772">
            <v>0</v>
          </cell>
          <cell r="I7772">
            <v>0</v>
          </cell>
          <cell r="J7772">
            <v>0</v>
          </cell>
          <cell r="K7772">
            <v>0</v>
          </cell>
          <cell r="L7772">
            <v>0</v>
          </cell>
        </row>
        <row r="7773">
          <cell r="A7773" t="str">
            <v>20415.01381</v>
          </cell>
          <cell r="B7773" t="str">
            <v>VENTILATEUR 230V 50/60HZ</v>
          </cell>
          <cell r="C7773" t="str">
            <v>365 71</v>
          </cell>
          <cell r="D7773" t="str">
            <v>PE</v>
          </cell>
          <cell r="E7773" t="str">
            <v>522.52206</v>
          </cell>
          <cell r="F7773">
            <v>552</v>
          </cell>
          <cell r="G7773">
            <v>0</v>
          </cell>
          <cell r="H7773">
            <v>0</v>
          </cell>
          <cell r="I7773">
            <v>0</v>
          </cell>
          <cell r="J7773">
            <v>1</v>
          </cell>
          <cell r="K7773">
            <v>1</v>
          </cell>
          <cell r="L7773">
            <v>0</v>
          </cell>
        </row>
        <row r="7774">
          <cell r="A7774" t="str">
            <v>20415.00397</v>
          </cell>
          <cell r="B7774" t="str">
            <v>FICHE INDUSTRIELLE A PRES</v>
          </cell>
          <cell r="C7774" t="str">
            <v>538 48</v>
          </cell>
          <cell r="D7774" t="str">
            <v>PE</v>
          </cell>
          <cell r="E7774" t="str">
            <v>522.52206</v>
          </cell>
          <cell r="F7774">
            <v>404.04</v>
          </cell>
          <cell r="G7774">
            <v>0</v>
          </cell>
          <cell r="H7774">
            <v>0</v>
          </cell>
          <cell r="I7774">
            <v>0</v>
          </cell>
          <cell r="J7774">
            <v>0</v>
          </cell>
          <cell r="K7774">
            <v>31</v>
          </cell>
          <cell r="L7774">
            <v>0</v>
          </cell>
        </row>
        <row r="7775">
          <cell r="A7775" t="str">
            <v>20415.00400</v>
          </cell>
          <cell r="B7775" t="str">
            <v>BLOC MULTIPRISE 250V</v>
          </cell>
          <cell r="C7775" t="str">
            <v>505 35</v>
          </cell>
          <cell r="D7775" t="str">
            <v>PE</v>
          </cell>
          <cell r="E7775" t="str">
            <v>522.52206</v>
          </cell>
          <cell r="F7775">
            <v>64.680000000000007</v>
          </cell>
          <cell r="G7775">
            <v>0</v>
          </cell>
          <cell r="H7775">
            <v>0</v>
          </cell>
          <cell r="I7775">
            <v>0</v>
          </cell>
          <cell r="J7775">
            <v>0</v>
          </cell>
          <cell r="K7775">
            <v>0</v>
          </cell>
          <cell r="L7775">
            <v>0</v>
          </cell>
        </row>
        <row r="7776">
          <cell r="A7776" t="str">
            <v>20399.08056</v>
          </cell>
          <cell r="B7776" t="str">
            <v>MANCH CERAMIQ 152,4X76,2</v>
          </cell>
          <cell r="C7776" t="str">
            <v>VJ-MG 295/92                           (A4)</v>
          </cell>
          <cell r="D7776" t="str">
            <v>PE</v>
          </cell>
          <cell r="E7776" t="str">
            <v>314.31403</v>
          </cell>
          <cell r="F7776">
            <v>51.12</v>
          </cell>
          <cell r="G7776">
            <v>0</v>
          </cell>
          <cell r="H7776">
            <v>0</v>
          </cell>
          <cell r="I7776">
            <v>3000</v>
          </cell>
          <cell r="J7776">
            <v>0</v>
          </cell>
          <cell r="K7776">
            <v>0</v>
          </cell>
          <cell r="L7776">
            <v>0</v>
          </cell>
        </row>
        <row r="7777">
          <cell r="A7777" t="str">
            <v>38943.00786</v>
          </cell>
          <cell r="B7777" t="str">
            <v>BOITE D'ARCHIVAGE</v>
          </cell>
          <cell r="C7777" t="str">
            <v xml:space="preserve">DESIGNATION: BOITE D'ARCHIVAGE EN POLYPROPYLENE  A BOUTON A PRESSION  COULEURS ASSORTIS  DIMENSIONS : 32 X 24 CM , DOS : 8 CM </v>
          </cell>
          <cell r="D7777" t="str">
            <v>PE</v>
          </cell>
          <cell r="E7777" t="str">
            <v>15.0335</v>
          </cell>
          <cell r="F7777">
            <v>11.5063</v>
          </cell>
          <cell r="G7777">
            <v>0</v>
          </cell>
          <cell r="H7777">
            <v>0</v>
          </cell>
          <cell r="I7777">
            <v>0</v>
          </cell>
          <cell r="J7777">
            <v>0</v>
          </cell>
          <cell r="K7777">
            <v>0</v>
          </cell>
          <cell r="L7777">
            <v>0</v>
          </cell>
        </row>
        <row r="7778">
          <cell r="A7778" t="str">
            <v>38943.00787</v>
          </cell>
          <cell r="B7778" t="str">
            <v>BOITE D'ARCHIVAGE</v>
          </cell>
          <cell r="C7778" t="str">
            <v xml:space="preserve">BOITE D'ARCHIVAGE EN POLYPROPYLENE A BOUTON A PRESSION COULEURS ASSORTIS DIMENSIONS : 32 X 24 CM DOS : 12 CM </v>
          </cell>
          <cell r="D7778" t="str">
            <v>PE</v>
          </cell>
          <cell r="E7778" t="str">
            <v>15.0335</v>
          </cell>
          <cell r="F7778">
            <v>13.53</v>
          </cell>
          <cell r="G7778">
            <v>0</v>
          </cell>
          <cell r="H7778">
            <v>0</v>
          </cell>
          <cell r="I7778">
            <v>0</v>
          </cell>
          <cell r="J7778">
            <v>0</v>
          </cell>
          <cell r="K7778">
            <v>0</v>
          </cell>
          <cell r="L7778">
            <v>0</v>
          </cell>
        </row>
        <row r="7779">
          <cell r="A7779" t="str">
            <v>20399.11290</v>
          </cell>
          <cell r="B7779" t="str">
            <v>TAMBOUR</v>
          </cell>
          <cell r="C7779" t="str">
            <v>SUIVANT PLAN : PMP-UE5-UE6/001</v>
          </cell>
          <cell r="D7779" t="str">
            <v>PE</v>
          </cell>
          <cell r="E7779" t="str">
            <v>522.52213</v>
          </cell>
          <cell r="F7779">
            <v>55991.820800000001</v>
          </cell>
          <cell r="G7779">
            <v>0</v>
          </cell>
          <cell r="H7779">
            <v>0</v>
          </cell>
          <cell r="I7779">
            <v>0</v>
          </cell>
          <cell r="J7779">
            <v>0</v>
          </cell>
          <cell r="K7779">
            <v>0</v>
          </cell>
          <cell r="L7779">
            <v>0</v>
          </cell>
        </row>
        <row r="7780">
          <cell r="A7780" t="str">
            <v>20399.11291</v>
          </cell>
          <cell r="B7780" t="str">
            <v>TAMBOUR</v>
          </cell>
          <cell r="C7780" t="str">
            <v>SUIVANT PLAN : PMP-UE5-UE6/002</v>
          </cell>
          <cell r="D7780" t="str">
            <v>PE</v>
          </cell>
          <cell r="E7780" t="str">
            <v>522.52213</v>
          </cell>
          <cell r="F7780">
            <v>33174</v>
          </cell>
          <cell r="G7780">
            <v>0</v>
          </cell>
          <cell r="H7780">
            <v>0</v>
          </cell>
          <cell r="I7780">
            <v>0</v>
          </cell>
          <cell r="J7780">
            <v>0</v>
          </cell>
          <cell r="K7780">
            <v>0</v>
          </cell>
          <cell r="L7780">
            <v>1</v>
          </cell>
        </row>
        <row r="7781">
          <cell r="A7781" t="str">
            <v>20399.11292</v>
          </cell>
          <cell r="B7781" t="str">
            <v>TAMBOUR</v>
          </cell>
          <cell r="C7781" t="str">
            <v>SUIVANT PLAN : PMP-UE5-UE6/003</v>
          </cell>
          <cell r="D7781" t="str">
            <v>PE</v>
          </cell>
          <cell r="E7781" t="str">
            <v>522.52213</v>
          </cell>
          <cell r="F7781">
            <v>20122.0497</v>
          </cell>
          <cell r="G7781">
            <v>0</v>
          </cell>
          <cell r="H7781">
            <v>0</v>
          </cell>
          <cell r="I7781">
            <v>0</v>
          </cell>
          <cell r="J7781">
            <v>0</v>
          </cell>
          <cell r="K7781">
            <v>0</v>
          </cell>
          <cell r="L7781">
            <v>0</v>
          </cell>
        </row>
        <row r="7782">
          <cell r="A7782" t="str">
            <v>20399.11293</v>
          </cell>
          <cell r="B7782" t="str">
            <v>TAMBOUR</v>
          </cell>
          <cell r="C7782" t="str">
            <v>SUIVANT PLAN : PMP-UD2/001</v>
          </cell>
          <cell r="D7782" t="str">
            <v>PE</v>
          </cell>
          <cell r="E7782" t="str">
            <v>522.52213</v>
          </cell>
          <cell r="F7782">
            <v>61241.1541</v>
          </cell>
          <cell r="G7782">
            <v>0</v>
          </cell>
          <cell r="H7782">
            <v>0</v>
          </cell>
          <cell r="I7782">
            <v>0</v>
          </cell>
          <cell r="J7782">
            <v>0</v>
          </cell>
          <cell r="K7782">
            <v>0</v>
          </cell>
          <cell r="L7782">
            <v>1</v>
          </cell>
        </row>
        <row r="7783">
          <cell r="A7783" t="str">
            <v>20399.11294</v>
          </cell>
          <cell r="B7783" t="str">
            <v>TAMBOUR</v>
          </cell>
          <cell r="C7783" t="str">
            <v>SUIVANT PLAN : PMP-UD2/002</v>
          </cell>
          <cell r="D7783" t="str">
            <v>PE</v>
          </cell>
          <cell r="E7783" t="str">
            <v>522.52213</v>
          </cell>
          <cell r="F7783">
            <v>37094.6109</v>
          </cell>
          <cell r="G7783">
            <v>0</v>
          </cell>
          <cell r="H7783">
            <v>0</v>
          </cell>
          <cell r="I7783">
            <v>0</v>
          </cell>
          <cell r="J7783">
            <v>0</v>
          </cell>
          <cell r="K7783">
            <v>0</v>
          </cell>
          <cell r="L7783">
            <v>1</v>
          </cell>
        </row>
        <row r="7784">
          <cell r="A7784" t="str">
            <v>20399.11295</v>
          </cell>
          <cell r="B7784" t="str">
            <v>TAMBOUR</v>
          </cell>
          <cell r="C7784" t="str">
            <v>SUIVANT PLAN : PMP-UD2/003</v>
          </cell>
          <cell r="D7784" t="str">
            <v>PE</v>
          </cell>
          <cell r="E7784" t="str">
            <v>522.52213</v>
          </cell>
          <cell r="F7784">
            <v>42195</v>
          </cell>
          <cell r="G7784">
            <v>0</v>
          </cell>
          <cell r="H7784">
            <v>0</v>
          </cell>
          <cell r="I7784">
            <v>0</v>
          </cell>
          <cell r="J7784">
            <v>0</v>
          </cell>
          <cell r="K7784">
            <v>0</v>
          </cell>
          <cell r="L7784">
            <v>1</v>
          </cell>
        </row>
        <row r="7785">
          <cell r="A7785" t="str">
            <v>20399.11296</v>
          </cell>
          <cell r="B7785" t="str">
            <v>TAMBOUR</v>
          </cell>
          <cell r="C7785" t="str">
            <v>SUIVANT PLAN : PMP-UD2/004</v>
          </cell>
          <cell r="D7785" t="str">
            <v>PE</v>
          </cell>
          <cell r="E7785" t="str">
            <v>522.52213</v>
          </cell>
          <cell r="F7785">
            <v>38494.3681</v>
          </cell>
          <cell r="G7785">
            <v>0</v>
          </cell>
          <cell r="H7785">
            <v>0</v>
          </cell>
          <cell r="I7785">
            <v>0</v>
          </cell>
          <cell r="J7785">
            <v>0</v>
          </cell>
          <cell r="K7785">
            <v>0</v>
          </cell>
          <cell r="L7785">
            <v>0</v>
          </cell>
        </row>
        <row r="7786">
          <cell r="A7786" t="str">
            <v>20399.11297</v>
          </cell>
          <cell r="B7786" t="str">
            <v>TAMBOUR</v>
          </cell>
          <cell r="C7786" t="str">
            <v>SUIVANT PLAN : PMP-UD2/005</v>
          </cell>
          <cell r="D7786" t="str">
            <v>PE</v>
          </cell>
          <cell r="E7786" t="str">
            <v>522.52213</v>
          </cell>
          <cell r="F7786">
            <v>24583.836800000001</v>
          </cell>
          <cell r="G7786">
            <v>0</v>
          </cell>
          <cell r="H7786">
            <v>0</v>
          </cell>
          <cell r="I7786">
            <v>0</v>
          </cell>
          <cell r="J7786">
            <v>0</v>
          </cell>
          <cell r="K7786">
            <v>0</v>
          </cell>
          <cell r="L7786">
            <v>1</v>
          </cell>
        </row>
        <row r="7787">
          <cell r="A7787" t="str">
            <v>20399.11298</v>
          </cell>
          <cell r="B7787" t="str">
            <v>TAMBOUR</v>
          </cell>
          <cell r="C7787" t="str">
            <v>SUIVANT PLAN : PMP-UD2/006</v>
          </cell>
          <cell r="D7787" t="str">
            <v>PE</v>
          </cell>
          <cell r="E7787" t="str">
            <v>522.52213</v>
          </cell>
          <cell r="F7787">
            <v>61241.1541</v>
          </cell>
          <cell r="G7787">
            <v>0</v>
          </cell>
          <cell r="H7787">
            <v>0</v>
          </cell>
          <cell r="I7787">
            <v>0</v>
          </cell>
          <cell r="J7787">
            <v>0</v>
          </cell>
          <cell r="K7787">
            <v>0</v>
          </cell>
          <cell r="L7787">
            <v>1</v>
          </cell>
        </row>
        <row r="7788">
          <cell r="A7788" t="str">
            <v>39242.01741</v>
          </cell>
          <cell r="B7788" t="str">
            <v>JEUX INTERCALAIRE 10 POSITIONS</v>
          </cell>
          <cell r="C7788" t="str">
            <v xml:space="preserve">JEUX DE 10 INTERCALAIRES POUR CLASSEUR EN PLASTIQUE COULEUR : BLANCHE HAUTEUR : 1,10 M </v>
          </cell>
          <cell r="D7788" t="str">
            <v>PE</v>
          </cell>
          <cell r="E7788" t="str">
            <v>15.0335</v>
          </cell>
          <cell r="F7788">
            <v>10.67</v>
          </cell>
          <cell r="G7788">
            <v>0</v>
          </cell>
          <cell r="H7788">
            <v>0</v>
          </cell>
          <cell r="I7788">
            <v>0</v>
          </cell>
          <cell r="J7788">
            <v>0</v>
          </cell>
          <cell r="K7788">
            <v>0</v>
          </cell>
          <cell r="L7788">
            <v>0</v>
          </cell>
        </row>
        <row r="7789">
          <cell r="A7789" t="str">
            <v>39242.02135</v>
          </cell>
          <cell r="B7789" t="str">
            <v>ROULEAU PAPIER BLANC 610MM DIAM. 50MM</v>
          </cell>
          <cell r="C7789" t="str">
            <v>ROULEAU PAPIER BLANC 610MM DIAMETRE  50MM</v>
          </cell>
          <cell r="D7789" t="str">
            <v>PE</v>
          </cell>
          <cell r="E7789" t="str">
            <v>15.0335</v>
          </cell>
          <cell r="F7789">
            <v>252.14689999999999</v>
          </cell>
          <cell r="G7789">
            <v>0</v>
          </cell>
          <cell r="H7789">
            <v>0</v>
          </cell>
          <cell r="I7789">
            <v>0</v>
          </cell>
          <cell r="J7789">
            <v>0</v>
          </cell>
          <cell r="K7789">
            <v>0</v>
          </cell>
          <cell r="L7789">
            <v>0</v>
          </cell>
        </row>
        <row r="7790">
          <cell r="A7790" t="str">
            <v>39242.01833</v>
          </cell>
          <cell r="B7790" t="str">
            <v>BLOC FEUILLE AUTOCOLLANTE</v>
          </cell>
          <cell r="C7790" t="str">
            <v xml:space="preserve">BLOC FEUILLES AUTOCOLLANTES POST-IT TYPE ACCORDEON REF: C4214 </v>
          </cell>
          <cell r="D7790" t="str">
            <v>PE</v>
          </cell>
          <cell r="E7790" t="str">
            <v>15.0335</v>
          </cell>
          <cell r="F7790">
            <v>14.571899999999999</v>
          </cell>
          <cell r="G7790">
            <v>0</v>
          </cell>
          <cell r="H7790">
            <v>0</v>
          </cell>
          <cell r="I7790">
            <v>0</v>
          </cell>
          <cell r="J7790">
            <v>0</v>
          </cell>
          <cell r="K7790">
            <v>0</v>
          </cell>
          <cell r="L7790">
            <v>0</v>
          </cell>
        </row>
        <row r="7791">
          <cell r="A7791" t="str">
            <v>39242.02068</v>
          </cell>
          <cell r="B7791" t="str">
            <v>BOITE A COUVERCLE CARTON</v>
          </cell>
          <cell r="C7791" t="str">
            <v xml:space="preserve">. MATERIEL DE CLASSEMENT  DESIGNATION: BOITE A COUVERCLE , EN CARTON PLASTIFIE , DIFFERENTES COULEURS "SUIVANT MODELE" </v>
          </cell>
          <cell r="D7791" t="str">
            <v>PE</v>
          </cell>
          <cell r="E7791" t="str">
            <v>15.0335</v>
          </cell>
          <cell r="F7791">
            <v>35.1905</v>
          </cell>
          <cell r="G7791">
            <v>0</v>
          </cell>
          <cell r="H7791">
            <v>0</v>
          </cell>
          <cell r="I7791">
            <v>0</v>
          </cell>
          <cell r="J7791">
            <v>0</v>
          </cell>
          <cell r="K7791">
            <v>0</v>
          </cell>
          <cell r="L7791">
            <v>0</v>
          </cell>
        </row>
        <row r="7792">
          <cell r="A7792" t="str">
            <v>39242.02069</v>
          </cell>
          <cell r="B7792" t="str">
            <v>BOITE ECOBOX POLYPROPYLEN</v>
          </cell>
          <cell r="C7792" t="str">
            <v xml:space="preserve">BOITE ECOBOX EN POLYPROPYLENE DIFFERENTES COULEURS "SUIVANT MODELE" </v>
          </cell>
          <cell r="D7792" t="str">
            <v>PE</v>
          </cell>
          <cell r="E7792" t="str">
            <v>15.0335</v>
          </cell>
          <cell r="F7792">
            <v>13.069800000000001</v>
          </cell>
          <cell r="G7792">
            <v>0</v>
          </cell>
          <cell r="H7792">
            <v>0</v>
          </cell>
          <cell r="I7792">
            <v>0</v>
          </cell>
          <cell r="J7792">
            <v>0</v>
          </cell>
          <cell r="K7792">
            <v>0</v>
          </cell>
          <cell r="L7792">
            <v>0</v>
          </cell>
        </row>
        <row r="7793">
          <cell r="A7793" t="str">
            <v>20399.11439</v>
          </cell>
          <cell r="B7793" t="str">
            <v>COQUILLE EN SELLE INTALOX 2"</v>
          </cell>
          <cell r="C7793" t="str">
            <v>SUIVANT PLAN : 14 MD 1353</v>
          </cell>
          <cell r="D7793" t="str">
            <v>M3</v>
          </cell>
          <cell r="E7793" t="str">
            <v>314.31403</v>
          </cell>
          <cell r="F7793">
            <v>5950</v>
          </cell>
          <cell r="G7793">
            <v>0</v>
          </cell>
          <cell r="H7793">
            <v>0</v>
          </cell>
          <cell r="I7793">
            <v>0</v>
          </cell>
          <cell r="J7793">
            <v>0</v>
          </cell>
          <cell r="K7793">
            <v>0</v>
          </cell>
          <cell r="L7793">
            <v>0</v>
          </cell>
        </row>
        <row r="7794">
          <cell r="A7794" t="str">
            <v>20399.11440</v>
          </cell>
          <cell r="B7794" t="str">
            <v>COQUILLE EN SELLE INTALOX 3"</v>
          </cell>
          <cell r="C7794" t="str">
            <v>SUIVANT PLAN : 14 MD 1354</v>
          </cell>
          <cell r="D7794" t="str">
            <v>M3</v>
          </cell>
          <cell r="E7794" t="str">
            <v>314.31403</v>
          </cell>
          <cell r="F7794">
            <v>5750</v>
          </cell>
          <cell r="G7794">
            <v>0</v>
          </cell>
          <cell r="H7794">
            <v>0</v>
          </cell>
          <cell r="I7794">
            <v>0</v>
          </cell>
          <cell r="J7794">
            <v>0</v>
          </cell>
          <cell r="K7794">
            <v>0</v>
          </cell>
          <cell r="L7794">
            <v>52.5</v>
          </cell>
        </row>
        <row r="7795">
          <cell r="A7795" t="str">
            <v>39245.01667</v>
          </cell>
          <cell r="B7795" t="str">
            <v>CLOCHE 220V SNC116E LELAS</v>
          </cell>
          <cell r="C7795"/>
          <cell r="D7795" t="str">
            <v>PE</v>
          </cell>
          <cell r="E7795" t="str">
            <v>09.0149</v>
          </cell>
          <cell r="F7795">
            <v>7767.4080000000004</v>
          </cell>
          <cell r="G7795">
            <v>0</v>
          </cell>
          <cell r="H7795">
            <v>0</v>
          </cell>
          <cell r="I7795">
            <v>0</v>
          </cell>
          <cell r="J7795">
            <v>0</v>
          </cell>
          <cell r="K7795">
            <v>0</v>
          </cell>
          <cell r="L7795">
            <v>0</v>
          </cell>
        </row>
        <row r="7796">
          <cell r="A7796" t="str">
            <v>39244.01052</v>
          </cell>
          <cell r="B7796" t="str">
            <v>ARROSEUR JET 30M 3/4 META</v>
          </cell>
          <cell r="C7796" t="str">
            <v xml:space="preserve">. .  DESIGNATION: ARROSEUR DIFFUSEUR EN METAL , TYPE : EPSH , RAYON DE JET : 30M , DIAMETRE : 3/4 , MARQUE : ASPERSEUR ADAPTABLE SUR TUBE </v>
          </cell>
          <cell r="D7796" t="str">
            <v>PE</v>
          </cell>
          <cell r="E7796" t="str">
            <v>16.0351</v>
          </cell>
          <cell r="F7796">
            <v>85.8</v>
          </cell>
          <cell r="G7796">
            <v>0</v>
          </cell>
          <cell r="H7796">
            <v>0</v>
          </cell>
          <cell r="I7796">
            <v>0</v>
          </cell>
          <cell r="J7796">
            <v>0</v>
          </cell>
          <cell r="K7796">
            <v>0</v>
          </cell>
          <cell r="L7796">
            <v>0</v>
          </cell>
        </row>
        <row r="7797">
          <cell r="A7797" t="str">
            <v>39245.02403</v>
          </cell>
          <cell r="B7797" t="str">
            <v>TRANSFO 220/48V TYPE ELE</v>
          </cell>
          <cell r="C7797"/>
          <cell r="D7797" t="str">
            <v>PE</v>
          </cell>
          <cell r="E7797" t="str">
            <v>09.0149</v>
          </cell>
          <cell r="F7797">
            <v>2317.2710000000002</v>
          </cell>
          <cell r="G7797">
            <v>0</v>
          </cell>
          <cell r="H7797">
            <v>1</v>
          </cell>
          <cell r="I7797">
            <v>0</v>
          </cell>
          <cell r="J7797">
            <v>0</v>
          </cell>
          <cell r="K7797">
            <v>0</v>
          </cell>
          <cell r="L7797">
            <v>10</v>
          </cell>
        </row>
        <row r="7798">
          <cell r="A7798" t="str">
            <v>39298.05886</v>
          </cell>
          <cell r="B7798" t="str">
            <v>GRAISSE MOLYKOTE TYP 165X</v>
          </cell>
          <cell r="C7798" t="str">
            <v xml:space="preserve">GRAISSE MOLYKOTE 165X , POUR COURONNE FILTRE PRAYON 24.4 DE , GENRE: ESSO SURETT FLUID 4X, BP GR 3000 2 OU , SHELLE GRADIUM FLUIDE F </v>
          </cell>
          <cell r="D7798" t="str">
            <v>KG</v>
          </cell>
          <cell r="E7798" t="str">
            <v>28.0670</v>
          </cell>
          <cell r="F7798">
            <v>136.44399999999999</v>
          </cell>
          <cell r="G7798">
            <v>0</v>
          </cell>
          <cell r="H7798">
            <v>0</v>
          </cell>
          <cell r="I7798">
            <v>0</v>
          </cell>
          <cell r="J7798">
            <v>0</v>
          </cell>
          <cell r="K7798">
            <v>0</v>
          </cell>
          <cell r="L7798">
            <v>0</v>
          </cell>
        </row>
        <row r="7799">
          <cell r="A7799" t="str">
            <v>38900.00545</v>
          </cell>
          <cell r="B7799" t="str">
            <v>PRISE FEMELLE RJ11 SIMPLE</v>
          </cell>
          <cell r="C7799" t="str">
            <v xml:space="preserve">. .  DESIGNATION: PRISE FEMELLE A SIMPLE FICHE RJ11 , POUR LES CORDONS DE RACCORDEMENT </v>
          </cell>
          <cell r="D7799" t="str">
            <v>PE</v>
          </cell>
          <cell r="E7799" t="str">
            <v>23.0474</v>
          </cell>
          <cell r="F7799">
            <v>12.606</v>
          </cell>
          <cell r="G7799">
            <v>0</v>
          </cell>
          <cell r="H7799">
            <v>0</v>
          </cell>
          <cell r="I7799">
            <v>0</v>
          </cell>
          <cell r="J7799">
            <v>0</v>
          </cell>
          <cell r="K7799">
            <v>0</v>
          </cell>
          <cell r="L7799">
            <v>0</v>
          </cell>
        </row>
        <row r="7800">
          <cell r="A7800" t="str">
            <v>38900.00547</v>
          </cell>
          <cell r="B7800" t="str">
            <v>FICHE MALE RJ11</v>
          </cell>
          <cell r="C7800" t="str">
            <v xml:space="preserve">. .  DESIGNATION: FICHE MALE RJ11 , POUR LES CORDONS DE RACCORDEMENT </v>
          </cell>
          <cell r="D7800" t="str">
            <v>PE</v>
          </cell>
          <cell r="E7800" t="str">
            <v>23.0474</v>
          </cell>
          <cell r="F7800">
            <v>0.93500000000000005</v>
          </cell>
          <cell r="G7800">
            <v>0</v>
          </cell>
          <cell r="H7800">
            <v>0</v>
          </cell>
          <cell r="I7800">
            <v>0</v>
          </cell>
          <cell r="J7800">
            <v>0</v>
          </cell>
          <cell r="K7800">
            <v>0</v>
          </cell>
          <cell r="L7800">
            <v>0</v>
          </cell>
        </row>
        <row r="7801">
          <cell r="A7801" t="str">
            <v>39247.02099</v>
          </cell>
          <cell r="B7801" t="str">
            <v>CHAMBRE AIR P/PNEU 750-15</v>
          </cell>
          <cell r="C7801" t="str">
            <v>. .  DESIGNATION: CHAMBRE A AIR CHARIOT ELEVATEUR LUGL DIMENS.: 750 R-15</v>
          </cell>
          <cell r="D7801" t="str">
            <v>PE</v>
          </cell>
          <cell r="E7801" t="str">
            <v>13.0244</v>
          </cell>
          <cell r="F7801">
            <v>94.743799999999993</v>
          </cell>
          <cell r="G7801">
            <v>0</v>
          </cell>
          <cell r="H7801">
            <v>0</v>
          </cell>
          <cell r="I7801">
            <v>0</v>
          </cell>
          <cell r="J7801">
            <v>0</v>
          </cell>
          <cell r="K7801">
            <v>0</v>
          </cell>
          <cell r="L7801">
            <v>0</v>
          </cell>
        </row>
        <row r="7802">
          <cell r="A7802" t="str">
            <v>38931.05768</v>
          </cell>
          <cell r="B7802" t="str">
            <v>MASQUE RESPIRATOIRE</v>
          </cell>
          <cell r="C7802" t="str">
            <v xml:space="preserve">. .  DESIGNATION: MASQUE RESPIRATOIRE JETABLE AVEC SOUPAPE , CONTRE LES POUSSIERES FINES, LES GAZ ET FUMEES , REFERENCE SUR MODELE : SH 9360V FFP3 , EN149 : 2001 CE 0086 </v>
          </cell>
          <cell r="D7802" t="str">
            <v>PE</v>
          </cell>
          <cell r="E7802" t="str">
            <v>53.1311</v>
          </cell>
          <cell r="F7802">
            <v>10.2967</v>
          </cell>
          <cell r="G7802">
            <v>0</v>
          </cell>
          <cell r="H7802">
            <v>0</v>
          </cell>
          <cell r="I7802">
            <v>0</v>
          </cell>
          <cell r="J7802">
            <v>0</v>
          </cell>
          <cell r="K7802">
            <v>0</v>
          </cell>
          <cell r="L7802">
            <v>0</v>
          </cell>
        </row>
        <row r="7803">
          <cell r="A7803" t="str">
            <v>39230.06747</v>
          </cell>
          <cell r="B7803" t="str">
            <v>TUYAU BRIDE DN200 T:AD10</v>
          </cell>
          <cell r="C7803" t="str">
            <v xml:space="preserve">TUYAU EN CAOUTCHOUC EQUIPE D'UNE BRIDE "END-FLEX" , A CHAQUE EXTREMITE TYPE "PERFORMER" AD2 , DN 200 MM LONGUEUR : 7,880 METRES </v>
          </cell>
          <cell r="D7803" t="str">
            <v>PE</v>
          </cell>
          <cell r="E7803" t="str">
            <v>29.0680</v>
          </cell>
          <cell r="F7803">
            <v>25620</v>
          </cell>
          <cell r="G7803">
            <v>0</v>
          </cell>
          <cell r="H7803">
            <v>0</v>
          </cell>
          <cell r="I7803">
            <v>0</v>
          </cell>
          <cell r="J7803">
            <v>0</v>
          </cell>
          <cell r="K7803">
            <v>0</v>
          </cell>
          <cell r="L7803">
            <v>0</v>
          </cell>
        </row>
        <row r="7804">
          <cell r="A7804" t="str">
            <v>38901.00023</v>
          </cell>
          <cell r="B7804" t="str">
            <v>PERFOREUSE GRAND FORMAT</v>
          </cell>
          <cell r="C7804" t="str">
            <v xml:space="preserve">PERFOREUSE GRAND FORMAT GENRE : LEITZ 5138 </v>
          </cell>
          <cell r="D7804" t="str">
            <v>PE</v>
          </cell>
          <cell r="E7804" t="str">
            <v>15.0335</v>
          </cell>
          <cell r="F7804">
            <v>101.6751</v>
          </cell>
          <cell r="G7804">
            <v>0</v>
          </cell>
          <cell r="H7804">
            <v>0</v>
          </cell>
          <cell r="I7804">
            <v>0</v>
          </cell>
          <cell r="J7804">
            <v>0</v>
          </cell>
          <cell r="K7804">
            <v>0</v>
          </cell>
          <cell r="L7804">
            <v>0</v>
          </cell>
        </row>
        <row r="7805">
          <cell r="A7805" t="str">
            <v>39240.02740</v>
          </cell>
          <cell r="B7805" t="str">
            <v>HUILE HYDROL 32</v>
          </cell>
          <cell r="C7805" t="str">
            <v xml:space="preserve">HUILE HYDROL 32 , SUIVANT SPECIFICATION TECHNIQUE </v>
          </cell>
          <cell r="D7805" t="str">
            <v>KG</v>
          </cell>
          <cell r="E7805" t="str">
            <v>28.0671</v>
          </cell>
          <cell r="F7805">
            <v>13.5975</v>
          </cell>
          <cell r="G7805">
            <v>0</v>
          </cell>
          <cell r="H7805">
            <v>0</v>
          </cell>
          <cell r="I7805">
            <v>0</v>
          </cell>
          <cell r="J7805">
            <v>0</v>
          </cell>
          <cell r="K7805">
            <v>3420</v>
          </cell>
          <cell r="L7805">
            <v>0</v>
          </cell>
        </row>
        <row r="7806">
          <cell r="A7806" t="str">
            <v>39245.02869</v>
          </cell>
          <cell r="B7806" t="str">
            <v>CABLE U1000R02V  1X400</v>
          </cell>
          <cell r="C7806" t="str">
            <v xml:space="preserve">. CONDUCTEURS ELECTRIQUES  DESIGNATION: CABLE BT INDUSTRIEL RIGIDE NON ARME , SERIE U1000 R02V , SUIVANT NORME : NFC32-321 , TENSION : 1000 V , AME RIGID EN CUIVR ISOLEE AU PR + GAINE BOURRAGE , GAINE EXT EN PVC DIAM.EXT:34,5 MM , NOMBRE ET SECTION CONDUCT : 1X400 MM2 </v>
          </cell>
          <cell r="D7806" t="str">
            <v>M</v>
          </cell>
          <cell r="E7806" t="str">
            <v>09.0144</v>
          </cell>
          <cell r="F7806">
            <v>180.02600000000001</v>
          </cell>
          <cell r="G7806">
            <v>0</v>
          </cell>
          <cell r="H7806">
            <v>0</v>
          </cell>
          <cell r="I7806">
            <v>0</v>
          </cell>
          <cell r="J7806">
            <v>0</v>
          </cell>
          <cell r="K7806">
            <v>0</v>
          </cell>
          <cell r="L7806">
            <v>0</v>
          </cell>
        </row>
        <row r="7807">
          <cell r="A7807" t="str">
            <v>39242.01928</v>
          </cell>
          <cell r="B7807" t="str">
            <v>CLASSEUR MP-JORF LASFAR</v>
          </cell>
          <cell r="C7807" t="str">
            <v xml:space="preserve">. MATERIEL DE CLASSEMENT  DESIGNATION: CLASSEUR A LEVIER , AVEC SIGLE "MAROC PHOSPHORE-JORF LASFAR" </v>
          </cell>
          <cell r="D7807" t="str">
            <v>PE</v>
          </cell>
          <cell r="E7807" t="str">
            <v>15.0335</v>
          </cell>
          <cell r="F7807">
            <v>23.199000000000002</v>
          </cell>
          <cell r="G7807">
            <v>0</v>
          </cell>
          <cell r="H7807">
            <v>0</v>
          </cell>
          <cell r="I7807">
            <v>0</v>
          </cell>
          <cell r="J7807">
            <v>0</v>
          </cell>
          <cell r="K7807">
            <v>0</v>
          </cell>
          <cell r="L7807">
            <v>0</v>
          </cell>
        </row>
        <row r="7808">
          <cell r="A7808" t="str">
            <v>39245.02928</v>
          </cell>
          <cell r="B7808" t="str">
            <v>RESISTANCE CHAUFFE EAU 2000W</v>
          </cell>
          <cell r="C7808" t="str">
            <v xml:space="preserve">RESISTANCE P/CHAUF EAU DE 200L 110Ë220V-2000W 01PHASE </v>
          </cell>
          <cell r="D7808" t="str">
            <v>PE</v>
          </cell>
          <cell r="E7808" t="str">
            <v>09.0149</v>
          </cell>
          <cell r="F7808">
            <v>126.59869999999999</v>
          </cell>
          <cell r="G7808">
            <v>0</v>
          </cell>
          <cell r="H7808">
            <v>0</v>
          </cell>
          <cell r="I7808">
            <v>0</v>
          </cell>
          <cell r="J7808">
            <v>0</v>
          </cell>
          <cell r="K7808">
            <v>0</v>
          </cell>
          <cell r="L7808">
            <v>0</v>
          </cell>
        </row>
        <row r="7809">
          <cell r="A7809" t="str">
            <v>39242.00611</v>
          </cell>
          <cell r="B7809" t="str">
            <v>MANOMETRE      REP B29-03</v>
          </cell>
          <cell r="C7809"/>
          <cell r="D7809" t="str">
            <v>PE</v>
          </cell>
          <cell r="E7809" t="str">
            <v>39.0957</v>
          </cell>
          <cell r="F7809">
            <v>2205.2249999999999</v>
          </cell>
          <cell r="G7809">
            <v>0</v>
          </cell>
          <cell r="H7809">
            <v>0</v>
          </cell>
          <cell r="I7809">
            <v>0</v>
          </cell>
          <cell r="J7809">
            <v>0</v>
          </cell>
          <cell r="K7809">
            <v>0</v>
          </cell>
          <cell r="L7809">
            <v>0</v>
          </cell>
        </row>
        <row r="7810">
          <cell r="A7810" t="str">
            <v>20709.01542</v>
          </cell>
          <cell r="B7810" t="str">
            <v>CAPTEUR DE MESURE</v>
          </cell>
          <cell r="C7810" t="str">
            <v>CUS41-W4</v>
          </cell>
          <cell r="D7810" t="str">
            <v>PE</v>
          </cell>
          <cell r="E7810" t="str">
            <v>512.51201</v>
          </cell>
          <cell r="F7810">
            <v>32818.81</v>
          </cell>
          <cell r="G7810">
            <v>0</v>
          </cell>
          <cell r="H7810">
            <v>0</v>
          </cell>
          <cell r="I7810">
            <v>0</v>
          </cell>
          <cell r="J7810">
            <v>1</v>
          </cell>
          <cell r="K7810">
            <v>0</v>
          </cell>
          <cell r="L7810">
            <v>2</v>
          </cell>
        </row>
        <row r="7811">
          <cell r="A7811" t="str">
            <v>20497.13957</v>
          </cell>
          <cell r="B7811" t="str">
            <v>POULIE RECEPTRICE 10 GORGES SPC DIAM : 1000</v>
          </cell>
          <cell r="C7811" t="str">
            <v>HIBON  POU1000C10   TYPE : AL 140</v>
          </cell>
          <cell r="D7811" t="str">
            <v>PE</v>
          </cell>
          <cell r="E7811" t="str">
            <v>515.51503</v>
          </cell>
          <cell r="F7811">
            <v>45411.011400000003</v>
          </cell>
          <cell r="G7811">
            <v>0</v>
          </cell>
          <cell r="H7811">
            <v>0</v>
          </cell>
          <cell r="I7811">
            <v>0</v>
          </cell>
          <cell r="J7811">
            <v>0</v>
          </cell>
          <cell r="K7811">
            <v>1</v>
          </cell>
          <cell r="L7811">
            <v>0</v>
          </cell>
        </row>
        <row r="7812">
          <cell r="A7812" t="str">
            <v>20497.13979</v>
          </cell>
          <cell r="B7812" t="str">
            <v>SUPPORT DE LA BAGUE D'USURE</v>
          </cell>
          <cell r="C7812" t="str">
            <v>FL SMIDTH KREBS MILLMAX TYPE: 8X6-24 REF: MM200-124-35001 REP 30</v>
          </cell>
          <cell r="D7812" t="str">
            <v>PE</v>
          </cell>
          <cell r="E7812" t="str">
            <v>515.51517</v>
          </cell>
          <cell r="F7812">
            <v>9734.1404000000002</v>
          </cell>
          <cell r="G7812">
            <v>0</v>
          </cell>
          <cell r="H7812">
            <v>0</v>
          </cell>
          <cell r="I7812">
            <v>0</v>
          </cell>
          <cell r="J7812">
            <v>0</v>
          </cell>
          <cell r="K7812">
            <v>0</v>
          </cell>
          <cell r="L7812">
            <v>1</v>
          </cell>
        </row>
        <row r="7813">
          <cell r="A7813" t="str">
            <v>20497.13975</v>
          </cell>
          <cell r="B7813" t="str">
            <v>BOITIER</v>
          </cell>
          <cell r="C7813" t="str">
            <v>FL SMIDTH KREBS MILLMAX TYPE: 8X6-24 REF: MM200-010-00001 REP 6</v>
          </cell>
          <cell r="D7813" t="str">
            <v>PE</v>
          </cell>
          <cell r="E7813" t="str">
            <v>515.51517</v>
          </cell>
          <cell r="F7813">
            <v>123302.72500000001</v>
          </cell>
          <cell r="G7813">
            <v>0</v>
          </cell>
          <cell r="H7813">
            <v>0</v>
          </cell>
          <cell r="I7813">
            <v>0</v>
          </cell>
          <cell r="J7813">
            <v>0</v>
          </cell>
          <cell r="K7813">
            <v>0</v>
          </cell>
          <cell r="L7813">
            <v>1</v>
          </cell>
        </row>
        <row r="7814">
          <cell r="A7814" t="str">
            <v>20497.13976</v>
          </cell>
          <cell r="B7814" t="str">
            <v>BRIDE</v>
          </cell>
          <cell r="C7814" t="str">
            <v>FL SMIDTH KREBS MILLMAX TYPE: 8X6-24 REF: MM150-020F10056 REP 14</v>
          </cell>
          <cell r="D7814" t="str">
            <v>PE</v>
          </cell>
          <cell r="E7814" t="str">
            <v>515.51517</v>
          </cell>
          <cell r="F7814">
            <v>1886.1251999999999</v>
          </cell>
          <cell r="G7814">
            <v>0</v>
          </cell>
          <cell r="H7814">
            <v>0</v>
          </cell>
          <cell r="I7814">
            <v>0</v>
          </cell>
          <cell r="J7814">
            <v>0</v>
          </cell>
          <cell r="K7814">
            <v>0</v>
          </cell>
          <cell r="L7814">
            <v>1</v>
          </cell>
        </row>
        <row r="7815">
          <cell r="A7815" t="str">
            <v>20497.13977</v>
          </cell>
          <cell r="B7815" t="str">
            <v>BRIDE</v>
          </cell>
          <cell r="C7815" t="str">
            <v>FL SMIDTH KREBS MILLMAX TYPE: 8X6-24 REF: MM200-020F10049 REP 15</v>
          </cell>
          <cell r="D7815" t="str">
            <v>PE</v>
          </cell>
          <cell r="E7815" t="str">
            <v>515.51517</v>
          </cell>
          <cell r="F7815">
            <v>2254.6783999999998</v>
          </cell>
          <cell r="G7815">
            <v>0</v>
          </cell>
          <cell r="H7815">
            <v>0</v>
          </cell>
          <cell r="I7815">
            <v>0</v>
          </cell>
          <cell r="J7815">
            <v>0</v>
          </cell>
          <cell r="K7815">
            <v>0</v>
          </cell>
          <cell r="L7815">
            <v>1</v>
          </cell>
        </row>
        <row r="7816">
          <cell r="A7816" t="str">
            <v>20497.13981</v>
          </cell>
          <cell r="B7816" t="str">
            <v>BRIDE</v>
          </cell>
          <cell r="C7816" t="str">
            <v>FL SMIDTH KREBS MILLMAX TYPE: 4X3-12 REF: MM100-020F10049 REP 15</v>
          </cell>
          <cell r="D7816" t="str">
            <v>PE</v>
          </cell>
          <cell r="E7816" t="str">
            <v>515.51517</v>
          </cell>
          <cell r="F7816">
            <v>1257.4168</v>
          </cell>
          <cell r="G7816">
            <v>0</v>
          </cell>
          <cell r="H7816">
            <v>0</v>
          </cell>
          <cell r="I7816">
            <v>0</v>
          </cell>
          <cell r="J7816">
            <v>0</v>
          </cell>
          <cell r="K7816">
            <v>0</v>
          </cell>
          <cell r="L7816">
            <v>2</v>
          </cell>
        </row>
        <row r="7817">
          <cell r="A7817" t="str">
            <v>20497.13987</v>
          </cell>
          <cell r="B7817" t="str">
            <v>ARBRE</v>
          </cell>
          <cell r="C7817" t="str">
            <v>FL SMIDTH KREBS MILLMAX TYPE: 4X3-12 REF: MMA-513-10001 REP 8</v>
          </cell>
          <cell r="D7817" t="str">
            <v>PE</v>
          </cell>
          <cell r="E7817" t="str">
            <v>515.51517</v>
          </cell>
          <cell r="F7817">
            <v>7425.2629999999999</v>
          </cell>
          <cell r="G7817">
            <v>0</v>
          </cell>
          <cell r="H7817">
            <v>0</v>
          </cell>
          <cell r="I7817">
            <v>0</v>
          </cell>
          <cell r="J7817">
            <v>0</v>
          </cell>
          <cell r="K7817">
            <v>0</v>
          </cell>
          <cell r="L7817">
            <v>1</v>
          </cell>
        </row>
        <row r="7818">
          <cell r="A7818" t="str">
            <v>20497.13988</v>
          </cell>
          <cell r="B7818" t="str">
            <v>COUVERCLE D'EXTREMITE</v>
          </cell>
          <cell r="C7818" t="str">
            <v>FL SMIDTH KREBS MILLMAX TYPE: 4X3-12 REF: MMA-514-11001 REP 9</v>
          </cell>
          <cell r="D7818" t="str">
            <v>PE</v>
          </cell>
          <cell r="E7818" t="str">
            <v>515.51517</v>
          </cell>
          <cell r="F7818">
            <v>1485.0526</v>
          </cell>
          <cell r="G7818">
            <v>0</v>
          </cell>
          <cell r="H7818">
            <v>0</v>
          </cell>
          <cell r="I7818">
            <v>0</v>
          </cell>
          <cell r="J7818">
            <v>0</v>
          </cell>
          <cell r="K7818">
            <v>0</v>
          </cell>
          <cell r="L7818">
            <v>2</v>
          </cell>
        </row>
        <row r="7819">
          <cell r="A7819" t="str">
            <v>20497.13989</v>
          </cell>
          <cell r="B7819" t="str">
            <v>DEFLECTEUR</v>
          </cell>
          <cell r="C7819" t="str">
            <v>FL SMIDTH KREBS MILLMAX TYPE: 4X3-12 REF: MMA-515-10001 REP 10</v>
          </cell>
          <cell r="D7819" t="str">
            <v>PE</v>
          </cell>
          <cell r="E7819" t="str">
            <v>515.51517</v>
          </cell>
          <cell r="F7819">
            <v>1224.8974000000001</v>
          </cell>
          <cell r="G7819">
            <v>0</v>
          </cell>
          <cell r="H7819">
            <v>0</v>
          </cell>
          <cell r="I7819">
            <v>0</v>
          </cell>
          <cell r="J7819">
            <v>0</v>
          </cell>
          <cell r="K7819">
            <v>0</v>
          </cell>
          <cell r="L7819">
            <v>2</v>
          </cell>
        </row>
        <row r="7820">
          <cell r="A7820" t="str">
            <v>20497.13991</v>
          </cell>
          <cell r="B7820" t="str">
            <v>JOINT</v>
          </cell>
          <cell r="C7820" t="str">
            <v>FL SMIDTH KREBS MILLMAX TYPE: 4X3-12 REF: MMA-517-28001 REP 18</v>
          </cell>
          <cell r="D7820" t="str">
            <v>PE</v>
          </cell>
          <cell r="E7820" t="str">
            <v>515.51517</v>
          </cell>
          <cell r="F7820">
            <v>693.74720000000002</v>
          </cell>
          <cell r="G7820">
            <v>0</v>
          </cell>
          <cell r="H7820">
            <v>0</v>
          </cell>
          <cell r="I7820">
            <v>0</v>
          </cell>
          <cell r="J7820">
            <v>0</v>
          </cell>
          <cell r="K7820">
            <v>0</v>
          </cell>
          <cell r="L7820">
            <v>12</v>
          </cell>
        </row>
        <row r="7821">
          <cell r="A7821" t="str">
            <v>20497.13993</v>
          </cell>
          <cell r="B7821" t="str">
            <v>COUVERCLE D'EXTREMITE</v>
          </cell>
          <cell r="C7821" t="str">
            <v>FL SMIDTH KREBS MILLMAX TYPE: 8X6-24 REF: MMB-514-11001 REP 9</v>
          </cell>
          <cell r="D7821" t="str">
            <v>PE</v>
          </cell>
          <cell r="E7821" t="str">
            <v>515.51517</v>
          </cell>
          <cell r="F7821">
            <v>1691.0088000000001</v>
          </cell>
          <cell r="G7821">
            <v>0</v>
          </cell>
          <cell r="H7821">
            <v>0</v>
          </cell>
          <cell r="I7821">
            <v>0</v>
          </cell>
          <cell r="J7821">
            <v>0</v>
          </cell>
          <cell r="K7821">
            <v>0</v>
          </cell>
          <cell r="L7821">
            <v>2</v>
          </cell>
        </row>
        <row r="7822">
          <cell r="A7822" t="str">
            <v>20498.21327</v>
          </cell>
          <cell r="B7822" t="str">
            <v>ACTIONNEUR PNEUMATIQUE DOUBLE ACTION</v>
          </cell>
          <cell r="C7822" t="str">
            <v>MAX AIR TECHNOLOGIE   UT10 OBAB31</v>
          </cell>
          <cell r="D7822" t="str">
            <v>PE</v>
          </cell>
          <cell r="E7822" t="str">
            <v>512.51201</v>
          </cell>
          <cell r="F7822">
            <v>1121</v>
          </cell>
          <cell r="G7822">
            <v>0</v>
          </cell>
          <cell r="H7822">
            <v>0</v>
          </cell>
          <cell r="I7822">
            <v>0</v>
          </cell>
          <cell r="J7822">
            <v>0</v>
          </cell>
          <cell r="K7822">
            <v>0</v>
          </cell>
          <cell r="L7822">
            <v>0</v>
          </cell>
        </row>
        <row r="7823">
          <cell r="A7823" t="str">
            <v>20498.21328</v>
          </cell>
          <cell r="B7823" t="str">
            <v>ACTIONNEUR PNEUMATIQUE DOUBLE ACTION</v>
          </cell>
          <cell r="C7823" t="str">
            <v>MAX AIR TECHNOLOGIE   UT13 OCAC31</v>
          </cell>
          <cell r="D7823" t="str">
            <v>PE</v>
          </cell>
          <cell r="E7823" t="str">
            <v>512.51201</v>
          </cell>
          <cell r="F7823">
            <v>1724</v>
          </cell>
          <cell r="G7823">
            <v>0</v>
          </cell>
          <cell r="H7823">
            <v>0</v>
          </cell>
          <cell r="I7823">
            <v>0</v>
          </cell>
          <cell r="J7823">
            <v>0</v>
          </cell>
          <cell r="K7823">
            <v>0</v>
          </cell>
          <cell r="L7823">
            <v>0</v>
          </cell>
        </row>
        <row r="7824">
          <cell r="A7824" t="str">
            <v>20498.21329</v>
          </cell>
          <cell r="B7824" t="str">
            <v>ACTIONNEUR PNEUMATIQUE DOUBLE ACTION</v>
          </cell>
          <cell r="C7824" t="str">
            <v>MAX AIR TECHNOLOGIE   UT18 4CAD31</v>
          </cell>
          <cell r="D7824" t="str">
            <v>PE</v>
          </cell>
          <cell r="E7824" t="str">
            <v>512.51201</v>
          </cell>
          <cell r="F7824">
            <v>2580</v>
          </cell>
          <cell r="G7824">
            <v>0</v>
          </cell>
          <cell r="H7824">
            <v>0</v>
          </cell>
          <cell r="I7824">
            <v>0</v>
          </cell>
          <cell r="J7824">
            <v>0</v>
          </cell>
          <cell r="K7824">
            <v>0</v>
          </cell>
          <cell r="L7824">
            <v>0</v>
          </cell>
        </row>
        <row r="7825">
          <cell r="A7825" t="str">
            <v>20498.21330</v>
          </cell>
          <cell r="B7825" t="str">
            <v>ACTIONNEUR PNEUMATIQUE DOUBLE ACTION</v>
          </cell>
          <cell r="C7825" t="str">
            <v>MAX AIR TECHNOLOGIE   UT18 4DAD31</v>
          </cell>
          <cell r="D7825" t="str">
            <v>PE</v>
          </cell>
          <cell r="E7825" t="str">
            <v>512.51201</v>
          </cell>
          <cell r="F7825">
            <v>2580</v>
          </cell>
          <cell r="G7825">
            <v>0</v>
          </cell>
          <cell r="H7825">
            <v>0</v>
          </cell>
          <cell r="I7825">
            <v>0</v>
          </cell>
          <cell r="J7825">
            <v>0</v>
          </cell>
          <cell r="K7825">
            <v>0</v>
          </cell>
          <cell r="L7825">
            <v>0</v>
          </cell>
        </row>
        <row r="7826">
          <cell r="A7826" t="str">
            <v>20497.13951</v>
          </cell>
          <cell r="B7826" t="str">
            <v>MOYEU RECEPTEUR 6050 ALESAGE 140</v>
          </cell>
          <cell r="C7826" t="str">
            <v>HIBON  MOY6050140      TYPE : AL 140</v>
          </cell>
          <cell r="D7826" t="str">
            <v>PE</v>
          </cell>
          <cell r="E7826" t="str">
            <v>515.51503</v>
          </cell>
          <cell r="F7826">
            <v>8099.28</v>
          </cell>
          <cell r="G7826">
            <v>0</v>
          </cell>
          <cell r="H7826">
            <v>0</v>
          </cell>
          <cell r="I7826">
            <v>0</v>
          </cell>
          <cell r="J7826">
            <v>0</v>
          </cell>
          <cell r="K7826">
            <v>1</v>
          </cell>
          <cell r="L7826">
            <v>0</v>
          </cell>
        </row>
        <row r="7827">
          <cell r="A7827" t="str">
            <v>20499.21009</v>
          </cell>
          <cell r="B7827" t="str">
            <v>PURGEUR A FLOTTEUR FERME</v>
          </cell>
          <cell r="C7827" t="str">
            <v xml:space="preserve">GESTRA   UNA46 V  DUPLEX DN25 PN40 </v>
          </cell>
          <cell r="D7827" t="str">
            <v>PE</v>
          </cell>
          <cell r="E7827" t="str">
            <v>515.51511</v>
          </cell>
          <cell r="F7827">
            <v>5990</v>
          </cell>
          <cell r="G7827">
            <v>0</v>
          </cell>
          <cell r="H7827">
            <v>0</v>
          </cell>
          <cell r="I7827">
            <v>0</v>
          </cell>
          <cell r="J7827">
            <v>0</v>
          </cell>
          <cell r="K7827">
            <v>0</v>
          </cell>
          <cell r="L7827">
            <v>2</v>
          </cell>
        </row>
        <row r="7828">
          <cell r="A7828" t="str">
            <v>20499.21010</v>
          </cell>
          <cell r="B7828" t="str">
            <v>PURGEUR A FLOTTEUR FERME</v>
          </cell>
          <cell r="C7828" t="str">
            <v xml:space="preserve">GESTRA   UNA45 H  SIMPLEX DN25 PN40 </v>
          </cell>
          <cell r="D7828" t="str">
            <v>PE</v>
          </cell>
          <cell r="E7828" t="str">
            <v>515.51511</v>
          </cell>
          <cell r="F7828">
            <v>5990</v>
          </cell>
          <cell r="G7828">
            <v>0</v>
          </cell>
          <cell r="H7828">
            <v>0</v>
          </cell>
          <cell r="I7828">
            <v>0</v>
          </cell>
          <cell r="J7828">
            <v>0</v>
          </cell>
          <cell r="K7828">
            <v>0</v>
          </cell>
          <cell r="L7828">
            <v>2</v>
          </cell>
        </row>
        <row r="7829">
          <cell r="A7829" t="str">
            <v>20499.21011</v>
          </cell>
          <cell r="B7829" t="str">
            <v>PURGEUR A FLOTTEUR FERME</v>
          </cell>
          <cell r="C7829" t="str">
            <v xml:space="preserve">GESTRA   UNA46 V   DUPLEX DN40 PN40 </v>
          </cell>
          <cell r="D7829" t="str">
            <v>PE</v>
          </cell>
          <cell r="E7829" t="str">
            <v>515.51511</v>
          </cell>
          <cell r="F7829">
            <v>11394</v>
          </cell>
          <cell r="G7829">
            <v>0</v>
          </cell>
          <cell r="H7829">
            <v>0</v>
          </cell>
          <cell r="I7829">
            <v>0</v>
          </cell>
          <cell r="J7829">
            <v>0</v>
          </cell>
          <cell r="K7829">
            <v>1</v>
          </cell>
          <cell r="L7829">
            <v>1</v>
          </cell>
        </row>
        <row r="7830">
          <cell r="A7830" t="str">
            <v>20340.01926</v>
          </cell>
          <cell r="B7830" t="str">
            <v>VARIATEUR DE VITESSE 0,75 KW</v>
          </cell>
          <cell r="C7830" t="str">
            <v>22B-D2P3N104 TYPE : POWER FLEX 40</v>
          </cell>
          <cell r="D7830" t="str">
            <v>PE</v>
          </cell>
          <cell r="E7830" t="str">
            <v>522.52206</v>
          </cell>
          <cell r="F7830">
            <v>3043.87</v>
          </cell>
          <cell r="G7830">
            <v>0</v>
          </cell>
          <cell r="H7830">
            <v>0</v>
          </cell>
          <cell r="I7830">
            <v>1</v>
          </cell>
          <cell r="J7830">
            <v>0</v>
          </cell>
          <cell r="K7830">
            <v>0</v>
          </cell>
          <cell r="L7830">
            <v>1</v>
          </cell>
        </row>
        <row r="7831">
          <cell r="A7831" t="str">
            <v>20492.23636</v>
          </cell>
          <cell r="B7831" t="str">
            <v>INTERRUPTEUR A CAMES</v>
          </cell>
          <cell r="C7831" t="str">
            <v>FSG REF:G015/5SE5-5N4/PK620D/MU-102/GS120/FL/K2/IP65</v>
          </cell>
          <cell r="D7831" t="str">
            <v>PE</v>
          </cell>
          <cell r="E7831" t="str">
            <v>512.51201</v>
          </cell>
          <cell r="F7831">
            <v>21331.200000000001</v>
          </cell>
          <cell r="G7831">
            <v>0</v>
          </cell>
          <cell r="H7831">
            <v>0</v>
          </cell>
          <cell r="I7831">
            <v>0</v>
          </cell>
          <cell r="J7831">
            <v>0</v>
          </cell>
          <cell r="K7831">
            <v>3</v>
          </cell>
          <cell r="L7831">
            <v>2</v>
          </cell>
        </row>
        <row r="7832">
          <cell r="A7832" t="str">
            <v>10067.01341</v>
          </cell>
          <cell r="B7832" t="str">
            <v>FLEXIBLE EN CAOUTCHOUC DN80 LONG 1280MM</v>
          </cell>
          <cell r="C7832" t="str">
            <v>FLEXIBLE EN CAOUTCHOUC DN 80, AVEC ARMATURE EN ACIER NOYE, EQUIPE D'UNE SEULE BRIDE END FLEX FOLLE EN ACIER INOX UB6 PRESSION DE SERVICE : 10 BAR TEMPERATURE: 100°C PRESSION DE NON ECLATEMENT: 32 BAR FLUIDE VEHICULE: ACIDE PHOSPHORIQUE  LONGUEUR 1280MM</v>
          </cell>
          <cell r="D7832" t="str">
            <v>PE</v>
          </cell>
          <cell r="E7832" t="str">
            <v>522.52209</v>
          </cell>
          <cell r="F7832">
            <v>8021.0590000000002</v>
          </cell>
          <cell r="G7832">
            <v>0</v>
          </cell>
          <cell r="H7832">
            <v>4</v>
          </cell>
          <cell r="I7832">
            <v>0</v>
          </cell>
          <cell r="J7832">
            <v>0</v>
          </cell>
          <cell r="K7832">
            <v>5</v>
          </cell>
          <cell r="L7832">
            <v>16</v>
          </cell>
        </row>
        <row r="7833">
          <cell r="A7833" t="str">
            <v>10067.01342</v>
          </cell>
          <cell r="B7833" t="str">
            <v>FLEXIBLE EN CAOUTCHOUC DN150 LONG 1380MM</v>
          </cell>
          <cell r="C7833" t="str">
            <v>FLEXIBLE EN CAOUTCHOUC DN 150, AVEC ARMATURE EN ACIER NOYE, EQUIPE D'UNE SEULE BRIDE END FLEX FOLLE EN ACIER INOX UB6 PRESSION DE SERVICE : 10 BAR TEMPERATURE: 100°C PRESSION DE NON ECLATEMENT: 32 BAR FLUIDE VEHICULE: ACIDE PHOSPHORIQUE  LONGUEUR 1380MM</v>
          </cell>
          <cell r="D7833" t="str">
            <v>PE</v>
          </cell>
          <cell r="E7833" t="str">
            <v>522.52209</v>
          </cell>
          <cell r="F7833">
            <v>15660</v>
          </cell>
          <cell r="G7833">
            <v>0</v>
          </cell>
          <cell r="H7833">
            <v>0</v>
          </cell>
          <cell r="I7833">
            <v>0</v>
          </cell>
          <cell r="J7833">
            <v>0</v>
          </cell>
          <cell r="K7833">
            <v>2</v>
          </cell>
          <cell r="L7833">
            <v>10</v>
          </cell>
        </row>
        <row r="7834">
          <cell r="A7834" t="str">
            <v>20492.22825</v>
          </cell>
          <cell r="B7834" t="str">
            <v>JOINT DE DILATATION</v>
          </cell>
          <cell r="C7834" t="str">
            <v>WAHLCO METROFLEX PLAN N°10084-11279-1 REV 1</v>
          </cell>
          <cell r="D7834" t="str">
            <v>PE</v>
          </cell>
          <cell r="E7834" t="str">
            <v>522.52207</v>
          </cell>
          <cell r="F7834">
            <v>349178.6</v>
          </cell>
          <cell r="G7834">
            <v>0</v>
          </cell>
          <cell r="H7834">
            <v>0</v>
          </cell>
          <cell r="I7834">
            <v>0</v>
          </cell>
          <cell r="J7834">
            <v>0</v>
          </cell>
          <cell r="K7834">
            <v>0</v>
          </cell>
          <cell r="L7834">
            <v>0</v>
          </cell>
        </row>
        <row r="7835">
          <cell r="A7835" t="str">
            <v>20498.21346</v>
          </cell>
          <cell r="B7835" t="str">
            <v>TUBE D'EXTENSION DE MONTAGE</v>
          </cell>
          <cell r="C7835" t="str">
            <v>HAWK ORCA  TYPE: OSIRMEL 3  (EN ACIER INOXYDABLE)</v>
          </cell>
          <cell r="D7835" t="str">
            <v>PE</v>
          </cell>
          <cell r="E7835" t="str">
            <v>512.51201</v>
          </cell>
          <cell r="F7835">
            <v>3860</v>
          </cell>
          <cell r="G7835">
            <v>0</v>
          </cell>
          <cell r="H7835">
            <v>0</v>
          </cell>
          <cell r="I7835">
            <v>0</v>
          </cell>
          <cell r="J7835">
            <v>0</v>
          </cell>
          <cell r="K7835">
            <v>0</v>
          </cell>
          <cell r="L7835">
            <v>1</v>
          </cell>
        </row>
        <row r="7836">
          <cell r="A7836" t="str">
            <v>20499.21031</v>
          </cell>
          <cell r="B7836" t="str">
            <v>SUPPORT ELEMENT</v>
          </cell>
          <cell r="C7836" t="str">
            <v>REMOTE CONTROL  TYPE RCI280 DA  REP9</v>
          </cell>
          <cell r="D7836" t="str">
            <v>PE</v>
          </cell>
          <cell r="E7836" t="str">
            <v>512.51202</v>
          </cell>
          <cell r="F7836">
            <v>199.1798</v>
          </cell>
          <cell r="G7836">
            <v>0</v>
          </cell>
          <cell r="H7836">
            <v>0</v>
          </cell>
          <cell r="I7836">
            <v>0</v>
          </cell>
          <cell r="J7836">
            <v>0</v>
          </cell>
          <cell r="K7836">
            <v>0</v>
          </cell>
          <cell r="L7836">
            <v>0</v>
          </cell>
        </row>
        <row r="7837">
          <cell r="A7837" t="str">
            <v>20498.21365</v>
          </cell>
          <cell r="B7837" t="str">
            <v>BOITE TRANSFO</v>
          </cell>
          <cell r="C7837" t="str">
            <v>HAMWORTHY  644-T1-0100</v>
          </cell>
          <cell r="D7837" t="str">
            <v>PE</v>
          </cell>
          <cell r="E7837" t="str">
            <v>512.51201</v>
          </cell>
          <cell r="F7837">
            <v>7910</v>
          </cell>
          <cell r="G7837">
            <v>0</v>
          </cell>
          <cell r="H7837">
            <v>0</v>
          </cell>
          <cell r="I7837">
            <v>0</v>
          </cell>
          <cell r="J7837">
            <v>0</v>
          </cell>
          <cell r="K7837">
            <v>0</v>
          </cell>
          <cell r="L7837">
            <v>0</v>
          </cell>
        </row>
        <row r="7838">
          <cell r="A7838" t="str">
            <v>20498.21366</v>
          </cell>
          <cell r="B7838" t="str">
            <v>VANNE</v>
          </cell>
          <cell r="C7838" t="str">
            <v>HAMWORTHY  201-00-450</v>
          </cell>
          <cell r="D7838" t="str">
            <v>PE</v>
          </cell>
          <cell r="E7838" t="str">
            <v>512.51201</v>
          </cell>
          <cell r="F7838">
            <v>21438</v>
          </cell>
          <cell r="G7838">
            <v>0</v>
          </cell>
          <cell r="H7838">
            <v>1</v>
          </cell>
          <cell r="I7838">
            <v>0</v>
          </cell>
          <cell r="J7838">
            <v>0</v>
          </cell>
          <cell r="K7838">
            <v>0</v>
          </cell>
          <cell r="L7838">
            <v>0</v>
          </cell>
        </row>
        <row r="7839">
          <cell r="A7839" t="str">
            <v>20498.21367</v>
          </cell>
          <cell r="B7839" t="str">
            <v>VANNE</v>
          </cell>
          <cell r="C7839" t="str">
            <v>HAMWORTHY  201-00-0449</v>
          </cell>
          <cell r="D7839" t="str">
            <v>PE</v>
          </cell>
          <cell r="E7839" t="str">
            <v>512.51201</v>
          </cell>
          <cell r="F7839">
            <v>22960</v>
          </cell>
          <cell r="G7839">
            <v>0</v>
          </cell>
          <cell r="H7839">
            <v>0</v>
          </cell>
          <cell r="I7839">
            <v>0</v>
          </cell>
          <cell r="J7839">
            <v>0</v>
          </cell>
          <cell r="K7839">
            <v>0</v>
          </cell>
          <cell r="L7839">
            <v>0</v>
          </cell>
        </row>
        <row r="7840">
          <cell r="A7840" t="str">
            <v>20498.21368</v>
          </cell>
          <cell r="B7840" t="str">
            <v>BARRIERE</v>
          </cell>
          <cell r="C7840" t="str">
            <v>HAMWORTHY  747832607</v>
          </cell>
          <cell r="D7840" t="str">
            <v>PE</v>
          </cell>
          <cell r="E7840" t="str">
            <v>512.51201</v>
          </cell>
          <cell r="F7840">
            <v>5359</v>
          </cell>
          <cell r="G7840">
            <v>0</v>
          </cell>
          <cell r="H7840">
            <v>0</v>
          </cell>
          <cell r="I7840">
            <v>0</v>
          </cell>
          <cell r="J7840">
            <v>0</v>
          </cell>
          <cell r="K7840">
            <v>2</v>
          </cell>
          <cell r="L7840">
            <v>0</v>
          </cell>
        </row>
        <row r="7841">
          <cell r="A7841" t="str">
            <v>20498.21369</v>
          </cell>
          <cell r="B7841" t="str">
            <v>DEBIMETRE</v>
          </cell>
          <cell r="C7841" t="str">
            <v>HAMWORTHY  207-FG-0006</v>
          </cell>
          <cell r="D7841" t="str">
            <v>PE</v>
          </cell>
          <cell r="E7841" t="str">
            <v>512.51201</v>
          </cell>
          <cell r="F7841">
            <v>63692</v>
          </cell>
          <cell r="G7841">
            <v>0</v>
          </cell>
          <cell r="H7841">
            <v>0</v>
          </cell>
          <cell r="I7841">
            <v>0</v>
          </cell>
          <cell r="J7841">
            <v>0</v>
          </cell>
          <cell r="K7841">
            <v>0</v>
          </cell>
          <cell r="L7841">
            <v>0</v>
          </cell>
        </row>
        <row r="7842">
          <cell r="A7842" t="str">
            <v>20498.21370</v>
          </cell>
          <cell r="B7842" t="str">
            <v>BUSE 16 PAIRE</v>
          </cell>
          <cell r="C7842" t="str">
            <v>HAMWORTHY  IL901246-008</v>
          </cell>
          <cell r="D7842" t="str">
            <v>PE</v>
          </cell>
          <cell r="E7842" t="str">
            <v>512.51201</v>
          </cell>
          <cell r="F7842">
            <v>15290</v>
          </cell>
          <cell r="G7842">
            <v>0</v>
          </cell>
          <cell r="H7842">
            <v>0</v>
          </cell>
          <cell r="I7842">
            <v>0</v>
          </cell>
          <cell r="J7842">
            <v>0</v>
          </cell>
          <cell r="K7842">
            <v>0</v>
          </cell>
          <cell r="L7842">
            <v>0</v>
          </cell>
        </row>
        <row r="7843">
          <cell r="A7843" t="str">
            <v>20498.21371</v>
          </cell>
          <cell r="B7843" t="str">
            <v>BUSE 10 PAIRE</v>
          </cell>
          <cell r="C7843" t="str">
            <v>HAMWORTHY  IL901246-007</v>
          </cell>
          <cell r="D7843" t="str">
            <v>PE</v>
          </cell>
          <cell r="E7843" t="str">
            <v>512.51201</v>
          </cell>
          <cell r="F7843">
            <v>14935</v>
          </cell>
          <cell r="G7843">
            <v>0</v>
          </cell>
          <cell r="H7843">
            <v>0</v>
          </cell>
          <cell r="I7843">
            <v>0</v>
          </cell>
          <cell r="J7843">
            <v>0</v>
          </cell>
          <cell r="K7843">
            <v>0</v>
          </cell>
          <cell r="L7843">
            <v>0</v>
          </cell>
        </row>
        <row r="7844">
          <cell r="A7844" t="str">
            <v>20498.21372</v>
          </cell>
          <cell r="B7844" t="str">
            <v>ELECTRODE D'ALLUMAGE</v>
          </cell>
          <cell r="C7844" t="str">
            <v>HAMWORTHY  644-T1-0024</v>
          </cell>
          <cell r="D7844" t="str">
            <v>PE</v>
          </cell>
          <cell r="E7844" t="str">
            <v>512.51201</v>
          </cell>
          <cell r="F7844">
            <v>16605</v>
          </cell>
          <cell r="G7844">
            <v>0</v>
          </cell>
          <cell r="H7844">
            <v>0</v>
          </cell>
          <cell r="I7844">
            <v>0</v>
          </cell>
          <cell r="J7844">
            <v>0</v>
          </cell>
          <cell r="K7844">
            <v>0</v>
          </cell>
          <cell r="L7844">
            <v>0</v>
          </cell>
        </row>
        <row r="7845">
          <cell r="A7845" t="str">
            <v>20498.21373</v>
          </cell>
          <cell r="B7845" t="str">
            <v>BOITE TRANSFO</v>
          </cell>
          <cell r="C7845" t="str">
            <v>HAMWORTHY  BA4317900</v>
          </cell>
          <cell r="D7845" t="str">
            <v>PE</v>
          </cell>
          <cell r="E7845" t="str">
            <v>512.51201</v>
          </cell>
          <cell r="F7845">
            <v>27675</v>
          </cell>
          <cell r="G7845">
            <v>0</v>
          </cell>
          <cell r="H7845">
            <v>0</v>
          </cell>
          <cell r="I7845">
            <v>0</v>
          </cell>
          <cell r="J7845">
            <v>0</v>
          </cell>
          <cell r="K7845">
            <v>0</v>
          </cell>
          <cell r="L7845">
            <v>0</v>
          </cell>
        </row>
        <row r="7846">
          <cell r="A7846" t="str">
            <v>20498.21374</v>
          </cell>
          <cell r="B7846" t="str">
            <v>ENSEMBLE CABLE</v>
          </cell>
          <cell r="C7846" t="str">
            <v>HAMWORTHY  36320629/5</v>
          </cell>
          <cell r="D7846" t="str">
            <v>PE</v>
          </cell>
          <cell r="E7846" t="str">
            <v>512.51201</v>
          </cell>
          <cell r="F7846">
            <v>4252</v>
          </cell>
          <cell r="G7846">
            <v>0</v>
          </cell>
          <cell r="H7846">
            <v>1</v>
          </cell>
          <cell r="I7846">
            <v>0</v>
          </cell>
          <cell r="J7846">
            <v>0</v>
          </cell>
          <cell r="K7846">
            <v>0</v>
          </cell>
          <cell r="L7846">
            <v>0</v>
          </cell>
        </row>
        <row r="7847">
          <cell r="A7847" t="str">
            <v>20375.01209</v>
          </cell>
          <cell r="B7847" t="str">
            <v>VANNE A PAPILLON DN6" SANS ACTIONNEUR</v>
          </cell>
          <cell r="C7847" t="str">
            <v>PLAN B-8355   SERIE V-61491   DN 6''</v>
          </cell>
          <cell r="D7847" t="str">
            <v>PE</v>
          </cell>
          <cell r="E7847" t="str">
            <v>515.51503</v>
          </cell>
          <cell r="F7847">
            <v>83765.081399999995</v>
          </cell>
          <cell r="G7847">
            <v>0</v>
          </cell>
          <cell r="H7847">
            <v>1</v>
          </cell>
          <cell r="I7847">
            <v>0</v>
          </cell>
          <cell r="J7847">
            <v>0</v>
          </cell>
          <cell r="K7847">
            <v>0</v>
          </cell>
          <cell r="L7847">
            <v>0</v>
          </cell>
        </row>
        <row r="7848">
          <cell r="A7848" t="str">
            <v>20622.00273</v>
          </cell>
          <cell r="B7848" t="str">
            <v>BOITE A RESSORT AVEC GOUJON</v>
          </cell>
          <cell r="C7848" t="str">
            <v>PLAN 1.28364   REP 09-10-11+29-30-31</v>
          </cell>
          <cell r="D7848" t="str">
            <v>PE</v>
          </cell>
          <cell r="E7848" t="str">
            <v>515.51509</v>
          </cell>
          <cell r="F7848">
            <v>4317.8087999999998</v>
          </cell>
          <cell r="G7848">
            <v>24</v>
          </cell>
          <cell r="H7848">
            <v>24</v>
          </cell>
          <cell r="I7848">
            <v>34</v>
          </cell>
          <cell r="J7848">
            <v>0</v>
          </cell>
          <cell r="K7848">
            <v>32</v>
          </cell>
          <cell r="L7848">
            <v>54</v>
          </cell>
        </row>
        <row r="7849">
          <cell r="A7849" t="str">
            <v>20499.21013</v>
          </cell>
          <cell r="B7849" t="str">
            <v>JOINT TORIQUE</v>
          </cell>
          <cell r="C7849" t="str">
            <v>REMOTE CONTROL   TYPE RCG100 DA   REP3</v>
          </cell>
          <cell r="D7849" t="str">
            <v>PE</v>
          </cell>
          <cell r="E7849" t="str">
            <v>512.51202</v>
          </cell>
          <cell r="F7849">
            <v>1030.3922</v>
          </cell>
          <cell r="G7849">
            <v>0</v>
          </cell>
          <cell r="H7849">
            <v>0</v>
          </cell>
          <cell r="I7849">
            <v>0</v>
          </cell>
          <cell r="J7849">
            <v>0</v>
          </cell>
          <cell r="K7849">
            <v>0</v>
          </cell>
          <cell r="L7849">
            <v>0</v>
          </cell>
        </row>
        <row r="7850">
          <cell r="A7850" t="str">
            <v>20499.21015</v>
          </cell>
          <cell r="B7850" t="str">
            <v>JOINT TORIQUE</v>
          </cell>
          <cell r="C7850" t="str">
            <v>REMOTE CONTROL   TYPE RCG100 DA   REP12</v>
          </cell>
          <cell r="D7850" t="str">
            <v>PE</v>
          </cell>
          <cell r="E7850" t="str">
            <v>512.51202</v>
          </cell>
          <cell r="F7850">
            <v>1030.3922</v>
          </cell>
          <cell r="G7850">
            <v>0</v>
          </cell>
          <cell r="H7850">
            <v>0</v>
          </cell>
          <cell r="I7850">
            <v>0</v>
          </cell>
          <cell r="J7850">
            <v>0</v>
          </cell>
          <cell r="K7850">
            <v>0</v>
          </cell>
          <cell r="L7850">
            <v>0</v>
          </cell>
        </row>
        <row r="7851">
          <cell r="A7851" t="str">
            <v>20499.21016</v>
          </cell>
          <cell r="B7851" t="str">
            <v>SUPPORT</v>
          </cell>
          <cell r="C7851" t="str">
            <v>REMOTE CONTROL   TYPE RCG100 DA   REP14</v>
          </cell>
          <cell r="D7851" t="str">
            <v>PE</v>
          </cell>
          <cell r="E7851" t="str">
            <v>512.51202</v>
          </cell>
          <cell r="F7851">
            <v>1030.3922</v>
          </cell>
          <cell r="G7851">
            <v>0</v>
          </cell>
          <cell r="H7851">
            <v>0</v>
          </cell>
          <cell r="I7851">
            <v>0</v>
          </cell>
          <cell r="J7851">
            <v>0</v>
          </cell>
          <cell r="K7851">
            <v>0</v>
          </cell>
          <cell r="L7851">
            <v>0</v>
          </cell>
        </row>
        <row r="7852">
          <cell r="A7852" t="str">
            <v>20499.21017</v>
          </cell>
          <cell r="B7852" t="str">
            <v>JOINT TORIQUE</v>
          </cell>
          <cell r="C7852" t="str">
            <v>REMOTE CONTROL   TYPE RCG100 DA   REP18</v>
          </cell>
          <cell r="D7852" t="str">
            <v>PE</v>
          </cell>
          <cell r="E7852" t="str">
            <v>512.51202</v>
          </cell>
          <cell r="F7852">
            <v>1030.3922</v>
          </cell>
          <cell r="G7852">
            <v>0</v>
          </cell>
          <cell r="H7852">
            <v>0</v>
          </cell>
          <cell r="I7852">
            <v>0</v>
          </cell>
          <cell r="J7852">
            <v>0</v>
          </cell>
          <cell r="K7852">
            <v>0</v>
          </cell>
          <cell r="L7852">
            <v>0</v>
          </cell>
        </row>
        <row r="7853">
          <cell r="A7853" t="str">
            <v>20499.21018</v>
          </cell>
          <cell r="B7853" t="str">
            <v>CIRCLIPS</v>
          </cell>
          <cell r="C7853" t="str">
            <v>REMOTE CONTROL   TYPE RCG100 DA   REP42</v>
          </cell>
          <cell r="D7853" t="str">
            <v>PE</v>
          </cell>
          <cell r="E7853" t="str">
            <v>512.51202</v>
          </cell>
          <cell r="F7853">
            <v>1030.3922</v>
          </cell>
          <cell r="G7853">
            <v>0</v>
          </cell>
          <cell r="H7853">
            <v>0</v>
          </cell>
          <cell r="I7853">
            <v>0</v>
          </cell>
          <cell r="J7853">
            <v>0</v>
          </cell>
          <cell r="K7853">
            <v>0</v>
          </cell>
          <cell r="L7853">
            <v>0</v>
          </cell>
        </row>
        <row r="7854">
          <cell r="A7854" t="str">
            <v>20499.21019</v>
          </cell>
          <cell r="B7854" t="str">
            <v>SUPPORT</v>
          </cell>
          <cell r="C7854" t="str">
            <v>REMOTE CONTROL   TYPE RCG100 DA   REP43</v>
          </cell>
          <cell r="D7854" t="str">
            <v>PE</v>
          </cell>
          <cell r="E7854" t="str">
            <v>512.51202</v>
          </cell>
          <cell r="F7854">
            <v>1030.3922</v>
          </cell>
          <cell r="G7854">
            <v>0</v>
          </cell>
          <cell r="H7854">
            <v>0</v>
          </cell>
          <cell r="I7854">
            <v>0</v>
          </cell>
          <cell r="J7854">
            <v>0</v>
          </cell>
          <cell r="K7854">
            <v>0</v>
          </cell>
          <cell r="L7854">
            <v>0</v>
          </cell>
        </row>
        <row r="7855">
          <cell r="A7855" t="str">
            <v>20499.21026</v>
          </cell>
          <cell r="B7855" t="str">
            <v>LOWER ORING</v>
          </cell>
          <cell r="C7855" t="str">
            <v>REMOTE CONTROL  TYPE RCI280 DA  REP38</v>
          </cell>
          <cell r="D7855" t="str">
            <v>PE</v>
          </cell>
          <cell r="E7855" t="str">
            <v>512.51202</v>
          </cell>
          <cell r="F7855">
            <v>199.1798</v>
          </cell>
          <cell r="G7855">
            <v>0</v>
          </cell>
          <cell r="H7855">
            <v>0</v>
          </cell>
          <cell r="I7855">
            <v>0</v>
          </cell>
          <cell r="J7855">
            <v>0</v>
          </cell>
          <cell r="K7855">
            <v>0</v>
          </cell>
          <cell r="L7855">
            <v>0</v>
          </cell>
        </row>
        <row r="7856">
          <cell r="A7856" t="str">
            <v>20497.14627</v>
          </cell>
          <cell r="B7856" t="str">
            <v>PRESSE ETOUPE</v>
          </cell>
          <cell r="C7856" t="str">
            <v>FL SMIDTH KREBS MILLMAX REF mm150-144-10113</v>
          </cell>
          <cell r="D7856" t="str">
            <v>PE</v>
          </cell>
          <cell r="E7856" t="str">
            <v>515.51517</v>
          </cell>
          <cell r="F7856">
            <v>1550.0914</v>
          </cell>
          <cell r="G7856">
            <v>0</v>
          </cell>
          <cell r="H7856">
            <v>0</v>
          </cell>
          <cell r="I7856">
            <v>0</v>
          </cell>
          <cell r="J7856">
            <v>0</v>
          </cell>
          <cell r="K7856">
            <v>0</v>
          </cell>
          <cell r="L7856">
            <v>1</v>
          </cell>
        </row>
        <row r="7857">
          <cell r="A7857" t="str">
            <v>20710.00215</v>
          </cell>
          <cell r="B7857" t="str">
            <v>TRANSMETTEUR DE PRESSION DIFFERENTIELLE</v>
          </cell>
          <cell r="C7857" t="str">
            <v>EJA118E-JMSCG-917EB-EA13C1SE04-BB25</v>
          </cell>
          <cell r="D7857" t="str">
            <v>PE</v>
          </cell>
          <cell r="E7857" t="str">
            <v>512.51201</v>
          </cell>
          <cell r="F7857">
            <v>24432.33</v>
          </cell>
          <cell r="G7857">
            <v>0</v>
          </cell>
          <cell r="H7857">
            <v>0</v>
          </cell>
          <cell r="I7857">
            <v>0</v>
          </cell>
          <cell r="J7857">
            <v>0</v>
          </cell>
          <cell r="K7857">
            <v>0</v>
          </cell>
          <cell r="L7857">
            <v>1</v>
          </cell>
        </row>
        <row r="7858">
          <cell r="A7858" t="str">
            <v>20617.01055</v>
          </cell>
          <cell r="B7858" t="str">
            <v>BOUCHON</v>
          </cell>
          <cell r="C7858" t="str">
            <v>24-135EE  PLAN 2805-135EE-100 3/3   REP 123-9</v>
          </cell>
          <cell r="D7858" t="str">
            <v>PE</v>
          </cell>
          <cell r="E7858" t="str">
            <v>515.51506</v>
          </cell>
          <cell r="F7858">
            <v>699.55200000000002</v>
          </cell>
          <cell r="G7858">
            <v>0</v>
          </cell>
          <cell r="H7858">
            <v>0</v>
          </cell>
          <cell r="I7858">
            <v>0</v>
          </cell>
          <cell r="J7858">
            <v>0</v>
          </cell>
          <cell r="K7858">
            <v>0</v>
          </cell>
          <cell r="L7858">
            <v>0</v>
          </cell>
        </row>
        <row r="7859">
          <cell r="A7859" t="str">
            <v>20617.01054</v>
          </cell>
          <cell r="B7859" t="str">
            <v>JOINT</v>
          </cell>
          <cell r="C7859" t="str">
            <v>24-135EE  PLAN 2805-135EE-202  REP 224-2</v>
          </cell>
          <cell r="D7859" t="str">
            <v>PE</v>
          </cell>
          <cell r="E7859" t="str">
            <v>515.51506</v>
          </cell>
          <cell r="F7859">
            <v>199.1251</v>
          </cell>
          <cell r="G7859">
            <v>0</v>
          </cell>
          <cell r="H7859">
            <v>0</v>
          </cell>
          <cell r="I7859">
            <v>0</v>
          </cell>
          <cell r="J7859">
            <v>0</v>
          </cell>
          <cell r="K7859">
            <v>4</v>
          </cell>
          <cell r="L7859">
            <v>0</v>
          </cell>
        </row>
        <row r="7860">
          <cell r="A7860" t="str">
            <v>20212.10115</v>
          </cell>
          <cell r="B7860" t="str">
            <v>CAPTEUR</v>
          </cell>
          <cell r="C7860" t="str">
            <v>TYPE: ZR-145 SERIE: S991452-01/03REF: 1089 0575 65</v>
          </cell>
          <cell r="D7860" t="str">
            <v>PE</v>
          </cell>
          <cell r="E7860" t="str">
            <v>515.51504</v>
          </cell>
          <cell r="F7860">
            <v>1810.6197999999999</v>
          </cell>
          <cell r="G7860">
            <v>0</v>
          </cell>
          <cell r="H7860">
            <v>0</v>
          </cell>
          <cell r="I7860">
            <v>0</v>
          </cell>
          <cell r="J7860">
            <v>0</v>
          </cell>
          <cell r="K7860">
            <v>0</v>
          </cell>
          <cell r="L7860">
            <v>0</v>
          </cell>
        </row>
        <row r="7861">
          <cell r="A7861" t="str">
            <v>20499.21014</v>
          </cell>
          <cell r="B7861" t="str">
            <v>JOINT TORIQUE</v>
          </cell>
          <cell r="C7861" t="str">
            <v>REMOTE CONTROL   TYPE RCG100 DA   REP6</v>
          </cell>
          <cell r="D7861" t="str">
            <v>PE</v>
          </cell>
          <cell r="E7861" t="str">
            <v>512.51202</v>
          </cell>
          <cell r="F7861">
            <v>1030.3922</v>
          </cell>
          <cell r="G7861">
            <v>0</v>
          </cell>
          <cell r="H7861">
            <v>0</v>
          </cell>
          <cell r="I7861">
            <v>0</v>
          </cell>
          <cell r="J7861">
            <v>0</v>
          </cell>
          <cell r="K7861">
            <v>0</v>
          </cell>
          <cell r="L7861">
            <v>0</v>
          </cell>
        </row>
        <row r="7862">
          <cell r="A7862" t="str">
            <v>20499.21027</v>
          </cell>
          <cell r="B7862" t="str">
            <v>LOWER RETAINER</v>
          </cell>
          <cell r="C7862" t="str">
            <v>REMOTE CONTROL  TYPE RCI280 DA  REP40</v>
          </cell>
          <cell r="D7862" t="str">
            <v>PE</v>
          </cell>
          <cell r="E7862" t="str">
            <v>512.51202</v>
          </cell>
          <cell r="F7862">
            <v>199.1798</v>
          </cell>
          <cell r="G7862">
            <v>0</v>
          </cell>
          <cell r="H7862">
            <v>0</v>
          </cell>
          <cell r="I7862">
            <v>0</v>
          </cell>
          <cell r="J7862">
            <v>0</v>
          </cell>
          <cell r="K7862">
            <v>0</v>
          </cell>
          <cell r="L7862">
            <v>0</v>
          </cell>
        </row>
        <row r="7863">
          <cell r="A7863" t="str">
            <v>20499.21028</v>
          </cell>
          <cell r="B7863" t="str">
            <v>SUPPORT</v>
          </cell>
          <cell r="C7863" t="str">
            <v>REMOTE CONTROL  TYPE RCI280 DA  REP33</v>
          </cell>
          <cell r="D7863" t="str">
            <v>PE</v>
          </cell>
          <cell r="E7863" t="str">
            <v>512.51202</v>
          </cell>
          <cell r="F7863">
            <v>199.1798</v>
          </cell>
          <cell r="G7863">
            <v>0</v>
          </cell>
          <cell r="H7863">
            <v>0</v>
          </cell>
          <cell r="I7863">
            <v>0</v>
          </cell>
          <cell r="J7863">
            <v>0</v>
          </cell>
          <cell r="K7863">
            <v>0</v>
          </cell>
          <cell r="L7863">
            <v>0</v>
          </cell>
        </row>
        <row r="7864">
          <cell r="A7864" t="str">
            <v>20499.21029</v>
          </cell>
          <cell r="B7864" t="str">
            <v>UPPER ORING</v>
          </cell>
          <cell r="C7864" t="str">
            <v>REMOTE CONTROL  TYPE RCI280 DA  REP18</v>
          </cell>
          <cell r="D7864" t="str">
            <v>PE</v>
          </cell>
          <cell r="E7864" t="str">
            <v>512.51202</v>
          </cell>
          <cell r="F7864">
            <v>199.1798</v>
          </cell>
          <cell r="G7864">
            <v>0</v>
          </cell>
          <cell r="H7864">
            <v>0</v>
          </cell>
          <cell r="I7864">
            <v>0</v>
          </cell>
          <cell r="J7864">
            <v>0</v>
          </cell>
          <cell r="K7864">
            <v>0</v>
          </cell>
          <cell r="L7864">
            <v>0</v>
          </cell>
        </row>
        <row r="7865">
          <cell r="A7865" t="str">
            <v>20499.21030</v>
          </cell>
          <cell r="B7865" t="str">
            <v>UPPER RETAINIG</v>
          </cell>
          <cell r="C7865" t="str">
            <v>REMOTE CONTROL  TYPE RCI280 DA  REP31</v>
          </cell>
          <cell r="D7865" t="str">
            <v>PE</v>
          </cell>
          <cell r="E7865" t="str">
            <v>512.51202</v>
          </cell>
          <cell r="F7865">
            <v>199.1798</v>
          </cell>
          <cell r="G7865">
            <v>0</v>
          </cell>
          <cell r="H7865">
            <v>0</v>
          </cell>
          <cell r="I7865">
            <v>0</v>
          </cell>
          <cell r="J7865">
            <v>0</v>
          </cell>
          <cell r="K7865">
            <v>0</v>
          </cell>
          <cell r="L7865">
            <v>0</v>
          </cell>
        </row>
        <row r="7866">
          <cell r="A7866" t="str">
            <v>20499.21023</v>
          </cell>
          <cell r="B7866" t="str">
            <v>SUPPORT</v>
          </cell>
          <cell r="C7866" t="str">
            <v>REMOTE  CONTROL TYPE RCI280 DA  REP14</v>
          </cell>
          <cell r="D7866" t="str">
            <v>PE</v>
          </cell>
          <cell r="E7866" t="str">
            <v>512.51202</v>
          </cell>
          <cell r="F7866">
            <v>199.1798</v>
          </cell>
          <cell r="G7866">
            <v>0</v>
          </cell>
          <cell r="H7866">
            <v>0</v>
          </cell>
          <cell r="I7866">
            <v>0</v>
          </cell>
          <cell r="J7866">
            <v>0</v>
          </cell>
          <cell r="K7866">
            <v>0</v>
          </cell>
          <cell r="L7866">
            <v>0</v>
          </cell>
        </row>
        <row r="7867">
          <cell r="A7867" t="str">
            <v>20499.21024</v>
          </cell>
          <cell r="B7867" t="str">
            <v>RONDELLE CENTRALE</v>
          </cell>
          <cell r="C7867" t="str">
            <v>REMOTE CONTROL  TYPE RCI280 DA  REP32</v>
          </cell>
          <cell r="D7867" t="str">
            <v>PE</v>
          </cell>
          <cell r="E7867" t="str">
            <v>512.51202</v>
          </cell>
          <cell r="F7867">
            <v>199.1798</v>
          </cell>
          <cell r="G7867">
            <v>0</v>
          </cell>
          <cell r="H7867">
            <v>0</v>
          </cell>
          <cell r="I7867">
            <v>0</v>
          </cell>
          <cell r="J7867">
            <v>0</v>
          </cell>
          <cell r="K7867">
            <v>0</v>
          </cell>
          <cell r="L7867">
            <v>0</v>
          </cell>
        </row>
        <row r="7868">
          <cell r="A7868" t="str">
            <v>20499.21025</v>
          </cell>
          <cell r="B7868" t="str">
            <v>LOWER SUPPORT</v>
          </cell>
          <cell r="C7868" t="str">
            <v>REMOTE CONTROL  TYPE RCI280 DA  REP39</v>
          </cell>
          <cell r="D7868" t="str">
            <v>PE</v>
          </cell>
          <cell r="E7868" t="str">
            <v>512.51202</v>
          </cell>
          <cell r="F7868">
            <v>199.1798</v>
          </cell>
          <cell r="G7868">
            <v>0</v>
          </cell>
          <cell r="H7868">
            <v>0</v>
          </cell>
          <cell r="I7868">
            <v>0</v>
          </cell>
          <cell r="J7868">
            <v>0</v>
          </cell>
          <cell r="K7868">
            <v>0</v>
          </cell>
          <cell r="L7868">
            <v>0</v>
          </cell>
        </row>
        <row r="7869">
          <cell r="A7869" t="str">
            <v>20617.01051</v>
          </cell>
          <cell r="B7869" t="str">
            <v>BOUCHON D'ETANCHEITE</v>
          </cell>
          <cell r="C7869" t="str">
            <v>24-135EE  PLAN 2805-135EE-100 3/3  REP 123-16</v>
          </cell>
          <cell r="D7869" t="str">
            <v>PE</v>
          </cell>
          <cell r="E7869" t="str">
            <v>515.51506</v>
          </cell>
          <cell r="F7869">
            <v>799.48800000000006</v>
          </cell>
          <cell r="G7869">
            <v>0</v>
          </cell>
          <cell r="H7869">
            <v>0</v>
          </cell>
          <cell r="I7869">
            <v>0</v>
          </cell>
          <cell r="J7869">
            <v>0</v>
          </cell>
          <cell r="K7869">
            <v>0</v>
          </cell>
          <cell r="L7869">
            <v>0</v>
          </cell>
        </row>
        <row r="7870">
          <cell r="A7870" t="str">
            <v>20617.01052</v>
          </cell>
          <cell r="B7870" t="str">
            <v>TUYAU DE RALLONGE</v>
          </cell>
          <cell r="C7870" t="str">
            <v>24-135EE  PLAN 2805-135EE-20 1/5   REP 22-03</v>
          </cell>
          <cell r="D7870" t="str">
            <v>PE</v>
          </cell>
          <cell r="E7870" t="str">
            <v>515.51506</v>
          </cell>
          <cell r="F7870">
            <v>532.99199999999996</v>
          </cell>
          <cell r="G7870">
            <v>0</v>
          </cell>
          <cell r="H7870">
            <v>0</v>
          </cell>
          <cell r="I7870">
            <v>0</v>
          </cell>
          <cell r="J7870">
            <v>0</v>
          </cell>
          <cell r="K7870">
            <v>0</v>
          </cell>
          <cell r="L7870">
            <v>0</v>
          </cell>
        </row>
        <row r="7871">
          <cell r="A7871" t="str">
            <v>20617.01053</v>
          </cell>
          <cell r="B7871" t="str">
            <v>VOYANT</v>
          </cell>
          <cell r="C7871" t="str">
            <v>24-135EE  PLAN 2805-135EE-202  REP 224-1</v>
          </cell>
          <cell r="D7871" t="str">
            <v>PE</v>
          </cell>
          <cell r="E7871" t="str">
            <v>515.51506</v>
          </cell>
          <cell r="F7871">
            <v>3661.6208000000001</v>
          </cell>
          <cell r="G7871">
            <v>0</v>
          </cell>
          <cell r="H7871">
            <v>0</v>
          </cell>
          <cell r="I7871">
            <v>0</v>
          </cell>
          <cell r="J7871">
            <v>0</v>
          </cell>
          <cell r="K7871">
            <v>0</v>
          </cell>
          <cell r="L7871">
            <v>4</v>
          </cell>
        </row>
        <row r="7872">
          <cell r="A7872" t="str">
            <v>20617.01050</v>
          </cell>
          <cell r="B7872" t="str">
            <v>ECLISSE</v>
          </cell>
          <cell r="C7872" t="str">
            <v>24-135EE  PLAN 2805-135EE-100 3/3   REP 123-15</v>
          </cell>
          <cell r="D7872" t="str">
            <v>PE</v>
          </cell>
          <cell r="E7872" t="str">
            <v>515.51506</v>
          </cell>
          <cell r="F7872">
            <v>710.65599999999995</v>
          </cell>
          <cell r="G7872">
            <v>0</v>
          </cell>
          <cell r="H7872">
            <v>0</v>
          </cell>
          <cell r="I7872">
            <v>0</v>
          </cell>
          <cell r="J7872">
            <v>0</v>
          </cell>
          <cell r="K7872">
            <v>0</v>
          </cell>
          <cell r="L7872">
            <v>0</v>
          </cell>
        </row>
        <row r="7873">
          <cell r="A7873" t="str">
            <v>20499.21020</v>
          </cell>
          <cell r="B7873" t="str">
            <v>JOINT TORIQUE</v>
          </cell>
          <cell r="C7873" t="str">
            <v>REMOTE CONTROL  TYPE RCI280 DA   REP3</v>
          </cell>
          <cell r="D7873" t="str">
            <v>PE</v>
          </cell>
          <cell r="E7873" t="str">
            <v>512.51202</v>
          </cell>
          <cell r="F7873">
            <v>199.1798</v>
          </cell>
          <cell r="G7873">
            <v>0</v>
          </cell>
          <cell r="H7873">
            <v>0</v>
          </cell>
          <cell r="I7873">
            <v>0</v>
          </cell>
          <cell r="J7873">
            <v>0</v>
          </cell>
          <cell r="K7873">
            <v>0</v>
          </cell>
          <cell r="L7873">
            <v>0</v>
          </cell>
        </row>
        <row r="7874">
          <cell r="A7874" t="str">
            <v>20499.21021</v>
          </cell>
          <cell r="B7874" t="str">
            <v>JOINT TORIQUE</v>
          </cell>
          <cell r="C7874" t="str">
            <v>REMOTE CONTROL  TYPE RCI280 DA  REP6</v>
          </cell>
          <cell r="D7874" t="str">
            <v>PE</v>
          </cell>
          <cell r="E7874" t="str">
            <v>512.51202</v>
          </cell>
          <cell r="F7874">
            <v>199.1798</v>
          </cell>
          <cell r="G7874">
            <v>0</v>
          </cell>
          <cell r="H7874">
            <v>0</v>
          </cell>
          <cell r="I7874">
            <v>0</v>
          </cell>
          <cell r="J7874">
            <v>0</v>
          </cell>
          <cell r="K7874">
            <v>0</v>
          </cell>
          <cell r="L7874">
            <v>0</v>
          </cell>
        </row>
        <row r="7875">
          <cell r="A7875" t="str">
            <v>20499.21022</v>
          </cell>
          <cell r="B7875" t="str">
            <v>JOINT TORIQUE</v>
          </cell>
          <cell r="C7875" t="str">
            <v>REMOTE  CONTROL TYPE RCI280 DA  REP12</v>
          </cell>
          <cell r="D7875" t="str">
            <v>PE</v>
          </cell>
          <cell r="E7875" t="str">
            <v>512.51202</v>
          </cell>
          <cell r="F7875">
            <v>199.1798</v>
          </cell>
          <cell r="G7875">
            <v>0</v>
          </cell>
          <cell r="H7875">
            <v>0</v>
          </cell>
          <cell r="I7875">
            <v>0</v>
          </cell>
          <cell r="J7875">
            <v>0</v>
          </cell>
          <cell r="K7875">
            <v>0</v>
          </cell>
          <cell r="L7875">
            <v>0</v>
          </cell>
        </row>
        <row r="7876">
          <cell r="A7876" t="str">
            <v>20492.22970</v>
          </cell>
          <cell r="B7876" t="str">
            <v>FILTRE A 8 POCHES (592x592x600)</v>
          </cell>
          <cell r="C7876" t="str">
            <v>DELTRIAN TYPE: PTL65-6/600/8, BARCODE:1702143, EFFICACITE: EN779-2012:M6</v>
          </cell>
          <cell r="D7876" t="str">
            <v>PE</v>
          </cell>
          <cell r="E7876" t="str">
            <v>222.22209</v>
          </cell>
          <cell r="F7876">
            <v>860.55470000000003</v>
          </cell>
          <cell r="G7876">
            <v>0</v>
          </cell>
          <cell r="H7876">
            <v>0</v>
          </cell>
          <cell r="I7876">
            <v>0</v>
          </cell>
          <cell r="J7876">
            <v>0</v>
          </cell>
          <cell r="K7876">
            <v>111</v>
          </cell>
          <cell r="L7876">
            <v>9</v>
          </cell>
        </row>
        <row r="7877">
          <cell r="A7877" t="str">
            <v>20492.30307</v>
          </cell>
          <cell r="B7877" t="str">
            <v>EMETTEUR</v>
          </cell>
          <cell r="C7877" t="str">
            <v>KVM REF A1120198</v>
          </cell>
          <cell r="D7877" t="str">
            <v>PE</v>
          </cell>
          <cell r="E7877" t="str">
            <v>512.51201</v>
          </cell>
          <cell r="F7877">
            <v>13443</v>
          </cell>
          <cell r="G7877">
            <v>0</v>
          </cell>
          <cell r="H7877">
            <v>0</v>
          </cell>
          <cell r="I7877">
            <v>0</v>
          </cell>
          <cell r="J7877">
            <v>0</v>
          </cell>
          <cell r="K7877">
            <v>10</v>
          </cell>
          <cell r="L7877">
            <v>2</v>
          </cell>
        </row>
        <row r="7878">
          <cell r="A7878" t="str">
            <v>20492.30308</v>
          </cell>
          <cell r="B7878" t="str">
            <v>RECEPTEUR</v>
          </cell>
          <cell r="C7878" t="str">
            <v>KVM REF A1110167</v>
          </cell>
          <cell r="D7878" t="str">
            <v>PE</v>
          </cell>
          <cell r="E7878" t="str">
            <v>512.51201</v>
          </cell>
          <cell r="F7878">
            <v>13443</v>
          </cell>
          <cell r="G7878">
            <v>0</v>
          </cell>
          <cell r="H7878">
            <v>0</v>
          </cell>
          <cell r="I7878">
            <v>0</v>
          </cell>
          <cell r="J7878">
            <v>0</v>
          </cell>
          <cell r="K7878">
            <v>10</v>
          </cell>
          <cell r="L7878">
            <v>2</v>
          </cell>
        </row>
        <row r="7879">
          <cell r="A7879" t="str">
            <v>20630.00940</v>
          </cell>
          <cell r="B7879" t="str">
            <v>GARNITURE MECANIQUE CARTOUCHE DOUBLE STATIONNEMENT.</v>
          </cell>
          <cell r="C7879" t="str">
            <v xml:space="preserve">AESSEAL REF AZA14029SZCZV12  PLAN 2054343 POUR POMPE CHAS LEWIS 30LH </v>
          </cell>
          <cell r="D7879" t="str">
            <v>PE</v>
          </cell>
          <cell r="E7879" t="str">
            <v>522.52207</v>
          </cell>
          <cell r="F7879">
            <v>136400</v>
          </cell>
          <cell r="G7879">
            <v>0</v>
          </cell>
          <cell r="H7879">
            <v>0</v>
          </cell>
          <cell r="I7879">
            <v>0</v>
          </cell>
          <cell r="J7879">
            <v>0</v>
          </cell>
          <cell r="K7879">
            <v>1</v>
          </cell>
          <cell r="L7879">
            <v>0</v>
          </cell>
        </row>
        <row r="7880">
          <cell r="A7880" t="str">
            <v>20442.02275</v>
          </cell>
          <cell r="B7880" t="str">
            <v>BOITARD DE ROULEMENT</v>
          </cell>
          <cell r="C7880" t="str">
            <v>LC 50-350 N2   PLAN A-3986354   REP-3244</v>
          </cell>
          <cell r="D7880" t="str">
            <v>PE</v>
          </cell>
          <cell r="E7880" t="str">
            <v>515.51503</v>
          </cell>
          <cell r="F7880">
            <v>9205.7345999999998</v>
          </cell>
          <cell r="G7880">
            <v>0</v>
          </cell>
          <cell r="H7880">
            <v>1</v>
          </cell>
          <cell r="I7880">
            <v>0</v>
          </cell>
          <cell r="J7880">
            <v>1</v>
          </cell>
          <cell r="K7880">
            <v>0</v>
          </cell>
          <cell r="L7880">
            <v>2</v>
          </cell>
        </row>
        <row r="7881">
          <cell r="A7881" t="str">
            <v>20442.02276</v>
          </cell>
          <cell r="B7881" t="str">
            <v>COUVERCLE DE PALIER COTE POMPE</v>
          </cell>
          <cell r="C7881" t="str">
            <v>LC 50-350 N2   PLAN A-3986354  REP-3262</v>
          </cell>
          <cell r="D7881" t="str">
            <v>PE</v>
          </cell>
          <cell r="E7881" t="str">
            <v>515.51503</v>
          </cell>
          <cell r="F7881">
            <v>1332.5696</v>
          </cell>
          <cell r="G7881">
            <v>0</v>
          </cell>
          <cell r="H7881">
            <v>0</v>
          </cell>
          <cell r="I7881">
            <v>0</v>
          </cell>
          <cell r="J7881">
            <v>1</v>
          </cell>
          <cell r="K7881">
            <v>0</v>
          </cell>
          <cell r="L7881">
            <v>1</v>
          </cell>
        </row>
        <row r="7882">
          <cell r="A7882" t="str">
            <v>20442.02277</v>
          </cell>
          <cell r="B7882" t="str">
            <v>CORPS DE POMPE</v>
          </cell>
          <cell r="C7882" t="str">
            <v>LC 50-350 N1  PLAN A-3986360   REP-1111</v>
          </cell>
          <cell r="D7882" t="str">
            <v>PE</v>
          </cell>
          <cell r="E7882" t="str">
            <v>515.51503</v>
          </cell>
          <cell r="F7882">
            <v>26629.200000000001</v>
          </cell>
          <cell r="G7882">
            <v>0</v>
          </cell>
          <cell r="H7882">
            <v>0</v>
          </cell>
          <cell r="I7882">
            <v>0</v>
          </cell>
          <cell r="J7882">
            <v>1</v>
          </cell>
          <cell r="K7882">
            <v>0</v>
          </cell>
          <cell r="L7882">
            <v>0</v>
          </cell>
        </row>
        <row r="7883">
          <cell r="A7883" t="str">
            <v>20499.21048</v>
          </cell>
          <cell r="B7883" t="str">
            <v>VANNE A GUILLOTINE DOUBLE EFFET PNEUMATIQUE</v>
          </cell>
          <cell r="C7883" t="str">
            <v>PICON  TYPE PAL-APE  FONTE   DN200</v>
          </cell>
          <cell r="D7883" t="str">
            <v>PE</v>
          </cell>
          <cell r="E7883" t="str">
            <v>515.51511</v>
          </cell>
          <cell r="F7883">
            <v>7170</v>
          </cell>
          <cell r="G7883">
            <v>0</v>
          </cell>
          <cell r="H7883">
            <v>1</v>
          </cell>
          <cell r="I7883">
            <v>0</v>
          </cell>
          <cell r="J7883">
            <v>1</v>
          </cell>
          <cell r="K7883">
            <v>1</v>
          </cell>
          <cell r="L7883">
            <v>1</v>
          </cell>
        </row>
        <row r="7884">
          <cell r="A7884" t="str">
            <v>20499.21049</v>
          </cell>
          <cell r="B7884" t="str">
            <v>VANNE A GUILLOTINE DOUBLE EFFET PNEUMATIQUE</v>
          </cell>
          <cell r="C7884" t="str">
            <v>PICON  TYPE PAL-APE FONTE   DN250</v>
          </cell>
          <cell r="D7884" t="str">
            <v>PE</v>
          </cell>
          <cell r="E7884" t="str">
            <v>515.51511</v>
          </cell>
          <cell r="F7884">
            <v>9608</v>
          </cell>
          <cell r="G7884">
            <v>0</v>
          </cell>
          <cell r="H7884">
            <v>0</v>
          </cell>
          <cell r="I7884">
            <v>0</v>
          </cell>
          <cell r="J7884">
            <v>0</v>
          </cell>
          <cell r="K7884">
            <v>0</v>
          </cell>
          <cell r="L7884">
            <v>2</v>
          </cell>
        </row>
        <row r="7885">
          <cell r="A7885" t="str">
            <v>20499.21050</v>
          </cell>
          <cell r="B7885" t="str">
            <v>JOINT A PISTON DOUBLE EFFET</v>
          </cell>
          <cell r="C7885" t="str">
            <v>FRIDLE   080TDUOP16025   TYEP : TDUOP 160-25F</v>
          </cell>
          <cell r="D7885" t="str">
            <v>PE</v>
          </cell>
          <cell r="E7885" t="str">
            <v>515.51511</v>
          </cell>
          <cell r="F7885"/>
          <cell r="G7885">
            <v>0</v>
          </cell>
          <cell r="H7885">
            <v>0</v>
          </cell>
          <cell r="I7885">
            <v>0</v>
          </cell>
          <cell r="J7885">
            <v>0</v>
          </cell>
          <cell r="K7885">
            <v>0</v>
          </cell>
          <cell r="L7885">
            <v>5</v>
          </cell>
        </row>
        <row r="7886">
          <cell r="A7886" t="str">
            <v>20499.21051</v>
          </cell>
          <cell r="B7886" t="str">
            <v>JOINT A PISTON DOUBLE EFFET</v>
          </cell>
          <cell r="C7886" t="str">
            <v>FRIDLE   080TDUOP20025   TYPE : TDUOP 200-25F</v>
          </cell>
          <cell r="D7886" t="str">
            <v>PE</v>
          </cell>
          <cell r="E7886" t="str">
            <v>515.51511</v>
          </cell>
          <cell r="F7886">
            <v>0</v>
          </cell>
          <cell r="G7886">
            <v>0</v>
          </cell>
          <cell r="H7886">
            <v>2</v>
          </cell>
          <cell r="I7886">
            <v>0</v>
          </cell>
          <cell r="J7886">
            <v>0</v>
          </cell>
          <cell r="K7886">
            <v>0</v>
          </cell>
          <cell r="L7886">
            <v>0</v>
          </cell>
        </row>
        <row r="7887">
          <cell r="A7887" t="str">
            <v>20499.21052</v>
          </cell>
          <cell r="B7887" t="str">
            <v>LEVIER</v>
          </cell>
          <cell r="C7887" t="str">
            <v>ARMSTRONG   PLAN D62331 REP B224-13</v>
          </cell>
          <cell r="D7887" t="str">
            <v>PE</v>
          </cell>
          <cell r="E7887" t="str">
            <v>515.51511</v>
          </cell>
          <cell r="F7887"/>
          <cell r="G7887">
            <v>0</v>
          </cell>
          <cell r="H7887">
            <v>0</v>
          </cell>
          <cell r="I7887">
            <v>0</v>
          </cell>
          <cell r="J7887">
            <v>0</v>
          </cell>
          <cell r="K7887">
            <v>0</v>
          </cell>
          <cell r="L7887">
            <v>2</v>
          </cell>
        </row>
        <row r="7888">
          <cell r="A7888" t="str">
            <v>20499.21053</v>
          </cell>
          <cell r="B7888" t="str">
            <v>SOUPAPE</v>
          </cell>
          <cell r="C7888" t="str">
            <v>ARMSTRONG   PLAN D62331 REP A554</v>
          </cell>
          <cell r="D7888" t="str">
            <v>PE</v>
          </cell>
          <cell r="E7888" t="str">
            <v>515.51511</v>
          </cell>
          <cell r="F7888"/>
          <cell r="G7888">
            <v>0</v>
          </cell>
          <cell r="H7888">
            <v>0</v>
          </cell>
          <cell r="I7888">
            <v>0</v>
          </cell>
          <cell r="J7888">
            <v>0</v>
          </cell>
          <cell r="K7888">
            <v>0</v>
          </cell>
          <cell r="L7888">
            <v>2</v>
          </cell>
        </row>
        <row r="7889">
          <cell r="A7889" t="str">
            <v>20499.21054</v>
          </cell>
          <cell r="B7889" t="str">
            <v>SOUPAPE</v>
          </cell>
          <cell r="C7889" t="str">
            <v>ARMSTRONG   PLAN D62331 REP B7264</v>
          </cell>
          <cell r="D7889" t="str">
            <v>PE</v>
          </cell>
          <cell r="E7889" t="str">
            <v>515.51511</v>
          </cell>
          <cell r="F7889"/>
          <cell r="G7889">
            <v>0</v>
          </cell>
          <cell r="H7889">
            <v>0</v>
          </cell>
          <cell r="I7889">
            <v>0</v>
          </cell>
          <cell r="J7889">
            <v>0</v>
          </cell>
          <cell r="K7889">
            <v>0</v>
          </cell>
          <cell r="L7889">
            <v>2</v>
          </cell>
        </row>
        <row r="7890">
          <cell r="A7890" t="str">
            <v>20499.21055</v>
          </cell>
          <cell r="B7890" t="str">
            <v>SIEGE</v>
          </cell>
          <cell r="C7890" t="str">
            <v>ARMSTRONG   PLAN D62331 REP B7280</v>
          </cell>
          <cell r="D7890" t="str">
            <v>PE</v>
          </cell>
          <cell r="E7890" t="str">
            <v>515.51511</v>
          </cell>
          <cell r="F7890"/>
          <cell r="G7890">
            <v>0</v>
          </cell>
          <cell r="H7890">
            <v>0</v>
          </cell>
          <cell r="I7890">
            <v>0</v>
          </cell>
          <cell r="J7890">
            <v>0</v>
          </cell>
          <cell r="K7890">
            <v>0</v>
          </cell>
          <cell r="L7890">
            <v>2</v>
          </cell>
        </row>
        <row r="7891">
          <cell r="A7891" t="str">
            <v>20499.21056</v>
          </cell>
          <cell r="B7891" t="str">
            <v>VIS</v>
          </cell>
          <cell r="C7891" t="str">
            <v>ARMSTRONG   PLAN D62331 REP A6118A</v>
          </cell>
          <cell r="D7891" t="str">
            <v>PE</v>
          </cell>
          <cell r="E7891" t="str">
            <v>515.51511</v>
          </cell>
          <cell r="F7891"/>
          <cell r="G7891">
            <v>0</v>
          </cell>
          <cell r="H7891">
            <v>0</v>
          </cell>
          <cell r="I7891">
            <v>0</v>
          </cell>
          <cell r="J7891">
            <v>0</v>
          </cell>
          <cell r="K7891">
            <v>0</v>
          </cell>
          <cell r="L7891">
            <v>2</v>
          </cell>
        </row>
        <row r="7892">
          <cell r="A7892" t="str">
            <v>20499.21057</v>
          </cell>
          <cell r="B7892" t="str">
            <v>SIEGE DE RETENUE</v>
          </cell>
          <cell r="C7892" t="str">
            <v>ARMSTRONG   PLAN D62331 REP A3577-1</v>
          </cell>
          <cell r="D7892" t="str">
            <v>PE</v>
          </cell>
          <cell r="E7892" t="str">
            <v>515.51511</v>
          </cell>
          <cell r="F7892"/>
          <cell r="G7892">
            <v>0</v>
          </cell>
          <cell r="H7892">
            <v>0</v>
          </cell>
          <cell r="I7892">
            <v>0</v>
          </cell>
          <cell r="J7892">
            <v>0</v>
          </cell>
          <cell r="K7892">
            <v>0</v>
          </cell>
          <cell r="L7892">
            <v>2</v>
          </cell>
        </row>
        <row r="7893">
          <cell r="A7893" t="str">
            <v>20499.21058</v>
          </cell>
          <cell r="B7893" t="str">
            <v>JOINT DE SIEGE</v>
          </cell>
          <cell r="C7893" t="str">
            <v>ARMSTRONG   PLAN D62331 REP A4402A</v>
          </cell>
          <cell r="D7893" t="str">
            <v>PE</v>
          </cell>
          <cell r="E7893" t="str">
            <v>515.51511</v>
          </cell>
          <cell r="F7893"/>
          <cell r="G7893">
            <v>0</v>
          </cell>
          <cell r="H7893">
            <v>0</v>
          </cell>
          <cell r="I7893">
            <v>0</v>
          </cell>
          <cell r="J7893">
            <v>0</v>
          </cell>
          <cell r="K7893">
            <v>0</v>
          </cell>
          <cell r="L7893">
            <v>2</v>
          </cell>
        </row>
        <row r="7894">
          <cell r="A7894" t="str">
            <v>20499.21059</v>
          </cell>
          <cell r="B7894" t="str">
            <v>JOINT DE CORPS</v>
          </cell>
          <cell r="C7894" t="str">
            <v>ARMSTRONG   PLAN D62331 REP A8529</v>
          </cell>
          <cell r="D7894" t="str">
            <v>PE</v>
          </cell>
          <cell r="E7894" t="str">
            <v>515.51511</v>
          </cell>
          <cell r="F7894">
            <v>0</v>
          </cell>
          <cell r="G7894">
            <v>1</v>
          </cell>
          <cell r="H7894">
            <v>0</v>
          </cell>
          <cell r="I7894">
            <v>0</v>
          </cell>
          <cell r="J7894">
            <v>0</v>
          </cell>
          <cell r="K7894">
            <v>0</v>
          </cell>
          <cell r="L7894">
            <v>1</v>
          </cell>
        </row>
        <row r="7895">
          <cell r="A7895" t="str">
            <v>20499.21060</v>
          </cell>
          <cell r="B7895" t="str">
            <v>PIVOT</v>
          </cell>
          <cell r="C7895" t="str">
            <v>ARMSTRONG    PLAN D45723 REP A5705-2</v>
          </cell>
          <cell r="D7895" t="str">
            <v>PE</v>
          </cell>
          <cell r="E7895" t="str">
            <v>515.51511</v>
          </cell>
          <cell r="F7895">
            <v>0</v>
          </cell>
          <cell r="G7895">
            <v>0</v>
          </cell>
          <cell r="H7895">
            <v>1</v>
          </cell>
          <cell r="I7895">
            <v>0</v>
          </cell>
          <cell r="J7895">
            <v>0</v>
          </cell>
          <cell r="K7895">
            <v>0</v>
          </cell>
          <cell r="L7895">
            <v>0</v>
          </cell>
        </row>
        <row r="7896">
          <cell r="A7896" t="str">
            <v>20499.21061</v>
          </cell>
          <cell r="B7896" t="str">
            <v>SOUPAPE</v>
          </cell>
          <cell r="C7896" t="str">
            <v>ARMSTRONG   PLAN D45723 REP A5708E</v>
          </cell>
          <cell r="D7896" t="str">
            <v>PE</v>
          </cell>
          <cell r="E7896" t="str">
            <v>515.51511</v>
          </cell>
          <cell r="F7896">
            <v>0</v>
          </cell>
          <cell r="G7896">
            <v>0</v>
          </cell>
          <cell r="H7896">
            <v>1</v>
          </cell>
          <cell r="I7896">
            <v>0</v>
          </cell>
          <cell r="J7896">
            <v>0</v>
          </cell>
          <cell r="K7896">
            <v>0</v>
          </cell>
          <cell r="L7896">
            <v>0</v>
          </cell>
        </row>
        <row r="7897">
          <cell r="A7897" t="str">
            <v>20499.21062</v>
          </cell>
          <cell r="B7897" t="str">
            <v>SIEGE DESOUPAPE</v>
          </cell>
          <cell r="C7897" t="str">
            <v>ARMSTRONG    PLAN D45723 REP A22366</v>
          </cell>
          <cell r="D7897" t="str">
            <v>PE</v>
          </cell>
          <cell r="E7897" t="str">
            <v>515.51511</v>
          </cell>
          <cell r="F7897">
            <v>0</v>
          </cell>
          <cell r="G7897">
            <v>0</v>
          </cell>
          <cell r="H7897">
            <v>1</v>
          </cell>
          <cell r="I7897">
            <v>0</v>
          </cell>
          <cell r="J7897">
            <v>0</v>
          </cell>
          <cell r="K7897">
            <v>0</v>
          </cell>
          <cell r="L7897">
            <v>0</v>
          </cell>
        </row>
        <row r="7898">
          <cell r="A7898" t="str">
            <v>20499.21063</v>
          </cell>
          <cell r="B7898" t="str">
            <v>JOINT DE CORPS</v>
          </cell>
          <cell r="C7898" t="str">
            <v>ARMSTRONG   PLAN D45723 REP A22337-1</v>
          </cell>
          <cell r="D7898" t="str">
            <v>PE</v>
          </cell>
          <cell r="E7898" t="str">
            <v>515.51511</v>
          </cell>
          <cell r="F7898"/>
          <cell r="G7898">
            <v>0</v>
          </cell>
          <cell r="H7898">
            <v>0</v>
          </cell>
          <cell r="I7898">
            <v>0</v>
          </cell>
          <cell r="J7898">
            <v>0</v>
          </cell>
          <cell r="K7898">
            <v>0</v>
          </cell>
          <cell r="L7898">
            <v>1</v>
          </cell>
        </row>
        <row r="7899">
          <cell r="A7899" t="str">
            <v>20499.21064</v>
          </cell>
          <cell r="B7899" t="str">
            <v>SOUPAPE DE RETENUE</v>
          </cell>
          <cell r="C7899" t="str">
            <v>ARMSTRONG   PLAN D45723 REP A556</v>
          </cell>
          <cell r="D7899" t="str">
            <v>PE</v>
          </cell>
          <cell r="E7899" t="str">
            <v>515.51511</v>
          </cell>
          <cell r="F7899"/>
          <cell r="G7899">
            <v>0</v>
          </cell>
          <cell r="H7899">
            <v>0</v>
          </cell>
          <cell r="I7899">
            <v>0</v>
          </cell>
          <cell r="J7899">
            <v>0</v>
          </cell>
          <cell r="K7899">
            <v>0</v>
          </cell>
          <cell r="L7899">
            <v>1</v>
          </cell>
        </row>
        <row r="7900">
          <cell r="A7900" t="str">
            <v>20499.21065</v>
          </cell>
          <cell r="B7900" t="str">
            <v>JOINT</v>
          </cell>
          <cell r="C7900" t="str">
            <v>ARMSTRONG   PLAN 19775 REP A21825-1</v>
          </cell>
          <cell r="D7900" t="str">
            <v>PE</v>
          </cell>
          <cell r="E7900" t="str">
            <v>515.51511</v>
          </cell>
          <cell r="F7900"/>
          <cell r="G7900">
            <v>0</v>
          </cell>
          <cell r="H7900">
            <v>0</v>
          </cell>
          <cell r="I7900">
            <v>0</v>
          </cell>
          <cell r="J7900">
            <v>0</v>
          </cell>
          <cell r="K7900">
            <v>0</v>
          </cell>
          <cell r="L7900">
            <v>15</v>
          </cell>
        </row>
        <row r="7901">
          <cell r="A7901" t="str">
            <v>20499.21066</v>
          </cell>
          <cell r="B7901" t="str">
            <v>PLAQUE D4E GUIDAGE</v>
          </cell>
          <cell r="C7901" t="str">
            <v>ARMSTRONG    PLAN 19775 REP A154-5</v>
          </cell>
          <cell r="D7901" t="str">
            <v>PE</v>
          </cell>
          <cell r="E7901" t="str">
            <v>515.51511</v>
          </cell>
          <cell r="F7901"/>
          <cell r="G7901">
            <v>0</v>
          </cell>
          <cell r="H7901">
            <v>0</v>
          </cell>
          <cell r="I7901">
            <v>0</v>
          </cell>
          <cell r="J7901">
            <v>0</v>
          </cell>
          <cell r="K7901">
            <v>0</v>
          </cell>
          <cell r="L7901">
            <v>15</v>
          </cell>
        </row>
        <row r="7902">
          <cell r="A7902" t="str">
            <v>20499.21067</v>
          </cell>
          <cell r="B7902" t="str">
            <v>VIS</v>
          </cell>
          <cell r="C7902" t="str">
            <v>ARMSTRONG   PLAN 19775 REP A393</v>
          </cell>
          <cell r="D7902" t="str">
            <v>PE</v>
          </cell>
          <cell r="E7902" t="str">
            <v>515.51511</v>
          </cell>
          <cell r="F7902"/>
          <cell r="G7902">
            <v>0</v>
          </cell>
          <cell r="H7902">
            <v>0</v>
          </cell>
          <cell r="I7902">
            <v>0</v>
          </cell>
          <cell r="J7902">
            <v>0</v>
          </cell>
          <cell r="K7902">
            <v>0</v>
          </cell>
          <cell r="L7902">
            <v>30</v>
          </cell>
        </row>
        <row r="7903">
          <cell r="A7903" t="str">
            <v>20499.21068</v>
          </cell>
          <cell r="B7903" t="str">
            <v>SOUPAPE</v>
          </cell>
          <cell r="C7903" t="str">
            <v>ARMSTRONG   PLAN 19775 REP A22866</v>
          </cell>
          <cell r="D7903" t="str">
            <v>PE</v>
          </cell>
          <cell r="E7903" t="str">
            <v>515.51511</v>
          </cell>
          <cell r="F7903"/>
          <cell r="G7903">
            <v>0</v>
          </cell>
          <cell r="H7903">
            <v>0</v>
          </cell>
          <cell r="I7903">
            <v>0</v>
          </cell>
          <cell r="J7903">
            <v>0</v>
          </cell>
          <cell r="K7903">
            <v>0</v>
          </cell>
          <cell r="L7903">
            <v>15</v>
          </cell>
        </row>
        <row r="7904">
          <cell r="A7904" t="str">
            <v>20499.21069</v>
          </cell>
          <cell r="B7904" t="str">
            <v>SIEGE</v>
          </cell>
          <cell r="C7904" t="str">
            <v>ARMSTRONG    PLAN 19775 REP A22867</v>
          </cell>
          <cell r="D7904" t="str">
            <v>PE</v>
          </cell>
          <cell r="E7904" t="str">
            <v>515.51511</v>
          </cell>
          <cell r="F7904"/>
          <cell r="G7904">
            <v>0</v>
          </cell>
          <cell r="H7904">
            <v>0</v>
          </cell>
          <cell r="I7904">
            <v>0</v>
          </cell>
          <cell r="J7904">
            <v>0</v>
          </cell>
          <cell r="K7904">
            <v>0</v>
          </cell>
          <cell r="L7904">
            <v>15</v>
          </cell>
        </row>
        <row r="7905">
          <cell r="A7905" t="str">
            <v>20499.21070</v>
          </cell>
          <cell r="B7905" t="str">
            <v>LEVIER</v>
          </cell>
          <cell r="C7905" t="str">
            <v>ARMSTRONG   PLAN 19775 REP A152-6</v>
          </cell>
          <cell r="D7905" t="str">
            <v>PE</v>
          </cell>
          <cell r="E7905" t="str">
            <v>515.51511</v>
          </cell>
          <cell r="F7905"/>
          <cell r="G7905">
            <v>0</v>
          </cell>
          <cell r="H7905">
            <v>0</v>
          </cell>
          <cell r="I7905">
            <v>0</v>
          </cell>
          <cell r="J7905">
            <v>0</v>
          </cell>
          <cell r="K7905">
            <v>0</v>
          </cell>
          <cell r="L7905">
            <v>15</v>
          </cell>
        </row>
        <row r="7906">
          <cell r="A7906" t="str">
            <v>20499.21071</v>
          </cell>
          <cell r="B7906" t="str">
            <v>SOUPAPE DE RETENUE</v>
          </cell>
          <cell r="C7906" t="str">
            <v>ARMSTRONG   PLAN 19775 REP A553</v>
          </cell>
          <cell r="D7906" t="str">
            <v>PE</v>
          </cell>
          <cell r="E7906" t="str">
            <v>515.51511</v>
          </cell>
          <cell r="F7906"/>
          <cell r="G7906">
            <v>0</v>
          </cell>
          <cell r="H7906">
            <v>0</v>
          </cell>
          <cell r="I7906">
            <v>0</v>
          </cell>
          <cell r="J7906">
            <v>0</v>
          </cell>
          <cell r="K7906">
            <v>0</v>
          </cell>
          <cell r="L7906">
            <v>15</v>
          </cell>
        </row>
        <row r="7907">
          <cell r="A7907" t="str">
            <v>20499.21072</v>
          </cell>
          <cell r="B7907" t="str">
            <v>CREPINE</v>
          </cell>
          <cell r="C7907" t="str">
            <v>ARMSTRONG   PLAN 19775 REP A1747E</v>
          </cell>
          <cell r="D7907" t="str">
            <v>PE</v>
          </cell>
          <cell r="E7907" t="str">
            <v>515.51511</v>
          </cell>
          <cell r="F7907"/>
          <cell r="G7907">
            <v>0</v>
          </cell>
          <cell r="H7907">
            <v>0</v>
          </cell>
          <cell r="I7907">
            <v>0</v>
          </cell>
          <cell r="J7907">
            <v>0</v>
          </cell>
          <cell r="K7907">
            <v>0</v>
          </cell>
          <cell r="L7907">
            <v>15</v>
          </cell>
        </row>
        <row r="7908">
          <cell r="A7908" t="str">
            <v>20499.21073</v>
          </cell>
          <cell r="B7908" t="str">
            <v>JOINT</v>
          </cell>
          <cell r="C7908" t="str">
            <v>ARMSTRONG   PLAN 19775 REP A4471B</v>
          </cell>
          <cell r="D7908" t="str">
            <v>PE</v>
          </cell>
          <cell r="E7908" t="str">
            <v>515.51511</v>
          </cell>
          <cell r="F7908"/>
          <cell r="G7908">
            <v>0</v>
          </cell>
          <cell r="H7908">
            <v>0</v>
          </cell>
          <cell r="I7908">
            <v>0</v>
          </cell>
          <cell r="J7908">
            <v>0</v>
          </cell>
          <cell r="K7908">
            <v>0</v>
          </cell>
          <cell r="L7908">
            <v>15</v>
          </cell>
        </row>
        <row r="7909">
          <cell r="A7909" t="str">
            <v>20499.21074</v>
          </cell>
          <cell r="B7909" t="str">
            <v>RETENUE DE CREPINE</v>
          </cell>
          <cell r="C7909" t="str">
            <v>ARMSTRONG   PLAN 19775 REP A3074G</v>
          </cell>
          <cell r="D7909" t="str">
            <v>PE</v>
          </cell>
          <cell r="E7909" t="str">
            <v>515.51511</v>
          </cell>
          <cell r="F7909"/>
          <cell r="G7909">
            <v>0</v>
          </cell>
          <cell r="H7909">
            <v>0</v>
          </cell>
          <cell r="I7909">
            <v>0</v>
          </cell>
          <cell r="J7909">
            <v>0</v>
          </cell>
          <cell r="K7909">
            <v>0</v>
          </cell>
          <cell r="L7909">
            <v>15</v>
          </cell>
        </row>
        <row r="7910">
          <cell r="A7910" t="str">
            <v>20499.21075</v>
          </cell>
          <cell r="B7910" t="str">
            <v>RONDELLE RESSORT</v>
          </cell>
          <cell r="C7910" t="str">
            <v>ARMSTRONG   PLAN 19775 REP B5031</v>
          </cell>
          <cell r="D7910" t="str">
            <v>PE</v>
          </cell>
          <cell r="E7910" t="str">
            <v>515.51511</v>
          </cell>
          <cell r="F7910"/>
          <cell r="G7910">
            <v>0</v>
          </cell>
          <cell r="H7910">
            <v>0</v>
          </cell>
          <cell r="I7910">
            <v>0</v>
          </cell>
          <cell r="J7910">
            <v>0</v>
          </cell>
          <cell r="K7910">
            <v>0</v>
          </cell>
          <cell r="L7910">
            <v>120</v>
          </cell>
        </row>
        <row r="7911">
          <cell r="A7911" t="str">
            <v>20499.21076</v>
          </cell>
          <cell r="B7911" t="str">
            <v>BAGUE DE SOUPAPE</v>
          </cell>
          <cell r="C7911" t="str">
            <v>ARMSTRONG   PLAN 19775 REP D40783</v>
          </cell>
          <cell r="D7911" t="str">
            <v>PE</v>
          </cell>
          <cell r="E7911" t="str">
            <v>515.51511</v>
          </cell>
          <cell r="F7911"/>
          <cell r="G7911">
            <v>0</v>
          </cell>
          <cell r="H7911">
            <v>0</v>
          </cell>
          <cell r="I7911">
            <v>0</v>
          </cell>
          <cell r="J7911">
            <v>0</v>
          </cell>
          <cell r="K7911">
            <v>0</v>
          </cell>
          <cell r="L7911">
            <v>60</v>
          </cell>
        </row>
        <row r="7912">
          <cell r="A7912" t="str">
            <v>20499.21077</v>
          </cell>
          <cell r="B7912" t="str">
            <v>DOUIULLE</v>
          </cell>
          <cell r="C7912" t="str">
            <v>ARMSTRONG   PLAN 19775 REP B5019</v>
          </cell>
          <cell r="D7912" t="str">
            <v>PE</v>
          </cell>
          <cell r="E7912" t="str">
            <v>515.51511</v>
          </cell>
          <cell r="F7912"/>
          <cell r="G7912">
            <v>0</v>
          </cell>
          <cell r="H7912">
            <v>0</v>
          </cell>
          <cell r="I7912">
            <v>0</v>
          </cell>
          <cell r="J7912">
            <v>0</v>
          </cell>
          <cell r="K7912">
            <v>0</v>
          </cell>
          <cell r="L7912">
            <v>30</v>
          </cell>
        </row>
        <row r="7913">
          <cell r="A7913" t="str">
            <v>20499.21078</v>
          </cell>
          <cell r="B7913" t="str">
            <v>RONDELLE</v>
          </cell>
          <cell r="C7913" t="str">
            <v>ARMSTRONG   PLAN 19775 REP B2029</v>
          </cell>
          <cell r="D7913" t="str">
            <v>PE</v>
          </cell>
          <cell r="E7913" t="str">
            <v>515.51511</v>
          </cell>
          <cell r="F7913"/>
          <cell r="G7913">
            <v>0</v>
          </cell>
          <cell r="H7913">
            <v>0</v>
          </cell>
          <cell r="I7913">
            <v>0</v>
          </cell>
          <cell r="J7913">
            <v>0</v>
          </cell>
          <cell r="K7913">
            <v>0</v>
          </cell>
          <cell r="L7913">
            <v>30</v>
          </cell>
        </row>
        <row r="7914">
          <cell r="A7914" t="str">
            <v>10065.00238</v>
          </cell>
          <cell r="B7914" t="str">
            <v>FIL EN TITANIUM DIAM 3,43MM</v>
          </cell>
          <cell r="C7914" t="str">
            <v>FIL EN TITANIUM AISI 321 DIN 1,4541 DIAMETRE 3,43MM TEMPERATURE DE SERVICE 870°C EN BOBINE DE 100METRECERTIFICAT MATIERE OBLIGATOIRE A LA LIVRAISON</v>
          </cell>
          <cell r="D7914" t="str">
            <v>M</v>
          </cell>
          <cell r="E7914" t="str">
            <v>522.52203</v>
          </cell>
          <cell r="F7914">
            <v>15.464499999999999</v>
          </cell>
          <cell r="G7914">
            <v>0</v>
          </cell>
          <cell r="H7914">
            <v>0</v>
          </cell>
          <cell r="I7914">
            <v>0</v>
          </cell>
          <cell r="J7914">
            <v>0</v>
          </cell>
          <cell r="K7914">
            <v>0</v>
          </cell>
          <cell r="L7914">
            <v>0</v>
          </cell>
        </row>
        <row r="7915">
          <cell r="A7915" t="str">
            <v>20492.14038</v>
          </cell>
          <cell r="B7915" t="str">
            <v>BUSE DE PULVERISATION</v>
          </cell>
          <cell r="C7915" t="str">
            <v>BETE NF200 1/2 30° EN INOX 904L</v>
          </cell>
          <cell r="D7915" t="str">
            <v>PE</v>
          </cell>
          <cell r="E7915" t="str">
            <v>515.51502</v>
          </cell>
          <cell r="F7915">
            <v>1300</v>
          </cell>
          <cell r="G7915">
            <v>0</v>
          </cell>
          <cell r="H7915">
            <v>0</v>
          </cell>
          <cell r="I7915">
            <v>0</v>
          </cell>
          <cell r="J7915">
            <v>0</v>
          </cell>
          <cell r="K7915">
            <v>0</v>
          </cell>
          <cell r="L7915">
            <v>20</v>
          </cell>
        </row>
        <row r="7916">
          <cell r="A7916" t="str">
            <v>20499.21079</v>
          </cell>
          <cell r="B7916" t="str">
            <v>VANNE A PASSAGE DIRECT</v>
          </cell>
          <cell r="C7916" t="str">
            <v xml:space="preserve">FLOWSERVE SERIE  373 DN 1" BRIDEE CLASSE 600 CORPS EN A105 TIGE ET COIN 13% CR SIEGE HF RATING 1480 </v>
          </cell>
          <cell r="D7916" t="str">
            <v>PE</v>
          </cell>
          <cell r="E7916" t="str">
            <v>515.51511</v>
          </cell>
          <cell r="F7916">
            <v>0</v>
          </cell>
          <cell r="G7916">
            <v>0</v>
          </cell>
          <cell r="H7916">
            <v>0</v>
          </cell>
          <cell r="I7916">
            <v>0</v>
          </cell>
          <cell r="J7916">
            <v>2</v>
          </cell>
          <cell r="K7916">
            <v>0</v>
          </cell>
          <cell r="L7916">
            <v>0</v>
          </cell>
        </row>
        <row r="7917">
          <cell r="A7917" t="str">
            <v>20499.21080</v>
          </cell>
          <cell r="B7917" t="str">
            <v>VANNE A PASSAGE DIRECT</v>
          </cell>
          <cell r="C7917" t="str">
            <v xml:space="preserve">FLOWSERVE SERIE  373 DN 2" BRIDEE CLASSE 600 CORPS EN A105 TIGE ET COIN 13% CR SIEGE HF RATING 1480 </v>
          </cell>
          <cell r="D7917" t="str">
            <v>PE</v>
          </cell>
          <cell r="E7917" t="str">
            <v>515.51511</v>
          </cell>
          <cell r="F7917">
            <v>0</v>
          </cell>
          <cell r="G7917">
            <v>1</v>
          </cell>
          <cell r="H7917">
            <v>0</v>
          </cell>
          <cell r="I7917">
            <v>0</v>
          </cell>
          <cell r="J7917">
            <v>1</v>
          </cell>
          <cell r="K7917">
            <v>0</v>
          </cell>
          <cell r="L7917">
            <v>0</v>
          </cell>
        </row>
        <row r="7918">
          <cell r="A7918" t="str">
            <v>20325.08424</v>
          </cell>
          <cell r="B7918" t="str">
            <v>ROULEMENT</v>
          </cell>
          <cell r="C7918" t="str">
            <v>22208 EA W33</v>
          </cell>
          <cell r="D7918" t="str">
            <v>PE</v>
          </cell>
          <cell r="E7918" t="str">
            <v>515.51515</v>
          </cell>
          <cell r="F7918">
            <v>182</v>
          </cell>
          <cell r="G7918">
            <v>0</v>
          </cell>
          <cell r="H7918">
            <v>0</v>
          </cell>
          <cell r="I7918">
            <v>0</v>
          </cell>
          <cell r="J7918">
            <v>0</v>
          </cell>
          <cell r="K7918">
            <v>0</v>
          </cell>
          <cell r="L7918">
            <v>0</v>
          </cell>
        </row>
        <row r="7919">
          <cell r="A7919" t="str">
            <v>20492.30396</v>
          </cell>
          <cell r="B7919" t="str">
            <v>SUPPORT D'ADAPTATION AVEC SERVO XOMOX</v>
          </cell>
          <cell r="C7919" t="str">
            <v>ABB 319605</v>
          </cell>
          <cell r="D7919" t="str">
            <v>PE</v>
          </cell>
          <cell r="E7919" t="str">
            <v>512.51201</v>
          </cell>
          <cell r="F7919">
            <v>1139.47</v>
          </cell>
          <cell r="G7919">
            <v>0</v>
          </cell>
          <cell r="H7919">
            <v>6</v>
          </cell>
          <cell r="I7919">
            <v>0</v>
          </cell>
          <cell r="J7919">
            <v>0</v>
          </cell>
          <cell r="K7919">
            <v>5</v>
          </cell>
          <cell r="L7919">
            <v>12</v>
          </cell>
        </row>
        <row r="7920">
          <cell r="A7920" t="str">
            <v>20492.30397</v>
          </cell>
          <cell r="B7920" t="str">
            <v>SYSTÈME DE TURBIDITE FORTES TENEURS</v>
          </cell>
          <cell r="C7920" t="str">
            <v>ABB 4670/413</v>
          </cell>
          <cell r="D7920" t="str">
            <v>PE</v>
          </cell>
          <cell r="E7920" t="str">
            <v>512.51201</v>
          </cell>
          <cell r="F7920">
            <v>26400</v>
          </cell>
          <cell r="G7920">
            <v>0</v>
          </cell>
          <cell r="H7920">
            <v>1</v>
          </cell>
          <cell r="I7920">
            <v>0</v>
          </cell>
          <cell r="J7920">
            <v>0</v>
          </cell>
          <cell r="K7920">
            <v>0</v>
          </cell>
          <cell r="L7920">
            <v>1</v>
          </cell>
        </row>
        <row r="7921">
          <cell r="A7921" t="str">
            <v>20710.00224</v>
          </cell>
          <cell r="B7921" t="str">
            <v>CAPTEUR DE DEBIT POUR MESURE D'AIR</v>
          </cell>
          <cell r="C7921" t="str">
            <v>V510-15-V-R-F815S AVEC SONDE LONG:2900MM</v>
          </cell>
          <cell r="D7921" t="str">
            <v>PE</v>
          </cell>
          <cell r="E7921" t="str">
            <v>522.52206</v>
          </cell>
          <cell r="F7921">
            <v>0</v>
          </cell>
          <cell r="G7921">
            <v>0</v>
          </cell>
          <cell r="H7921">
            <v>0</v>
          </cell>
          <cell r="I7921">
            <v>0</v>
          </cell>
          <cell r="J7921">
            <v>0</v>
          </cell>
          <cell r="K7921">
            <v>0</v>
          </cell>
          <cell r="L7921">
            <v>0</v>
          </cell>
        </row>
        <row r="7922">
          <cell r="A7922" t="str">
            <v>20498.21401</v>
          </cell>
          <cell r="B7922" t="str">
            <v>MICA TRANSPARENTE</v>
          </cell>
          <cell r="C7922" t="str">
            <v>CLARK-RELIANCE  P/INDICATEUR  FG1599 MICA TRANSPARENTE</v>
          </cell>
          <cell r="D7922" t="str">
            <v>PE</v>
          </cell>
          <cell r="E7922" t="str">
            <v>512.51201</v>
          </cell>
          <cell r="F7922">
            <v>0</v>
          </cell>
          <cell r="G7922">
            <v>0</v>
          </cell>
          <cell r="H7922">
            <v>0</v>
          </cell>
          <cell r="I7922">
            <v>0</v>
          </cell>
          <cell r="J7922">
            <v>0</v>
          </cell>
          <cell r="K7922">
            <v>10</v>
          </cell>
          <cell r="L7922">
            <v>48</v>
          </cell>
        </row>
        <row r="7923">
          <cell r="A7923" t="str">
            <v>20499.21081</v>
          </cell>
          <cell r="B7923" t="str">
            <v>VANNE A GUILLOTINE</v>
          </cell>
          <cell r="C7923" t="str">
            <v>CLARKSON TYPE KGD DN250 A INSERER ENTRE BRIDES PERCEES SUIVANT ASME B16.5/150LBS CORPS EN 316L OBTURATEUR EN 904L MANCHETTES EN EPDM COMMANDE PAR  REDUCTEUR MANUEL TYPE BG</v>
          </cell>
          <cell r="D7923" t="str">
            <v>PE</v>
          </cell>
          <cell r="E7923" t="str">
            <v>515.51511</v>
          </cell>
          <cell r="F7923">
            <v>0</v>
          </cell>
          <cell r="G7923">
            <v>0</v>
          </cell>
          <cell r="H7923">
            <v>5</v>
          </cell>
          <cell r="I7923">
            <v>0</v>
          </cell>
          <cell r="J7923">
            <v>0</v>
          </cell>
          <cell r="K7923">
            <v>0</v>
          </cell>
          <cell r="L7923">
            <v>0</v>
          </cell>
        </row>
        <row r="7924">
          <cell r="A7924" t="str">
            <v>20499.21082</v>
          </cell>
          <cell r="B7924" t="str">
            <v>JEU DE DEUX MANCHON EN EPDM</v>
          </cell>
          <cell r="C7924" t="str">
            <v>CLARKSON REP B P/VANNE A GUILLOTINE CORPS EN 316L OBTURATEUR EN 904L MANCHETTES EN EPDM  : DESTINATION  :  ACIDE PHOSPHORIQUE  TYPE KGD DN250</v>
          </cell>
          <cell r="D7924" t="str">
            <v>PE</v>
          </cell>
          <cell r="E7924" t="str">
            <v>515.51511</v>
          </cell>
          <cell r="F7924"/>
          <cell r="G7924">
            <v>0</v>
          </cell>
          <cell r="H7924">
            <v>0</v>
          </cell>
          <cell r="I7924">
            <v>0</v>
          </cell>
          <cell r="J7924">
            <v>0</v>
          </cell>
          <cell r="K7924">
            <v>0</v>
          </cell>
          <cell r="L7924">
            <v>6</v>
          </cell>
        </row>
        <row r="7925">
          <cell r="A7925" t="str">
            <v>20499.21083</v>
          </cell>
          <cell r="B7925" t="str">
            <v>REDUCTEUR</v>
          </cell>
          <cell r="C7925" t="str">
            <v>CLARKSON REP P P/VANNE A GUILLOTINE CORPS EN 316L OBTURATEUR EN 904L MANCHETTES EN EPDM  : DESTINATION  :  ACIDE PHOSPHORIQUE  TYPE KGD DN250</v>
          </cell>
          <cell r="D7925" t="str">
            <v>PE</v>
          </cell>
          <cell r="E7925" t="str">
            <v>515.51511</v>
          </cell>
          <cell r="F7925"/>
          <cell r="G7925">
            <v>0</v>
          </cell>
          <cell r="H7925">
            <v>0</v>
          </cell>
          <cell r="I7925">
            <v>0</v>
          </cell>
          <cell r="J7925">
            <v>0</v>
          </cell>
          <cell r="K7925">
            <v>0</v>
          </cell>
          <cell r="L7925">
            <v>1</v>
          </cell>
        </row>
        <row r="7926">
          <cell r="A7926" t="str">
            <v>20499.21084</v>
          </cell>
          <cell r="B7926" t="str">
            <v>JOINT D'ETANCHEITE</v>
          </cell>
          <cell r="C7926" t="str">
            <v>CLARKSON REP G P/VANNE A GUILLOTINE CORPS EN 316L OBTURATEUR EN 904L MANCHETTES EN EPDM  : DESTINATION  :  ACIDE PHOSPHORIQUE  TYPE KGD DN250</v>
          </cell>
          <cell r="D7926" t="str">
            <v>PE</v>
          </cell>
          <cell r="E7926" t="str">
            <v>515.51511</v>
          </cell>
          <cell r="F7926"/>
          <cell r="G7926">
            <v>0</v>
          </cell>
          <cell r="H7926">
            <v>0</v>
          </cell>
          <cell r="I7926">
            <v>0</v>
          </cell>
          <cell r="J7926">
            <v>0</v>
          </cell>
          <cell r="K7926">
            <v>0</v>
          </cell>
          <cell r="L7926">
            <v>6</v>
          </cell>
        </row>
        <row r="7927">
          <cell r="A7927" t="str">
            <v>20499.21085</v>
          </cell>
          <cell r="B7927" t="str">
            <v>GARNITURE DE CORPS</v>
          </cell>
          <cell r="C7927" t="str">
            <v>CLARKSON REP X P/VANNE A GUILLOTINE CORPS EN 316L OBTURATEUR EN 904L MANCHETTES EN EPDM  : DESTINATION  :  ACIDE PHOSPHORIQUE   TYPE KGD DN250</v>
          </cell>
          <cell r="D7927" t="str">
            <v>PE</v>
          </cell>
          <cell r="E7927" t="str">
            <v>515.51511</v>
          </cell>
          <cell r="F7927"/>
          <cell r="G7927">
            <v>0</v>
          </cell>
          <cell r="H7927">
            <v>0</v>
          </cell>
          <cell r="I7927">
            <v>0</v>
          </cell>
          <cell r="J7927">
            <v>0</v>
          </cell>
          <cell r="K7927">
            <v>0</v>
          </cell>
          <cell r="L7927">
            <v>6</v>
          </cell>
        </row>
        <row r="7928">
          <cell r="A7928" t="str">
            <v>20499.21086</v>
          </cell>
          <cell r="B7928" t="str">
            <v>VANNE A GUILLOTINE</v>
          </cell>
          <cell r="C7928" t="str">
            <v>CLARKSON TYPE KGD DN100 A INSERER ENTRE BRIDES PERCEES SUIVANT ASME B16.5/150LBS CORPS EN FONTE DUCTILE OBTURATEUR EN 316L MANCHETTES EN EPDM COMMANDE PAR  REDUCTEUR MANUEL TYPE BG</v>
          </cell>
          <cell r="D7928" t="str">
            <v>PE</v>
          </cell>
          <cell r="E7928" t="str">
            <v>515.51511</v>
          </cell>
          <cell r="F7928">
            <v>9138.11</v>
          </cell>
          <cell r="G7928">
            <v>0</v>
          </cell>
          <cell r="H7928">
            <v>4</v>
          </cell>
          <cell r="I7928">
            <v>0</v>
          </cell>
          <cell r="J7928">
            <v>1</v>
          </cell>
          <cell r="K7928">
            <v>0</v>
          </cell>
          <cell r="L7928">
            <v>0</v>
          </cell>
        </row>
        <row r="7929">
          <cell r="A7929" t="str">
            <v>20499.21087</v>
          </cell>
          <cell r="B7929" t="str">
            <v>JEU DE DEUX MANCHON EN EPDM</v>
          </cell>
          <cell r="C7929" t="str">
            <v>CLARKSON REP B P/VANNE A GUILLOTINE TYPE KGD DN100</v>
          </cell>
          <cell r="D7929" t="str">
            <v>PE</v>
          </cell>
          <cell r="E7929" t="str">
            <v>515.51511</v>
          </cell>
          <cell r="F7929"/>
          <cell r="G7929">
            <v>0</v>
          </cell>
          <cell r="H7929">
            <v>0</v>
          </cell>
          <cell r="I7929">
            <v>0</v>
          </cell>
          <cell r="J7929">
            <v>0</v>
          </cell>
          <cell r="K7929">
            <v>0</v>
          </cell>
          <cell r="L7929">
            <v>2</v>
          </cell>
        </row>
        <row r="7930">
          <cell r="A7930" t="str">
            <v>20499.21088</v>
          </cell>
          <cell r="B7930" t="str">
            <v>REDUCTEUR</v>
          </cell>
          <cell r="C7930" t="str">
            <v>CLARKSON REP P P/VANNE A GUILLOTINE TYPE KGD DN100</v>
          </cell>
          <cell r="D7930" t="str">
            <v>PE</v>
          </cell>
          <cell r="E7930" t="str">
            <v>515.51511</v>
          </cell>
          <cell r="F7930"/>
          <cell r="G7930">
            <v>0</v>
          </cell>
          <cell r="H7930">
            <v>0</v>
          </cell>
          <cell r="I7930">
            <v>0</v>
          </cell>
          <cell r="J7930">
            <v>0</v>
          </cell>
          <cell r="K7930">
            <v>0</v>
          </cell>
          <cell r="L7930">
            <v>2</v>
          </cell>
        </row>
        <row r="7931">
          <cell r="A7931" t="str">
            <v>20499.21089</v>
          </cell>
          <cell r="B7931" t="str">
            <v>JOINT D'ETANCHEITE</v>
          </cell>
          <cell r="C7931" t="str">
            <v>CLARKSON REP G P/VANNE A GUILLOTINE TYPE KGD DN100</v>
          </cell>
          <cell r="D7931" t="str">
            <v>PE</v>
          </cell>
          <cell r="E7931" t="str">
            <v>515.51511</v>
          </cell>
          <cell r="F7931">
            <v>0</v>
          </cell>
          <cell r="G7931">
            <v>0</v>
          </cell>
          <cell r="H7931">
            <v>2</v>
          </cell>
          <cell r="I7931">
            <v>0</v>
          </cell>
          <cell r="J7931">
            <v>0</v>
          </cell>
          <cell r="K7931">
            <v>0</v>
          </cell>
          <cell r="L7931">
            <v>0</v>
          </cell>
        </row>
        <row r="7932">
          <cell r="A7932" t="str">
            <v>20499.21090</v>
          </cell>
          <cell r="B7932" t="str">
            <v>GARNITURE DE CORPS</v>
          </cell>
          <cell r="C7932" t="str">
            <v>CLARKSON REP X P/VANNE A GUILLOTINE TYPE KGD DN100</v>
          </cell>
          <cell r="D7932" t="str">
            <v>PE</v>
          </cell>
          <cell r="E7932" t="str">
            <v>515.51511</v>
          </cell>
          <cell r="F7932"/>
          <cell r="G7932">
            <v>0</v>
          </cell>
          <cell r="H7932">
            <v>0</v>
          </cell>
          <cell r="I7932">
            <v>0</v>
          </cell>
          <cell r="J7932">
            <v>0</v>
          </cell>
          <cell r="K7932">
            <v>0</v>
          </cell>
          <cell r="L7932">
            <v>2</v>
          </cell>
        </row>
        <row r="7933">
          <cell r="A7933" t="str">
            <v>20499.21091</v>
          </cell>
          <cell r="B7933" t="str">
            <v>VANNE A GUILLOTINE</v>
          </cell>
          <cell r="C7933" t="str">
            <v>CLARKSON TYPE KGD DN150 A INSERER ENTRE BRIDES PERCEES SUIVANT ASME B16.5/150LBS CORPS EN FONTE DUCTILE OBTURATEUR EN 316L MANCHETTES EN EPDM COMMANDE PAR  REDUCTEUR MANUEL TYPE BG</v>
          </cell>
          <cell r="D7933" t="str">
            <v>PE</v>
          </cell>
          <cell r="E7933" t="str">
            <v>515.51511</v>
          </cell>
          <cell r="F7933">
            <v>0</v>
          </cell>
          <cell r="G7933">
            <v>0</v>
          </cell>
          <cell r="H7933">
            <v>4</v>
          </cell>
          <cell r="I7933">
            <v>1</v>
          </cell>
          <cell r="J7933">
            <v>0</v>
          </cell>
          <cell r="K7933">
            <v>2</v>
          </cell>
          <cell r="L7933">
            <v>0</v>
          </cell>
        </row>
        <row r="7934">
          <cell r="A7934" t="str">
            <v>20499.21092</v>
          </cell>
          <cell r="B7934" t="str">
            <v>JEU DE DEUX MANCHON EN EPDM</v>
          </cell>
          <cell r="C7934" t="str">
            <v>CLARKSON REP B P/VANNE A GUILLOTINE TYPE KGD DN150</v>
          </cell>
          <cell r="D7934" t="str">
            <v>PE</v>
          </cell>
          <cell r="E7934" t="str">
            <v>515.51511</v>
          </cell>
          <cell r="F7934"/>
          <cell r="G7934">
            <v>0</v>
          </cell>
          <cell r="H7934">
            <v>0</v>
          </cell>
          <cell r="I7934">
            <v>0</v>
          </cell>
          <cell r="J7934">
            <v>0</v>
          </cell>
          <cell r="K7934">
            <v>0</v>
          </cell>
          <cell r="L7934">
            <v>6</v>
          </cell>
        </row>
        <row r="7935">
          <cell r="A7935" t="str">
            <v>20499.21093</v>
          </cell>
          <cell r="B7935" t="str">
            <v>REDUCTEUR</v>
          </cell>
          <cell r="C7935" t="str">
            <v>CLARKSON REP P P/VANNE A GUILLOTINE TYPE KGD DN150</v>
          </cell>
          <cell r="D7935" t="str">
            <v>PE</v>
          </cell>
          <cell r="E7935" t="str">
            <v>515.51511</v>
          </cell>
          <cell r="F7935"/>
          <cell r="G7935">
            <v>0</v>
          </cell>
          <cell r="H7935">
            <v>0</v>
          </cell>
          <cell r="I7935">
            <v>0</v>
          </cell>
          <cell r="J7935">
            <v>0</v>
          </cell>
          <cell r="K7935">
            <v>0</v>
          </cell>
          <cell r="L7935">
            <v>1</v>
          </cell>
        </row>
        <row r="7936">
          <cell r="A7936" t="str">
            <v>20499.21094</v>
          </cell>
          <cell r="B7936" t="str">
            <v>JOINT D'ETANCHEITE</v>
          </cell>
          <cell r="C7936" t="str">
            <v>CLARKSON REP G P/VANNE A GUILLOTINE TYPE KGD DN150</v>
          </cell>
          <cell r="D7936" t="str">
            <v>PE</v>
          </cell>
          <cell r="E7936" t="str">
            <v>515.51511</v>
          </cell>
          <cell r="F7936"/>
          <cell r="G7936">
            <v>0</v>
          </cell>
          <cell r="H7936">
            <v>0</v>
          </cell>
          <cell r="I7936">
            <v>0</v>
          </cell>
          <cell r="J7936">
            <v>0</v>
          </cell>
          <cell r="K7936">
            <v>0</v>
          </cell>
          <cell r="L7936">
            <v>6</v>
          </cell>
        </row>
        <row r="7937">
          <cell r="A7937" t="str">
            <v>20499.21095</v>
          </cell>
          <cell r="B7937" t="str">
            <v>GARNITURE DE CORPS</v>
          </cell>
          <cell r="C7937" t="str">
            <v>CLARKSON REP X P/VANNE A GUILLOTINE TYPE KGD DN150</v>
          </cell>
          <cell r="D7937" t="str">
            <v>PE</v>
          </cell>
          <cell r="E7937" t="str">
            <v>515.51511</v>
          </cell>
          <cell r="F7937"/>
          <cell r="G7937">
            <v>0</v>
          </cell>
          <cell r="H7937">
            <v>0</v>
          </cell>
          <cell r="I7937">
            <v>0</v>
          </cell>
          <cell r="J7937">
            <v>0</v>
          </cell>
          <cell r="K7937">
            <v>0</v>
          </cell>
          <cell r="L7937">
            <v>6</v>
          </cell>
        </row>
        <row r="7938">
          <cell r="A7938" t="str">
            <v>20499.21096</v>
          </cell>
          <cell r="B7938" t="str">
            <v>VANNE A GUILLOTINE</v>
          </cell>
          <cell r="C7938" t="str">
            <v>CLARKSON TYPE KGD DN200 A INSERER ENTRE BRIDES PERCEES SUIVANT ASME B16.5/150LBS CORPS EN FONTE DUCTILE OBTURATEUR EN 316L MANCHETTES EN EPDM COMMANDE PAR  REDUCTEUR MANUEL TYPE BG</v>
          </cell>
          <cell r="D7938" t="str">
            <v>PE</v>
          </cell>
          <cell r="E7938" t="str">
            <v>515.51511</v>
          </cell>
          <cell r="F7938">
            <v>0</v>
          </cell>
          <cell r="G7938">
            <v>0</v>
          </cell>
          <cell r="H7938">
            <v>2</v>
          </cell>
          <cell r="I7938">
            <v>0</v>
          </cell>
          <cell r="J7938">
            <v>0</v>
          </cell>
          <cell r="K7938">
            <v>6</v>
          </cell>
          <cell r="L7938">
            <v>0</v>
          </cell>
        </row>
        <row r="7939">
          <cell r="A7939" t="str">
            <v>20499.21097</v>
          </cell>
          <cell r="B7939" t="str">
            <v>JEU DE DEUX MANCHON EN EPDM</v>
          </cell>
          <cell r="C7939" t="str">
            <v>CLARKSON REP B P/VANNE A GUILLOTINE TYPE KGD DN200</v>
          </cell>
          <cell r="D7939" t="str">
            <v>PE</v>
          </cell>
          <cell r="E7939" t="str">
            <v>515.51511</v>
          </cell>
          <cell r="F7939"/>
          <cell r="G7939">
            <v>0</v>
          </cell>
          <cell r="H7939">
            <v>0</v>
          </cell>
          <cell r="I7939">
            <v>0</v>
          </cell>
          <cell r="J7939">
            <v>0</v>
          </cell>
          <cell r="K7939">
            <v>0</v>
          </cell>
          <cell r="L7939">
            <v>8</v>
          </cell>
        </row>
        <row r="7940">
          <cell r="A7940" t="str">
            <v>20499.21098</v>
          </cell>
          <cell r="B7940" t="str">
            <v>REDUCTEUR</v>
          </cell>
          <cell r="C7940" t="str">
            <v>CLARKSON REP P P/VANNE A GUILLOTINE TYPE KGD DN200</v>
          </cell>
          <cell r="D7940" t="str">
            <v>PE</v>
          </cell>
          <cell r="E7940" t="str">
            <v>515.51511</v>
          </cell>
          <cell r="F7940"/>
          <cell r="G7940">
            <v>0</v>
          </cell>
          <cell r="H7940">
            <v>0</v>
          </cell>
          <cell r="I7940">
            <v>0</v>
          </cell>
          <cell r="J7940">
            <v>0</v>
          </cell>
          <cell r="K7940">
            <v>0</v>
          </cell>
          <cell r="L7940">
            <v>1</v>
          </cell>
        </row>
        <row r="7941">
          <cell r="A7941" t="str">
            <v>20499.21099</v>
          </cell>
          <cell r="B7941" t="str">
            <v>JOINT D'ETANCHEITE</v>
          </cell>
          <cell r="C7941" t="str">
            <v>CLARKSON REP G P/VANNE A GUILLOTINE TYPE KGD DN200</v>
          </cell>
          <cell r="D7941" t="str">
            <v>PE</v>
          </cell>
          <cell r="E7941" t="str">
            <v>515.51511</v>
          </cell>
          <cell r="F7941"/>
          <cell r="G7941">
            <v>0</v>
          </cell>
          <cell r="H7941">
            <v>0</v>
          </cell>
          <cell r="I7941">
            <v>0</v>
          </cell>
          <cell r="J7941">
            <v>0</v>
          </cell>
          <cell r="K7941">
            <v>0</v>
          </cell>
          <cell r="L7941">
            <v>8</v>
          </cell>
        </row>
        <row r="7942">
          <cell r="A7942" t="str">
            <v>20499.21100</v>
          </cell>
          <cell r="B7942" t="str">
            <v>GARNITURE DE CORPS</v>
          </cell>
          <cell r="C7942" t="str">
            <v>CLARKSON REP X P/VANNE A GUILLOTINE TYPE KGD DN200</v>
          </cell>
          <cell r="D7942" t="str">
            <v>PE</v>
          </cell>
          <cell r="E7942" t="str">
            <v>515.51511</v>
          </cell>
          <cell r="F7942"/>
          <cell r="G7942">
            <v>0</v>
          </cell>
          <cell r="H7942">
            <v>0</v>
          </cell>
          <cell r="I7942">
            <v>0</v>
          </cell>
          <cell r="J7942">
            <v>0</v>
          </cell>
          <cell r="K7942">
            <v>0</v>
          </cell>
          <cell r="L7942">
            <v>8</v>
          </cell>
        </row>
        <row r="7943">
          <cell r="A7943" t="str">
            <v>20499.21101</v>
          </cell>
          <cell r="B7943" t="str">
            <v>VANNE A GUILLOTINE</v>
          </cell>
          <cell r="C7943" t="str">
            <v>CLARKSON TYPE KGD DN250 A INSERER ENTRE BRIDES PERCEES SUIVANT ASME B16.5/150LBS CORPS EN FONTE DUCTILE OBTURATEUR EN 316L MANCHETTES EN EPDM COMMANDE PAR  REDUCTEUR MANUEL TYPE BG</v>
          </cell>
          <cell r="D7943" t="str">
            <v>PE</v>
          </cell>
          <cell r="E7943" t="str">
            <v>515.51511</v>
          </cell>
          <cell r="F7943">
            <v>0</v>
          </cell>
          <cell r="G7943">
            <v>0</v>
          </cell>
          <cell r="H7943">
            <v>0</v>
          </cell>
          <cell r="I7943">
            <v>0</v>
          </cell>
          <cell r="J7943">
            <v>0</v>
          </cell>
          <cell r="K7943">
            <v>0</v>
          </cell>
          <cell r="L7943">
            <v>0</v>
          </cell>
        </row>
        <row r="7944">
          <cell r="A7944" t="str">
            <v>20499.21102</v>
          </cell>
          <cell r="B7944" t="str">
            <v>JEU DE DEUX MANCHON EN EPDM</v>
          </cell>
          <cell r="C7944" t="str">
            <v>CLARKSON REP B P/VANNE A GUILLOTINE CORPS EN FONTE DUCTILE OBTURATEUR EN 316L MANCHETTES EN EPDM: DESTINATION PULPE DE PHOSPHATE  TYPE KGD DN250</v>
          </cell>
          <cell r="D7944" t="str">
            <v>PE</v>
          </cell>
          <cell r="E7944" t="str">
            <v>515.51511</v>
          </cell>
          <cell r="F7944"/>
          <cell r="G7944">
            <v>0</v>
          </cell>
          <cell r="H7944">
            <v>0</v>
          </cell>
          <cell r="I7944">
            <v>0</v>
          </cell>
          <cell r="J7944">
            <v>0</v>
          </cell>
          <cell r="K7944">
            <v>0</v>
          </cell>
          <cell r="L7944">
            <v>2</v>
          </cell>
        </row>
        <row r="7945">
          <cell r="A7945" t="str">
            <v>20499.21103</v>
          </cell>
          <cell r="B7945" t="str">
            <v>REDUCTEUR</v>
          </cell>
          <cell r="C7945" t="str">
            <v>CLARKSON REP P P/VANNE A GUILLOTINE CORPS EN FONTE DUCTILE OBTURATEUR EN 316L MANCHETTES EN EPDM: DESTINATION PULPE DE PHOSPHATE TYPE KGD DN250</v>
          </cell>
          <cell r="D7945" t="str">
            <v>PE</v>
          </cell>
          <cell r="E7945" t="str">
            <v>515.51511</v>
          </cell>
          <cell r="F7945"/>
          <cell r="G7945">
            <v>0</v>
          </cell>
          <cell r="H7945">
            <v>0</v>
          </cell>
          <cell r="I7945">
            <v>0</v>
          </cell>
          <cell r="J7945">
            <v>0</v>
          </cell>
          <cell r="K7945">
            <v>0</v>
          </cell>
          <cell r="L7945">
            <v>1</v>
          </cell>
        </row>
        <row r="7946">
          <cell r="A7946" t="str">
            <v>20499.21104</v>
          </cell>
          <cell r="B7946" t="str">
            <v>JOINT D'ETANCHEITE</v>
          </cell>
          <cell r="C7946" t="str">
            <v>CLARKSON REP G P/VANNE A GUILLOTINE CORPS EN FONTE DUCTILE OBTURATEUR EN 316L MANCHETTES EN EPDM: DESTINATION PULPE DE PHOSPHATE  TYPE KGD DN250</v>
          </cell>
          <cell r="D7946" t="str">
            <v>PE</v>
          </cell>
          <cell r="E7946" t="str">
            <v>515.51511</v>
          </cell>
          <cell r="F7946"/>
          <cell r="G7946">
            <v>0</v>
          </cell>
          <cell r="H7946">
            <v>0</v>
          </cell>
          <cell r="I7946">
            <v>0</v>
          </cell>
          <cell r="J7946">
            <v>0</v>
          </cell>
          <cell r="K7946">
            <v>0</v>
          </cell>
          <cell r="L7946">
            <v>2</v>
          </cell>
        </row>
        <row r="7947">
          <cell r="A7947" t="str">
            <v>20499.21105</v>
          </cell>
          <cell r="B7947" t="str">
            <v>GARNITURE DE CORPS</v>
          </cell>
          <cell r="C7947" t="str">
            <v>CLARKSON REP X P/VANNE A GUILLOTINE CORPS EN FONTE DUCTILE OBTURATEUR EN 316L MANCHETTES EN EPDM: DESTINATION PULPE DE PHOSPHATE  TYPE KGD DN250</v>
          </cell>
          <cell r="D7947" t="str">
            <v>PE</v>
          </cell>
          <cell r="E7947" t="str">
            <v>515.51511</v>
          </cell>
          <cell r="F7947">
            <v>0</v>
          </cell>
          <cell r="G7947">
            <v>0</v>
          </cell>
          <cell r="H7947">
            <v>0</v>
          </cell>
          <cell r="I7947">
            <v>1</v>
          </cell>
          <cell r="J7947">
            <v>0</v>
          </cell>
          <cell r="K7947">
            <v>0</v>
          </cell>
          <cell r="L7947">
            <v>1</v>
          </cell>
        </row>
        <row r="7948">
          <cell r="A7948" t="str">
            <v>20499.21106</v>
          </cell>
          <cell r="B7948" t="str">
            <v>VANNE A GUILLOTINE</v>
          </cell>
          <cell r="C7948" t="str">
            <v>CLARKSON TYPE KGD DN300 A INSERER ENTRE BRIDES PERCEES SUIVAN ASME B16.5/150LBS CORPS EN FONTE DUCTILE OBTURATEUR EN 316L MANCHETTES EN EPDM COMMANDE PAR  REDUCTEUR MANUEL TYPE BG</v>
          </cell>
          <cell r="D7948" t="str">
            <v>PE</v>
          </cell>
          <cell r="E7948" t="str">
            <v>515.51511</v>
          </cell>
          <cell r="F7948">
            <v>0</v>
          </cell>
          <cell r="G7948">
            <v>0</v>
          </cell>
          <cell r="H7948">
            <v>1</v>
          </cell>
          <cell r="I7948">
            <v>0</v>
          </cell>
          <cell r="J7948">
            <v>0</v>
          </cell>
          <cell r="K7948">
            <v>1</v>
          </cell>
          <cell r="L7948">
            <v>0</v>
          </cell>
        </row>
        <row r="7949">
          <cell r="A7949" t="str">
            <v>20499.21107</v>
          </cell>
          <cell r="B7949" t="str">
            <v>JEU DE DEUX MANCHON EN EPDM</v>
          </cell>
          <cell r="C7949" t="str">
            <v>CLARKSON REP B P/VANNE A GUILLOTINE TYPE KGD DN300</v>
          </cell>
          <cell r="D7949" t="str">
            <v>PE</v>
          </cell>
          <cell r="E7949" t="str">
            <v>515.51511</v>
          </cell>
          <cell r="F7949"/>
          <cell r="G7949">
            <v>0</v>
          </cell>
          <cell r="H7949">
            <v>0</v>
          </cell>
          <cell r="I7949">
            <v>0</v>
          </cell>
          <cell r="J7949">
            <v>0</v>
          </cell>
          <cell r="K7949">
            <v>0</v>
          </cell>
          <cell r="L7949">
            <v>2</v>
          </cell>
        </row>
        <row r="7950">
          <cell r="A7950" t="str">
            <v>20499.21108</v>
          </cell>
          <cell r="B7950" t="str">
            <v>REDUCTEUR</v>
          </cell>
          <cell r="C7950" t="str">
            <v>CLARKSON REP P P/VANNE A GUILLOTINE TYPE KGD DN300</v>
          </cell>
          <cell r="D7950" t="str">
            <v>PE</v>
          </cell>
          <cell r="E7950" t="str">
            <v>515.51511</v>
          </cell>
          <cell r="F7950"/>
          <cell r="G7950">
            <v>0</v>
          </cell>
          <cell r="H7950">
            <v>0</v>
          </cell>
          <cell r="I7950">
            <v>0</v>
          </cell>
          <cell r="J7950">
            <v>0</v>
          </cell>
          <cell r="K7950">
            <v>0</v>
          </cell>
          <cell r="L7950">
            <v>1</v>
          </cell>
        </row>
        <row r="7951">
          <cell r="A7951" t="str">
            <v>20499.21109</v>
          </cell>
          <cell r="B7951" t="str">
            <v>JOINT D'ETANCHEITE</v>
          </cell>
          <cell r="C7951" t="str">
            <v>CLARKSON REP G P/VANNE A GUILLOTINE TYPE KGD DN300</v>
          </cell>
          <cell r="D7951" t="str">
            <v>PE</v>
          </cell>
          <cell r="E7951" t="str">
            <v>515.51511</v>
          </cell>
          <cell r="F7951"/>
          <cell r="G7951">
            <v>0</v>
          </cell>
          <cell r="H7951">
            <v>0</v>
          </cell>
          <cell r="I7951">
            <v>0</v>
          </cell>
          <cell r="J7951">
            <v>0</v>
          </cell>
          <cell r="K7951">
            <v>0</v>
          </cell>
          <cell r="L7951">
            <v>2</v>
          </cell>
        </row>
        <row r="7952">
          <cell r="A7952" t="str">
            <v>20499.21110</v>
          </cell>
          <cell r="B7952" t="str">
            <v>GARNITURE DE CORPS</v>
          </cell>
          <cell r="C7952" t="str">
            <v>CLARKSON REP X P/VANNE A GUILLOTINE TYPE KGD DN300</v>
          </cell>
          <cell r="D7952" t="str">
            <v>PE</v>
          </cell>
          <cell r="E7952" t="str">
            <v>515.51511</v>
          </cell>
          <cell r="F7952"/>
          <cell r="G7952">
            <v>0</v>
          </cell>
          <cell r="H7952">
            <v>0</v>
          </cell>
          <cell r="I7952">
            <v>0</v>
          </cell>
          <cell r="J7952">
            <v>0</v>
          </cell>
          <cell r="K7952">
            <v>0</v>
          </cell>
          <cell r="L7952">
            <v>2</v>
          </cell>
        </row>
        <row r="7953">
          <cell r="A7953" t="str">
            <v>20492.14148</v>
          </cell>
          <cell r="B7953" t="str">
            <v>JOINT</v>
          </cell>
          <cell r="C7953" t="str">
            <v>FOURE LAGADEC PLAN 060690-01 REV 4A REP68</v>
          </cell>
          <cell r="D7953" t="str">
            <v>PE</v>
          </cell>
          <cell r="E7953" t="str">
            <v>515.51509</v>
          </cell>
          <cell r="F7953">
            <v>0</v>
          </cell>
          <cell r="G7953">
            <v>0</v>
          </cell>
          <cell r="H7953">
            <v>0</v>
          </cell>
          <cell r="I7953">
            <v>0</v>
          </cell>
          <cell r="J7953">
            <v>1</v>
          </cell>
          <cell r="K7953">
            <v>0</v>
          </cell>
          <cell r="L7953">
            <v>1</v>
          </cell>
        </row>
        <row r="7954">
          <cell r="A7954" t="str">
            <v>20492.14149</v>
          </cell>
          <cell r="B7954" t="str">
            <v>JOINT</v>
          </cell>
          <cell r="C7954" t="str">
            <v>FOURE LAGADEC PLAN 060690-01 REV 4A REP69</v>
          </cell>
          <cell r="D7954" t="str">
            <v>PE</v>
          </cell>
          <cell r="E7954" t="str">
            <v>515.51509</v>
          </cell>
          <cell r="F7954">
            <v>0</v>
          </cell>
          <cell r="G7954">
            <v>0</v>
          </cell>
          <cell r="H7954">
            <v>0</v>
          </cell>
          <cell r="I7954">
            <v>0</v>
          </cell>
          <cell r="J7954">
            <v>1</v>
          </cell>
          <cell r="K7954">
            <v>0</v>
          </cell>
          <cell r="L7954">
            <v>1</v>
          </cell>
        </row>
        <row r="7955">
          <cell r="A7955" t="str">
            <v>20492.29000</v>
          </cell>
          <cell r="B7955" t="str">
            <v>CREPINE EN MATIERE ZECOR</v>
          </cell>
          <cell r="C7955" t="str">
            <v>MECS 532-144 P/TOUR FD01</v>
          </cell>
          <cell r="D7955" t="str">
            <v>PE</v>
          </cell>
          <cell r="E7955" t="str">
            <v>225.22502</v>
          </cell>
          <cell r="F7955">
            <v>18000</v>
          </cell>
          <cell r="G7955">
            <v>0</v>
          </cell>
          <cell r="H7955">
            <v>1</v>
          </cell>
          <cell r="I7955">
            <v>0</v>
          </cell>
          <cell r="J7955">
            <v>0</v>
          </cell>
          <cell r="K7955">
            <v>0</v>
          </cell>
          <cell r="L7955">
            <v>0</v>
          </cell>
        </row>
        <row r="7956">
          <cell r="A7956" t="str">
            <v>20492.29001</v>
          </cell>
          <cell r="B7956" t="str">
            <v>CREPINE EN MATIERE ZECOR</v>
          </cell>
          <cell r="C7956" t="str">
            <v>MECS 532-144 P/TOUR FD02</v>
          </cell>
          <cell r="D7956" t="str">
            <v>PE</v>
          </cell>
          <cell r="E7956" t="str">
            <v>225.22502</v>
          </cell>
          <cell r="F7956">
            <v>24000</v>
          </cell>
          <cell r="G7956">
            <v>0</v>
          </cell>
          <cell r="H7956">
            <v>1</v>
          </cell>
          <cell r="I7956">
            <v>0</v>
          </cell>
          <cell r="J7956">
            <v>0</v>
          </cell>
          <cell r="K7956">
            <v>0</v>
          </cell>
          <cell r="L7956">
            <v>0</v>
          </cell>
        </row>
        <row r="7957">
          <cell r="A7957" t="str">
            <v>20492.29002</v>
          </cell>
          <cell r="B7957" t="str">
            <v>CREPINE EN MATIERE ZECOR</v>
          </cell>
          <cell r="C7957" t="str">
            <v>MECS 532-144 P/TOUR FD03</v>
          </cell>
          <cell r="D7957" t="str">
            <v>PE</v>
          </cell>
          <cell r="E7957" t="str">
            <v>225.22502</v>
          </cell>
          <cell r="F7957">
            <v>18000</v>
          </cell>
          <cell r="G7957">
            <v>0</v>
          </cell>
          <cell r="H7957">
            <v>1</v>
          </cell>
          <cell r="I7957">
            <v>0</v>
          </cell>
          <cell r="J7957">
            <v>0</v>
          </cell>
          <cell r="K7957">
            <v>0</v>
          </cell>
          <cell r="L7957">
            <v>0</v>
          </cell>
        </row>
        <row r="7958">
          <cell r="A7958" t="str">
            <v>20492.29003</v>
          </cell>
          <cell r="B7958" t="str">
            <v>ANTI VORTEX</v>
          </cell>
          <cell r="C7958" t="str">
            <v>MECS PLAN 551-187 N°FD01-D-V P/MONDI SLEEVE N°FD01-D-S DN18" MATIERE ET ENCOMBREMENT SUIVANT DETAIL B</v>
          </cell>
          <cell r="D7958" t="str">
            <v>PE</v>
          </cell>
          <cell r="E7958" t="str">
            <v>225.22502</v>
          </cell>
          <cell r="F7958">
            <v>25600</v>
          </cell>
          <cell r="G7958">
            <v>0</v>
          </cell>
          <cell r="H7958">
            <v>0</v>
          </cell>
          <cell r="I7958">
            <v>0</v>
          </cell>
          <cell r="J7958">
            <v>0</v>
          </cell>
          <cell r="K7958">
            <v>0</v>
          </cell>
          <cell r="L7958">
            <v>1</v>
          </cell>
        </row>
        <row r="7959">
          <cell r="A7959" t="str">
            <v>20492.29004</v>
          </cell>
          <cell r="B7959" t="str">
            <v>ANTI VORTEX</v>
          </cell>
          <cell r="C7959" t="str">
            <v>MECS PLAN 551-187 N°FD02-D-V P/MONDI SLEEVE N°FD02-D-S DN24" MATIERE ET ENCOMBREMENT SUIVANT DETAIL B</v>
          </cell>
          <cell r="D7959" t="str">
            <v>PE</v>
          </cell>
          <cell r="E7959" t="str">
            <v>225.22502</v>
          </cell>
          <cell r="F7959">
            <v>35840</v>
          </cell>
          <cell r="G7959">
            <v>1</v>
          </cell>
          <cell r="H7959">
            <v>0</v>
          </cell>
          <cell r="I7959">
            <v>0</v>
          </cell>
          <cell r="J7959">
            <v>0</v>
          </cell>
          <cell r="K7959">
            <v>0</v>
          </cell>
          <cell r="L7959">
            <v>0</v>
          </cell>
        </row>
        <row r="7960">
          <cell r="A7960" t="str">
            <v>20492.29005</v>
          </cell>
          <cell r="B7960" t="str">
            <v>ANTI VORTEX</v>
          </cell>
          <cell r="C7960" t="str">
            <v>MECS PLAN 551-187 N°FD03-D-V P/MONDI SLEEVE N°FD03-D-S DN18" MATIERE ET ENCOMBREMENT SUIVANT DETAIL B</v>
          </cell>
          <cell r="D7960" t="str">
            <v>PE</v>
          </cell>
          <cell r="E7960" t="str">
            <v>225.22502</v>
          </cell>
          <cell r="F7960">
            <v>25600</v>
          </cell>
          <cell r="G7960">
            <v>0</v>
          </cell>
          <cell r="H7960">
            <v>0</v>
          </cell>
          <cell r="I7960">
            <v>0</v>
          </cell>
          <cell r="J7960">
            <v>0</v>
          </cell>
          <cell r="K7960">
            <v>0</v>
          </cell>
          <cell r="L7960">
            <v>1</v>
          </cell>
        </row>
        <row r="7961">
          <cell r="A7961" t="str">
            <v>20492.29008</v>
          </cell>
          <cell r="B7961" t="str">
            <v>MONDI SLEEVE</v>
          </cell>
          <cell r="C7961" t="str">
            <v>MECS PLAN 551-187 N°FD02-D-S DN24" MATIERE ET ENCOMBREMENT SUIVANT DETAIL B</v>
          </cell>
          <cell r="D7961" t="str">
            <v>PE</v>
          </cell>
          <cell r="E7961" t="str">
            <v>225.22502</v>
          </cell>
          <cell r="F7961">
            <v>158720</v>
          </cell>
          <cell r="G7961">
            <v>1</v>
          </cell>
          <cell r="H7961">
            <v>0</v>
          </cell>
          <cell r="I7961">
            <v>0</v>
          </cell>
          <cell r="J7961">
            <v>0</v>
          </cell>
          <cell r="K7961">
            <v>0</v>
          </cell>
          <cell r="L7961">
            <v>0</v>
          </cell>
        </row>
        <row r="7962">
          <cell r="A7962" t="str">
            <v>20492.14208</v>
          </cell>
          <cell r="B7962" t="str">
            <v>CLAPET SILENCIEUX</v>
          </cell>
          <cell r="C7962" t="str">
            <v>CRANE ENERGY TYPE NOZ-CHEK(NCS) REF:8NCS90SPF-630N DN8" CLASSE 900</v>
          </cell>
          <cell r="D7962" t="str">
            <v>PE</v>
          </cell>
          <cell r="E7962" t="str">
            <v>515.51511</v>
          </cell>
          <cell r="F7962">
            <v>127647.6014</v>
          </cell>
          <cell r="G7962">
            <v>0</v>
          </cell>
          <cell r="H7962">
            <v>0</v>
          </cell>
          <cell r="I7962">
            <v>0</v>
          </cell>
          <cell r="J7962">
            <v>0</v>
          </cell>
          <cell r="K7962">
            <v>0</v>
          </cell>
          <cell r="L7962">
            <v>1</v>
          </cell>
        </row>
        <row r="7963">
          <cell r="A7963" t="str">
            <v>20492.14209</v>
          </cell>
          <cell r="B7963" t="str">
            <v>KIT DE REVISION (ENSEMBLE RESSORT ET GOUPILLES+DISQUE+SIEGE POUR CLAPET)</v>
          </cell>
          <cell r="C7963" t="str">
            <v>CRANE ENERGY P/TYPE NOZ-CHEK(NCS) REF:8NCS90SPF-630N DN8" CLASSE 900</v>
          </cell>
          <cell r="D7963" t="str">
            <v>JE</v>
          </cell>
          <cell r="E7963" t="str">
            <v>515.51511</v>
          </cell>
          <cell r="F7963">
            <v>55412.566099999996</v>
          </cell>
          <cell r="G7963">
            <v>0</v>
          </cell>
          <cell r="H7963">
            <v>0</v>
          </cell>
          <cell r="I7963">
            <v>0</v>
          </cell>
          <cell r="J7963">
            <v>0</v>
          </cell>
          <cell r="K7963">
            <v>0</v>
          </cell>
          <cell r="L7963">
            <v>1</v>
          </cell>
        </row>
        <row r="7964">
          <cell r="A7964" t="str">
            <v>20498.21402</v>
          </cell>
          <cell r="B7964" t="str">
            <v>VOYANT</v>
          </cell>
          <cell r="C7964" t="str">
            <v xml:space="preserve">JACOBY-TARBOX   MODEL 608-FA   DN 2''   CORPS EN HALLOY-20 VERRE EN T-BORO JOINT EN GY-3545 TEMP MAX 260°PRESSION MAX15BARMONTAGE VERTICALE AVEC BRIDES   CLASSE150 RF ASME B16.5 FLUIDE ACIDE SULFURIQUE A 97% ET 99% </v>
          </cell>
          <cell r="D7964" t="str">
            <v>PE</v>
          </cell>
          <cell r="E7964" t="str">
            <v>512.51201</v>
          </cell>
          <cell r="F7964">
            <v>0</v>
          </cell>
          <cell r="G7964">
            <v>0</v>
          </cell>
          <cell r="H7964">
            <v>0</v>
          </cell>
          <cell r="I7964">
            <v>0</v>
          </cell>
          <cell r="J7964">
            <v>0</v>
          </cell>
          <cell r="K7964">
            <v>0</v>
          </cell>
          <cell r="L7964">
            <v>0</v>
          </cell>
        </row>
        <row r="7965">
          <cell r="A7965" t="str">
            <v>20498.21403</v>
          </cell>
          <cell r="B7965" t="str">
            <v>VOYANT</v>
          </cell>
          <cell r="C7965" t="str">
            <v xml:space="preserve">JACOBY-TARBOX   MODEL 608-FA  DN 3''   CORPS EN HALLOY-20 VERRE EN T-BORO JOINT EN GY-3545 TEMP MAX 260°PRESSION MAX15BARMONTAGE VERTICALE AVEC BRIDES   CLASSE150 RF ASME B16.5 FLUIDE ACIDE SULFURIQUE A 97% ET 99% </v>
          </cell>
          <cell r="D7965" t="str">
            <v>PE</v>
          </cell>
          <cell r="E7965" t="str">
            <v>512.51201</v>
          </cell>
          <cell r="F7965">
            <v>0</v>
          </cell>
          <cell r="G7965">
            <v>0</v>
          </cell>
          <cell r="H7965">
            <v>0</v>
          </cell>
          <cell r="I7965">
            <v>0</v>
          </cell>
          <cell r="J7965">
            <v>0</v>
          </cell>
          <cell r="K7965">
            <v>0</v>
          </cell>
          <cell r="L7965">
            <v>0</v>
          </cell>
        </row>
        <row r="7966">
          <cell r="A7966" t="str">
            <v>10019.10234</v>
          </cell>
          <cell r="B7966" t="str">
            <v>TRESSE CARRE 25 MM</v>
          </cell>
          <cell r="C7966" t="str">
            <v>TRESSE CARRE  25 MM   LATTY FLON 4789   TEMPERATURE : -200°C + 275 °CPRESSION : 10MPa ( 100 BARS )VITESSE : &lt; 20 m/sPH : 2-12</v>
          </cell>
          <cell r="D7966" t="str">
            <v>KG</v>
          </cell>
          <cell r="E7966" t="str">
            <v>522.52207</v>
          </cell>
          <cell r="F7966">
            <v>1802.62</v>
          </cell>
          <cell r="G7966">
            <v>0</v>
          </cell>
          <cell r="H7966">
            <v>0</v>
          </cell>
          <cell r="I7966">
            <v>0</v>
          </cell>
          <cell r="J7966">
            <v>8</v>
          </cell>
          <cell r="K7966">
            <v>8</v>
          </cell>
          <cell r="L7966">
            <v>0</v>
          </cell>
        </row>
        <row r="7967">
          <cell r="A7967" t="str">
            <v>20211.21119</v>
          </cell>
          <cell r="B7967" t="str">
            <v>RELAIS</v>
          </cell>
          <cell r="C7967" t="str">
            <v>6SE7021-8EB61-Z</v>
          </cell>
          <cell r="D7967" t="str">
            <v>PE</v>
          </cell>
          <cell r="E7967" t="str">
            <v>512.51201</v>
          </cell>
          <cell r="F7967">
            <v>0</v>
          </cell>
          <cell r="G7967">
            <v>0</v>
          </cell>
          <cell r="H7967">
            <v>0</v>
          </cell>
          <cell r="I7967">
            <v>0</v>
          </cell>
          <cell r="J7967">
            <v>0</v>
          </cell>
          <cell r="K7967">
            <v>1</v>
          </cell>
          <cell r="L7967">
            <v>0</v>
          </cell>
        </row>
        <row r="7968">
          <cell r="A7968" t="str">
            <v>20211.21120</v>
          </cell>
          <cell r="B7968" t="str">
            <v>MASTERDRIVE</v>
          </cell>
          <cell r="C7968" t="str">
            <v>6SE7021-6CS87-2DA1</v>
          </cell>
          <cell r="D7968" t="str">
            <v>PE</v>
          </cell>
          <cell r="E7968" t="str">
            <v>512.51201</v>
          </cell>
          <cell r="F7968"/>
          <cell r="G7968">
            <v>0</v>
          </cell>
          <cell r="H7968">
            <v>0</v>
          </cell>
          <cell r="I7968">
            <v>0</v>
          </cell>
          <cell r="J7968">
            <v>0</v>
          </cell>
          <cell r="K7968">
            <v>0</v>
          </cell>
          <cell r="L7968">
            <v>1</v>
          </cell>
        </row>
        <row r="7969">
          <cell r="A7969" t="str">
            <v>20211.21121</v>
          </cell>
          <cell r="B7969" t="str">
            <v>CABLE DE PROGRAMMATION</v>
          </cell>
          <cell r="C7969" t="str">
            <v>6ED1057-1AA00-OBA0</v>
          </cell>
          <cell r="D7969" t="str">
            <v>PE</v>
          </cell>
          <cell r="E7969" t="str">
            <v>512.51201</v>
          </cell>
          <cell r="F7969"/>
          <cell r="G7969">
            <v>0</v>
          </cell>
          <cell r="H7969">
            <v>0</v>
          </cell>
          <cell r="I7969">
            <v>0</v>
          </cell>
          <cell r="J7969">
            <v>0</v>
          </cell>
          <cell r="K7969">
            <v>0</v>
          </cell>
          <cell r="L7969">
            <v>1</v>
          </cell>
        </row>
        <row r="7970">
          <cell r="A7970" t="str">
            <v>20211.21222</v>
          </cell>
          <cell r="B7970" t="str">
            <v>MODULE DE BASE</v>
          </cell>
          <cell r="C7970" t="str">
            <v>3UF7070-1AU00-0</v>
          </cell>
          <cell r="D7970" t="str">
            <v>PE</v>
          </cell>
          <cell r="E7970" t="str">
            <v>512.51201</v>
          </cell>
          <cell r="F7970"/>
          <cell r="G7970">
            <v>0</v>
          </cell>
          <cell r="H7970">
            <v>0</v>
          </cell>
          <cell r="I7970">
            <v>0</v>
          </cell>
          <cell r="J7970">
            <v>0</v>
          </cell>
          <cell r="K7970">
            <v>0</v>
          </cell>
          <cell r="L7970">
            <v>2</v>
          </cell>
        </row>
        <row r="7971">
          <cell r="A7971" t="str">
            <v>20211.21123</v>
          </cell>
          <cell r="B7971" t="str">
            <v>MODULE DE MESURE DE COURANT</v>
          </cell>
          <cell r="C7971" t="str">
            <v>3UF7111-1AA00-0</v>
          </cell>
          <cell r="D7971" t="str">
            <v>PE</v>
          </cell>
          <cell r="E7971" t="str">
            <v>512.51201</v>
          </cell>
          <cell r="F7971"/>
          <cell r="G7971">
            <v>0</v>
          </cell>
          <cell r="H7971">
            <v>0</v>
          </cell>
          <cell r="I7971">
            <v>0</v>
          </cell>
          <cell r="J7971">
            <v>0</v>
          </cell>
          <cell r="K7971">
            <v>0</v>
          </cell>
          <cell r="L7971">
            <v>2</v>
          </cell>
        </row>
        <row r="7972">
          <cell r="A7972" t="str">
            <v>20492.29040</v>
          </cell>
          <cell r="B7972" t="str">
            <v>JOINT DE DILATATION EJ-G1</v>
          </cell>
          <cell r="C7972" t="str">
            <v>WAHLCO METROFLEX PLAN N°10084-11278-1 REV 0</v>
          </cell>
          <cell r="D7972" t="str">
            <v>PE</v>
          </cell>
          <cell r="E7972" t="str">
            <v>522.52207</v>
          </cell>
          <cell r="F7972">
            <v>0</v>
          </cell>
          <cell r="G7972">
            <v>0</v>
          </cell>
          <cell r="H7972">
            <v>0</v>
          </cell>
          <cell r="I7972">
            <v>0</v>
          </cell>
          <cell r="J7972">
            <v>0</v>
          </cell>
          <cell r="K7972">
            <v>0</v>
          </cell>
          <cell r="L7972">
            <v>0</v>
          </cell>
        </row>
        <row r="7973">
          <cell r="A7973" t="str">
            <v>10067.02694</v>
          </cell>
          <cell r="B7973" t="str">
            <v>ROBINET A SOUPAPE DN40 PN250</v>
          </cell>
          <cell r="C7973" t="str">
            <v>ROBINET A SOUPAPE DN40 PN250 CORPS EN A182F11+STEL GR6 COUVERCLE EN A182F11 SOUPAPE ET SIEGE STEL GR6 PRESSE ETOUPE A TRESSE TIGE EN A 479 T410 CON3 BOULONNERIE EN A193 GR B7 ENCOMBREMENT ANSI B16,11 RACCORDEMENT SW TEMPERATURE 500°C PRESSION:60A 63 BARS  FLUIDE VEHICULE:VAPEUR SATUREE</v>
          </cell>
          <cell r="D7973" t="str">
            <v>PE</v>
          </cell>
          <cell r="E7973" t="str">
            <v>515.51511</v>
          </cell>
          <cell r="F7973">
            <v>1663</v>
          </cell>
          <cell r="G7973">
            <v>0</v>
          </cell>
          <cell r="H7973">
            <v>8</v>
          </cell>
          <cell r="I7973">
            <v>0</v>
          </cell>
          <cell r="J7973">
            <v>0</v>
          </cell>
          <cell r="K7973">
            <v>0</v>
          </cell>
          <cell r="L7973">
            <v>2</v>
          </cell>
        </row>
        <row r="7974">
          <cell r="A7974" t="str">
            <v>20438.01162</v>
          </cell>
          <cell r="B7974" t="str">
            <v>VANNE A PAPILLON PLIAXSEAL</v>
          </cell>
          <cell r="C7974" t="str">
            <v>TYPE 801.27.27.32.ST2.L.CE DN6" CLASSE 150 COMMANDE PAR LEVIER CRANTE</v>
          </cell>
          <cell r="D7974" t="str">
            <v>PE</v>
          </cell>
          <cell r="E7974" t="str">
            <v>515.51511</v>
          </cell>
          <cell r="F7974">
            <v>69139.424100000004</v>
          </cell>
          <cell r="G7974">
            <v>0</v>
          </cell>
          <cell r="H7974">
            <v>0</v>
          </cell>
          <cell r="I7974">
            <v>0</v>
          </cell>
          <cell r="J7974">
            <v>0</v>
          </cell>
          <cell r="K7974">
            <v>1</v>
          </cell>
          <cell r="L7974">
            <v>0</v>
          </cell>
        </row>
        <row r="7975">
          <cell r="A7975" t="str">
            <v>20438.01163</v>
          </cell>
          <cell r="B7975" t="str">
            <v>VANNE A PAPILLON PLIAXSEAL</v>
          </cell>
          <cell r="C7975" t="str">
            <v>TYPE 801.27.27.32.ST2.L.CE DN8" CLASSE 150 COMMANDE PAR REDUCTEUR</v>
          </cell>
          <cell r="D7975" t="str">
            <v>PE</v>
          </cell>
          <cell r="E7975" t="str">
            <v>515.51511</v>
          </cell>
          <cell r="F7975">
            <v>81506.632400000002</v>
          </cell>
          <cell r="G7975">
            <v>0</v>
          </cell>
          <cell r="H7975">
            <v>0</v>
          </cell>
          <cell r="I7975">
            <v>0</v>
          </cell>
          <cell r="J7975">
            <v>0</v>
          </cell>
          <cell r="K7975">
            <v>1</v>
          </cell>
          <cell r="L7975">
            <v>2</v>
          </cell>
        </row>
        <row r="7976">
          <cell r="A7976" t="str">
            <v>20438.01164</v>
          </cell>
          <cell r="B7976" t="str">
            <v>VANNE A PAPILLON PLIAXSEAL</v>
          </cell>
          <cell r="C7976" t="str">
            <v>TYPE 801.27.27.32.ST2.L.CE DN18" CLASSE 150 COMMANDE PAR REDUCTEUR</v>
          </cell>
          <cell r="D7976" t="str">
            <v>PE</v>
          </cell>
          <cell r="E7976" t="str">
            <v>515.51511</v>
          </cell>
          <cell r="F7976">
            <v>196805.1997</v>
          </cell>
          <cell r="G7976">
            <v>0</v>
          </cell>
          <cell r="H7976">
            <v>0</v>
          </cell>
          <cell r="I7976">
            <v>0</v>
          </cell>
          <cell r="J7976">
            <v>1</v>
          </cell>
          <cell r="K7976">
            <v>0</v>
          </cell>
          <cell r="L7976">
            <v>0</v>
          </cell>
        </row>
        <row r="7977">
          <cell r="A7977" t="str">
            <v>20438.01165</v>
          </cell>
          <cell r="B7977" t="str">
            <v>VANNE A PAPILLON REVETUE</v>
          </cell>
          <cell r="C7977" t="str">
            <v>TYPE 008G DN3" CLASSE 150 NUANCE:EN-JS1049/PFA COMMANDE PAR LEVIER CRANTE</v>
          </cell>
          <cell r="D7977" t="str">
            <v>PE</v>
          </cell>
          <cell r="E7977" t="str">
            <v>515.51511</v>
          </cell>
          <cell r="F7977">
            <v>5339.6332000000002</v>
          </cell>
          <cell r="G7977">
            <v>0</v>
          </cell>
          <cell r="H7977">
            <v>0</v>
          </cell>
          <cell r="I7977">
            <v>0</v>
          </cell>
          <cell r="J7977">
            <v>0</v>
          </cell>
          <cell r="K7977">
            <v>0</v>
          </cell>
          <cell r="L7977">
            <v>3</v>
          </cell>
        </row>
        <row r="7978">
          <cell r="A7978" t="str">
            <v>20438.01167</v>
          </cell>
          <cell r="B7978" t="str">
            <v>VANNE A PAPILLON REVETUE</v>
          </cell>
          <cell r="C7978" t="str">
            <v>TYPE 008G DN8" CLASSE 150 NUANCE:EN-JS1049/PFA COMMANDE PAR REDUCTEUR VERROUILLABLE</v>
          </cell>
          <cell r="D7978" t="str">
            <v>PE</v>
          </cell>
          <cell r="E7978" t="str">
            <v>515.51511</v>
          </cell>
          <cell r="F7978">
            <v>12587.854300000001</v>
          </cell>
          <cell r="G7978">
            <v>0</v>
          </cell>
          <cell r="H7978">
            <v>0</v>
          </cell>
          <cell r="I7978">
            <v>0</v>
          </cell>
          <cell r="J7978">
            <v>0</v>
          </cell>
          <cell r="K7978">
            <v>0</v>
          </cell>
          <cell r="L7978">
            <v>2</v>
          </cell>
        </row>
        <row r="7979">
          <cell r="A7979" t="str">
            <v>20438.01168</v>
          </cell>
          <cell r="B7979" t="str">
            <v>VANNE A PAPILLON REVETUE</v>
          </cell>
          <cell r="C7979" t="str">
            <v>TYPE 008G DN12" CLASSE 150 NUANCE:EN-JS1049/PFA COMMANDE PAR REDUCTEUR VERROUILLABLE</v>
          </cell>
          <cell r="D7979" t="str">
            <v>PE</v>
          </cell>
          <cell r="E7979" t="str">
            <v>515.51511</v>
          </cell>
          <cell r="F7979">
            <v>19571.300200000001</v>
          </cell>
          <cell r="G7979">
            <v>0</v>
          </cell>
          <cell r="H7979">
            <v>0</v>
          </cell>
          <cell r="I7979">
            <v>0</v>
          </cell>
          <cell r="J7979">
            <v>0</v>
          </cell>
          <cell r="K7979">
            <v>1</v>
          </cell>
          <cell r="L7979">
            <v>0</v>
          </cell>
        </row>
        <row r="7980">
          <cell r="A7980" t="str">
            <v>20438.01169</v>
          </cell>
          <cell r="B7980" t="str">
            <v>VANNE A PAPILLON REVETUE</v>
          </cell>
          <cell r="C7980" t="str">
            <v>TYPE 108 WAV DN16" CLASSE 150 (PERCAGES NON TARAUDES) NUANCE:GGG40.3/PTFE-PTFE COMMANDE PAR REDUCTEUR AVEC VEROUILLAGE</v>
          </cell>
          <cell r="D7980" t="str">
            <v>PE</v>
          </cell>
          <cell r="E7980" t="str">
            <v>515.51511</v>
          </cell>
          <cell r="F7980">
            <v>107609.0542</v>
          </cell>
          <cell r="G7980">
            <v>0</v>
          </cell>
          <cell r="H7980">
            <v>0</v>
          </cell>
          <cell r="I7980">
            <v>0</v>
          </cell>
          <cell r="J7980">
            <v>3</v>
          </cell>
          <cell r="K7980">
            <v>0</v>
          </cell>
          <cell r="L7980">
            <v>0</v>
          </cell>
        </row>
        <row r="7981">
          <cell r="A7981" t="str">
            <v>20438.01170</v>
          </cell>
          <cell r="B7981" t="str">
            <v>VANNE A PAPILLON REVETUE</v>
          </cell>
          <cell r="C7981" t="str">
            <v>TYPE 108 WAV DN18" CLASSE 150 (PERCAGES NON TARAUDES) NUANCE:GGG40.3/PTFE-PTFE COMMANDE PAR REDUCTEUR AVEC VEROUILLAGE</v>
          </cell>
          <cell r="D7981" t="str">
            <v>PE</v>
          </cell>
          <cell r="E7981" t="str">
            <v>515.51511</v>
          </cell>
          <cell r="F7981">
            <v>121928.97960000001</v>
          </cell>
          <cell r="G7981">
            <v>0</v>
          </cell>
          <cell r="H7981">
            <v>0</v>
          </cell>
          <cell r="I7981">
            <v>0</v>
          </cell>
          <cell r="J7981">
            <v>1</v>
          </cell>
          <cell r="K7981">
            <v>0</v>
          </cell>
          <cell r="L7981">
            <v>0</v>
          </cell>
        </row>
        <row r="7982">
          <cell r="A7982" t="str">
            <v>20438.01171</v>
          </cell>
          <cell r="B7982" t="str">
            <v>ROBINET A BOULES 2 VOIES</v>
          </cell>
          <cell r="C7982" t="str">
            <v>TYPE 240.70.100 ETE FULL BORE DN3/4" PN64 TARAUDE NPT CORPS ET BOULE EN 1.4408, SIEGE DE BOULE EN PTFE, TIGE DE MANŒUVRE ANTI-EJECTION</v>
          </cell>
          <cell r="D7982" t="str">
            <v>PE</v>
          </cell>
          <cell r="E7982" t="str">
            <v>515.51511</v>
          </cell>
          <cell r="F7982">
            <v>0</v>
          </cell>
          <cell r="G7982">
            <v>0</v>
          </cell>
          <cell r="H7982">
            <v>5</v>
          </cell>
          <cell r="I7982">
            <v>1</v>
          </cell>
          <cell r="J7982">
            <v>6</v>
          </cell>
          <cell r="K7982">
            <v>1</v>
          </cell>
          <cell r="L7982">
            <v>0</v>
          </cell>
        </row>
        <row r="7983">
          <cell r="A7983" t="str">
            <v>20438.01172</v>
          </cell>
          <cell r="B7983" t="str">
            <v>ROBINET A BOULES 2 VOIES</v>
          </cell>
          <cell r="C7983" t="str">
            <v>TYPE 240.70.100 ETE FULL BORE DN1" PN64 TARAUDE NPT CORPS ET BOULE EN 1.4408, SIEGE DE BOULE EN PTFE, TIGE DE MANŒUVRE ANTI-EJECTION</v>
          </cell>
          <cell r="D7983" t="str">
            <v>PE</v>
          </cell>
          <cell r="E7983" t="str">
            <v>515.51511</v>
          </cell>
          <cell r="F7983">
            <v>0</v>
          </cell>
          <cell r="G7983">
            <v>0</v>
          </cell>
          <cell r="H7983">
            <v>19</v>
          </cell>
          <cell r="I7983">
            <v>0</v>
          </cell>
          <cell r="J7983">
            <v>7</v>
          </cell>
          <cell r="K7983">
            <v>4</v>
          </cell>
          <cell r="L7983">
            <v>0</v>
          </cell>
        </row>
        <row r="7984">
          <cell r="A7984" t="str">
            <v>20438.01173</v>
          </cell>
          <cell r="B7984" t="str">
            <v>ROBINET A BOULES 2 VOIES</v>
          </cell>
          <cell r="C7984" t="str">
            <v>TYPE 240.70.100 ETE FULL BORE DN1"1/2 PN64 TARAUDE NPT CORPS ET BOULE EN 1.4408, SIEGE DE BOULE EN PTFE, TIGE DE MANŒUVRE ANTI-EJECTION</v>
          </cell>
          <cell r="D7984" t="str">
            <v>PE</v>
          </cell>
          <cell r="E7984" t="str">
            <v>515.51511</v>
          </cell>
          <cell r="F7984">
            <v>0</v>
          </cell>
          <cell r="G7984">
            <v>0</v>
          </cell>
          <cell r="H7984">
            <v>13</v>
          </cell>
          <cell r="I7984">
            <v>0</v>
          </cell>
          <cell r="J7984">
            <v>1</v>
          </cell>
          <cell r="K7984">
            <v>1</v>
          </cell>
          <cell r="L7984">
            <v>0</v>
          </cell>
        </row>
        <row r="7985">
          <cell r="A7985" t="str">
            <v>20438.01174</v>
          </cell>
          <cell r="B7985" t="str">
            <v>ROBINET A BOULES 2 VOIES</v>
          </cell>
          <cell r="C7985" t="str">
            <v>TYPE 240.70.100 ETE FULL BORE DN2" PN64 TARAUDE NPT CORPS ET BOULE EN 1.4408, SIEGE DE BOULE EN PTFE, TIGE DE MANŒUVRE ANTI-EJECTION</v>
          </cell>
          <cell r="D7985" t="str">
            <v>PE</v>
          </cell>
          <cell r="E7985" t="str">
            <v>515.51511</v>
          </cell>
          <cell r="F7985">
            <v>0</v>
          </cell>
          <cell r="G7985">
            <v>0</v>
          </cell>
          <cell r="H7985">
            <v>21</v>
          </cell>
          <cell r="I7985">
            <v>0</v>
          </cell>
          <cell r="J7985">
            <v>5</v>
          </cell>
          <cell r="K7985">
            <v>7</v>
          </cell>
          <cell r="L7985">
            <v>0</v>
          </cell>
        </row>
        <row r="7986">
          <cell r="A7986" t="str">
            <v>20438.01175</v>
          </cell>
          <cell r="B7986" t="str">
            <v>ROBINET A BOULES 2 VOIES</v>
          </cell>
          <cell r="C7986" t="str">
            <v>TYPE 240.70.400/100 ETE FULL BORE DN3/4" PN64 1 COTE EMBOUT TARAUDE 3/4" GAZ ET L'AUTRE BW RALLONGE CORPS ET BOULE EN 1.4408, SIEGE DE BOULE EN PTFE, TIGE DE MANŒUVRE ANTI-EJECTION</v>
          </cell>
          <cell r="D7986" t="str">
            <v>PE</v>
          </cell>
          <cell r="E7986" t="str">
            <v>515.51511</v>
          </cell>
          <cell r="F7986">
            <v>518.5181</v>
          </cell>
          <cell r="G7986">
            <v>0</v>
          </cell>
          <cell r="H7986">
            <v>0</v>
          </cell>
          <cell r="I7986">
            <v>0</v>
          </cell>
          <cell r="J7986">
            <v>0</v>
          </cell>
          <cell r="K7986">
            <v>0</v>
          </cell>
          <cell r="L7986">
            <v>4</v>
          </cell>
        </row>
        <row r="7987">
          <cell r="A7987" t="str">
            <v>20438.01177</v>
          </cell>
          <cell r="B7987" t="str">
            <v>ROBINET A BOULES 2 VOIES</v>
          </cell>
          <cell r="C7987" t="str">
            <v>TYPE 240.70.400 ETE FULL BORE DN20 PN64  EMBOUT BW CORPS ET BOULE EN 1.4408, SIEGE DE BOULE EN PTFE, TIGE DE MANŒUVRE ANTI-EJECTION</v>
          </cell>
          <cell r="D7987" t="str">
            <v>PE</v>
          </cell>
          <cell r="E7987" t="str">
            <v>515.51511</v>
          </cell>
          <cell r="F7987">
            <v>518.5181</v>
          </cell>
          <cell r="G7987">
            <v>0</v>
          </cell>
          <cell r="H7987">
            <v>0</v>
          </cell>
          <cell r="I7987">
            <v>0</v>
          </cell>
          <cell r="J7987">
            <v>0</v>
          </cell>
          <cell r="K7987">
            <v>0</v>
          </cell>
          <cell r="L7987">
            <v>3</v>
          </cell>
        </row>
        <row r="7988">
          <cell r="A7988" t="str">
            <v>20438.01178</v>
          </cell>
          <cell r="B7988" t="str">
            <v>CLAPET ANTI-RETOUR A BATTANT</v>
          </cell>
          <cell r="C7988" t="str">
            <v>DN1" BRIDES CLASSE 150 RF CORPS ET BATTANT EN CD4MCU PORTEE STELLITE METAL-METAL</v>
          </cell>
          <cell r="D7988" t="str">
            <v>PE</v>
          </cell>
          <cell r="E7988" t="str">
            <v>515.51511</v>
          </cell>
          <cell r="F7988">
            <v>6619.38</v>
          </cell>
          <cell r="G7988">
            <v>0</v>
          </cell>
          <cell r="H7988">
            <v>0</v>
          </cell>
          <cell r="I7988">
            <v>0</v>
          </cell>
          <cell r="J7988">
            <v>0</v>
          </cell>
          <cell r="K7988">
            <v>0</v>
          </cell>
          <cell r="L7988">
            <v>2</v>
          </cell>
        </row>
        <row r="7989">
          <cell r="A7989" t="str">
            <v>20438.01179</v>
          </cell>
          <cell r="B7989" t="str">
            <v>CLAPET A PISTON</v>
          </cell>
          <cell r="C7989" t="str">
            <v>3682 U DN1" CLASSE 800 SW CORPS COUVERCLE ET CLAPET EN F316 SIEGE 316 PORTEE HF</v>
          </cell>
          <cell r="D7989" t="str">
            <v>PE</v>
          </cell>
          <cell r="E7989" t="str">
            <v>515.51511</v>
          </cell>
          <cell r="F7989">
            <v>992.90700000000004</v>
          </cell>
          <cell r="G7989">
            <v>0</v>
          </cell>
          <cell r="H7989">
            <v>0</v>
          </cell>
          <cell r="I7989">
            <v>0</v>
          </cell>
          <cell r="J7989">
            <v>0</v>
          </cell>
          <cell r="K7989">
            <v>0</v>
          </cell>
          <cell r="L7989">
            <v>2</v>
          </cell>
        </row>
        <row r="7990">
          <cell r="A7990" t="str">
            <v>20438.01180</v>
          </cell>
          <cell r="B7990" t="str">
            <v>CLAPET A PISTON</v>
          </cell>
          <cell r="C7990" t="str">
            <v>3682 U DN1" 1/2  CLASSE 800 SW CORPS COUVERCLE ET CLAPET EN F316 SIEGE 316 PORTEE HF</v>
          </cell>
          <cell r="D7990" t="str">
            <v>PE</v>
          </cell>
          <cell r="E7990" t="str">
            <v>515.51511</v>
          </cell>
          <cell r="F7990">
            <v>1577.6188999999999</v>
          </cell>
          <cell r="G7990">
            <v>0</v>
          </cell>
          <cell r="H7990">
            <v>0</v>
          </cell>
          <cell r="I7990">
            <v>0</v>
          </cell>
          <cell r="J7990">
            <v>0</v>
          </cell>
          <cell r="K7990">
            <v>0</v>
          </cell>
          <cell r="L7990">
            <v>3</v>
          </cell>
        </row>
        <row r="7991">
          <cell r="A7991" t="str">
            <v>20438.01181</v>
          </cell>
          <cell r="B7991" t="str">
            <v>CLAPET A BATTANT SANDWICH</v>
          </cell>
          <cell r="C7991" t="str">
            <v>TYPE 908N DN150 PN10 EN UB6 PR, MONTAGE ENTRE BRIDE PN 10/16</v>
          </cell>
          <cell r="D7991" t="str">
            <v>PE</v>
          </cell>
          <cell r="E7991" t="str">
            <v>515.51511</v>
          </cell>
          <cell r="F7991">
            <v>8671.3878000000004</v>
          </cell>
          <cell r="G7991">
            <v>0</v>
          </cell>
          <cell r="H7991">
            <v>0</v>
          </cell>
          <cell r="I7991">
            <v>0</v>
          </cell>
          <cell r="J7991">
            <v>0</v>
          </cell>
          <cell r="K7991">
            <v>0</v>
          </cell>
          <cell r="L7991">
            <v>2</v>
          </cell>
        </row>
        <row r="7992">
          <cell r="A7992" t="str">
            <v>20438.01182</v>
          </cell>
          <cell r="B7992" t="str">
            <v>CLAPET ANTI-RETOUR DUO CHEK II A INSERER ENTRE BRIDES</v>
          </cell>
          <cell r="C7992" t="str">
            <v>DN3" CLASSE 150 RA 3.2-6.3 CORPS ET BATTANTS CF8M AVEC STELLITAGE SUR BATTANTS ET CORPS EN CONTACT METAL/METAL RESSORT EN INCONEL X750</v>
          </cell>
          <cell r="D7992" t="str">
            <v>PE</v>
          </cell>
          <cell r="E7992" t="str">
            <v>515.51511</v>
          </cell>
          <cell r="F7992">
            <v>2278</v>
          </cell>
          <cell r="G7992">
            <v>0</v>
          </cell>
          <cell r="H7992">
            <v>0</v>
          </cell>
          <cell r="I7992">
            <v>0</v>
          </cell>
          <cell r="J7992">
            <v>0</v>
          </cell>
          <cell r="K7992">
            <v>0</v>
          </cell>
          <cell r="L7992">
            <v>2</v>
          </cell>
        </row>
        <row r="7993">
          <cell r="A7993" t="str">
            <v>20438.01183</v>
          </cell>
          <cell r="B7993" t="str">
            <v>CLAPET ANTI-RETOUR DUO CHEK II A INSERER ENTRE BRIDES</v>
          </cell>
          <cell r="C7993" t="str">
            <v>DN6" CLASSE 150 RA 3.2-6.3 CORPS ET BATTANTS CF8M AVEC STELLITAGE SUR BATTANTS ET CORPS EN CONTACT METAL/METAL RESSORT EN INCONEL X750</v>
          </cell>
          <cell r="D7993" t="str">
            <v>PE</v>
          </cell>
          <cell r="E7993" t="str">
            <v>515.51511</v>
          </cell>
          <cell r="F7993">
            <v>5289</v>
          </cell>
          <cell r="G7993">
            <v>0</v>
          </cell>
          <cell r="H7993">
            <v>0</v>
          </cell>
          <cell r="I7993">
            <v>0</v>
          </cell>
          <cell r="J7993">
            <v>0</v>
          </cell>
          <cell r="K7993">
            <v>0</v>
          </cell>
          <cell r="L7993">
            <v>0</v>
          </cell>
        </row>
        <row r="7994">
          <cell r="A7994" t="str">
            <v>20438.01184</v>
          </cell>
          <cell r="B7994" t="str">
            <v>CLAPET ANTI-RETOUR DUO CHEK II A INSERER ENTRE BRIDES</v>
          </cell>
          <cell r="C7994" t="str">
            <v>DN8" CLASSE 150 RA 3.2-6.3 CORPS ET BATTANTS CF8M AVEC STELLITAGE SUR BATTANTS ET CORPS EN CONTACT METAL/METAL RESSORT EN INCONEL X750</v>
          </cell>
          <cell r="D7994" t="str">
            <v>PE</v>
          </cell>
          <cell r="E7994" t="str">
            <v>515.51511</v>
          </cell>
          <cell r="F7994">
            <v>8407</v>
          </cell>
          <cell r="G7994">
            <v>0</v>
          </cell>
          <cell r="H7994">
            <v>1</v>
          </cell>
          <cell r="I7994">
            <v>0</v>
          </cell>
          <cell r="J7994">
            <v>0</v>
          </cell>
          <cell r="K7994">
            <v>0</v>
          </cell>
          <cell r="L7994">
            <v>1</v>
          </cell>
        </row>
        <row r="7995">
          <cell r="A7995" t="str">
            <v>20438.01185</v>
          </cell>
          <cell r="B7995" t="str">
            <v>CLAPET A BOULE</v>
          </cell>
          <cell r="C7995" t="str">
            <v>TYPE 3672XU DN1" CLASSE 800 NPT COPRPS ET COUVERCLE EN 105 BOULE ET SIEGE EN 13% CR STELLITE</v>
          </cell>
          <cell r="D7995" t="str">
            <v>PE</v>
          </cell>
          <cell r="E7995" t="str">
            <v>515.51511</v>
          </cell>
          <cell r="F7995">
            <v>606.77650000000006</v>
          </cell>
          <cell r="G7995">
            <v>1</v>
          </cell>
          <cell r="H7995">
            <v>0</v>
          </cell>
          <cell r="I7995">
            <v>0</v>
          </cell>
          <cell r="J7995">
            <v>1</v>
          </cell>
          <cell r="K7995">
            <v>0</v>
          </cell>
          <cell r="L7995">
            <v>2</v>
          </cell>
        </row>
        <row r="7996">
          <cell r="A7996" t="str">
            <v>20438.01186</v>
          </cell>
          <cell r="B7996" t="str">
            <v>CLAPET DE RETENUE A BOULE PTFE 2 PIECES INTEGRALES</v>
          </cell>
          <cell r="C7996" t="str">
            <v>TYPE B202 DN1"CLASSE 150 EN GGG40.3/PFA</v>
          </cell>
          <cell r="D7996" t="str">
            <v>PE</v>
          </cell>
          <cell r="E7996" t="str">
            <v>515.51511</v>
          </cell>
          <cell r="F7996">
            <v>2691.8811999999998</v>
          </cell>
          <cell r="G7996">
            <v>0</v>
          </cell>
          <cell r="H7996">
            <v>0</v>
          </cell>
          <cell r="I7996">
            <v>0</v>
          </cell>
          <cell r="J7996">
            <v>0</v>
          </cell>
          <cell r="K7996">
            <v>0</v>
          </cell>
          <cell r="L7996">
            <v>1</v>
          </cell>
        </row>
        <row r="7997">
          <cell r="A7997" t="str">
            <v>20438.01187</v>
          </cell>
          <cell r="B7997" t="str">
            <v>CLAPET DE RETENUE A BOULE</v>
          </cell>
          <cell r="C7997" t="str">
            <v>TYPE C-202 DN15 BRIDES CLASSE 150 CORPS ET BRIDES EN GGG40.3 REVETEMENT INTERIEUR EN TEFLON (PFA) PISTON SIEGE ET BOULE EN TEFLON (PTFE) RESSORT EN 1.4310 AVEC PTFE VISSERIE EN A4</v>
          </cell>
          <cell r="D7997" t="str">
            <v>PE</v>
          </cell>
          <cell r="E7997" t="str">
            <v>515.51511</v>
          </cell>
          <cell r="F7997">
            <v>5185.1809999999996</v>
          </cell>
          <cell r="G7997">
            <v>0</v>
          </cell>
          <cell r="H7997">
            <v>0</v>
          </cell>
          <cell r="I7997">
            <v>0</v>
          </cell>
          <cell r="J7997">
            <v>0</v>
          </cell>
          <cell r="K7997">
            <v>0</v>
          </cell>
          <cell r="L7997">
            <v>1</v>
          </cell>
        </row>
        <row r="7998">
          <cell r="A7998" t="str">
            <v>20438.01188</v>
          </cell>
          <cell r="B7998" t="str">
            <v>CLAPET DE RETENUE A BOULE</v>
          </cell>
          <cell r="C7998" t="str">
            <v>TYPE C-202 DN20 BRIDES CLASSE 150 CORPS ET BRIDES EN GGG40.3 REVETEMENT INTERIEUR EN TEFLON (PFA) PISTON SIEGE ET BOULE EN TEFLON (PTFE) RESSORT EN 1.4310 AVEC PTFE VISSERIE EN A4</v>
          </cell>
          <cell r="D7998" t="str">
            <v>PE</v>
          </cell>
          <cell r="E7998" t="str">
            <v>515.51511</v>
          </cell>
          <cell r="F7998">
            <v>4236.4031999999997</v>
          </cell>
          <cell r="G7998">
            <v>0</v>
          </cell>
          <cell r="H7998">
            <v>0</v>
          </cell>
          <cell r="I7998">
            <v>0</v>
          </cell>
          <cell r="J7998">
            <v>0</v>
          </cell>
          <cell r="K7998">
            <v>0</v>
          </cell>
          <cell r="L7998">
            <v>1</v>
          </cell>
        </row>
        <row r="7999">
          <cell r="A7999" t="str">
            <v>20438.01189</v>
          </cell>
          <cell r="B7999" t="str">
            <v>CLAPET DE RETENUE A BOULE</v>
          </cell>
          <cell r="C7999" t="str">
            <v>TYPE C-202 DN40 BRIDES CLASSE 150 CORPS ET BRIDES EN GGG40.3 REVETEMENT INTERIEUR EN TEFLON (PFA) PISTON SIEGE ET BOULE EN TEFLON (PTFE) RESSORT EN 1.4310 AVEC PTFE VISSERIE EN A4</v>
          </cell>
          <cell r="D7999" t="str">
            <v>PE</v>
          </cell>
          <cell r="E7999" t="str">
            <v>515.51511</v>
          </cell>
          <cell r="F7999">
            <v>4479.1138000000001</v>
          </cell>
          <cell r="G7999">
            <v>0</v>
          </cell>
          <cell r="H7999">
            <v>0</v>
          </cell>
          <cell r="I7999">
            <v>0</v>
          </cell>
          <cell r="J7999">
            <v>1</v>
          </cell>
          <cell r="K7999">
            <v>3</v>
          </cell>
          <cell r="L7999">
            <v>0</v>
          </cell>
        </row>
        <row r="8000">
          <cell r="A8000" t="str">
            <v>20438.01190</v>
          </cell>
          <cell r="B8000" t="str">
            <v>CLAPET DE RETENUE A BOULE</v>
          </cell>
          <cell r="C8000" t="str">
            <v>TYPE C-202 DN50 BRIDES CLASSE 150 CORPS ET BRIDES EN GGG40.3 REVETEMENT INTERIEUR EN TEFLON (PFA) PISTON SIEGE ET BOULE EN TEFLON (PTFE) RESSORT EN 1.4310 AVEC PTFE VISSERIE EN A4</v>
          </cell>
          <cell r="D8000" t="str">
            <v>PE</v>
          </cell>
          <cell r="E8000" t="str">
            <v>515.51511</v>
          </cell>
          <cell r="F8000">
            <v>5251.3747999999996</v>
          </cell>
          <cell r="G8000">
            <v>0</v>
          </cell>
          <cell r="H8000">
            <v>0</v>
          </cell>
          <cell r="I8000">
            <v>0</v>
          </cell>
          <cell r="J8000">
            <v>0</v>
          </cell>
          <cell r="K8000">
            <v>0</v>
          </cell>
          <cell r="L8000">
            <v>1</v>
          </cell>
        </row>
        <row r="8001">
          <cell r="A8001" t="str">
            <v>20438.01191</v>
          </cell>
          <cell r="B8001" t="str">
            <v>ROBINET A PASSAGE DIRECT</v>
          </cell>
          <cell r="C8001" t="str">
            <v>TYPE 47XU DN3" CLASSE 150 CORPS ET CHAPEAU EN WCB-PED OPERCULE EN CA-15 (13% CHROME) SIEGE EN A105 STELLITE GARNITURE GRAPHITE</v>
          </cell>
          <cell r="D8001" t="str">
            <v>PE</v>
          </cell>
          <cell r="E8001" t="str">
            <v>515.51511</v>
          </cell>
          <cell r="F8001">
            <v>2253.0684999999999</v>
          </cell>
          <cell r="G8001">
            <v>0</v>
          </cell>
          <cell r="H8001">
            <v>1</v>
          </cell>
          <cell r="I8001">
            <v>0</v>
          </cell>
          <cell r="J8001">
            <v>1</v>
          </cell>
          <cell r="K8001">
            <v>0</v>
          </cell>
          <cell r="L8001">
            <v>1</v>
          </cell>
        </row>
        <row r="8002">
          <cell r="A8002" t="str">
            <v>20438.01192</v>
          </cell>
          <cell r="B8002" t="str">
            <v>ROBINET A PASSAGE DIRECT</v>
          </cell>
          <cell r="C8002" t="str">
            <v>TYPE 47XU DN6" CLASSE 150 CORPS ET CHAPEAU EN WCB-PED OPERCULE EN CA-15 (13% CHROME) SIEGE EN A105 STELLITE GARNITURE GRAPHITE</v>
          </cell>
          <cell r="D8002" t="str">
            <v>PE</v>
          </cell>
          <cell r="E8002" t="str">
            <v>515.51511</v>
          </cell>
          <cell r="F8002">
            <v>5230</v>
          </cell>
          <cell r="G8002">
            <v>0</v>
          </cell>
          <cell r="H8002">
            <v>0</v>
          </cell>
          <cell r="I8002">
            <v>0</v>
          </cell>
          <cell r="J8002">
            <v>1</v>
          </cell>
          <cell r="K8002">
            <v>1</v>
          </cell>
          <cell r="L8002">
            <v>4</v>
          </cell>
        </row>
        <row r="8003">
          <cell r="A8003" t="str">
            <v>20438.01194</v>
          </cell>
          <cell r="B8003" t="str">
            <v>ROBINET A PASSAGE DIRECT</v>
          </cell>
          <cell r="C8003" t="str">
            <v>TYPE 47XU DN10" CLASSE 150 CORPS ET CHAPEAU EN WCB-PED OPERCULE EN CA-15 (13% CHROME) SIEGE EN A105 STELLITE GARNITURE GRAPHITE</v>
          </cell>
          <cell r="D8003" t="str">
            <v>PE</v>
          </cell>
          <cell r="E8003" t="str">
            <v>515.51511</v>
          </cell>
          <cell r="F8003">
            <v>10083.522199999999</v>
          </cell>
          <cell r="G8003">
            <v>0</v>
          </cell>
          <cell r="H8003">
            <v>0</v>
          </cell>
          <cell r="I8003">
            <v>0</v>
          </cell>
          <cell r="J8003">
            <v>0</v>
          </cell>
          <cell r="K8003">
            <v>0</v>
          </cell>
          <cell r="L8003">
            <v>2</v>
          </cell>
        </row>
        <row r="8004">
          <cell r="A8004" t="str">
            <v>20438.01195</v>
          </cell>
          <cell r="B8004" t="str">
            <v>ROBINET A PASSAGE DIRECT</v>
          </cell>
          <cell r="C8004" t="str">
            <v>TYPE 47XU DN12" CLASSE 150 CORPS ET CHAPEAU EN WCB-PED OPERCULE EN CA-15 (13% CHROME) SIEGE EN A105 STELLITE GARNITURE GRAPHITE</v>
          </cell>
          <cell r="D8004" t="str">
            <v>PE</v>
          </cell>
          <cell r="E8004" t="str">
            <v>515.51511</v>
          </cell>
          <cell r="F8004">
            <v>14595.732900000001</v>
          </cell>
          <cell r="G8004">
            <v>0</v>
          </cell>
          <cell r="H8004">
            <v>0</v>
          </cell>
          <cell r="I8004">
            <v>0</v>
          </cell>
          <cell r="J8004">
            <v>0</v>
          </cell>
          <cell r="K8004">
            <v>0</v>
          </cell>
          <cell r="L8004">
            <v>0</v>
          </cell>
        </row>
        <row r="8005">
          <cell r="A8005" t="str">
            <v>20438.01196</v>
          </cell>
          <cell r="B8005" t="str">
            <v>ROBINET A PASSAGE DIRECT</v>
          </cell>
          <cell r="C8005" t="str">
            <v>TYPE 47XU DN14" CLASSE 150 CORPS ET CHAPEAU EN WCB-PED OPERCULE EN CA-15 (13% CHROME) SIEGE EN A105 STELLITE GARNITURE GRAPHITE</v>
          </cell>
          <cell r="D8005" t="str">
            <v>PE</v>
          </cell>
          <cell r="E8005" t="str">
            <v>515.51511</v>
          </cell>
          <cell r="F8005">
            <v>25120.5471</v>
          </cell>
          <cell r="G8005">
            <v>0</v>
          </cell>
          <cell r="H8005">
            <v>0</v>
          </cell>
          <cell r="I8005">
            <v>0</v>
          </cell>
          <cell r="J8005">
            <v>0</v>
          </cell>
          <cell r="K8005">
            <v>0</v>
          </cell>
          <cell r="L8005">
            <v>2</v>
          </cell>
        </row>
        <row r="8006">
          <cell r="A8006" t="str">
            <v>20438.01197</v>
          </cell>
          <cell r="B8006" t="str">
            <v>ROBINET A PASSAGE DIRECT</v>
          </cell>
          <cell r="C8006" t="str">
            <v>TYPE 815 DN1/2" BRIDES CLASSE 150 RF CORPS CHAPEAU ET OPERCULE EN CF8M SIEGE EN 316 GARNITURE EN GRAPHITE</v>
          </cell>
          <cell r="D8006" t="str">
            <v>PE</v>
          </cell>
          <cell r="E8006" t="str">
            <v>515.51511</v>
          </cell>
          <cell r="F8006">
            <v>1599.6835000000001</v>
          </cell>
          <cell r="G8006">
            <v>0</v>
          </cell>
          <cell r="H8006">
            <v>0</v>
          </cell>
          <cell r="I8006">
            <v>0</v>
          </cell>
          <cell r="J8006">
            <v>3</v>
          </cell>
          <cell r="K8006">
            <v>0</v>
          </cell>
          <cell r="L8006">
            <v>0</v>
          </cell>
        </row>
        <row r="8007">
          <cell r="A8007" t="str">
            <v>20438.01198</v>
          </cell>
          <cell r="B8007" t="str">
            <v>ROBINET A PASSAGE DIRECT</v>
          </cell>
          <cell r="C8007" t="str">
            <v>TYPE 815 DN1" BRIDES CLASSE 150 RF CORPS CHAPEAU ET OPERCULE EN CF8M SIEGE EN 316 GARNITURE EN GRAPHITE</v>
          </cell>
          <cell r="D8007" t="str">
            <v>PE</v>
          </cell>
          <cell r="E8007" t="str">
            <v>515.51511</v>
          </cell>
          <cell r="F8007">
            <v>2029.9431999999999</v>
          </cell>
          <cell r="G8007">
            <v>0</v>
          </cell>
          <cell r="H8007">
            <v>0</v>
          </cell>
          <cell r="I8007">
            <v>1</v>
          </cell>
          <cell r="J8007">
            <v>0</v>
          </cell>
          <cell r="K8007">
            <v>0</v>
          </cell>
          <cell r="L8007">
            <v>3</v>
          </cell>
        </row>
        <row r="8008">
          <cell r="A8008" t="str">
            <v>20438.01199</v>
          </cell>
          <cell r="B8008" t="str">
            <v>ROBINET A PASSAGE DIRECT</v>
          </cell>
          <cell r="C8008" t="str">
            <v>TYPE 47L DN10"CLASSE 150 CORPS CHAPEAU ET OPERCULE EN CF8M SIEGE EN INOX 316 GARNITURE EN GRAPHITE</v>
          </cell>
          <cell r="D8008" t="str">
            <v>PE</v>
          </cell>
          <cell r="E8008" t="str">
            <v>515.51511</v>
          </cell>
          <cell r="F8008">
            <v>12589.0875</v>
          </cell>
          <cell r="G8008">
            <v>0</v>
          </cell>
          <cell r="H8008">
            <v>0</v>
          </cell>
          <cell r="I8008">
            <v>0</v>
          </cell>
          <cell r="J8008">
            <v>0</v>
          </cell>
          <cell r="K8008">
            <v>0</v>
          </cell>
          <cell r="L8008">
            <v>1</v>
          </cell>
        </row>
        <row r="8009">
          <cell r="A8009" t="str">
            <v>20438.01200</v>
          </cell>
          <cell r="B8009" t="str">
            <v>ROBINET A SOUPAPE</v>
          </cell>
          <cell r="C8009" t="str">
            <v>TYPE 143-XU DN8" BRIDES CLASSE 150 RF CORPS ET CHAPEAU WCB TIGE EN AISI 410 (13% CR) STELLITE GARNITURE GRAPHITE  COMMANDE PAR REDUCTEUR</v>
          </cell>
          <cell r="D8009" t="str">
            <v>PE</v>
          </cell>
          <cell r="E8009" t="str">
            <v>515.51511</v>
          </cell>
          <cell r="F8009">
            <v>9604.5</v>
          </cell>
          <cell r="G8009">
            <v>0</v>
          </cell>
          <cell r="H8009">
            <v>0</v>
          </cell>
          <cell r="I8009">
            <v>0</v>
          </cell>
          <cell r="J8009">
            <v>0</v>
          </cell>
          <cell r="K8009">
            <v>0</v>
          </cell>
          <cell r="L8009">
            <v>2</v>
          </cell>
        </row>
        <row r="8010">
          <cell r="A8010" t="str">
            <v>20438.01201</v>
          </cell>
          <cell r="B8010" t="str">
            <v>ROBINET A SOUPAPE</v>
          </cell>
          <cell r="C8010" t="str">
            <v>TYPE 143 DN2" BRIDES CLASSE 150 RF CORPS CHAPEAU ET CLAPET CF8M SIEGE EN INOX 316 GARNITURE GRAPHITE</v>
          </cell>
          <cell r="D8010" t="str">
            <v>PE</v>
          </cell>
          <cell r="E8010" t="str">
            <v>515.51511</v>
          </cell>
          <cell r="F8010">
            <v>2636.8416000000002</v>
          </cell>
          <cell r="G8010">
            <v>0</v>
          </cell>
          <cell r="H8010">
            <v>0</v>
          </cell>
          <cell r="I8010">
            <v>0</v>
          </cell>
          <cell r="J8010">
            <v>1</v>
          </cell>
          <cell r="K8010">
            <v>0</v>
          </cell>
          <cell r="L8010">
            <v>0</v>
          </cell>
        </row>
        <row r="8011">
          <cell r="A8011" t="str">
            <v>20438.01202</v>
          </cell>
          <cell r="B8011" t="str">
            <v>ROBINET 2 VOIES A BOISSEAU CONIQUE</v>
          </cell>
          <cell r="C8011" t="str">
            <v>TYPE 021 DN1" BRIDES CLASSE 150 LBS NUANCE GGG40.3/PFA-PFA</v>
          </cell>
          <cell r="D8011" t="str">
            <v>PE</v>
          </cell>
          <cell r="E8011" t="str">
            <v>515.51511</v>
          </cell>
          <cell r="F8011">
            <v>3112.9380000000001</v>
          </cell>
          <cell r="G8011">
            <v>0</v>
          </cell>
          <cell r="H8011">
            <v>0</v>
          </cell>
          <cell r="I8011">
            <v>0</v>
          </cell>
          <cell r="J8011">
            <v>0</v>
          </cell>
          <cell r="K8011">
            <v>0</v>
          </cell>
          <cell r="L8011">
            <v>1</v>
          </cell>
        </row>
        <row r="8012">
          <cell r="A8012" t="str">
            <v>20438.01203</v>
          </cell>
          <cell r="B8012" t="str">
            <v>ROBINET 2 VOIES A BOISSEAU CONIQUE</v>
          </cell>
          <cell r="C8012" t="str">
            <v>TYPE 021 DN11/2" BRIDES CLASSE 150 LBS NUANCE GGG40.3/PFA-PFA</v>
          </cell>
          <cell r="D8012" t="str">
            <v>PE</v>
          </cell>
          <cell r="E8012" t="str">
            <v>515.51511</v>
          </cell>
          <cell r="F8012">
            <v>6322.0335999999998</v>
          </cell>
          <cell r="G8012">
            <v>0</v>
          </cell>
          <cell r="H8012">
            <v>0</v>
          </cell>
          <cell r="I8012">
            <v>0</v>
          </cell>
          <cell r="J8012">
            <v>0</v>
          </cell>
          <cell r="K8012">
            <v>0</v>
          </cell>
          <cell r="L8012">
            <v>4</v>
          </cell>
        </row>
        <row r="8013">
          <cell r="A8013" t="str">
            <v>20438.01204</v>
          </cell>
          <cell r="B8013" t="str">
            <v>ROBINET 2 VOIES A BOISSEAU CONIQUE</v>
          </cell>
          <cell r="C8013" t="str">
            <v>TYPE 021 DN2" BRIDES CLASSE 150 LBS NUANCE GGG40.3/PFA-PFA</v>
          </cell>
          <cell r="D8013" t="str">
            <v>PE</v>
          </cell>
          <cell r="E8013" t="str">
            <v>515.51511</v>
          </cell>
          <cell r="F8013">
            <v>5372.7300999999998</v>
          </cell>
          <cell r="G8013">
            <v>0</v>
          </cell>
          <cell r="H8013">
            <v>0</v>
          </cell>
          <cell r="I8013">
            <v>0</v>
          </cell>
          <cell r="J8013">
            <v>0</v>
          </cell>
          <cell r="K8013">
            <v>0</v>
          </cell>
          <cell r="L8013">
            <v>1</v>
          </cell>
        </row>
        <row r="8014">
          <cell r="A8014" t="str">
            <v>20438.01205</v>
          </cell>
          <cell r="B8014" t="str">
            <v>ROBINET 2 VOIES A BOISSEAU CONIQUE</v>
          </cell>
          <cell r="C8014" t="str">
            <v>TYPE 021 DN3" BRIDES CLASSE 150 LBS NUANCE GGG40.3/PFA-PFA</v>
          </cell>
          <cell r="D8014" t="str">
            <v>PE</v>
          </cell>
          <cell r="E8014" t="str">
            <v>515.51511</v>
          </cell>
          <cell r="F8014">
            <v>6431.8308999999999</v>
          </cell>
          <cell r="G8014">
            <v>0</v>
          </cell>
          <cell r="H8014">
            <v>0</v>
          </cell>
          <cell r="I8014">
            <v>0</v>
          </cell>
          <cell r="J8014">
            <v>0</v>
          </cell>
          <cell r="K8014">
            <v>0</v>
          </cell>
          <cell r="L8014">
            <v>5</v>
          </cell>
        </row>
        <row r="8015">
          <cell r="A8015" t="str">
            <v>20438.01206</v>
          </cell>
          <cell r="B8015" t="str">
            <v>ROBINET 2 VOIES A BOISSEAU CONIQUE</v>
          </cell>
          <cell r="C8015" t="str">
            <v>TYPE 021 DN4" BRIDES CLASSE 150 LBS NUANCE GGG40.3/PFA-PFA</v>
          </cell>
          <cell r="D8015" t="str">
            <v>PE</v>
          </cell>
          <cell r="E8015" t="str">
            <v>515.51511</v>
          </cell>
          <cell r="F8015">
            <v>8917.6517999999996</v>
          </cell>
          <cell r="G8015">
            <v>0</v>
          </cell>
          <cell r="H8015">
            <v>3</v>
          </cell>
          <cell r="I8015">
            <v>0</v>
          </cell>
          <cell r="J8015">
            <v>0</v>
          </cell>
          <cell r="K8015">
            <v>0</v>
          </cell>
          <cell r="L8015">
            <v>0</v>
          </cell>
        </row>
        <row r="8016">
          <cell r="A8016" t="str">
            <v>20438.01207</v>
          </cell>
          <cell r="B8016" t="str">
            <v>ROBINET 2 VOIES A BOISSEAU CONIQUE</v>
          </cell>
          <cell r="C8016" t="str">
            <v>TYPE 121G DN150 PN10/16 NUANCE GGG40.3/PFA-PFA COMMANDE PAR REDUCTEUR</v>
          </cell>
          <cell r="D8016" t="str">
            <v>PE</v>
          </cell>
          <cell r="E8016" t="str">
            <v>515.51511</v>
          </cell>
          <cell r="F8016">
            <v>19527.170999999998</v>
          </cell>
          <cell r="G8016">
            <v>0</v>
          </cell>
          <cell r="H8016">
            <v>0</v>
          </cell>
          <cell r="I8016">
            <v>0</v>
          </cell>
          <cell r="J8016">
            <v>0</v>
          </cell>
          <cell r="K8016">
            <v>0</v>
          </cell>
          <cell r="L8016">
            <v>1</v>
          </cell>
        </row>
        <row r="8017">
          <cell r="A8017" t="str">
            <v>20438.01208</v>
          </cell>
          <cell r="B8017" t="str">
            <v>ROBINET 2 VOIES A BOISSEAU CONIQUE</v>
          </cell>
          <cell r="C8017" t="str">
            <v>TYPE 021 DN8" BRIDES CLASSE 150 LBS NUANCE GGG40.3/PFA-PFA COMMANDE PAR REDUCTEUR</v>
          </cell>
          <cell r="D8017" t="str">
            <v>PE</v>
          </cell>
          <cell r="E8017" t="str">
            <v>515.51511</v>
          </cell>
          <cell r="F8017">
            <v>34045.677799999998</v>
          </cell>
          <cell r="G8017">
            <v>0</v>
          </cell>
          <cell r="H8017">
            <v>0</v>
          </cell>
          <cell r="I8017">
            <v>0</v>
          </cell>
          <cell r="J8017">
            <v>1</v>
          </cell>
          <cell r="K8017">
            <v>0</v>
          </cell>
          <cell r="L8017">
            <v>2</v>
          </cell>
        </row>
        <row r="8018">
          <cell r="A8018" t="str">
            <v>20329.01455</v>
          </cell>
          <cell r="B8018" t="str">
            <v>ROULEMENT A ROULEAUX CONIQUES</v>
          </cell>
          <cell r="C8018" t="str">
            <v>J90354 + J90748</v>
          </cell>
          <cell r="D8018" t="str">
            <v>PE</v>
          </cell>
          <cell r="E8018" t="str">
            <v>515.51515</v>
          </cell>
          <cell r="F8018">
            <v>4595.6899999999996</v>
          </cell>
          <cell r="G8018">
            <v>0</v>
          </cell>
          <cell r="H8018">
            <v>0</v>
          </cell>
          <cell r="I8018">
            <v>0</v>
          </cell>
          <cell r="J8018">
            <v>0</v>
          </cell>
          <cell r="K8018">
            <v>0</v>
          </cell>
          <cell r="L8018">
            <v>8</v>
          </cell>
        </row>
        <row r="8019">
          <cell r="A8019" t="str">
            <v>20497.14826</v>
          </cell>
          <cell r="B8019" t="str">
            <v>CORPS DE PALIER</v>
          </cell>
          <cell r="C8019" t="str">
            <v>SULZER TYPE A44-200 REP330,31 SERIE 100038215</v>
          </cell>
          <cell r="D8019" t="str">
            <v>PE</v>
          </cell>
          <cell r="E8019" t="str">
            <v>515.51505</v>
          </cell>
          <cell r="F8019">
            <v>22951.238300000001</v>
          </cell>
          <cell r="G8019">
            <v>0</v>
          </cell>
          <cell r="H8019">
            <v>0</v>
          </cell>
          <cell r="I8019">
            <v>0</v>
          </cell>
          <cell r="J8019">
            <v>0</v>
          </cell>
          <cell r="K8019">
            <v>2</v>
          </cell>
          <cell r="L8019">
            <v>3</v>
          </cell>
        </row>
        <row r="8020">
          <cell r="A8020" t="str">
            <v>20497.14827</v>
          </cell>
          <cell r="B8020" t="str">
            <v>CORPS DE PALIER</v>
          </cell>
          <cell r="C8020" t="str">
            <v>SULZER TYPE A21-100 REP330,31 SERIE 100038218</v>
          </cell>
          <cell r="D8020" t="str">
            <v>PE</v>
          </cell>
          <cell r="E8020" t="str">
            <v>515.51505</v>
          </cell>
          <cell r="F8020">
            <v>17943.5952</v>
          </cell>
          <cell r="G8020">
            <v>0</v>
          </cell>
          <cell r="H8020">
            <v>1</v>
          </cell>
          <cell r="I8020">
            <v>0</v>
          </cell>
          <cell r="J8020">
            <v>0</v>
          </cell>
          <cell r="K8020">
            <v>0</v>
          </cell>
          <cell r="L8020">
            <v>1</v>
          </cell>
        </row>
        <row r="8021">
          <cell r="A8021" t="str">
            <v>20497.14828</v>
          </cell>
          <cell r="B8021" t="str">
            <v>CORPS DE PALIER</v>
          </cell>
          <cell r="C8021" t="str">
            <v>SULZER TYPE APP53-100 REP 330,31 BSERIE 100038225</v>
          </cell>
          <cell r="D8021" t="str">
            <v>PE</v>
          </cell>
          <cell r="E8021" t="str">
            <v>515.51505</v>
          </cell>
          <cell r="F8021">
            <v>14367.179</v>
          </cell>
          <cell r="G8021">
            <v>0</v>
          </cell>
          <cell r="H8021">
            <v>0</v>
          </cell>
          <cell r="I8021">
            <v>0</v>
          </cell>
          <cell r="J8021">
            <v>1</v>
          </cell>
          <cell r="K8021">
            <v>0</v>
          </cell>
          <cell r="L8021">
            <v>2</v>
          </cell>
        </row>
        <row r="8022">
          <cell r="A8022" t="str">
            <v>20431.01040</v>
          </cell>
          <cell r="B8022" t="str">
            <v>CLAPET DE PIED</v>
          </cell>
          <cell r="C8022" t="str">
            <v>TYPE CEB913-392S3 PLAN 161.5307.002 REV.A REP1</v>
          </cell>
          <cell r="D8022" t="str">
            <v>PE</v>
          </cell>
          <cell r="E8022" t="str">
            <v>515.51511</v>
          </cell>
          <cell r="F8022"/>
          <cell r="G8022">
            <v>0</v>
          </cell>
          <cell r="H8022">
            <v>0</v>
          </cell>
          <cell r="I8022">
            <v>0</v>
          </cell>
          <cell r="J8022">
            <v>0</v>
          </cell>
          <cell r="K8022">
            <v>0</v>
          </cell>
          <cell r="L8022">
            <v>2</v>
          </cell>
        </row>
        <row r="8023">
          <cell r="A8023" t="str">
            <v>20431.01041</v>
          </cell>
          <cell r="B8023" t="str">
            <v>LEST CERAMIQUE</v>
          </cell>
          <cell r="C8023" t="str">
            <v>TYPE CEB913-392S3 PLAN 161.5307.002 REV.A REP2</v>
          </cell>
          <cell r="D8023" t="str">
            <v>PE</v>
          </cell>
          <cell r="E8023" t="str">
            <v>515.51511</v>
          </cell>
          <cell r="F8023"/>
          <cell r="G8023">
            <v>0</v>
          </cell>
          <cell r="H8023">
            <v>0</v>
          </cell>
          <cell r="I8023">
            <v>0</v>
          </cell>
          <cell r="J8023">
            <v>0</v>
          </cell>
          <cell r="K8023">
            <v>0</v>
          </cell>
          <cell r="L8023">
            <v>2</v>
          </cell>
        </row>
        <row r="8024">
          <cell r="A8024" t="str">
            <v>20431.01042</v>
          </cell>
          <cell r="B8024" t="str">
            <v>RACCORD D'ASPIRATION</v>
          </cell>
          <cell r="C8024" t="str">
            <v>TYPE CEB913-392S3 PLAN 161.5307.002 REV.A REP4</v>
          </cell>
          <cell r="D8024" t="str">
            <v>PE</v>
          </cell>
          <cell r="E8024" t="str">
            <v>515.51511</v>
          </cell>
          <cell r="F8024"/>
          <cell r="G8024">
            <v>0</v>
          </cell>
          <cell r="H8024">
            <v>0</v>
          </cell>
          <cell r="I8024">
            <v>0</v>
          </cell>
          <cell r="J8024">
            <v>0</v>
          </cell>
          <cell r="K8024">
            <v>0</v>
          </cell>
          <cell r="L8024">
            <v>6</v>
          </cell>
        </row>
        <row r="8025">
          <cell r="A8025" t="str">
            <v>20431.01043</v>
          </cell>
          <cell r="B8025" t="str">
            <v>CORPS DE DOSEUR</v>
          </cell>
          <cell r="C8025" t="str">
            <v>TYPE CEB913-392S3 PLAN 161.5307.002 REV.A REP6</v>
          </cell>
          <cell r="D8025" t="str">
            <v>PE</v>
          </cell>
          <cell r="E8025" t="str">
            <v>515.51511</v>
          </cell>
          <cell r="F8025"/>
          <cell r="G8025">
            <v>0</v>
          </cell>
          <cell r="H8025">
            <v>0</v>
          </cell>
          <cell r="I8025">
            <v>0</v>
          </cell>
          <cell r="J8025">
            <v>0</v>
          </cell>
          <cell r="K8025">
            <v>0</v>
          </cell>
          <cell r="L8025">
            <v>2</v>
          </cell>
        </row>
        <row r="8026">
          <cell r="A8026" t="str">
            <v>20431.01044</v>
          </cell>
          <cell r="B8026" t="str">
            <v>SOUPAPE</v>
          </cell>
          <cell r="C8026" t="str">
            <v>TYPE CEB913-392S3 PLAN 161.5307.002 REV.A REP7</v>
          </cell>
          <cell r="D8026" t="str">
            <v>PE</v>
          </cell>
          <cell r="E8026" t="str">
            <v>515.51511</v>
          </cell>
          <cell r="F8026">
            <v>1200</v>
          </cell>
          <cell r="G8026">
            <v>0</v>
          </cell>
          <cell r="H8026">
            <v>0</v>
          </cell>
          <cell r="I8026">
            <v>0</v>
          </cell>
          <cell r="J8026">
            <v>0</v>
          </cell>
          <cell r="K8026">
            <v>0</v>
          </cell>
          <cell r="L8026">
            <v>2</v>
          </cell>
        </row>
        <row r="8027">
          <cell r="A8027" t="str">
            <v>20431.01045</v>
          </cell>
          <cell r="B8027" t="str">
            <v>RACCORD</v>
          </cell>
          <cell r="C8027" t="str">
            <v>TYPE CEB913-392S3 PLAN 161.5307.002 REV.A REP8</v>
          </cell>
          <cell r="D8027" t="str">
            <v>PE</v>
          </cell>
          <cell r="E8027" t="str">
            <v>515.51511</v>
          </cell>
          <cell r="F8027">
            <v>0</v>
          </cell>
          <cell r="G8027">
            <v>0</v>
          </cell>
          <cell r="H8027">
            <v>0</v>
          </cell>
          <cell r="I8027">
            <v>0</v>
          </cell>
          <cell r="J8027">
            <v>0</v>
          </cell>
          <cell r="K8027">
            <v>0</v>
          </cell>
          <cell r="L8027">
            <v>6</v>
          </cell>
        </row>
        <row r="8028">
          <cell r="A8028" t="str">
            <v>20431.01046</v>
          </cell>
          <cell r="B8028" t="str">
            <v>CANNE D'INJECTION</v>
          </cell>
          <cell r="C8028" t="str">
            <v>TYPE CEB913-392S3 PLAN 161.5307.002 REV.A REP9</v>
          </cell>
          <cell r="D8028" t="str">
            <v>PE</v>
          </cell>
          <cell r="E8028" t="str">
            <v>515.51511</v>
          </cell>
          <cell r="F8028">
            <v>900</v>
          </cell>
          <cell r="G8028">
            <v>0</v>
          </cell>
          <cell r="H8028">
            <v>0</v>
          </cell>
          <cell r="I8028">
            <v>0</v>
          </cell>
          <cell r="J8028">
            <v>0</v>
          </cell>
          <cell r="K8028">
            <v>0</v>
          </cell>
          <cell r="L8028">
            <v>2</v>
          </cell>
        </row>
        <row r="8029">
          <cell r="A8029" t="str">
            <v>20438.01209</v>
          </cell>
          <cell r="B8029" t="str">
            <v>ROBINET A PASSAGE DIRECT</v>
          </cell>
          <cell r="C8029" t="str">
            <v>TYPE 47XU DN8" CLASSE 150 CORPS ET CHAPEAU EN WCB-PED OPERCULE EN CA-15 (13% CHROME) SIEGE EN A105 STELLITE GARNITURE GRAPHITE</v>
          </cell>
          <cell r="D8029" t="str">
            <v>PE</v>
          </cell>
          <cell r="E8029" t="str">
            <v>515.51511</v>
          </cell>
          <cell r="F8029">
            <v>7292.3503000000001</v>
          </cell>
          <cell r="G8029">
            <v>0</v>
          </cell>
          <cell r="H8029">
            <v>0</v>
          </cell>
          <cell r="I8029">
            <v>0</v>
          </cell>
          <cell r="J8029">
            <v>0</v>
          </cell>
          <cell r="K8029">
            <v>0</v>
          </cell>
          <cell r="L8029">
            <v>0</v>
          </cell>
        </row>
        <row r="8030">
          <cell r="A8030" t="str">
            <v>20497.14830</v>
          </cell>
          <cell r="B8030" t="str">
            <v>RONDELLE ( JEU = 32 RONDELLES )</v>
          </cell>
          <cell r="C8030" t="str">
            <v xml:space="preserve">WILDEN 04-6730-03  ( JEU = 32 RONDELLES ) </v>
          </cell>
          <cell r="D8030" t="str">
            <v>PE</v>
          </cell>
          <cell r="E8030" t="str">
            <v>515.51517</v>
          </cell>
          <cell r="F8030"/>
          <cell r="G8030">
            <v>0</v>
          </cell>
          <cell r="H8030">
            <v>0</v>
          </cell>
          <cell r="I8030">
            <v>0</v>
          </cell>
          <cell r="J8030">
            <v>0</v>
          </cell>
          <cell r="K8030">
            <v>0</v>
          </cell>
          <cell r="L8030">
            <v>2</v>
          </cell>
        </row>
        <row r="8031">
          <cell r="A8031" t="str">
            <v>20497.14831</v>
          </cell>
          <cell r="B8031" t="str">
            <v>VIS  (JEU = 16 VIS )</v>
          </cell>
          <cell r="C8031" t="str">
            <v>WILDEN 08-6191-03    (JEU = 16 VIS )</v>
          </cell>
          <cell r="D8031" t="str">
            <v>PE</v>
          </cell>
          <cell r="E8031" t="str">
            <v>515.51517</v>
          </cell>
          <cell r="F8031">
            <v>0</v>
          </cell>
          <cell r="G8031">
            <v>0</v>
          </cell>
          <cell r="H8031">
            <v>0</v>
          </cell>
          <cell r="I8031">
            <v>1</v>
          </cell>
          <cell r="J8031">
            <v>0</v>
          </cell>
          <cell r="K8031">
            <v>0</v>
          </cell>
          <cell r="L8031">
            <v>1</v>
          </cell>
        </row>
        <row r="8032">
          <cell r="A8032" t="str">
            <v>20497.14832</v>
          </cell>
          <cell r="B8032" t="str">
            <v>ECROU  ( JEU = 16 ECROUS )</v>
          </cell>
          <cell r="C8032" t="str">
            <v>WILDEN 08-6435-03    ( JEU = 16 ECROUS )</v>
          </cell>
          <cell r="D8032" t="str">
            <v>PE</v>
          </cell>
          <cell r="E8032" t="str">
            <v>515.51517</v>
          </cell>
          <cell r="F8032">
            <v>0</v>
          </cell>
          <cell r="G8032">
            <v>0</v>
          </cell>
          <cell r="H8032">
            <v>0</v>
          </cell>
          <cell r="I8032">
            <v>1</v>
          </cell>
          <cell r="J8032">
            <v>0</v>
          </cell>
          <cell r="K8032">
            <v>0</v>
          </cell>
          <cell r="L8032">
            <v>1</v>
          </cell>
        </row>
        <row r="8033">
          <cell r="A8033" t="str">
            <v>20497.14833</v>
          </cell>
          <cell r="B8033" t="str">
            <v>VIS    ( JEU = 16 VIS )</v>
          </cell>
          <cell r="C8033" t="str">
            <v>WILDEN 08-6181-03    ( JEU = 16 VIS )</v>
          </cell>
          <cell r="D8033" t="str">
            <v>PE</v>
          </cell>
          <cell r="E8033" t="str">
            <v>515.51517</v>
          </cell>
          <cell r="F8033">
            <v>0</v>
          </cell>
          <cell r="G8033">
            <v>0</v>
          </cell>
          <cell r="H8033">
            <v>0</v>
          </cell>
          <cell r="I8033">
            <v>1</v>
          </cell>
          <cell r="J8033">
            <v>0</v>
          </cell>
          <cell r="K8033">
            <v>0</v>
          </cell>
          <cell r="L8033">
            <v>1</v>
          </cell>
        </row>
        <row r="8034">
          <cell r="A8034" t="str">
            <v>20497.14834</v>
          </cell>
          <cell r="B8034" t="str">
            <v>RONDELLE  ( JEU = 8 RONDELLES )</v>
          </cell>
          <cell r="C8034" t="str">
            <v>WILDEN 04-6741-03   ( JEU = 8 RONDELLES )</v>
          </cell>
          <cell r="D8034" t="str">
            <v>PE</v>
          </cell>
          <cell r="E8034" t="str">
            <v>515.51517</v>
          </cell>
          <cell r="F8034">
            <v>0</v>
          </cell>
          <cell r="G8034">
            <v>0</v>
          </cell>
          <cell r="H8034">
            <v>0</v>
          </cell>
          <cell r="I8034">
            <v>1</v>
          </cell>
          <cell r="J8034">
            <v>0</v>
          </cell>
          <cell r="K8034">
            <v>0</v>
          </cell>
          <cell r="L8034">
            <v>1</v>
          </cell>
        </row>
        <row r="8035">
          <cell r="A8035" t="str">
            <v>20497.14835</v>
          </cell>
          <cell r="B8035" t="str">
            <v>VIS  ( JEU = 8 VIS )</v>
          </cell>
          <cell r="C8035" t="str">
            <v>WILDEN 08-6130-03    ( JEU = 8 VIS )</v>
          </cell>
          <cell r="D8035" t="str">
            <v>PE</v>
          </cell>
          <cell r="E8035" t="str">
            <v>515.51517</v>
          </cell>
          <cell r="F8035">
            <v>0</v>
          </cell>
          <cell r="G8035">
            <v>0</v>
          </cell>
          <cell r="H8035">
            <v>0</v>
          </cell>
          <cell r="I8035">
            <v>2</v>
          </cell>
          <cell r="J8035">
            <v>0</v>
          </cell>
          <cell r="K8035">
            <v>0</v>
          </cell>
          <cell r="L8035">
            <v>0</v>
          </cell>
        </row>
        <row r="8036">
          <cell r="A8036" t="str">
            <v>20710.00228</v>
          </cell>
          <cell r="B8036" t="str">
            <v>CLAVIER OPERATEUR</v>
          </cell>
          <cell r="C8036" t="str">
            <v>AIP830 111</v>
          </cell>
          <cell r="D8036" t="str">
            <v>PE</v>
          </cell>
          <cell r="E8036" t="str">
            <v>512.51201</v>
          </cell>
          <cell r="F8036">
            <v>35450</v>
          </cell>
          <cell r="G8036">
            <v>0</v>
          </cell>
          <cell r="H8036">
            <v>0</v>
          </cell>
          <cell r="I8036">
            <v>0</v>
          </cell>
          <cell r="J8036">
            <v>0</v>
          </cell>
          <cell r="K8036">
            <v>4</v>
          </cell>
          <cell r="L8036">
            <v>0</v>
          </cell>
        </row>
        <row r="8037">
          <cell r="A8037" t="str">
            <v>20691.10011</v>
          </cell>
          <cell r="B8037" t="str">
            <v>CARTOUCHE TONER</v>
          </cell>
          <cell r="C8037" t="str">
            <v>LEXMARK 60F5H00 P/IMPRIMANTE 605H N.B : A PRECISER SUR OFFRE MARQUE ORIGINE OU ADAPTABLE</v>
          </cell>
          <cell r="D8037" t="str">
            <v>PE</v>
          </cell>
          <cell r="E8037" t="str">
            <v>222.22206</v>
          </cell>
          <cell r="F8037">
            <v>1020</v>
          </cell>
          <cell r="G8037">
            <v>1</v>
          </cell>
          <cell r="H8037">
            <v>4</v>
          </cell>
          <cell r="I8037">
            <v>4</v>
          </cell>
          <cell r="J8037">
            <v>3</v>
          </cell>
          <cell r="K8037">
            <v>13</v>
          </cell>
          <cell r="L8037">
            <v>11</v>
          </cell>
        </row>
        <row r="8038">
          <cell r="A8038" t="str">
            <v>20375.01246</v>
          </cell>
          <cell r="B8038" t="str">
            <v>VANNE A PAPILLON DN14"</v>
          </cell>
          <cell r="C8038" t="str">
            <v>PLAN B-8355 SERIE V-61488 SANS ACTIONNEUR</v>
          </cell>
          <cell r="D8038" t="str">
            <v>PE</v>
          </cell>
          <cell r="E8038" t="str">
            <v>515.51503</v>
          </cell>
          <cell r="F8038"/>
          <cell r="G8038">
            <v>0</v>
          </cell>
          <cell r="H8038">
            <v>0</v>
          </cell>
          <cell r="I8038">
            <v>0</v>
          </cell>
          <cell r="J8038">
            <v>0</v>
          </cell>
          <cell r="K8038">
            <v>0</v>
          </cell>
          <cell r="L8038">
            <v>1</v>
          </cell>
        </row>
        <row r="8039">
          <cell r="A8039" t="str">
            <v>20375.01247</v>
          </cell>
          <cell r="B8039" t="str">
            <v>VANNE A PAPILLON DN16"</v>
          </cell>
          <cell r="C8039" t="str">
            <v>PLAN B-8355 SERIE V-61493 SANS ACTIONNEUR</v>
          </cell>
          <cell r="D8039" t="str">
            <v>PE</v>
          </cell>
          <cell r="E8039" t="str">
            <v>515.51503</v>
          </cell>
          <cell r="F8039"/>
          <cell r="G8039">
            <v>0</v>
          </cell>
          <cell r="H8039">
            <v>0</v>
          </cell>
          <cell r="I8039">
            <v>0</v>
          </cell>
          <cell r="J8039">
            <v>0</v>
          </cell>
          <cell r="K8039">
            <v>0</v>
          </cell>
          <cell r="L8039">
            <v>1</v>
          </cell>
        </row>
        <row r="8040">
          <cell r="A8040" t="str">
            <v>20375.01248</v>
          </cell>
          <cell r="B8040" t="str">
            <v>VANNE A PAPILLON DN18"</v>
          </cell>
          <cell r="C8040" t="str">
            <v>PLAN B-8355-1 SERIE V-61489 SANS ACTIONNEUR</v>
          </cell>
          <cell r="D8040" t="str">
            <v>PE</v>
          </cell>
          <cell r="E8040" t="str">
            <v>515.51503</v>
          </cell>
          <cell r="F8040"/>
          <cell r="G8040">
            <v>0</v>
          </cell>
          <cell r="H8040">
            <v>0</v>
          </cell>
          <cell r="I8040">
            <v>0</v>
          </cell>
          <cell r="J8040">
            <v>0</v>
          </cell>
          <cell r="K8040">
            <v>0</v>
          </cell>
          <cell r="L8040">
            <v>1</v>
          </cell>
        </row>
        <row r="8041">
          <cell r="A8041" t="str">
            <v>10019.10269</v>
          </cell>
          <cell r="B8041" t="str">
            <v>TRESSE EN PTFE EXPANSE 16MM</v>
          </cell>
          <cell r="C8041" t="str">
            <v>TRESSE CARRE 16MM EN PTFE EXPANSE EN FIL DE SOIE 100%,PRESSION 300 BAR TEMPERATURE 300°C PH 0-14 VITESSE 5M/S GENRE LATTY FLON 3206 S</v>
          </cell>
          <cell r="D8041" t="str">
            <v>PE</v>
          </cell>
          <cell r="E8041" t="str">
            <v>522.52207</v>
          </cell>
          <cell r="F8041">
            <v>0</v>
          </cell>
          <cell r="G8041">
            <v>0</v>
          </cell>
          <cell r="H8041">
            <v>0</v>
          </cell>
          <cell r="I8041">
            <v>0</v>
          </cell>
          <cell r="J8041">
            <v>0</v>
          </cell>
          <cell r="K8041">
            <v>0</v>
          </cell>
          <cell r="L8041">
            <v>0</v>
          </cell>
        </row>
        <row r="8042">
          <cell r="A8042" t="str">
            <v>10019.10270</v>
          </cell>
          <cell r="B8042" t="str">
            <v>TRESSE EN PTFE EXPANSE 20MM</v>
          </cell>
          <cell r="C8042" t="str">
            <v>TRESSE CARRE 20MM EN PTFE EXPANSE EN FIL DE SOIE 100%,PRESSION 300 BAR TEMPERATURE 300°C PH 0-14 VITESSE 5M/S GENRE LATTY FLON 3206 S</v>
          </cell>
          <cell r="D8042" t="str">
            <v>PE</v>
          </cell>
          <cell r="E8042" t="str">
            <v>522.52207</v>
          </cell>
          <cell r="F8042">
            <v>0</v>
          </cell>
          <cell r="G8042">
            <v>0</v>
          </cell>
          <cell r="H8042">
            <v>0</v>
          </cell>
          <cell r="I8042">
            <v>0</v>
          </cell>
          <cell r="J8042">
            <v>0</v>
          </cell>
          <cell r="K8042">
            <v>13</v>
          </cell>
          <cell r="L8042">
            <v>0</v>
          </cell>
        </row>
        <row r="8043">
          <cell r="A8043" t="str">
            <v>10019.10278</v>
          </cell>
          <cell r="B8043" t="str">
            <v>FEUILLE DE JOINT 100% PTFE 1500X1500X1,6MM</v>
          </cell>
          <cell r="C8043" t="str">
            <v>FEUILLE DE JOINT 100% PTFE EXPANSE(EPTFE) NORME EN 13555 RESISTANCE VDI 2200,REPRISE ELASTIQUE 50% ASTM F-36 TEMPERATURE 300°C,PH 0-14 PRESSION 40 BAR, DIMENSION 1500X1500X1,6MM GENRE GORE GR</v>
          </cell>
          <cell r="D8043" t="str">
            <v>PE</v>
          </cell>
          <cell r="E8043" t="str">
            <v>522.52207</v>
          </cell>
          <cell r="F8043">
            <v>0</v>
          </cell>
          <cell r="G8043">
            <v>0</v>
          </cell>
          <cell r="H8043">
            <v>0</v>
          </cell>
          <cell r="I8043">
            <v>0</v>
          </cell>
          <cell r="J8043">
            <v>0</v>
          </cell>
          <cell r="K8043">
            <v>0</v>
          </cell>
          <cell r="L8043">
            <v>0</v>
          </cell>
        </row>
        <row r="8044">
          <cell r="A8044" t="str">
            <v>10019.10279</v>
          </cell>
          <cell r="B8044" t="str">
            <v>FEUILLE DE JOINT 100% PTFE 1500X1500X3,2MM</v>
          </cell>
          <cell r="C8044" t="str">
            <v>FEUILLE DE JOINT 100% PTFE EXPANSE(EPTFE) NORME EN 13555 RESISTANCE VDI 2200,REPRISE ELASTIQUE 50% ASTM F-36 TEMPERATURE 300°C,PH 0-14 PRESSION 40 BAR, DIMENSION 1500X1500X3,2MM GENRE GORE GR</v>
          </cell>
          <cell r="D8044" t="str">
            <v>PE</v>
          </cell>
          <cell r="E8044" t="str">
            <v>522.52207</v>
          </cell>
          <cell r="F8044">
            <v>7255</v>
          </cell>
          <cell r="G8044">
            <v>3</v>
          </cell>
          <cell r="H8044">
            <v>0</v>
          </cell>
          <cell r="I8044">
            <v>0</v>
          </cell>
          <cell r="J8044">
            <v>0</v>
          </cell>
          <cell r="K8044">
            <v>0</v>
          </cell>
          <cell r="L8044">
            <v>9</v>
          </cell>
        </row>
        <row r="8045">
          <cell r="A8045" t="str">
            <v>10019.10283</v>
          </cell>
          <cell r="B8045" t="str">
            <v>FEUILLE DE JOINT PURE GRAPHITE 3MM</v>
          </cell>
          <cell r="C8045" t="str">
            <v>FEUILLE DE JOINT PURE GRAPHITE EXPANSE RENFORCE D'UNE TOLE A PICOTS EN INOX 316,TEMPERATURE 550°C PRESSION 300 BAR COMPRESSIBILIT2 10%REPRISE ELASTIQUE 20% ASTM F-36 DIMENSIONS 1500X2000X3MM GENRE KLINGER PSM-AS</v>
          </cell>
          <cell r="D8045" t="str">
            <v>PE</v>
          </cell>
          <cell r="E8045" t="str">
            <v>522.52207</v>
          </cell>
          <cell r="F8045">
            <v>1199.4463000000001</v>
          </cell>
          <cell r="G8045">
            <v>0</v>
          </cell>
          <cell r="H8045">
            <v>1</v>
          </cell>
          <cell r="I8045">
            <v>0</v>
          </cell>
          <cell r="J8045">
            <v>0</v>
          </cell>
          <cell r="K8045">
            <v>0</v>
          </cell>
          <cell r="L8045">
            <v>4</v>
          </cell>
        </row>
        <row r="8046">
          <cell r="A8046" t="str">
            <v>10019.10284</v>
          </cell>
          <cell r="B8046" t="str">
            <v>FEUILLE DE JOINT PURE GRAPHITE 4MM</v>
          </cell>
          <cell r="C8046" t="str">
            <v>FEUILLE DE JOINT PURE GRAPHITE EXPANSE RENFORCE D'UNE TOLE A PICOTS EN INOX 316,TEMPERATURE 550°C PRESSION 300 BAR COMPRESSIBILIT2 10%REPRISE ELASTIQUE 20% ASTM F-36 DIMENSIONS 1500X2000X3MM GENRE KLINGER PSM-AS</v>
          </cell>
          <cell r="D8046" t="str">
            <v>PE</v>
          </cell>
          <cell r="E8046" t="str">
            <v>522.52207</v>
          </cell>
          <cell r="F8046">
            <v>1434.038</v>
          </cell>
          <cell r="G8046">
            <v>5</v>
          </cell>
          <cell r="H8046">
            <v>0</v>
          </cell>
          <cell r="I8046">
            <v>0</v>
          </cell>
          <cell r="J8046">
            <v>0</v>
          </cell>
          <cell r="K8046">
            <v>0</v>
          </cell>
          <cell r="L8046">
            <v>0</v>
          </cell>
        </row>
        <row r="8047">
          <cell r="A8047" t="str">
            <v>10019.10285</v>
          </cell>
          <cell r="B8047" t="str">
            <v>BANDE EN PTFE PUR EXPANSE</v>
          </cell>
          <cell r="C8047" t="str">
            <v>BANDE EN PTFE PUR EXPANSE AVEC AUTOCOLANT  POUR BRIDES ET RESERVOIRS  POUR TOUS FLUIDES (SAUF METAUX ALCALINS FONDUS OU DISSOUS)  PRESSION : 200 BARS -TEMPERATURE: -269 A  260°C PH 0-14  DIMENSIONS : LONG = 25 METRES - LARG =10 MM - EP = 5MM</v>
          </cell>
          <cell r="D8047" t="str">
            <v>PE</v>
          </cell>
          <cell r="E8047" t="str">
            <v>522.52207</v>
          </cell>
          <cell r="F8047">
            <v>0</v>
          </cell>
          <cell r="G8047">
            <v>0</v>
          </cell>
          <cell r="H8047">
            <v>0</v>
          </cell>
          <cell r="I8047">
            <v>0</v>
          </cell>
          <cell r="J8047">
            <v>0</v>
          </cell>
          <cell r="K8047">
            <v>0</v>
          </cell>
          <cell r="L8047">
            <v>10</v>
          </cell>
        </row>
        <row r="8048">
          <cell r="A8048" t="str">
            <v>10003.01830</v>
          </cell>
          <cell r="B8048" t="str">
            <v>TOLE EN INOX 304</v>
          </cell>
          <cell r="C8048" t="str">
            <v>TOLE EN INOX 304   LONGUEUR : 3000 MM  LARGEUR : 1500 MM  EPAISSEUR : 6 MM  NORME EUROPEENE : X5CrNiTi18-10</v>
          </cell>
          <cell r="D8048" t="str">
            <v>PE</v>
          </cell>
          <cell r="E8048" t="str">
            <v>522.52213</v>
          </cell>
          <cell r="F8048">
            <v>6127</v>
          </cell>
          <cell r="G8048">
            <v>0</v>
          </cell>
          <cell r="H8048">
            <v>0</v>
          </cell>
          <cell r="I8048">
            <v>0</v>
          </cell>
          <cell r="J8048">
            <v>0</v>
          </cell>
          <cell r="K8048">
            <v>1</v>
          </cell>
          <cell r="L8048">
            <v>0</v>
          </cell>
        </row>
        <row r="8049">
          <cell r="A8049" t="str">
            <v>20691.01312</v>
          </cell>
          <cell r="B8049" t="str">
            <v>TAMBOUR NOIR</v>
          </cell>
          <cell r="C8049" t="str">
            <v>LEXMARK REF 50F0Z00 P/IMPRIMANTE MX611DEN.B APRECISER L'OFFRE LA MARQUE D'ORIGINE OU ADAPTABLE.</v>
          </cell>
          <cell r="D8049" t="str">
            <v>PE</v>
          </cell>
          <cell r="E8049" t="str">
            <v>222.22206</v>
          </cell>
          <cell r="F8049">
            <v>460</v>
          </cell>
          <cell r="G8049">
            <v>0</v>
          </cell>
          <cell r="H8049">
            <v>1</v>
          </cell>
          <cell r="I8049">
            <v>4</v>
          </cell>
          <cell r="J8049">
            <v>5</v>
          </cell>
          <cell r="K8049">
            <v>12</v>
          </cell>
          <cell r="L8049">
            <v>18</v>
          </cell>
        </row>
        <row r="8050">
          <cell r="A8050" t="str">
            <v>20375.01251</v>
          </cell>
          <cell r="B8050" t="str">
            <v>VANNE REGULATRICE COMPLETE AVEC ACTUATEUR</v>
          </cell>
          <cell r="C8050" t="str">
            <v>PLAN A-5277C   DN6"  CORPS LEWMET</v>
          </cell>
          <cell r="D8050" t="str">
            <v>PE</v>
          </cell>
          <cell r="E8050" t="str">
            <v>515.51503</v>
          </cell>
          <cell r="F8050">
            <v>0</v>
          </cell>
          <cell r="G8050">
            <v>0</v>
          </cell>
          <cell r="H8050">
            <v>0</v>
          </cell>
          <cell r="I8050">
            <v>0</v>
          </cell>
          <cell r="J8050">
            <v>0</v>
          </cell>
          <cell r="K8050">
            <v>0</v>
          </cell>
          <cell r="L8050">
            <v>0</v>
          </cell>
        </row>
        <row r="8051">
          <cell r="A8051" t="str">
            <v>20699.00738</v>
          </cell>
          <cell r="B8051" t="str">
            <v>VANNE DE REGULATION COMPLETE DN50</v>
          </cell>
          <cell r="C8051" t="str">
            <v xml:space="preserve">20-04723-05 </v>
          </cell>
          <cell r="D8051" t="str">
            <v>PE</v>
          </cell>
          <cell r="E8051" t="str">
            <v>512.51201</v>
          </cell>
          <cell r="F8051">
            <v>32000</v>
          </cell>
          <cell r="G8051">
            <v>0</v>
          </cell>
          <cell r="H8051">
            <v>0</v>
          </cell>
          <cell r="I8051">
            <v>0</v>
          </cell>
          <cell r="J8051">
            <v>0</v>
          </cell>
          <cell r="K8051">
            <v>0</v>
          </cell>
          <cell r="L8051">
            <v>1</v>
          </cell>
        </row>
        <row r="8052">
          <cell r="A8052" t="str">
            <v>20699.00739</v>
          </cell>
          <cell r="B8052" t="str">
            <v>ACTOINNEUR PNEUMATIQUE A MEMBRANE DEROULANTE POUR VANNE DN150</v>
          </cell>
          <cell r="C8052" t="str">
            <v>35-35112 SERIE 20-04723-08</v>
          </cell>
          <cell r="D8052" t="str">
            <v>PE</v>
          </cell>
          <cell r="E8052" t="str">
            <v>512.51201</v>
          </cell>
          <cell r="F8052">
            <v>2300</v>
          </cell>
          <cell r="G8052">
            <v>0</v>
          </cell>
          <cell r="H8052">
            <v>0</v>
          </cell>
          <cell r="I8052">
            <v>0</v>
          </cell>
          <cell r="J8052">
            <v>0</v>
          </cell>
          <cell r="K8052">
            <v>0</v>
          </cell>
          <cell r="L8052">
            <v>2</v>
          </cell>
        </row>
        <row r="8053">
          <cell r="A8053" t="str">
            <v>20699.00740</v>
          </cell>
          <cell r="B8053" t="str">
            <v>VANNE COMPLETE ACEC ACTIONNEUR PNEUMATIQUE</v>
          </cell>
          <cell r="C8053" t="str">
            <v>01-0908-01-3 DN25 CORPS A216GR WCC CLASSE 300 ANSI RF</v>
          </cell>
          <cell r="D8053" t="str">
            <v>PE</v>
          </cell>
          <cell r="E8053" t="str">
            <v>512.51201</v>
          </cell>
          <cell r="F8053">
            <v>27500</v>
          </cell>
          <cell r="G8053">
            <v>0</v>
          </cell>
          <cell r="H8053">
            <v>0</v>
          </cell>
          <cell r="I8053">
            <v>0</v>
          </cell>
          <cell r="J8053">
            <v>0</v>
          </cell>
          <cell r="K8053">
            <v>0</v>
          </cell>
          <cell r="L8053">
            <v>1</v>
          </cell>
        </row>
        <row r="8054">
          <cell r="A8054" t="str">
            <v>20699.00741</v>
          </cell>
          <cell r="B8054" t="str">
            <v>VANNE DE REGULATION COMPLETE DN 150</v>
          </cell>
          <cell r="C8054" t="str">
            <v>20-04723-04  CORPS A351 GR CF3M</v>
          </cell>
          <cell r="D8054" t="str">
            <v>PE</v>
          </cell>
          <cell r="E8054" t="str">
            <v>512.51201</v>
          </cell>
          <cell r="F8054">
            <v>97000</v>
          </cell>
          <cell r="G8054">
            <v>0</v>
          </cell>
          <cell r="H8054">
            <v>0</v>
          </cell>
          <cell r="I8054">
            <v>0</v>
          </cell>
          <cell r="J8054">
            <v>0</v>
          </cell>
          <cell r="K8054">
            <v>0</v>
          </cell>
          <cell r="L8054">
            <v>1</v>
          </cell>
        </row>
        <row r="8055">
          <cell r="A8055" t="str">
            <v>20699.00742</v>
          </cell>
          <cell r="B8055" t="str">
            <v>CORPS DE VANNE DE REGULATION DN50</v>
          </cell>
          <cell r="C8055" t="str">
            <v xml:space="preserve">20-04723-08 CORPS A351 GR CF3M </v>
          </cell>
          <cell r="D8055" t="str">
            <v>PE</v>
          </cell>
          <cell r="E8055" t="str">
            <v>512.51201</v>
          </cell>
          <cell r="F8055">
            <v>17100</v>
          </cell>
          <cell r="G8055">
            <v>0</v>
          </cell>
          <cell r="H8055">
            <v>0</v>
          </cell>
          <cell r="I8055">
            <v>0</v>
          </cell>
          <cell r="J8055">
            <v>0</v>
          </cell>
          <cell r="K8055">
            <v>0</v>
          </cell>
          <cell r="L8055">
            <v>1</v>
          </cell>
        </row>
        <row r="8056">
          <cell r="A8056" t="str">
            <v>20699.00743</v>
          </cell>
          <cell r="B8056" t="str">
            <v>CORPS DE VANNE DE REGULATION DN400</v>
          </cell>
          <cell r="C8056" t="str">
            <v xml:space="preserve">20607/0004 TYPE VALREG CORPS A216 WCB </v>
          </cell>
          <cell r="D8056" t="str">
            <v>PE</v>
          </cell>
          <cell r="E8056" t="str">
            <v>512.51201</v>
          </cell>
          <cell r="F8056">
            <v>150000</v>
          </cell>
          <cell r="G8056">
            <v>0</v>
          </cell>
          <cell r="H8056">
            <v>0</v>
          </cell>
          <cell r="I8056">
            <v>0</v>
          </cell>
          <cell r="J8056">
            <v>0</v>
          </cell>
          <cell r="K8056">
            <v>0</v>
          </cell>
          <cell r="L8056">
            <v>0</v>
          </cell>
        </row>
        <row r="8057">
          <cell r="A8057" t="str">
            <v>20699.00744</v>
          </cell>
          <cell r="B8057" t="str">
            <v>DIAPHRAGME POUR VANNE DN400</v>
          </cell>
          <cell r="C8057" t="str">
            <v xml:space="preserve">20-04723-01 </v>
          </cell>
          <cell r="D8057" t="str">
            <v>PE</v>
          </cell>
          <cell r="E8057" t="str">
            <v>512.51201</v>
          </cell>
          <cell r="F8057">
            <v>19300</v>
          </cell>
          <cell r="G8057">
            <v>0</v>
          </cell>
          <cell r="H8057">
            <v>0</v>
          </cell>
          <cell r="I8057">
            <v>0</v>
          </cell>
          <cell r="J8057">
            <v>0</v>
          </cell>
          <cell r="K8057">
            <v>0</v>
          </cell>
          <cell r="L8057">
            <v>1</v>
          </cell>
        </row>
        <row r="8058">
          <cell r="A8058" t="str">
            <v>20699.00745</v>
          </cell>
          <cell r="B8058" t="str">
            <v>DIAPHRAGME</v>
          </cell>
          <cell r="C8058" t="str">
            <v>400098307-716-0000</v>
          </cell>
          <cell r="D8058" t="str">
            <v>PE</v>
          </cell>
          <cell r="E8058" t="str">
            <v>512.51201</v>
          </cell>
          <cell r="F8058">
            <v>5000</v>
          </cell>
          <cell r="G8058">
            <v>0</v>
          </cell>
          <cell r="H8058">
            <v>0</v>
          </cell>
          <cell r="I8058">
            <v>0</v>
          </cell>
          <cell r="J8058">
            <v>0</v>
          </cell>
          <cell r="K8058">
            <v>1</v>
          </cell>
          <cell r="L8058">
            <v>0</v>
          </cell>
        </row>
        <row r="8059">
          <cell r="A8059" t="str">
            <v>20699.00746</v>
          </cell>
          <cell r="B8059" t="str">
            <v>DIAPHRAGME</v>
          </cell>
          <cell r="C8059" t="str">
            <v>010866003-779-0000</v>
          </cell>
          <cell r="D8059" t="str">
            <v>PE</v>
          </cell>
          <cell r="E8059" t="str">
            <v>512.51201</v>
          </cell>
          <cell r="F8059">
            <v>2800</v>
          </cell>
          <cell r="G8059">
            <v>0</v>
          </cell>
          <cell r="H8059">
            <v>0</v>
          </cell>
          <cell r="I8059">
            <v>0</v>
          </cell>
          <cell r="J8059">
            <v>0</v>
          </cell>
          <cell r="K8059">
            <v>0</v>
          </cell>
          <cell r="L8059">
            <v>1</v>
          </cell>
        </row>
        <row r="8060">
          <cell r="A8060" t="str">
            <v>20708.00728</v>
          </cell>
          <cell r="B8060" t="str">
            <v>SONDE A RESISTANCE EN PLATINE</v>
          </cell>
          <cell r="C8060" t="str">
            <v>0065N36J0080N0290XA</v>
          </cell>
          <cell r="D8060" t="str">
            <v>PE</v>
          </cell>
          <cell r="E8060" t="str">
            <v>512.51201</v>
          </cell>
          <cell r="F8060">
            <v>1723</v>
          </cell>
          <cell r="G8060">
            <v>0</v>
          </cell>
          <cell r="H8060">
            <v>0</v>
          </cell>
          <cell r="I8060">
            <v>0</v>
          </cell>
          <cell r="J8060">
            <v>0</v>
          </cell>
          <cell r="K8060">
            <v>0</v>
          </cell>
          <cell r="L8060">
            <v>1</v>
          </cell>
        </row>
        <row r="8061">
          <cell r="A8061" t="str">
            <v>20708.00729</v>
          </cell>
          <cell r="B8061" t="str">
            <v>SONDE A RESISTANCE EN PLATINE</v>
          </cell>
          <cell r="C8061" t="str">
            <v>0065N36J0080N0315XA</v>
          </cell>
          <cell r="D8061" t="str">
            <v>PE</v>
          </cell>
          <cell r="E8061" t="str">
            <v>512.51201</v>
          </cell>
          <cell r="F8061">
            <v>1688</v>
          </cell>
          <cell r="G8061">
            <v>0</v>
          </cell>
          <cell r="H8061">
            <v>0</v>
          </cell>
          <cell r="I8061">
            <v>0</v>
          </cell>
          <cell r="J8061">
            <v>0</v>
          </cell>
          <cell r="K8061">
            <v>0</v>
          </cell>
          <cell r="L8061">
            <v>1</v>
          </cell>
        </row>
        <row r="8062">
          <cell r="A8062" t="str">
            <v>20708.00730</v>
          </cell>
          <cell r="B8062" t="str">
            <v>SONDE A RESISTANCE EN PLATINE</v>
          </cell>
          <cell r="C8062" t="str">
            <v>0065N36J0080N0340XA</v>
          </cell>
          <cell r="D8062" t="str">
            <v>PE</v>
          </cell>
          <cell r="E8062" t="str">
            <v>512.51201</v>
          </cell>
          <cell r="F8062">
            <v>1758</v>
          </cell>
          <cell r="G8062">
            <v>0</v>
          </cell>
          <cell r="H8062">
            <v>0</v>
          </cell>
          <cell r="I8062">
            <v>0</v>
          </cell>
          <cell r="J8062">
            <v>0</v>
          </cell>
          <cell r="K8062">
            <v>0</v>
          </cell>
          <cell r="L8062">
            <v>1</v>
          </cell>
        </row>
        <row r="8063">
          <cell r="A8063" t="str">
            <v>20708.00731</v>
          </cell>
          <cell r="B8063" t="str">
            <v>SONDE A RESISTANCE EN PLATINE</v>
          </cell>
          <cell r="C8063" t="str">
            <v>0065N36J0080N0345XA</v>
          </cell>
          <cell r="D8063" t="str">
            <v>PE</v>
          </cell>
          <cell r="E8063" t="str">
            <v>512.51201</v>
          </cell>
          <cell r="F8063">
            <v>1758</v>
          </cell>
          <cell r="G8063">
            <v>0</v>
          </cell>
          <cell r="H8063">
            <v>0</v>
          </cell>
          <cell r="I8063">
            <v>0</v>
          </cell>
          <cell r="J8063">
            <v>0</v>
          </cell>
          <cell r="K8063">
            <v>0</v>
          </cell>
          <cell r="L8063">
            <v>1</v>
          </cell>
        </row>
        <row r="8064">
          <cell r="A8064" t="str">
            <v>20708.00732</v>
          </cell>
          <cell r="B8064" t="str">
            <v>SONDE A RESISTANCE EN PLATINE</v>
          </cell>
          <cell r="C8064" t="str">
            <v>0065N36J0080N0360XA</v>
          </cell>
          <cell r="D8064" t="str">
            <v>PE</v>
          </cell>
          <cell r="E8064" t="str">
            <v>512.51201</v>
          </cell>
          <cell r="F8064">
            <v>1758</v>
          </cell>
          <cell r="G8064">
            <v>0</v>
          </cell>
          <cell r="H8064">
            <v>0</v>
          </cell>
          <cell r="I8064">
            <v>0</v>
          </cell>
          <cell r="J8064">
            <v>0</v>
          </cell>
          <cell r="K8064">
            <v>0</v>
          </cell>
          <cell r="L8064">
            <v>2</v>
          </cell>
        </row>
        <row r="8065">
          <cell r="A8065" t="str">
            <v>20708.00733</v>
          </cell>
          <cell r="B8065" t="str">
            <v>SONDE A RESISTANCE EN PLATINE</v>
          </cell>
          <cell r="C8065" t="str">
            <v>0065N36J0080N0365XA</v>
          </cell>
          <cell r="D8065" t="str">
            <v>PE</v>
          </cell>
          <cell r="E8065" t="str">
            <v>512.51201</v>
          </cell>
          <cell r="F8065">
            <v>1758</v>
          </cell>
          <cell r="G8065">
            <v>0</v>
          </cell>
          <cell r="H8065">
            <v>0</v>
          </cell>
          <cell r="I8065">
            <v>0</v>
          </cell>
          <cell r="J8065">
            <v>0</v>
          </cell>
          <cell r="K8065">
            <v>0</v>
          </cell>
          <cell r="L8065">
            <v>1</v>
          </cell>
        </row>
        <row r="8066">
          <cell r="A8066" t="str">
            <v>20708.00734</v>
          </cell>
          <cell r="B8066" t="str">
            <v>SONDE A RESISTANCE EN PLATINE</v>
          </cell>
          <cell r="C8066" t="str">
            <v>0065N36J0080N0370XA</v>
          </cell>
          <cell r="D8066" t="str">
            <v>PE</v>
          </cell>
          <cell r="E8066" t="str">
            <v>512.51201</v>
          </cell>
          <cell r="F8066">
            <v>1758</v>
          </cell>
          <cell r="G8066">
            <v>0</v>
          </cell>
          <cell r="H8066">
            <v>0</v>
          </cell>
          <cell r="I8066">
            <v>1</v>
          </cell>
          <cell r="J8066">
            <v>0</v>
          </cell>
          <cell r="K8066">
            <v>0</v>
          </cell>
          <cell r="L8066">
            <v>0</v>
          </cell>
        </row>
        <row r="8067">
          <cell r="A8067" t="str">
            <v>20708.00735</v>
          </cell>
          <cell r="B8067" t="str">
            <v>SONDE A RESISTANCE EN PLATINE</v>
          </cell>
          <cell r="C8067" t="str">
            <v>0065N36J0080N0385XA</v>
          </cell>
          <cell r="D8067" t="str">
            <v>PE</v>
          </cell>
          <cell r="E8067" t="str">
            <v>512.51201</v>
          </cell>
          <cell r="F8067">
            <v>1758</v>
          </cell>
          <cell r="G8067">
            <v>0</v>
          </cell>
          <cell r="H8067">
            <v>0</v>
          </cell>
          <cell r="I8067">
            <v>0</v>
          </cell>
          <cell r="J8067">
            <v>0</v>
          </cell>
          <cell r="K8067">
            <v>0</v>
          </cell>
          <cell r="L8067">
            <v>1</v>
          </cell>
        </row>
        <row r="8068">
          <cell r="A8068" t="str">
            <v>20708.00736</v>
          </cell>
          <cell r="B8068" t="str">
            <v>SONDE A RESISTANCE EN PLATINE</v>
          </cell>
          <cell r="C8068" t="str">
            <v>0065N36J0080N0390XA</v>
          </cell>
          <cell r="D8068" t="str">
            <v>PE</v>
          </cell>
          <cell r="E8068" t="str">
            <v>512.51201</v>
          </cell>
          <cell r="F8068">
            <v>1758</v>
          </cell>
          <cell r="G8068">
            <v>0</v>
          </cell>
          <cell r="H8068">
            <v>0</v>
          </cell>
          <cell r="I8068">
            <v>0</v>
          </cell>
          <cell r="J8068">
            <v>0</v>
          </cell>
          <cell r="K8068">
            <v>0</v>
          </cell>
          <cell r="L8068">
            <v>1</v>
          </cell>
        </row>
        <row r="8069">
          <cell r="A8069" t="str">
            <v>20708.00737</v>
          </cell>
          <cell r="B8069" t="str">
            <v>SONDE A RESISTANCE EN PLATINE</v>
          </cell>
          <cell r="C8069" t="str">
            <v>0065N36J0080N0540XA</v>
          </cell>
          <cell r="D8069" t="str">
            <v>PE</v>
          </cell>
          <cell r="E8069" t="str">
            <v>512.51201</v>
          </cell>
          <cell r="F8069">
            <v>1758</v>
          </cell>
          <cell r="G8069">
            <v>1</v>
          </cell>
          <cell r="H8069">
            <v>0</v>
          </cell>
          <cell r="I8069">
            <v>0</v>
          </cell>
          <cell r="J8069">
            <v>0</v>
          </cell>
          <cell r="K8069">
            <v>0</v>
          </cell>
          <cell r="L8069">
            <v>1</v>
          </cell>
        </row>
        <row r="8070">
          <cell r="A8070" t="str">
            <v>20708.00738</v>
          </cell>
          <cell r="B8070" t="str">
            <v>SONDE A RESISTANCE EN PLATINE</v>
          </cell>
          <cell r="C8070" t="str">
            <v>0065N36J0080N2500XA</v>
          </cell>
          <cell r="D8070" t="str">
            <v>PE</v>
          </cell>
          <cell r="E8070" t="str">
            <v>512.51201</v>
          </cell>
          <cell r="F8070">
            <v>2280</v>
          </cell>
          <cell r="G8070">
            <v>0</v>
          </cell>
          <cell r="H8070">
            <v>0</v>
          </cell>
          <cell r="I8070">
            <v>0</v>
          </cell>
          <cell r="J8070">
            <v>0</v>
          </cell>
          <cell r="K8070">
            <v>0</v>
          </cell>
          <cell r="L8070">
            <v>1</v>
          </cell>
        </row>
        <row r="8071">
          <cell r="A8071" t="str">
            <v>20708.00739</v>
          </cell>
          <cell r="B8071" t="str">
            <v>TRANSMETTEUR DE PRESSION AVEC CAPILAIRE</v>
          </cell>
          <cell r="C8071" t="str">
            <v>3051TG2A2B21KM5S1+1199WDA95AFFW71DBA7</v>
          </cell>
          <cell r="D8071" t="str">
            <v>PE</v>
          </cell>
          <cell r="E8071" t="str">
            <v>512.51201</v>
          </cell>
          <cell r="F8071">
            <v>27030</v>
          </cell>
          <cell r="G8071">
            <v>0</v>
          </cell>
          <cell r="H8071">
            <v>2</v>
          </cell>
          <cell r="I8071">
            <v>0</v>
          </cell>
          <cell r="J8071">
            <v>0</v>
          </cell>
          <cell r="K8071">
            <v>0</v>
          </cell>
          <cell r="L8071">
            <v>1</v>
          </cell>
        </row>
        <row r="8072">
          <cell r="A8072" t="str">
            <v>20708.00740</v>
          </cell>
          <cell r="B8072" t="str">
            <v>TRANSMETTEUR DE PRESSION</v>
          </cell>
          <cell r="C8072" t="str">
            <v>3051TG2A2B31BB4M5Q4</v>
          </cell>
          <cell r="D8072" t="str">
            <v>PE</v>
          </cell>
          <cell r="E8072" t="str">
            <v>512.51201</v>
          </cell>
          <cell r="F8072">
            <v>18623.080000000002</v>
          </cell>
          <cell r="G8072">
            <v>0</v>
          </cell>
          <cell r="H8072">
            <v>0</v>
          </cell>
          <cell r="I8072">
            <v>0</v>
          </cell>
          <cell r="J8072">
            <v>0</v>
          </cell>
          <cell r="K8072">
            <v>0</v>
          </cell>
          <cell r="L8072">
            <v>2</v>
          </cell>
        </row>
        <row r="8073">
          <cell r="A8073" t="str">
            <v>20708.00741</v>
          </cell>
          <cell r="B8073" t="str">
            <v>TRANSMETTEUR DE NIVEAU</v>
          </cell>
          <cell r="C8073" t="str">
            <v>3051L2AA6FD11AKE5L4M6Q4</v>
          </cell>
          <cell r="D8073" t="str">
            <v>PE</v>
          </cell>
          <cell r="E8073" t="str">
            <v>512.51201</v>
          </cell>
          <cell r="F8073">
            <v>34070.29</v>
          </cell>
          <cell r="G8073">
            <v>0</v>
          </cell>
          <cell r="H8073">
            <v>2</v>
          </cell>
          <cell r="I8073">
            <v>0</v>
          </cell>
          <cell r="J8073">
            <v>0</v>
          </cell>
          <cell r="K8073">
            <v>0</v>
          </cell>
          <cell r="L8073">
            <v>0</v>
          </cell>
        </row>
        <row r="8074">
          <cell r="A8074" t="str">
            <v>20708.00742</v>
          </cell>
          <cell r="B8074" t="str">
            <v>TRANSMETTEUR DE NIVEAU</v>
          </cell>
          <cell r="C8074" t="str">
            <v>5401SH2NA4SPVJAM1Q4</v>
          </cell>
          <cell r="D8074" t="str">
            <v>PE</v>
          </cell>
          <cell r="E8074" t="str">
            <v>512.51201</v>
          </cell>
          <cell r="F8074">
            <v>42507.27</v>
          </cell>
          <cell r="G8074">
            <v>0</v>
          </cell>
          <cell r="H8074">
            <v>1</v>
          </cell>
          <cell r="I8074">
            <v>1</v>
          </cell>
          <cell r="J8074">
            <v>0</v>
          </cell>
          <cell r="K8074">
            <v>0</v>
          </cell>
          <cell r="L8074">
            <v>0</v>
          </cell>
        </row>
        <row r="8075">
          <cell r="A8075" t="str">
            <v>20708.00743</v>
          </cell>
          <cell r="B8075" t="str">
            <v>TRANSMETTEUR DE PRESSION ABSOLUE</v>
          </cell>
          <cell r="C8075" t="str">
            <v>3051TA1A2B21K04M6</v>
          </cell>
          <cell r="D8075" t="str">
            <v>PE</v>
          </cell>
          <cell r="E8075" t="str">
            <v>512.51201</v>
          </cell>
          <cell r="F8075">
            <v>22745.54</v>
          </cell>
          <cell r="G8075">
            <v>0</v>
          </cell>
          <cell r="H8075">
            <v>0</v>
          </cell>
          <cell r="I8075">
            <v>0</v>
          </cell>
          <cell r="J8075">
            <v>0</v>
          </cell>
          <cell r="K8075">
            <v>0</v>
          </cell>
          <cell r="L8075">
            <v>2</v>
          </cell>
        </row>
        <row r="8076">
          <cell r="A8076" t="str">
            <v>20708.00744</v>
          </cell>
          <cell r="B8076" t="str">
            <v>INDICATEUR DEPORTE</v>
          </cell>
          <cell r="C8076" t="str">
            <v>751AM4NAB</v>
          </cell>
          <cell r="D8076" t="str">
            <v>PE</v>
          </cell>
          <cell r="E8076" t="str">
            <v>512.51201</v>
          </cell>
          <cell r="F8076">
            <v>3636</v>
          </cell>
          <cell r="G8076">
            <v>0</v>
          </cell>
          <cell r="H8076">
            <v>0</v>
          </cell>
          <cell r="I8076">
            <v>0</v>
          </cell>
          <cell r="J8076">
            <v>0</v>
          </cell>
          <cell r="K8076">
            <v>1</v>
          </cell>
          <cell r="L8076">
            <v>9</v>
          </cell>
        </row>
        <row r="8077">
          <cell r="A8077" t="str">
            <v>20708.00745</v>
          </cell>
          <cell r="B8077" t="str">
            <v>TRANSMETTEUR DE PRESSION DIFFERENTIELLE</v>
          </cell>
          <cell r="C8077" t="str">
            <v>3051CD2A021AH2BAM5Q4</v>
          </cell>
          <cell r="D8077" t="str">
            <v>PE</v>
          </cell>
          <cell r="E8077" t="str">
            <v>512.51201</v>
          </cell>
          <cell r="F8077">
            <v>19171.830000000002</v>
          </cell>
          <cell r="G8077">
            <v>0</v>
          </cell>
          <cell r="H8077">
            <v>0</v>
          </cell>
          <cell r="I8077">
            <v>0</v>
          </cell>
          <cell r="J8077">
            <v>0</v>
          </cell>
          <cell r="K8077">
            <v>0</v>
          </cell>
          <cell r="L8077">
            <v>1</v>
          </cell>
        </row>
        <row r="8078">
          <cell r="A8078" t="str">
            <v>20708.00747</v>
          </cell>
          <cell r="B8078" t="str">
            <v>TRANSMETTEUR DE NIVEAU ULTRASON ACEV 2 RELAIS INTEGRES</v>
          </cell>
          <cell r="C8078" t="str">
            <v>3102HA1FRCNDC4WT BRIDE PVC 2" NPT ANSI 150</v>
          </cell>
          <cell r="D8078" t="str">
            <v>PE</v>
          </cell>
          <cell r="E8078" t="str">
            <v>512.51201</v>
          </cell>
          <cell r="F8078">
            <v>11983.25</v>
          </cell>
          <cell r="G8078">
            <v>0</v>
          </cell>
          <cell r="H8078">
            <v>1</v>
          </cell>
          <cell r="I8078">
            <v>0</v>
          </cell>
          <cell r="J8078">
            <v>1</v>
          </cell>
          <cell r="K8078">
            <v>1</v>
          </cell>
          <cell r="L8078">
            <v>0</v>
          </cell>
        </row>
        <row r="8079">
          <cell r="A8079" t="str">
            <v>20708.00748</v>
          </cell>
          <cell r="B8079" t="str">
            <v>TRANSMETTEUR DE PRESSION RELATIVE</v>
          </cell>
          <cell r="C8079" t="str">
            <v>3051TG2A2B21BB4M5Q4S1+1199WD54AFFW41DA00CMA049</v>
          </cell>
          <cell r="D8079" t="str">
            <v>PE</v>
          </cell>
          <cell r="E8079" t="str">
            <v>512.51201</v>
          </cell>
          <cell r="F8079">
            <v>45038.36</v>
          </cell>
          <cell r="G8079">
            <v>0</v>
          </cell>
          <cell r="H8079">
            <v>3</v>
          </cell>
          <cell r="I8079">
            <v>2</v>
          </cell>
          <cell r="J8079">
            <v>1</v>
          </cell>
          <cell r="K8079">
            <v>0</v>
          </cell>
          <cell r="L8079">
            <v>0</v>
          </cell>
        </row>
        <row r="8080">
          <cell r="A8080" t="str">
            <v>20708.00749</v>
          </cell>
          <cell r="B8080" t="str">
            <v>TRANSMETTEUR DE PRESSION DIFFERENTIELLE</v>
          </cell>
          <cell r="C8080" t="str">
            <v xml:space="preserve">3051CD2A02A1AH2BAM5Q4A1604 </v>
          </cell>
          <cell r="D8080" t="str">
            <v>PE</v>
          </cell>
          <cell r="E8080" t="str">
            <v>512.51201</v>
          </cell>
          <cell r="F8080">
            <v>24904.85</v>
          </cell>
          <cell r="G8080">
            <v>0</v>
          </cell>
          <cell r="H8080">
            <v>0</v>
          </cell>
          <cell r="I8080">
            <v>0</v>
          </cell>
          <cell r="J8080">
            <v>0</v>
          </cell>
          <cell r="K8080">
            <v>0</v>
          </cell>
          <cell r="L8080">
            <v>1</v>
          </cell>
        </row>
        <row r="8081">
          <cell r="A8081" t="str">
            <v>20709.01616</v>
          </cell>
          <cell r="B8081" t="str">
            <v>SONDE DE DETECTION DE TEMPERATURE</v>
          </cell>
          <cell r="C8081" t="str">
            <v>TR88-AA3B1E2CB000</v>
          </cell>
          <cell r="D8081" t="str">
            <v>PE</v>
          </cell>
          <cell r="E8081" t="str">
            <v>512.51201</v>
          </cell>
          <cell r="F8081">
            <v>2409.06</v>
          </cell>
          <cell r="G8081">
            <v>0</v>
          </cell>
          <cell r="H8081">
            <v>0</v>
          </cell>
          <cell r="I8081">
            <v>0</v>
          </cell>
          <cell r="J8081">
            <v>0</v>
          </cell>
          <cell r="K8081">
            <v>0</v>
          </cell>
          <cell r="L8081">
            <v>4</v>
          </cell>
        </row>
        <row r="8082">
          <cell r="A8082" t="str">
            <v>20498.21476</v>
          </cell>
          <cell r="B8082" t="str">
            <v>ELEMENT SENSIBLE DE RECHANGE THERMOCOUPLE</v>
          </cell>
          <cell r="C8082" t="str">
            <v>PYROCONTROLE PLAN 9 REV01 CLASSE DE TOLERANCE A TYPE K GAINE INOX 316L DIAMETRE 08 TC SIMPLE TYPE DG18 LONG 1403MM</v>
          </cell>
          <cell r="D8082" t="str">
            <v>PE</v>
          </cell>
          <cell r="E8082" t="str">
            <v>512.51201</v>
          </cell>
          <cell r="F8082">
            <v>0</v>
          </cell>
          <cell r="G8082">
            <v>0</v>
          </cell>
          <cell r="H8082">
            <v>0</v>
          </cell>
          <cell r="I8082">
            <v>0</v>
          </cell>
          <cell r="J8082">
            <v>1</v>
          </cell>
          <cell r="K8082">
            <v>0</v>
          </cell>
          <cell r="L8082">
            <v>1</v>
          </cell>
        </row>
        <row r="8083">
          <cell r="A8083" t="str">
            <v>20498.21477</v>
          </cell>
          <cell r="B8083" t="str">
            <v>ELEMENT SENSIBLE DE RECHANGE THERMOCOUPLE</v>
          </cell>
          <cell r="C8083" t="str">
            <v>PYROCONTROLE PLAN 9 REV01 CLASSE DE TOLERANCE A TYPE K  GAINE INOX 316L DIAMETRE 08 TC SIMPLE TYPE DG18 LONG 793MM</v>
          </cell>
          <cell r="D8083" t="str">
            <v>PE</v>
          </cell>
          <cell r="E8083" t="str">
            <v>512.51201</v>
          </cell>
          <cell r="F8083"/>
          <cell r="G8083">
            <v>0</v>
          </cell>
          <cell r="H8083">
            <v>0</v>
          </cell>
          <cell r="I8083">
            <v>0</v>
          </cell>
          <cell r="J8083">
            <v>0</v>
          </cell>
          <cell r="K8083">
            <v>0</v>
          </cell>
          <cell r="L8083">
            <v>2</v>
          </cell>
        </row>
        <row r="8084">
          <cell r="A8084" t="str">
            <v>20498.21478</v>
          </cell>
          <cell r="B8084" t="str">
            <v>ELEMENT SENSIBLE DE RECHANGE THERMOCOUPLE</v>
          </cell>
          <cell r="C8084" t="str">
            <v>PYROCONTROLE PLAN 9 REV01 CLASSE DE TOLERANCE A TYPE K GAINE INOX 316L DIAMETRE 08 TC SIMPLE TYPE DG18 LONG 539MM</v>
          </cell>
          <cell r="D8084" t="str">
            <v>PE</v>
          </cell>
          <cell r="E8084" t="str">
            <v>512.51201</v>
          </cell>
          <cell r="F8084"/>
          <cell r="G8084">
            <v>0</v>
          </cell>
          <cell r="H8084">
            <v>0</v>
          </cell>
          <cell r="I8084">
            <v>0</v>
          </cell>
          <cell r="J8084">
            <v>0</v>
          </cell>
          <cell r="K8084">
            <v>0</v>
          </cell>
          <cell r="L8084">
            <v>2</v>
          </cell>
        </row>
        <row r="8085">
          <cell r="A8085" t="str">
            <v>20498.21479</v>
          </cell>
          <cell r="B8085" t="str">
            <v>ELEMENT SENSIBLE DE RECHANGE THERMOCOUPLE</v>
          </cell>
          <cell r="C8085" t="str">
            <v>PYROCONTROLE PLAN 10 CLASSE DE TOLERANCE A TYPE K  GAINE INOX 316L DIAMETRE 06 TC SIMPLE TYPE DG16 K   LONG 513MM</v>
          </cell>
          <cell r="D8085" t="str">
            <v>PE</v>
          </cell>
          <cell r="E8085" t="str">
            <v>512.51201</v>
          </cell>
          <cell r="F8085"/>
          <cell r="G8085">
            <v>0</v>
          </cell>
          <cell r="H8085">
            <v>0</v>
          </cell>
          <cell r="I8085">
            <v>0</v>
          </cell>
          <cell r="J8085">
            <v>0</v>
          </cell>
          <cell r="K8085">
            <v>0</v>
          </cell>
          <cell r="L8085">
            <v>2</v>
          </cell>
        </row>
        <row r="8086">
          <cell r="A8086" t="str">
            <v>20498.21480</v>
          </cell>
          <cell r="B8086" t="str">
            <v>ELEMENT SENSIBLE DE RECHANGE THERMOCOUPLE</v>
          </cell>
          <cell r="C8086" t="str">
            <v>PYROCONTROLE PLAN 10 CLASSE DE TOLERANCE A TYPE K  GAINE INOX 316L DIAMETRE 06 TC SIMPLE TYPE DG16 K  LONG 437MM</v>
          </cell>
          <cell r="D8086" t="str">
            <v>PE</v>
          </cell>
          <cell r="E8086" t="str">
            <v>512.51201</v>
          </cell>
          <cell r="F8086"/>
          <cell r="G8086">
            <v>0</v>
          </cell>
          <cell r="H8086">
            <v>0</v>
          </cell>
          <cell r="I8086">
            <v>0</v>
          </cell>
          <cell r="J8086">
            <v>0</v>
          </cell>
          <cell r="K8086">
            <v>0</v>
          </cell>
          <cell r="L8086">
            <v>2</v>
          </cell>
        </row>
        <row r="8087">
          <cell r="A8087" t="str">
            <v>20498.21481</v>
          </cell>
          <cell r="B8087" t="str">
            <v>ELEMENT SENSIBLE DE RECHANGE THERMOCOUPLE</v>
          </cell>
          <cell r="C8087" t="str">
            <v>PYROCONTROLE PLAN 10 CLASSE DE TOLERANCE A TYPE K  GAINE INOX 316L DIAMETRE 06 TC SIMPLE TYPE DG16 K  LONG 439MM</v>
          </cell>
          <cell r="D8087" t="str">
            <v>PE</v>
          </cell>
          <cell r="E8087" t="str">
            <v>512.51201</v>
          </cell>
          <cell r="F8087"/>
          <cell r="G8087">
            <v>0</v>
          </cell>
          <cell r="H8087">
            <v>0</v>
          </cell>
          <cell r="I8087">
            <v>0</v>
          </cell>
          <cell r="J8087">
            <v>0</v>
          </cell>
          <cell r="K8087">
            <v>0</v>
          </cell>
          <cell r="L8087">
            <v>2</v>
          </cell>
        </row>
        <row r="8088">
          <cell r="A8088" t="str">
            <v>20498.21482</v>
          </cell>
          <cell r="B8088" t="str">
            <v>ELEMENT SENSIBLE DE RECHANGE THERMOCOUPLE</v>
          </cell>
          <cell r="C8088" t="str">
            <v>PYROCONTROLE PLAN 10 CLASSE DE TOLERANCE A TYPE K  GAINE INOX 316L DIAMETRE 06 TC SIMPLE TYPE DG16 K LONG 361MM</v>
          </cell>
          <cell r="D8088" t="str">
            <v>PE</v>
          </cell>
          <cell r="E8088" t="str">
            <v>512.51201</v>
          </cell>
          <cell r="F8088"/>
          <cell r="G8088">
            <v>0</v>
          </cell>
          <cell r="H8088">
            <v>0</v>
          </cell>
          <cell r="I8088">
            <v>0</v>
          </cell>
          <cell r="J8088">
            <v>0</v>
          </cell>
          <cell r="K8088">
            <v>0</v>
          </cell>
          <cell r="L8088">
            <v>2</v>
          </cell>
        </row>
        <row r="8089">
          <cell r="A8089" t="str">
            <v>20498.21483</v>
          </cell>
          <cell r="B8089" t="str">
            <v>ELEMENT SENSIBLE DE RECHANGE THERMOCOUPLE</v>
          </cell>
          <cell r="C8089" t="str">
            <v>PYROCONTROLE PLAN 10 CLASSE DE TOLERANCE A TYPE K  GAINE INOX 316L DIAMETRE 06 TC SIMPLE TYPE DG16 K  LONG 793MM</v>
          </cell>
          <cell r="D8089" t="str">
            <v>PE</v>
          </cell>
          <cell r="E8089" t="str">
            <v>512.51201</v>
          </cell>
          <cell r="F8089"/>
          <cell r="G8089">
            <v>0</v>
          </cell>
          <cell r="H8089">
            <v>0</v>
          </cell>
          <cell r="I8089">
            <v>0</v>
          </cell>
          <cell r="J8089">
            <v>0</v>
          </cell>
          <cell r="K8089">
            <v>0</v>
          </cell>
          <cell r="L8089">
            <v>2</v>
          </cell>
        </row>
        <row r="8090">
          <cell r="A8090" t="str">
            <v>20498.21484</v>
          </cell>
          <cell r="B8090" t="str">
            <v>ELEMENT SENSIBLE DE RECHANGE THERMOCOUPLE</v>
          </cell>
          <cell r="C8090" t="str">
            <v>PYROCONTROLE PLAN 10 CLASSE DE TOLERANCE A TYPE K  GAINE INOX 316L DIAMETRE 06 TC SIMPLE TYPE DG16 K  LONG 246,5MM</v>
          </cell>
          <cell r="D8090" t="str">
            <v>PE</v>
          </cell>
          <cell r="E8090" t="str">
            <v>512.51201</v>
          </cell>
          <cell r="F8090"/>
          <cell r="G8090">
            <v>0</v>
          </cell>
          <cell r="H8090">
            <v>0</v>
          </cell>
          <cell r="I8090">
            <v>0</v>
          </cell>
          <cell r="J8090">
            <v>0</v>
          </cell>
          <cell r="K8090">
            <v>0</v>
          </cell>
          <cell r="L8090">
            <v>2</v>
          </cell>
        </row>
        <row r="8091">
          <cell r="A8091" t="str">
            <v>20498.21485</v>
          </cell>
          <cell r="B8091" t="str">
            <v>ELEMENT SENSIBLE DE RECHANGE THERMOCOUPLE</v>
          </cell>
          <cell r="C8091" t="str">
            <v>PYROCONTROLE PLAN 10 CLASSE DE TOLERANCE A TYPE K  GAINE INOX 316L DIAMETRE 06 TC SIMPLE TYPE DG16 K  LONG 1098MM</v>
          </cell>
          <cell r="D8091" t="str">
            <v>PE</v>
          </cell>
          <cell r="E8091" t="str">
            <v>512.51201</v>
          </cell>
          <cell r="F8091">
            <v>0</v>
          </cell>
          <cell r="G8091">
            <v>0</v>
          </cell>
          <cell r="H8091">
            <v>0</v>
          </cell>
          <cell r="I8091">
            <v>0</v>
          </cell>
          <cell r="J8091">
            <v>0</v>
          </cell>
          <cell r="K8091">
            <v>0</v>
          </cell>
          <cell r="L8091">
            <v>1</v>
          </cell>
        </row>
        <row r="8092">
          <cell r="A8092" t="str">
            <v>20375.01252</v>
          </cell>
          <cell r="B8092" t="str">
            <v>VANNE REGULATRICE COMPLETE AVEC ACTUATEUR</v>
          </cell>
          <cell r="C8092" t="str">
            <v>PLAN A-5277C DN4" CORPS LEWMET</v>
          </cell>
          <cell r="D8092" t="str">
            <v>PE</v>
          </cell>
          <cell r="E8092" t="str">
            <v>515.51503</v>
          </cell>
          <cell r="F8092">
            <v>0</v>
          </cell>
          <cell r="G8092">
            <v>0</v>
          </cell>
          <cell r="H8092">
            <v>0</v>
          </cell>
          <cell r="I8092">
            <v>0</v>
          </cell>
          <cell r="J8092">
            <v>0</v>
          </cell>
          <cell r="K8092">
            <v>0</v>
          </cell>
          <cell r="L8092">
            <v>0</v>
          </cell>
        </row>
        <row r="8093">
          <cell r="A8093" t="str">
            <v>20428.21756</v>
          </cell>
          <cell r="B8093" t="str">
            <v>CORPS DE POMPE</v>
          </cell>
          <cell r="C8093" t="str">
            <v xml:space="preserve">CHARK 1200GV  PLAN SEC06503001 REV1   N° SERIE T06.5030.001   REP51 </v>
          </cell>
          <cell r="D8093" t="str">
            <v>PE</v>
          </cell>
          <cell r="E8093" t="str">
            <v>515.51503</v>
          </cell>
          <cell r="F8093">
            <v>2116760.9720999999</v>
          </cell>
          <cell r="G8093">
            <v>1</v>
          </cell>
          <cell r="H8093">
            <v>0</v>
          </cell>
          <cell r="I8093">
            <v>0</v>
          </cell>
          <cell r="J8093">
            <v>0</v>
          </cell>
          <cell r="K8093">
            <v>1</v>
          </cell>
          <cell r="L8093">
            <v>0</v>
          </cell>
        </row>
        <row r="8094">
          <cell r="A8094" t="str">
            <v>20428.21757</v>
          </cell>
          <cell r="B8094" t="str">
            <v>TUYAU D'ASPIRATION</v>
          </cell>
          <cell r="C8094" t="str">
            <v xml:space="preserve">CHARK 1200GV  PLAN SEC06503001 REV1   N° SERIE T06.5030.001  REP51A  </v>
          </cell>
          <cell r="D8094" t="str">
            <v>PE</v>
          </cell>
          <cell r="E8094" t="str">
            <v>515.51503</v>
          </cell>
          <cell r="F8094">
            <v>394929.97869999998</v>
          </cell>
          <cell r="G8094">
            <v>1</v>
          </cell>
          <cell r="H8094">
            <v>0</v>
          </cell>
          <cell r="I8094">
            <v>0</v>
          </cell>
          <cell r="J8094">
            <v>0</v>
          </cell>
          <cell r="K8094">
            <v>1</v>
          </cell>
          <cell r="L8094">
            <v>0</v>
          </cell>
        </row>
        <row r="8095">
          <cell r="A8095" t="str">
            <v>20428.21758</v>
          </cell>
          <cell r="B8095" t="str">
            <v>PRESSE ETOUPE</v>
          </cell>
          <cell r="C8095" t="str">
            <v xml:space="preserve">CHARK 1200GV   PLAN SEC06503001 REV1    N° SERIE T06.5030.001   REP62  </v>
          </cell>
          <cell r="D8095" t="str">
            <v>PE</v>
          </cell>
          <cell r="E8095" t="str">
            <v>515.51503</v>
          </cell>
          <cell r="F8095">
            <v>31586.6859</v>
          </cell>
          <cell r="G8095">
            <v>0</v>
          </cell>
          <cell r="H8095">
            <v>0</v>
          </cell>
          <cell r="I8095">
            <v>0</v>
          </cell>
          <cell r="J8095">
            <v>0</v>
          </cell>
          <cell r="K8095">
            <v>1</v>
          </cell>
          <cell r="L8095">
            <v>0</v>
          </cell>
        </row>
        <row r="8096">
          <cell r="A8096" t="str">
            <v>20708.00709</v>
          </cell>
          <cell r="B8096" t="str">
            <v>TUBE DE MESURE POUR DEBIMETRE ELECROMAGNETIQUE A CHAMP ELEVE</v>
          </cell>
          <cell r="C8096" t="str">
            <v>8707TPA040S1W0N0G1</v>
          </cell>
          <cell r="D8096" t="str">
            <v>PE</v>
          </cell>
          <cell r="E8096" t="str">
            <v>512.51201</v>
          </cell>
          <cell r="F8096">
            <v>33837</v>
          </cell>
          <cell r="G8096">
            <v>0</v>
          </cell>
          <cell r="H8096">
            <v>0</v>
          </cell>
          <cell r="I8096">
            <v>0</v>
          </cell>
          <cell r="J8096">
            <v>0</v>
          </cell>
          <cell r="K8096">
            <v>0</v>
          </cell>
          <cell r="L8096">
            <v>0</v>
          </cell>
        </row>
        <row r="8097">
          <cell r="A8097" t="str">
            <v>10019.10294</v>
          </cell>
          <cell r="B8097" t="str">
            <v>JOINT ANTI-ACIDE DN450</v>
          </cell>
          <cell r="C8097" t="str">
            <v xml:space="preserve">JOINT ANTI-ACIDE ""GARLOOK GYLON FAWN"" CLASSE 150LBS POUR ACIDE SULFURIQUE  DN 450 EP. 3 MM </v>
          </cell>
          <cell r="D8097" t="str">
            <v>PE</v>
          </cell>
          <cell r="E8097" t="str">
            <v>522.52207</v>
          </cell>
          <cell r="F8097">
            <v>0</v>
          </cell>
          <cell r="G8097">
            <v>0</v>
          </cell>
          <cell r="H8097">
            <v>0</v>
          </cell>
          <cell r="I8097">
            <v>6</v>
          </cell>
          <cell r="J8097">
            <v>0</v>
          </cell>
          <cell r="K8097">
            <v>0</v>
          </cell>
          <cell r="L8097">
            <v>0</v>
          </cell>
        </row>
        <row r="8098">
          <cell r="A8098" t="str">
            <v>10019.10295</v>
          </cell>
          <cell r="B8098" t="str">
            <v>JOINT ANTI-ACIDE DN500</v>
          </cell>
          <cell r="C8098" t="str">
            <v xml:space="preserve">JOINT ANTI-ACIDE "GARLOOK GYLON FAWN''CLASSE 150LBS POUR ACIDE SULFURIQUE  DN 500 EP. 3 MM </v>
          </cell>
          <cell r="D8098" t="str">
            <v>PE</v>
          </cell>
          <cell r="E8098" t="str">
            <v>522.52207</v>
          </cell>
          <cell r="F8098">
            <v>0</v>
          </cell>
          <cell r="G8098">
            <v>0</v>
          </cell>
          <cell r="H8098">
            <v>0</v>
          </cell>
          <cell r="I8098">
            <v>6</v>
          </cell>
          <cell r="J8098">
            <v>0</v>
          </cell>
          <cell r="K8098">
            <v>0</v>
          </cell>
          <cell r="L8098">
            <v>0</v>
          </cell>
        </row>
        <row r="8099">
          <cell r="A8099" t="str">
            <v>10019.10315</v>
          </cell>
          <cell r="B8099" t="str">
            <v>JOINT SPIRAL AVEC ANNEAU EXTERIEUR ET INTERIEUR EN INOX 316 L</v>
          </cell>
          <cell r="C8099" t="str">
            <v>JOINT SPIRAL AVEC ANNEAU EXTERIEUR ET INTERIEUR EN INOX 316 L   PTFE DN500 CLASSE 600  EP4,5 mm , JOINT EN PTFE DIMENSSION 500 X 577,9 X 520,7 X 682,8 EPAISEUR DE LA BAGUE 3MM SELON NORME EN 12560-2   EMPERATURE : 280 °C</v>
          </cell>
          <cell r="D8099" t="str">
            <v>PE</v>
          </cell>
          <cell r="E8099" t="str">
            <v>522.52207</v>
          </cell>
          <cell r="F8099">
            <v>495</v>
          </cell>
          <cell r="G8099">
            <v>0</v>
          </cell>
          <cell r="H8099">
            <v>0</v>
          </cell>
          <cell r="I8099">
            <v>0</v>
          </cell>
          <cell r="J8099">
            <v>0</v>
          </cell>
          <cell r="K8099">
            <v>0</v>
          </cell>
          <cell r="L8099">
            <v>4</v>
          </cell>
        </row>
        <row r="8100">
          <cell r="A8100" t="str">
            <v>10068.10345</v>
          </cell>
          <cell r="B8100" t="str">
            <v>TE REDUIT INOX 60,3X33,7</v>
          </cell>
          <cell r="C8100" t="str">
            <v>TE REDUIT INOX 60,3X33,7TE REDUIT A SOUDER EN INOX NORME/NUANCE AFNOR/Z2 CND 17-13 DIN     /X2 CR NI MO 18-12 DIAMETRES: CORPS 60,3MM EP.3MM - TUBULAIRE 33,7MM EP.2MM</v>
          </cell>
          <cell r="D8100" t="str">
            <v>PE</v>
          </cell>
          <cell r="E8100" t="str">
            <v>313.31301</v>
          </cell>
          <cell r="F8100">
            <v>1180</v>
          </cell>
          <cell r="G8100">
            <v>0</v>
          </cell>
          <cell r="H8100">
            <v>0</v>
          </cell>
          <cell r="I8100">
            <v>0</v>
          </cell>
          <cell r="J8100">
            <v>4</v>
          </cell>
          <cell r="K8100">
            <v>0</v>
          </cell>
          <cell r="L8100">
            <v>0</v>
          </cell>
        </row>
        <row r="8101">
          <cell r="A8101" t="str">
            <v>10019.10340</v>
          </cell>
          <cell r="B8101" t="str">
            <v>TRESSE EN PTFE EXPANSE 18MM</v>
          </cell>
          <cell r="C8101" t="str">
            <v>TRESSE CARRE 18MM EN PTFE EXPANSE EN FIL DE SOIE 100%,PRESSION 300 BAR TEMPERATURE 300°C PH 0-14 VITESSE 5M/S GENRE LATTY FLON 3206 S</v>
          </cell>
          <cell r="D8101" t="str">
            <v>PE</v>
          </cell>
          <cell r="E8101" t="str">
            <v>522.52207</v>
          </cell>
          <cell r="F8101">
            <v>0</v>
          </cell>
          <cell r="G8101">
            <v>0</v>
          </cell>
          <cell r="H8101">
            <v>0</v>
          </cell>
          <cell r="I8101">
            <v>5.7</v>
          </cell>
          <cell r="J8101">
            <v>0</v>
          </cell>
          <cell r="K8101">
            <v>0</v>
          </cell>
          <cell r="L8101">
            <v>0</v>
          </cell>
        </row>
        <row r="8102">
          <cell r="A8102" t="str">
            <v>10019.10341</v>
          </cell>
          <cell r="B8102" t="str">
            <v>TRESSE EN PTFE EXPANSE 24MM</v>
          </cell>
          <cell r="C8102" t="str">
            <v>TRESSE CARRE 24MM EN PTFE EXPANSE EN FIL DE SOIE 100%,PRESSION 300 BAR TEMPERATURE 300°C PH 0-14 VITESSE 5M/S GENRE LATTY FLON 3206 S</v>
          </cell>
          <cell r="D8102" t="str">
            <v>PE</v>
          </cell>
          <cell r="E8102" t="str">
            <v>522.52207</v>
          </cell>
          <cell r="F8102">
            <v>0</v>
          </cell>
          <cell r="G8102">
            <v>0</v>
          </cell>
          <cell r="H8102">
            <v>0</v>
          </cell>
          <cell r="I8102">
            <v>0</v>
          </cell>
          <cell r="J8102">
            <v>0</v>
          </cell>
          <cell r="K8102">
            <v>8.6999999999999993</v>
          </cell>
          <cell r="L8102">
            <v>0</v>
          </cell>
        </row>
        <row r="8103">
          <cell r="A8103" t="str">
            <v>10019.10342</v>
          </cell>
          <cell r="B8103" t="str">
            <v>TRESSE EN PTFE EXPANSE 22MM</v>
          </cell>
          <cell r="C8103" t="str">
            <v>TRESSE CARRE 22MM EN PTFE EXPANSE EN FIL DE SOIE 100%,PRESSION 300 BAR TEMPERATURE 300°C PH 0-14 VITESSE 5M/S GENRE LATTY FLON 3206 S</v>
          </cell>
          <cell r="D8103" t="str">
            <v>PE</v>
          </cell>
          <cell r="E8103" t="str">
            <v>522.52207</v>
          </cell>
          <cell r="F8103">
            <v>0</v>
          </cell>
          <cell r="G8103">
            <v>0</v>
          </cell>
          <cell r="H8103">
            <v>0</v>
          </cell>
          <cell r="I8103">
            <v>0</v>
          </cell>
          <cell r="J8103">
            <v>0</v>
          </cell>
          <cell r="K8103">
            <v>0</v>
          </cell>
          <cell r="L8103">
            <v>6.9</v>
          </cell>
        </row>
        <row r="8104">
          <cell r="A8104" t="str">
            <v>20705.01705</v>
          </cell>
          <cell r="B8104" t="str">
            <v>FILTRE</v>
          </cell>
          <cell r="C8104">
            <v>504145562</v>
          </cell>
          <cell r="D8104" t="str">
            <v>PE</v>
          </cell>
          <cell r="E8104" t="str">
            <v>222.22209</v>
          </cell>
          <cell r="F8104">
            <v>0</v>
          </cell>
          <cell r="G8104">
            <v>0</v>
          </cell>
          <cell r="H8104">
            <v>0</v>
          </cell>
          <cell r="I8104">
            <v>0</v>
          </cell>
          <cell r="J8104">
            <v>0</v>
          </cell>
          <cell r="K8104">
            <v>0</v>
          </cell>
          <cell r="L8104">
            <v>1</v>
          </cell>
        </row>
        <row r="8105">
          <cell r="A8105" t="str">
            <v>20705.01706</v>
          </cell>
          <cell r="B8105" t="str">
            <v>DEMARREUR</v>
          </cell>
          <cell r="C8105">
            <v>5801577136</v>
          </cell>
          <cell r="D8105" t="str">
            <v>PE</v>
          </cell>
          <cell r="E8105" t="str">
            <v>222.22209</v>
          </cell>
          <cell r="F8105">
            <v>0</v>
          </cell>
          <cell r="G8105">
            <v>0</v>
          </cell>
          <cell r="H8105">
            <v>0</v>
          </cell>
          <cell r="I8105">
            <v>0</v>
          </cell>
          <cell r="J8105">
            <v>0</v>
          </cell>
          <cell r="K8105">
            <v>0</v>
          </cell>
          <cell r="L8105">
            <v>0</v>
          </cell>
        </row>
        <row r="8106">
          <cell r="A8106" t="str">
            <v>20705.01707</v>
          </cell>
          <cell r="B8106" t="str">
            <v>POMPE D'INJECTION</v>
          </cell>
          <cell r="C8106">
            <v>504105935</v>
          </cell>
          <cell r="D8106" t="str">
            <v>PE</v>
          </cell>
          <cell r="E8106" t="str">
            <v>222.22209</v>
          </cell>
          <cell r="F8106">
            <v>0</v>
          </cell>
          <cell r="G8106">
            <v>0</v>
          </cell>
          <cell r="H8106">
            <v>0</v>
          </cell>
          <cell r="I8106">
            <v>0</v>
          </cell>
          <cell r="J8106">
            <v>0</v>
          </cell>
          <cell r="K8106">
            <v>0</v>
          </cell>
          <cell r="L8106">
            <v>1</v>
          </cell>
        </row>
        <row r="8107">
          <cell r="A8107" t="str">
            <v>10016.00256</v>
          </cell>
          <cell r="B8107" t="str">
            <v>ELEMENT ELASTOMERE</v>
          </cell>
          <cell r="C8107" t="str">
            <v>ELEMENT ELASTOMERE TYPE : ES TAILLE : 20 GENRE REXNORD OMEGA REF : 7300100M.</v>
          </cell>
          <cell r="D8107" t="str">
            <v>PE</v>
          </cell>
          <cell r="E8107" t="str">
            <v>515.51515</v>
          </cell>
          <cell r="F8107">
            <v>0</v>
          </cell>
          <cell r="G8107">
            <v>0</v>
          </cell>
          <cell r="H8107">
            <v>0</v>
          </cell>
          <cell r="I8107">
            <v>0</v>
          </cell>
          <cell r="J8107">
            <v>1</v>
          </cell>
          <cell r="K8107">
            <v>0</v>
          </cell>
          <cell r="L8107">
            <v>2</v>
          </cell>
        </row>
        <row r="8108">
          <cell r="A8108" t="str">
            <v>20492.29192</v>
          </cell>
          <cell r="B8108" t="str">
            <v>JOINT DE DILATATION</v>
          </cell>
          <cell r="C8108" t="str">
            <v>NERON PLAN IN4092 REV2</v>
          </cell>
          <cell r="D8108" t="str">
            <v>PE</v>
          </cell>
          <cell r="E8108" t="str">
            <v>522.52213</v>
          </cell>
          <cell r="F8108">
            <v>30220.300500000001</v>
          </cell>
          <cell r="G8108">
            <v>0</v>
          </cell>
          <cell r="H8108">
            <v>0</v>
          </cell>
          <cell r="I8108">
            <v>0</v>
          </cell>
          <cell r="J8108">
            <v>0</v>
          </cell>
          <cell r="K8108">
            <v>0</v>
          </cell>
          <cell r="L8108">
            <v>1</v>
          </cell>
        </row>
        <row r="8109">
          <cell r="A8109" t="str">
            <v>20492.29193</v>
          </cell>
          <cell r="B8109" t="str">
            <v>JOINT DE DILATATION</v>
          </cell>
          <cell r="C8109" t="str">
            <v>NERON PLAN IN4093 REV3</v>
          </cell>
          <cell r="D8109" t="str">
            <v>PE</v>
          </cell>
          <cell r="E8109" t="str">
            <v>522.52213</v>
          </cell>
          <cell r="F8109">
            <v>35720.055</v>
          </cell>
          <cell r="G8109">
            <v>0</v>
          </cell>
          <cell r="H8109">
            <v>0</v>
          </cell>
          <cell r="I8109">
            <v>0</v>
          </cell>
          <cell r="J8109">
            <v>0</v>
          </cell>
          <cell r="K8109">
            <v>0</v>
          </cell>
          <cell r="L8109">
            <v>0</v>
          </cell>
        </row>
        <row r="8110">
          <cell r="A8110" t="str">
            <v>10016.00257</v>
          </cell>
          <cell r="B8110" t="str">
            <v>ELEMENT ELASTOMERE</v>
          </cell>
          <cell r="C8110" t="str">
            <v>ELEMENT ELASTOMERE TYPE : ETAILLE : 10M GENRE REXNORD OMEGA REF: 7300025M</v>
          </cell>
          <cell r="D8110" t="str">
            <v>PE</v>
          </cell>
          <cell r="E8110" t="str">
            <v>515.51515</v>
          </cell>
          <cell r="F8110">
            <v>0</v>
          </cell>
          <cell r="G8110">
            <v>0</v>
          </cell>
          <cell r="H8110">
            <v>0</v>
          </cell>
          <cell r="I8110">
            <v>0</v>
          </cell>
          <cell r="J8110">
            <v>0</v>
          </cell>
          <cell r="K8110">
            <v>0</v>
          </cell>
          <cell r="L8110">
            <v>3</v>
          </cell>
        </row>
        <row r="8111">
          <cell r="A8111" t="str">
            <v>20499.21175</v>
          </cell>
          <cell r="B8111" t="str">
            <v>VANNE COMPLETE</v>
          </cell>
          <cell r="C8111" t="str">
            <v xml:space="preserve">ARI ARMATUREN  SERIE:ARI-STEVI-22470   DN 100  AVEC POSITIONNEUR PNEUMATIQUE TYPE DP33  </v>
          </cell>
          <cell r="D8111" t="str">
            <v>PE</v>
          </cell>
          <cell r="E8111" t="str">
            <v>515.51511</v>
          </cell>
          <cell r="F8111">
            <v>0</v>
          </cell>
          <cell r="G8111">
            <v>0</v>
          </cell>
          <cell r="H8111">
            <v>0</v>
          </cell>
          <cell r="I8111">
            <v>0</v>
          </cell>
          <cell r="J8111">
            <v>0</v>
          </cell>
          <cell r="K8111">
            <v>0</v>
          </cell>
          <cell r="L8111">
            <v>0</v>
          </cell>
        </row>
        <row r="8112">
          <cell r="A8112" t="str">
            <v>10066.01513</v>
          </cell>
          <cell r="B8112" t="str">
            <v>TUBE EN ACIER INOX  21,3 EP 4,75</v>
          </cell>
          <cell r="C8112" t="str">
            <v>TUBE SANS SOUDURE EN ACIER INOXYDABLE S/NORME : (AFNOR Z2CND17.13)  (DIN X2CRNIMO18.12) (AISI 316L)  (UGINE NSM 22S)  (CREUSOT-LOIRE ICL166BC)  LONGUEUR : 6 METRES  DIAMETRE : EXT.21,3MM EPAISSEUR 4,75MM</v>
          </cell>
          <cell r="D8112" t="str">
            <v>M</v>
          </cell>
          <cell r="E8112" t="str">
            <v>313.31301</v>
          </cell>
          <cell r="F8112">
            <v>0</v>
          </cell>
          <cell r="G8112">
            <v>0</v>
          </cell>
          <cell r="H8112">
            <v>0</v>
          </cell>
          <cell r="I8112">
            <v>0</v>
          </cell>
          <cell r="J8112">
            <v>0</v>
          </cell>
          <cell r="K8112">
            <v>0</v>
          </cell>
          <cell r="L8112">
            <v>0</v>
          </cell>
        </row>
        <row r="8113">
          <cell r="A8113" t="str">
            <v>20325.08554</v>
          </cell>
          <cell r="B8113" t="str">
            <v>GRAISSEUR AUTOMATIQUE MONOPOINT ELECTROMECANIQUE</v>
          </cell>
          <cell r="C8113" t="str">
            <v>TLSD 250/WA2</v>
          </cell>
          <cell r="D8113" t="str">
            <v>PE</v>
          </cell>
          <cell r="E8113" t="str">
            <v>515.51515</v>
          </cell>
          <cell r="F8113">
            <v>0</v>
          </cell>
          <cell r="G8113">
            <v>0</v>
          </cell>
          <cell r="H8113">
            <v>0</v>
          </cell>
          <cell r="I8113">
            <v>0</v>
          </cell>
          <cell r="J8113">
            <v>0</v>
          </cell>
          <cell r="K8113">
            <v>0</v>
          </cell>
          <cell r="L8113">
            <v>0</v>
          </cell>
        </row>
        <row r="8114">
          <cell r="A8114" t="str">
            <v>20488.11251</v>
          </cell>
          <cell r="B8114" t="str">
            <v>RELAIS</v>
          </cell>
          <cell r="C8114" t="str">
            <v>MICROELETTRICA SCIENTIFICA:N-DIN-MA  Type 2 : 80V(-20%) / 230V(+15%) a.c. - 90V(-20%) / 250V(+20%) d.c.</v>
          </cell>
          <cell r="D8114" t="str">
            <v>PE</v>
          </cell>
          <cell r="E8114" t="str">
            <v>522.52206</v>
          </cell>
          <cell r="F8114">
            <v>0</v>
          </cell>
          <cell r="G8114">
            <v>0</v>
          </cell>
          <cell r="H8114">
            <v>0</v>
          </cell>
          <cell r="I8114">
            <v>1</v>
          </cell>
          <cell r="J8114">
            <v>0</v>
          </cell>
          <cell r="K8114">
            <v>2</v>
          </cell>
          <cell r="L8114">
            <v>0</v>
          </cell>
        </row>
        <row r="8115">
          <cell r="A8115" t="str">
            <v>20492.31958</v>
          </cell>
          <cell r="B8115" t="str">
            <v>CAPTEUR D'ALARME DE DEBIT</v>
          </cell>
          <cell r="C8115" t="str">
            <v>M&amp;C 02 E 1000  TYPE: FA-1BI</v>
          </cell>
          <cell r="D8115" t="str">
            <v>PE</v>
          </cell>
          <cell r="E8115" t="str">
            <v>512.51201</v>
          </cell>
          <cell r="F8115">
            <v>3528</v>
          </cell>
          <cell r="G8115">
            <v>0</v>
          </cell>
          <cell r="H8115">
            <v>0</v>
          </cell>
          <cell r="I8115">
            <v>0</v>
          </cell>
          <cell r="J8115">
            <v>0</v>
          </cell>
          <cell r="K8115">
            <v>1</v>
          </cell>
          <cell r="L8115">
            <v>1</v>
          </cell>
        </row>
        <row r="8116">
          <cell r="A8116" t="str">
            <v>20273.00119</v>
          </cell>
          <cell r="B8116" t="str">
            <v>SERVOMOTEUR ELECTRIQUE</v>
          </cell>
          <cell r="C8116" t="str">
            <v>TYPE ST-6</v>
          </cell>
          <cell r="D8116" t="str">
            <v>PE</v>
          </cell>
          <cell r="E8116" t="str">
            <v>515.51505</v>
          </cell>
          <cell r="F8116">
            <v>47500</v>
          </cell>
          <cell r="G8116">
            <v>0</v>
          </cell>
          <cell r="H8116">
            <v>0</v>
          </cell>
          <cell r="I8116">
            <v>0</v>
          </cell>
          <cell r="J8116">
            <v>0</v>
          </cell>
          <cell r="K8116">
            <v>0</v>
          </cell>
          <cell r="L8116">
            <v>1</v>
          </cell>
        </row>
        <row r="8117">
          <cell r="A8117" t="str">
            <v>10068.10273</v>
          </cell>
          <cell r="B8117" t="str">
            <v>BRIDE WELDING NECK (WN)  DN 3''  RF  EN A106</v>
          </cell>
          <cell r="C8117" t="str">
            <v>BRIDE WELDING NECK (WN)  DN 3''  RF  EN A106CLASSE 600LBS GRADE B</v>
          </cell>
          <cell r="D8117" t="str">
            <v>PE</v>
          </cell>
          <cell r="E8117" t="str">
            <v>313.31301</v>
          </cell>
          <cell r="F8117">
            <v>199</v>
          </cell>
          <cell r="G8117">
            <v>0</v>
          </cell>
          <cell r="H8117">
            <v>3</v>
          </cell>
          <cell r="I8117">
            <v>0</v>
          </cell>
          <cell r="J8117">
            <v>0</v>
          </cell>
          <cell r="K8117">
            <v>0</v>
          </cell>
          <cell r="L8117">
            <v>0</v>
          </cell>
        </row>
        <row r="8118">
          <cell r="A8118" t="str">
            <v>20492.23824</v>
          </cell>
          <cell r="B8118" t="str">
            <v>DOSEUR</v>
          </cell>
          <cell r="C8118" t="str">
            <v>FOMTEC BFZ  DN50 PRESSION MINI:4BAR MAXI:16BAR</v>
          </cell>
          <cell r="D8118" t="str">
            <v>PE</v>
          </cell>
          <cell r="E8118" t="str">
            <v>512.51201</v>
          </cell>
          <cell r="F8118">
            <v>0</v>
          </cell>
          <cell r="G8118">
            <v>0</v>
          </cell>
          <cell r="H8118">
            <v>0</v>
          </cell>
          <cell r="I8118">
            <v>0</v>
          </cell>
          <cell r="J8118">
            <v>0</v>
          </cell>
          <cell r="K8118">
            <v>0</v>
          </cell>
          <cell r="L8118">
            <v>0</v>
          </cell>
        </row>
        <row r="8119">
          <cell r="A8119" t="str">
            <v>20438.01275</v>
          </cell>
          <cell r="B8119" t="str">
            <v>VANE A PAPILLON REVETUE</v>
          </cell>
          <cell r="C8119" t="str">
            <v>XLD 11 DN 6" CLASSE 150 NUANCE EN-JS1049/PFA A COMMANDE PAR LEVIER CRANTE</v>
          </cell>
          <cell r="D8119" t="str">
            <v>PE</v>
          </cell>
          <cell r="E8119" t="str">
            <v>515.51511</v>
          </cell>
          <cell r="F8119">
            <v>6904</v>
          </cell>
          <cell r="G8119">
            <v>0</v>
          </cell>
          <cell r="H8119">
            <v>0</v>
          </cell>
          <cell r="I8119">
            <v>0</v>
          </cell>
          <cell r="J8119">
            <v>0</v>
          </cell>
          <cell r="K8119">
            <v>0</v>
          </cell>
          <cell r="L8119">
            <v>4</v>
          </cell>
        </row>
        <row r="8120">
          <cell r="A8120" t="str">
            <v>20438.01276</v>
          </cell>
          <cell r="B8120" t="str">
            <v>CLAPET DE RETENUE A BOULE</v>
          </cell>
          <cell r="C8120" t="str">
            <v>TYPE C-202 DN80 BRIDES CLASSE 150 CORPS ET BRIDES EN GGG40.3 REVETEMENT INTERIEUR EN TEFLON (PFA) PISTON SIEGE ET BOULE EN TEFLON (PTFE) RESSORT EN 1.4310 AVEC PTFE VISSERIE EN A4</v>
          </cell>
          <cell r="D8120" t="str">
            <v>PE</v>
          </cell>
          <cell r="E8120" t="str">
            <v>515.51511</v>
          </cell>
          <cell r="F8120">
            <v>8876.8279999999995</v>
          </cell>
          <cell r="G8120">
            <v>0</v>
          </cell>
          <cell r="H8120">
            <v>0</v>
          </cell>
          <cell r="I8120">
            <v>0</v>
          </cell>
          <cell r="J8120">
            <v>0</v>
          </cell>
          <cell r="K8120">
            <v>0</v>
          </cell>
          <cell r="L8120">
            <v>1</v>
          </cell>
        </row>
        <row r="8121">
          <cell r="A8121" t="str">
            <v>20438.01277</v>
          </cell>
          <cell r="B8121" t="str">
            <v>ACTIONNEUR PNEUMATIQUE</v>
          </cell>
          <cell r="C8121" t="str">
            <v xml:space="preserve">XRP-XS205-S08 C </v>
          </cell>
          <cell r="D8121" t="str">
            <v>PE</v>
          </cell>
          <cell r="E8121" t="str">
            <v>515.51511</v>
          </cell>
          <cell r="F8121">
            <v>17981.094000000001</v>
          </cell>
          <cell r="G8121">
            <v>0</v>
          </cell>
          <cell r="H8121">
            <v>0</v>
          </cell>
          <cell r="I8121">
            <v>0</v>
          </cell>
          <cell r="J8121">
            <v>0</v>
          </cell>
          <cell r="K8121">
            <v>0</v>
          </cell>
          <cell r="L8121">
            <v>2</v>
          </cell>
        </row>
        <row r="8122">
          <cell r="A8122" t="str">
            <v>20438.01278</v>
          </cell>
          <cell r="B8122" t="str">
            <v>ACTIONNEUR PNEUMATIQUE</v>
          </cell>
          <cell r="C8122" t="str">
            <v xml:space="preserve">XRP-XS380-S08 C </v>
          </cell>
          <cell r="D8122" t="str">
            <v>PE</v>
          </cell>
          <cell r="E8122" t="str">
            <v>515.51511</v>
          </cell>
          <cell r="F8122">
            <v>21632.671999999999</v>
          </cell>
          <cell r="G8122">
            <v>0</v>
          </cell>
          <cell r="H8122">
            <v>0</v>
          </cell>
          <cell r="I8122">
            <v>0</v>
          </cell>
          <cell r="J8122">
            <v>0</v>
          </cell>
          <cell r="K8122">
            <v>0</v>
          </cell>
          <cell r="L8122">
            <v>2</v>
          </cell>
        </row>
        <row r="8123">
          <cell r="A8123" t="str">
            <v>20492.29483</v>
          </cell>
          <cell r="B8123" t="str">
            <v>BOITE A RESSORT COMPLETE</v>
          </cell>
          <cell r="C8123" t="str">
            <v>LISEGA PLAN  133-3-65093 REF 793-721-14</v>
          </cell>
          <cell r="D8123" t="str">
            <v>PE</v>
          </cell>
          <cell r="E8123" t="str">
            <v>522.52209</v>
          </cell>
          <cell r="F8123">
            <v>2577.9965999999999</v>
          </cell>
          <cell r="G8123">
            <v>0</v>
          </cell>
          <cell r="H8123">
            <v>0</v>
          </cell>
          <cell r="I8123">
            <v>0</v>
          </cell>
          <cell r="J8123">
            <v>0</v>
          </cell>
          <cell r="K8123">
            <v>0</v>
          </cell>
          <cell r="L8123">
            <v>0</v>
          </cell>
        </row>
        <row r="8124">
          <cell r="A8124" t="str">
            <v>20498.12315</v>
          </cell>
          <cell r="B8124" t="str">
            <v>TRANSMETTEUR</v>
          </cell>
          <cell r="C8124" t="str">
            <v>HAWK ORCA   TYPE: OSIR DJX</v>
          </cell>
          <cell r="D8124" t="str">
            <v>PE</v>
          </cell>
          <cell r="E8124" t="str">
            <v>512.51201</v>
          </cell>
          <cell r="F8124">
            <v>34283</v>
          </cell>
          <cell r="G8124">
            <v>0</v>
          </cell>
          <cell r="H8124">
            <v>1</v>
          </cell>
          <cell r="I8124">
            <v>0</v>
          </cell>
          <cell r="J8124">
            <v>0</v>
          </cell>
          <cell r="K8124">
            <v>0</v>
          </cell>
          <cell r="L8124">
            <v>0</v>
          </cell>
        </row>
        <row r="8125">
          <cell r="A8125" t="str">
            <v>20498.12316</v>
          </cell>
          <cell r="B8125" t="str">
            <v>SONDE</v>
          </cell>
          <cell r="C8125" t="str">
            <v>HAWK ORCA  TYPE: OSIRT 302S4XC15</v>
          </cell>
          <cell r="D8125" t="str">
            <v>PE</v>
          </cell>
          <cell r="E8125" t="str">
            <v>512.51201</v>
          </cell>
          <cell r="F8125">
            <v>27894</v>
          </cell>
          <cell r="G8125">
            <v>0</v>
          </cell>
          <cell r="H8125">
            <v>1</v>
          </cell>
          <cell r="I8125">
            <v>0</v>
          </cell>
          <cell r="J8125">
            <v>0</v>
          </cell>
          <cell r="K8125">
            <v>0</v>
          </cell>
          <cell r="L8125">
            <v>0</v>
          </cell>
        </row>
        <row r="8126">
          <cell r="A8126" t="str">
            <v>20498.12317</v>
          </cell>
          <cell r="B8126" t="str">
            <v>NETTOYEUR AUTOMATIQUE</v>
          </cell>
          <cell r="C8126" t="str">
            <v>HAWK ORCA  TYPE: OSIRSC A</v>
          </cell>
          <cell r="D8126" t="str">
            <v>PE</v>
          </cell>
          <cell r="E8126" t="str">
            <v>512.51201</v>
          </cell>
          <cell r="F8126">
            <v>20004</v>
          </cell>
          <cell r="G8126">
            <v>0</v>
          </cell>
          <cell r="H8126">
            <v>0</v>
          </cell>
          <cell r="I8126">
            <v>0</v>
          </cell>
          <cell r="J8126">
            <v>0</v>
          </cell>
          <cell r="K8126">
            <v>0</v>
          </cell>
          <cell r="L8126">
            <v>2</v>
          </cell>
        </row>
        <row r="8127">
          <cell r="A8127" t="str">
            <v>10067.05187</v>
          </cell>
          <cell r="B8127" t="str">
            <v>COMPENSATEUR DE DILATATION EN HYPALON DN 100 PN 20</v>
          </cell>
          <cell r="C8127" t="str">
            <v>COMPENSATEUR DE DILATATION EN HYPALON  - DIAMETRE : 100 MM  - PN 20 - LONGUEUR : 153 MM - PRESSION DE SERVICE : 0,61 KG/CM² - TEMPERATURE DE SERVICE : 90° C - REVET. INT. HYPALON, LISSE , TRES RESISTANT A L'ABRASION - REVET. EXT.  HYPALON - NOMBRE D'ONDULATION : 1SUIVANT FICHE TECHNIQUE</v>
          </cell>
          <cell r="D8127" t="str">
            <v>PE</v>
          </cell>
          <cell r="E8127" t="str">
            <v>522.52207</v>
          </cell>
          <cell r="F8127">
            <v>1336.5</v>
          </cell>
          <cell r="G8127">
            <v>0</v>
          </cell>
          <cell r="H8127">
            <v>0</v>
          </cell>
          <cell r="I8127">
            <v>0</v>
          </cell>
          <cell r="J8127">
            <v>0</v>
          </cell>
          <cell r="K8127">
            <v>2</v>
          </cell>
          <cell r="L8127">
            <v>0</v>
          </cell>
        </row>
        <row r="8128">
          <cell r="A8128" t="str">
            <v>10067.05188</v>
          </cell>
          <cell r="B8128" t="str">
            <v>COMPENSATEUR DE DILATATION EN HYPALON DN 150 PN 20</v>
          </cell>
          <cell r="C8128" t="str">
            <v>COMPENSATEUR DE DILATATION EN HYPALON  - DIAMETRE : 150 MM  - PN 20 - LONGUEUR : 153 MM - PRESSION DE SERVICE : 0,43 KG/CM² - TEMPERATURE DE SERVICE : 90° C - REVET. INT. HYPALON, LISSE , TRES RESISTANT A L'ABRASION - REVET. EXT.  HYPALON - NOMBRE D'ONDULATION : 1SUIVANT FICHE TECHNIQUE</v>
          </cell>
          <cell r="D8128" t="str">
            <v>PE</v>
          </cell>
          <cell r="E8128" t="str">
            <v>522.52207</v>
          </cell>
          <cell r="F8128">
            <v>1556.5</v>
          </cell>
          <cell r="G8128">
            <v>0</v>
          </cell>
          <cell r="H8128">
            <v>0</v>
          </cell>
          <cell r="I8128">
            <v>0</v>
          </cell>
          <cell r="J8128">
            <v>0</v>
          </cell>
          <cell r="K8128">
            <v>2</v>
          </cell>
          <cell r="L8128">
            <v>0</v>
          </cell>
        </row>
        <row r="8129">
          <cell r="A8129" t="str">
            <v>20710.00240</v>
          </cell>
          <cell r="B8129" t="str">
            <v>RACK PRINCIPAL</v>
          </cell>
          <cell r="C8129" t="str">
            <v>AFV30D-S41251</v>
          </cell>
          <cell r="D8129" t="str">
            <v>PE</v>
          </cell>
          <cell r="E8129" t="str">
            <v>512.51201</v>
          </cell>
          <cell r="F8129">
            <v>144777.95610000001</v>
          </cell>
          <cell r="G8129">
            <v>0</v>
          </cell>
          <cell r="H8129">
            <v>0</v>
          </cell>
          <cell r="I8129">
            <v>0</v>
          </cell>
          <cell r="J8129">
            <v>0</v>
          </cell>
          <cell r="K8129">
            <v>0</v>
          </cell>
          <cell r="L8129">
            <v>0</v>
          </cell>
        </row>
        <row r="8130">
          <cell r="A8130" t="str">
            <v>20492.29484</v>
          </cell>
          <cell r="B8130" t="str">
            <v>BOITE A RESSORT COMPLETE</v>
          </cell>
          <cell r="C8130" t="str">
            <v>LISEGA PLAN  134-3-65093 REF 793-721-13</v>
          </cell>
          <cell r="D8130" t="str">
            <v>PE</v>
          </cell>
          <cell r="E8130" t="str">
            <v>522.52209</v>
          </cell>
          <cell r="F8130">
            <v>2577.9965999999999</v>
          </cell>
          <cell r="G8130">
            <v>0</v>
          </cell>
          <cell r="H8130">
            <v>0</v>
          </cell>
          <cell r="I8130">
            <v>0</v>
          </cell>
          <cell r="J8130">
            <v>0</v>
          </cell>
          <cell r="K8130">
            <v>0</v>
          </cell>
          <cell r="L8130">
            <v>0</v>
          </cell>
        </row>
        <row r="8131">
          <cell r="A8131" t="str">
            <v>20492.29485</v>
          </cell>
          <cell r="B8131" t="str">
            <v>BOITE A RESSORT COMPLETE</v>
          </cell>
          <cell r="C8131" t="str">
            <v>LISEGA PLAN  135-3-65093 REF 793-722-A02</v>
          </cell>
          <cell r="D8131" t="str">
            <v>PE</v>
          </cell>
          <cell r="E8131" t="str">
            <v>522.52209</v>
          </cell>
          <cell r="F8131">
            <v>6018.6088</v>
          </cell>
          <cell r="G8131">
            <v>0</v>
          </cell>
          <cell r="H8131">
            <v>0</v>
          </cell>
          <cell r="I8131">
            <v>0</v>
          </cell>
          <cell r="J8131">
            <v>0</v>
          </cell>
          <cell r="K8131">
            <v>0</v>
          </cell>
          <cell r="L8131">
            <v>1</v>
          </cell>
        </row>
        <row r="8132">
          <cell r="A8132" t="str">
            <v>20492.29486</v>
          </cell>
          <cell r="B8132" t="str">
            <v>BOITE A RESSORT COMPLETE</v>
          </cell>
          <cell r="C8132" t="str">
            <v>LISEGA PLAN  136-3-65093 REF 793-722-B02</v>
          </cell>
          <cell r="D8132" t="str">
            <v>PE</v>
          </cell>
          <cell r="E8132" t="str">
            <v>522.52209</v>
          </cell>
          <cell r="F8132">
            <v>6026.2637000000004</v>
          </cell>
          <cell r="G8132">
            <v>0</v>
          </cell>
          <cell r="H8132">
            <v>0</v>
          </cell>
          <cell r="I8132">
            <v>0</v>
          </cell>
          <cell r="J8132">
            <v>0</v>
          </cell>
          <cell r="K8132">
            <v>0</v>
          </cell>
          <cell r="L8132">
            <v>1</v>
          </cell>
        </row>
        <row r="8133">
          <cell r="A8133" t="str">
            <v>20492.29487</v>
          </cell>
          <cell r="B8133" t="str">
            <v>BOITE A RESSORT COMPLETE</v>
          </cell>
          <cell r="C8133" t="str">
            <v>LISEGA PLAN  137-3-65093 REF 793-721-11</v>
          </cell>
          <cell r="D8133" t="str">
            <v>PE</v>
          </cell>
          <cell r="E8133" t="str">
            <v>522.52209</v>
          </cell>
          <cell r="F8133">
            <v>7004.8594999999996</v>
          </cell>
          <cell r="G8133">
            <v>0</v>
          </cell>
          <cell r="H8133">
            <v>0</v>
          </cell>
          <cell r="I8133">
            <v>0</v>
          </cell>
          <cell r="J8133">
            <v>0</v>
          </cell>
          <cell r="K8133">
            <v>0</v>
          </cell>
          <cell r="L8133">
            <v>1</v>
          </cell>
        </row>
        <row r="8134">
          <cell r="A8134" t="str">
            <v>20492.29488</v>
          </cell>
          <cell r="B8134" t="str">
            <v>BOITE A RESSORT COMPLETE</v>
          </cell>
          <cell r="C8134" t="str">
            <v>LISEGA PLAN  138-3-65093 REF 793-721-12</v>
          </cell>
          <cell r="D8134" t="str">
            <v>PE</v>
          </cell>
          <cell r="E8134" t="str">
            <v>522.52209</v>
          </cell>
          <cell r="F8134">
            <v>7004.8594999999996</v>
          </cell>
          <cell r="G8134">
            <v>0</v>
          </cell>
          <cell r="H8134">
            <v>0</v>
          </cell>
          <cell r="I8134">
            <v>0</v>
          </cell>
          <cell r="J8134">
            <v>0</v>
          </cell>
          <cell r="K8134">
            <v>0</v>
          </cell>
          <cell r="L8134">
            <v>1</v>
          </cell>
        </row>
        <row r="8135">
          <cell r="A8135" t="str">
            <v>20492.29489</v>
          </cell>
          <cell r="B8135" t="str">
            <v>BOITE A RESSORT COMPLETE</v>
          </cell>
          <cell r="C8135" t="str">
            <v>LISEGA PLAN  139-3-65093 REF 793-716A</v>
          </cell>
          <cell r="D8135" t="str">
            <v>PE</v>
          </cell>
          <cell r="E8135" t="str">
            <v>522.52209</v>
          </cell>
          <cell r="F8135">
            <v>5730.9192999999996</v>
          </cell>
          <cell r="G8135">
            <v>0</v>
          </cell>
          <cell r="H8135">
            <v>0</v>
          </cell>
          <cell r="I8135">
            <v>0</v>
          </cell>
          <cell r="J8135">
            <v>0</v>
          </cell>
          <cell r="K8135">
            <v>0</v>
          </cell>
          <cell r="L8135">
            <v>0</v>
          </cell>
        </row>
        <row r="8136">
          <cell r="A8136" t="str">
            <v>20492.29490</v>
          </cell>
          <cell r="B8136" t="str">
            <v>BOITE A RESSORT COMPLETE</v>
          </cell>
          <cell r="C8136" t="str">
            <v>LISEGA PLAN  140-3-65093 REF 793-721A-01</v>
          </cell>
          <cell r="D8136" t="str">
            <v>PE</v>
          </cell>
          <cell r="E8136" t="str">
            <v>522.52209</v>
          </cell>
          <cell r="F8136">
            <v>45500.847399999999</v>
          </cell>
          <cell r="G8136">
            <v>0</v>
          </cell>
          <cell r="H8136">
            <v>0</v>
          </cell>
          <cell r="I8136">
            <v>0</v>
          </cell>
          <cell r="J8136">
            <v>0</v>
          </cell>
          <cell r="K8136">
            <v>0</v>
          </cell>
          <cell r="L8136">
            <v>1</v>
          </cell>
        </row>
        <row r="8137">
          <cell r="A8137" t="str">
            <v>20492.29491</v>
          </cell>
          <cell r="B8137" t="str">
            <v>BOITE A RESSORT COMPLETE</v>
          </cell>
          <cell r="C8137" t="str">
            <v>LISEGA PLAN  141-3-65093 REF 793-722-04</v>
          </cell>
          <cell r="D8137" t="str">
            <v>PE</v>
          </cell>
          <cell r="E8137" t="str">
            <v>522.52209</v>
          </cell>
          <cell r="F8137">
            <v>12401.213400000001</v>
          </cell>
          <cell r="G8137">
            <v>0</v>
          </cell>
          <cell r="H8137">
            <v>0</v>
          </cell>
          <cell r="I8137">
            <v>0</v>
          </cell>
          <cell r="J8137">
            <v>0</v>
          </cell>
          <cell r="K8137">
            <v>0</v>
          </cell>
          <cell r="L8137">
            <v>2</v>
          </cell>
        </row>
        <row r="8138">
          <cell r="A8138" t="str">
            <v>20492.29492</v>
          </cell>
          <cell r="B8138" t="str">
            <v>BOITE A RESSORT COMPLETE</v>
          </cell>
          <cell r="C8138" t="str">
            <v>LISEGA PLAN  142-3-65093 REF 793-721A-05</v>
          </cell>
          <cell r="D8138" t="str">
            <v>PE</v>
          </cell>
          <cell r="E8138" t="str">
            <v>522.52209</v>
          </cell>
          <cell r="F8138">
            <v>5636.3137999999999</v>
          </cell>
          <cell r="G8138">
            <v>0</v>
          </cell>
          <cell r="H8138">
            <v>0</v>
          </cell>
          <cell r="I8138">
            <v>0</v>
          </cell>
          <cell r="J8138">
            <v>0</v>
          </cell>
          <cell r="K8138">
            <v>0</v>
          </cell>
          <cell r="L8138">
            <v>2</v>
          </cell>
        </row>
        <row r="8139">
          <cell r="A8139" t="str">
            <v>20492.29493</v>
          </cell>
          <cell r="B8139" t="str">
            <v>BOITE A RESSORT COMPLETE</v>
          </cell>
          <cell r="C8139" t="str">
            <v>LISEGA PLAN  143-3-65093 REF 793-721-07</v>
          </cell>
          <cell r="D8139" t="str">
            <v>PE</v>
          </cell>
          <cell r="E8139" t="str">
            <v>522.52209</v>
          </cell>
          <cell r="F8139">
            <v>7004.8594999999996</v>
          </cell>
          <cell r="G8139">
            <v>0</v>
          </cell>
          <cell r="H8139">
            <v>0</v>
          </cell>
          <cell r="I8139">
            <v>0</v>
          </cell>
          <cell r="J8139">
            <v>0</v>
          </cell>
          <cell r="K8139">
            <v>0</v>
          </cell>
          <cell r="L8139">
            <v>0</v>
          </cell>
        </row>
        <row r="8140">
          <cell r="A8140" t="str">
            <v>20492.29494</v>
          </cell>
          <cell r="B8140" t="str">
            <v>BOITE A RESSORT COMPLETE</v>
          </cell>
          <cell r="C8140" t="str">
            <v>LISEGA PLAN  144-3-65093 REF SSV 01</v>
          </cell>
          <cell r="D8140" t="str">
            <v>PE</v>
          </cell>
          <cell r="E8140" t="str">
            <v>522.52209</v>
          </cell>
          <cell r="F8140">
            <v>2193.9578000000001</v>
          </cell>
          <cell r="G8140">
            <v>0</v>
          </cell>
          <cell r="H8140">
            <v>0</v>
          </cell>
          <cell r="I8140">
            <v>0</v>
          </cell>
          <cell r="J8140">
            <v>0</v>
          </cell>
          <cell r="K8140">
            <v>0</v>
          </cell>
          <cell r="L8140">
            <v>1</v>
          </cell>
        </row>
        <row r="8141">
          <cell r="A8141" t="str">
            <v>20492.29495</v>
          </cell>
          <cell r="B8141" t="str">
            <v>BOITE A RESSORT COMPLETE</v>
          </cell>
          <cell r="C8141" t="str">
            <v>LISEGA PLAN  145-3-65093 REF 793-721-10</v>
          </cell>
          <cell r="D8141" t="str">
            <v>PE</v>
          </cell>
          <cell r="E8141" t="str">
            <v>522.52209</v>
          </cell>
          <cell r="F8141">
            <v>3456.9157</v>
          </cell>
          <cell r="G8141">
            <v>0</v>
          </cell>
          <cell r="H8141">
            <v>0</v>
          </cell>
          <cell r="I8141">
            <v>0</v>
          </cell>
          <cell r="J8141">
            <v>0</v>
          </cell>
          <cell r="K8141">
            <v>0</v>
          </cell>
          <cell r="L8141">
            <v>0</v>
          </cell>
        </row>
        <row r="8142">
          <cell r="A8142" t="str">
            <v>20492.29496</v>
          </cell>
          <cell r="B8142" t="str">
            <v>BOITE A RESSORT COMPLETE</v>
          </cell>
          <cell r="C8142" t="str">
            <v>LISEGA PLAN  146-3-65093 REF SSF 2</v>
          </cell>
          <cell r="D8142" t="str">
            <v>PE</v>
          </cell>
          <cell r="E8142" t="str">
            <v>522.52209</v>
          </cell>
          <cell r="F8142">
            <v>14097.576999999999</v>
          </cell>
          <cell r="G8142">
            <v>0</v>
          </cell>
          <cell r="H8142">
            <v>0</v>
          </cell>
          <cell r="I8142">
            <v>0</v>
          </cell>
          <cell r="J8142">
            <v>0</v>
          </cell>
          <cell r="K8142">
            <v>0</v>
          </cell>
          <cell r="L8142">
            <v>0</v>
          </cell>
        </row>
        <row r="8143">
          <cell r="A8143" t="str">
            <v>20492.29497</v>
          </cell>
          <cell r="B8143" t="str">
            <v>BOITE A RESSORT COMPLETE</v>
          </cell>
          <cell r="C8143" t="str">
            <v>LISEGA PLAN  147-3-65093 REF SSE 7</v>
          </cell>
          <cell r="D8143" t="str">
            <v>PE</v>
          </cell>
          <cell r="E8143" t="str">
            <v>522.52209</v>
          </cell>
          <cell r="F8143">
            <v>17645.633999999998</v>
          </cell>
          <cell r="G8143">
            <v>0</v>
          </cell>
          <cell r="H8143">
            <v>0</v>
          </cell>
          <cell r="I8143">
            <v>0</v>
          </cell>
          <cell r="J8143">
            <v>0</v>
          </cell>
          <cell r="K8143">
            <v>0</v>
          </cell>
          <cell r="L8143">
            <v>0</v>
          </cell>
        </row>
        <row r="8144">
          <cell r="A8144" t="str">
            <v>20492.29498</v>
          </cell>
          <cell r="B8144" t="str">
            <v>BOITE A RESSORT COMPLETE</v>
          </cell>
          <cell r="C8144" t="str">
            <v>LISEGA PLAN  148-3-65093 REF SSR 1 A/B</v>
          </cell>
          <cell r="D8144" t="str">
            <v>PE</v>
          </cell>
          <cell r="E8144" t="str">
            <v>522.52209</v>
          </cell>
          <cell r="F8144">
            <v>36248.726199999997</v>
          </cell>
          <cell r="G8144">
            <v>0</v>
          </cell>
          <cell r="H8144">
            <v>0</v>
          </cell>
          <cell r="I8144">
            <v>0</v>
          </cell>
          <cell r="J8144">
            <v>0</v>
          </cell>
          <cell r="K8144">
            <v>0</v>
          </cell>
          <cell r="L8144">
            <v>1</v>
          </cell>
        </row>
        <row r="8145">
          <cell r="A8145" t="str">
            <v>20492.29499</v>
          </cell>
          <cell r="B8145" t="str">
            <v>BOITE A RESSORT COMPLETE</v>
          </cell>
          <cell r="C8145" t="str">
            <v>LISEGA PLAN  149-3-65093 REF SSRH 3 A/B</v>
          </cell>
          <cell r="D8145" t="str">
            <v>PE</v>
          </cell>
          <cell r="E8145" t="str">
            <v>522.52209</v>
          </cell>
          <cell r="F8145">
            <v>69068.675000000003</v>
          </cell>
          <cell r="G8145">
            <v>0</v>
          </cell>
          <cell r="H8145">
            <v>0</v>
          </cell>
          <cell r="I8145">
            <v>0</v>
          </cell>
          <cell r="J8145">
            <v>0</v>
          </cell>
          <cell r="K8145">
            <v>0</v>
          </cell>
          <cell r="L8145">
            <v>1</v>
          </cell>
        </row>
        <row r="8146">
          <cell r="A8146" t="str">
            <v>20492.29500</v>
          </cell>
          <cell r="B8146" t="str">
            <v>BOITE A RESSORT COMPLETE</v>
          </cell>
          <cell r="C8146" t="str">
            <v>LISEGA PLAN  150-3-65093 REF SSZ 3 A/B</v>
          </cell>
          <cell r="D8146" t="str">
            <v>PE</v>
          </cell>
          <cell r="E8146" t="str">
            <v>522.52209</v>
          </cell>
          <cell r="F8146">
            <v>14180.724200000001</v>
          </cell>
          <cell r="G8146">
            <v>0</v>
          </cell>
          <cell r="H8146">
            <v>0</v>
          </cell>
          <cell r="I8146">
            <v>0</v>
          </cell>
          <cell r="J8146">
            <v>0</v>
          </cell>
          <cell r="K8146">
            <v>0</v>
          </cell>
          <cell r="L8146">
            <v>2</v>
          </cell>
        </row>
        <row r="8147">
          <cell r="A8147" t="str">
            <v>20492.29501</v>
          </cell>
          <cell r="B8147" t="str">
            <v>BOITE A RESSORT COMPLETE</v>
          </cell>
          <cell r="C8147" t="str">
            <v>LISEGA PLAN  151-3-65093 REF 793-721A-03</v>
          </cell>
          <cell r="D8147" t="str">
            <v>PE</v>
          </cell>
          <cell r="E8147" t="str">
            <v>522.52209</v>
          </cell>
          <cell r="F8147">
            <v>10826.340399999999</v>
          </cell>
          <cell r="G8147">
            <v>0</v>
          </cell>
          <cell r="H8147">
            <v>0</v>
          </cell>
          <cell r="I8147">
            <v>0</v>
          </cell>
          <cell r="J8147">
            <v>0</v>
          </cell>
          <cell r="K8147">
            <v>0</v>
          </cell>
          <cell r="L8147">
            <v>1</v>
          </cell>
        </row>
        <row r="8148">
          <cell r="A8148" t="str">
            <v>20492.29502</v>
          </cell>
          <cell r="B8148" t="str">
            <v>BOITE A RESSORT COMPLETE</v>
          </cell>
          <cell r="C8148" t="str">
            <v>LISEGA PLAN  152-3-65093 REF 793-721A-04</v>
          </cell>
          <cell r="D8148" t="str">
            <v>PE</v>
          </cell>
          <cell r="E8148" t="str">
            <v>522.52209</v>
          </cell>
          <cell r="F8148">
            <v>10826.340399999999</v>
          </cell>
          <cell r="G8148">
            <v>0</v>
          </cell>
          <cell r="H8148">
            <v>0</v>
          </cell>
          <cell r="I8148">
            <v>0</v>
          </cell>
          <cell r="J8148">
            <v>0</v>
          </cell>
          <cell r="K8148">
            <v>0</v>
          </cell>
          <cell r="L8148">
            <v>1</v>
          </cell>
        </row>
        <row r="8149">
          <cell r="A8149" t="str">
            <v>20492.29504</v>
          </cell>
          <cell r="B8149" t="str">
            <v>BOITE A RESSORT COMPLETE</v>
          </cell>
          <cell r="C8149" t="str">
            <v>LISEGA PLAN  154-3-65093 REF 793-721-06</v>
          </cell>
          <cell r="D8149" t="str">
            <v>PE</v>
          </cell>
          <cell r="E8149" t="str">
            <v>522.52209</v>
          </cell>
          <cell r="F8149">
            <v>6026.2637000000004</v>
          </cell>
          <cell r="G8149">
            <v>0</v>
          </cell>
          <cell r="H8149">
            <v>0</v>
          </cell>
          <cell r="I8149">
            <v>0</v>
          </cell>
          <cell r="J8149">
            <v>0</v>
          </cell>
          <cell r="K8149">
            <v>0</v>
          </cell>
          <cell r="L8149">
            <v>1</v>
          </cell>
        </row>
        <row r="8150">
          <cell r="A8150" t="str">
            <v>20492.29505</v>
          </cell>
          <cell r="B8150" t="str">
            <v>BOITE A RESSORT COMPLETE</v>
          </cell>
          <cell r="C8150" t="str">
            <v>LISEGA PLAN  155-3-65093 REF 793-721-01</v>
          </cell>
          <cell r="D8150" t="str">
            <v>PE</v>
          </cell>
          <cell r="E8150" t="str">
            <v>522.52209</v>
          </cell>
          <cell r="F8150">
            <v>12740.187400000001</v>
          </cell>
          <cell r="G8150">
            <v>0</v>
          </cell>
          <cell r="H8150">
            <v>0</v>
          </cell>
          <cell r="I8150">
            <v>0</v>
          </cell>
          <cell r="J8150">
            <v>0</v>
          </cell>
          <cell r="K8150">
            <v>0</v>
          </cell>
          <cell r="L8150">
            <v>1</v>
          </cell>
        </row>
        <row r="8151">
          <cell r="A8151" t="str">
            <v>20492.29506</v>
          </cell>
          <cell r="B8151" t="str">
            <v>BOITE A RESSORT COMPLETE</v>
          </cell>
          <cell r="C8151" t="str">
            <v>LISEGA PLAN  156-3-65093 REF 793-717A-01</v>
          </cell>
          <cell r="D8151" t="str">
            <v>PE</v>
          </cell>
          <cell r="E8151" t="str">
            <v>522.52209</v>
          </cell>
          <cell r="F8151">
            <v>5648.0429999999997</v>
          </cell>
          <cell r="G8151">
            <v>0</v>
          </cell>
          <cell r="H8151">
            <v>0</v>
          </cell>
          <cell r="I8151">
            <v>0</v>
          </cell>
          <cell r="J8151">
            <v>0</v>
          </cell>
          <cell r="K8151">
            <v>0</v>
          </cell>
          <cell r="L8151">
            <v>1</v>
          </cell>
        </row>
        <row r="8152">
          <cell r="A8152" t="str">
            <v>20492.29503</v>
          </cell>
          <cell r="B8152" t="str">
            <v>BOITE A RESSORT COMPLETE</v>
          </cell>
          <cell r="C8152" t="str">
            <v>LISEGA PLAN  153-3-65093 REF 793-724A-01</v>
          </cell>
          <cell r="D8152" t="str">
            <v>PE</v>
          </cell>
          <cell r="E8152" t="str">
            <v>522.52209</v>
          </cell>
          <cell r="F8152">
            <v>14797.4969</v>
          </cell>
          <cell r="G8152">
            <v>0</v>
          </cell>
          <cell r="H8152">
            <v>0</v>
          </cell>
          <cell r="I8152">
            <v>0</v>
          </cell>
          <cell r="J8152">
            <v>0</v>
          </cell>
          <cell r="K8152">
            <v>0</v>
          </cell>
          <cell r="L8152">
            <v>0</v>
          </cell>
        </row>
        <row r="8153">
          <cell r="A8153" t="str">
            <v>10065.01065</v>
          </cell>
          <cell r="B8153" t="str">
            <v>GRILLAGE METALLIQUE MAILLE 13X13MM</v>
          </cell>
          <cell r="C8153" t="str">
            <v>GRILLAGE METALLIQUE SERTI- TISSE EN ACIER INOXYDABLE AISI-ASTM-SAE 321 ,MAILLE 13X13MM, DIAMETRE DU FIL 3,76MM LARGEUR 1300MM,TRAITEMENT THERMIQUE DE RECUIT DU FIL AVANT TISSAGE A 1000°C PENDANT AU MOIS 1MINUTE AU FOUR A CHALEUR PAR INDUCTION, EN ROULEAU DE 50M CERTIFICAT MATIERE OBLIGATOIRE A LA LIVRAISON</v>
          </cell>
          <cell r="D8153" t="str">
            <v>M2</v>
          </cell>
          <cell r="E8153" t="str">
            <v>522.52203</v>
          </cell>
          <cell r="F8153">
            <v>1546.454</v>
          </cell>
          <cell r="G8153">
            <v>0</v>
          </cell>
          <cell r="H8153">
            <v>0</v>
          </cell>
          <cell r="I8153">
            <v>0</v>
          </cell>
          <cell r="J8153">
            <v>0</v>
          </cell>
          <cell r="K8153">
            <v>0</v>
          </cell>
          <cell r="L8153">
            <v>0</v>
          </cell>
        </row>
        <row r="8154">
          <cell r="A8154" t="str">
            <v>10065.01066</v>
          </cell>
          <cell r="B8154" t="str">
            <v>GRILLAGE METALLIQUE MAILLE 13X13MM</v>
          </cell>
          <cell r="C8154" t="str">
            <v>GRILLAGE METALLIQUE SERTI- TISSE EN ACIER INOXYDABLE AISI-ASTM-SAE 304 ,MAILLE 13X13MM, DIAMETRE DU FIL 3,43MM LARGEUR 1300MM,TRAITEMENT THERMIQUE DE RECUIT DU FIL AVANT TISSAGE A 1000°C PENDANT AU MOIS 1MINUTE AU FOUR A CHALEUR PAR INDUCTION, EN ROULEAU DE 50M CERTIFICAT MATIERE OBLIGATOIRE A LA LIVRAISON</v>
          </cell>
          <cell r="D8154" t="str">
            <v>M2</v>
          </cell>
          <cell r="E8154" t="str">
            <v>522.52203</v>
          </cell>
          <cell r="F8154">
            <v>1325.5319999999999</v>
          </cell>
          <cell r="G8154">
            <v>0</v>
          </cell>
          <cell r="H8154">
            <v>0</v>
          </cell>
          <cell r="I8154">
            <v>0</v>
          </cell>
          <cell r="J8154">
            <v>0</v>
          </cell>
          <cell r="K8154">
            <v>0</v>
          </cell>
          <cell r="L8154">
            <v>150</v>
          </cell>
        </row>
        <row r="8155">
          <cell r="A8155" t="str">
            <v>10065.01067</v>
          </cell>
          <cell r="B8155" t="str">
            <v>FIL EN ACIER INOXYDABLE DIAM 3,43MM</v>
          </cell>
          <cell r="C8155" t="str">
            <v>FIL EN ACIER INOXYDABLE AISI 304 DIAMETRE 3,43MM TEMPERATURE DE SERVICE 870°C EN BOBINE DE 100METRECERTIFICAT MATIERE OBLIGATOIRE A LA LIVRAISON</v>
          </cell>
          <cell r="D8155" t="str">
            <v>M</v>
          </cell>
          <cell r="E8155" t="str">
            <v>522.52203</v>
          </cell>
          <cell r="F8155">
            <v>11.5984</v>
          </cell>
          <cell r="G8155">
            <v>0</v>
          </cell>
          <cell r="H8155">
            <v>0</v>
          </cell>
          <cell r="I8155">
            <v>0</v>
          </cell>
          <cell r="J8155">
            <v>0</v>
          </cell>
          <cell r="K8155">
            <v>0</v>
          </cell>
          <cell r="L8155">
            <v>400</v>
          </cell>
        </row>
        <row r="8156">
          <cell r="A8156" t="str">
            <v>10068.10419</v>
          </cell>
          <cell r="B8156" t="str">
            <v>BRIDE PLATE A SOUDER</v>
          </cell>
          <cell r="C8156" t="str">
            <v>BRIDE PLATE A SOUDER DN 150 PN 20  MATIERE : INOX 316L    DIAMETRE EXTERIEUR : 279MM     ENTR'AXES : 241,3MM   8 TROUS DE DIAMETRE 22,2MM</v>
          </cell>
          <cell r="D8156" t="str">
            <v>PE</v>
          </cell>
          <cell r="E8156" t="str">
            <v>313.31301</v>
          </cell>
          <cell r="F8156">
            <v>1155.5020999999999</v>
          </cell>
          <cell r="G8156">
            <v>0</v>
          </cell>
          <cell r="H8156">
            <v>0</v>
          </cell>
          <cell r="I8156">
            <v>0</v>
          </cell>
          <cell r="J8156">
            <v>0</v>
          </cell>
          <cell r="K8156">
            <v>0</v>
          </cell>
          <cell r="L8156">
            <v>2</v>
          </cell>
        </row>
        <row r="8157">
          <cell r="A8157" t="str">
            <v>10019.10385</v>
          </cell>
          <cell r="B8157" t="str">
            <v>JOINT SPIRALE GRAPHITE AVEC ANNEAU</v>
          </cell>
          <cell r="C8157" t="str">
            <v>JOINT SPIRALE GRAPHITE AVEC ANNEAU EXTERIEUR ET INTERIEUR MATIERE : INOX 304 SS  DN 65 CLASSE 300 EPAISSEUR 4,5MM</v>
          </cell>
          <cell r="D8157" t="str">
            <v>PE</v>
          </cell>
          <cell r="E8157" t="str">
            <v>522.52207</v>
          </cell>
          <cell r="F8157">
            <v>30</v>
          </cell>
          <cell r="G8157">
            <v>4</v>
          </cell>
          <cell r="H8157">
            <v>0</v>
          </cell>
          <cell r="I8157">
            <v>0</v>
          </cell>
          <cell r="J8157">
            <v>0</v>
          </cell>
          <cell r="K8157">
            <v>0</v>
          </cell>
          <cell r="L8157">
            <v>10</v>
          </cell>
        </row>
        <row r="8158">
          <cell r="A8158" t="str">
            <v>10019.10390</v>
          </cell>
          <cell r="B8158" t="str">
            <v>JOINT SPIRALE GRAPHITE AVEC ANNEAU</v>
          </cell>
          <cell r="C8158" t="str">
            <v>JOINT SPIRALE GRAPHITE AVEC ANNEAU EXTERIEUR ET INTERIEUR MATIERE : INOX 304 SS  DN 250 CLASSE 300 EPAISSEUR 4,5MM</v>
          </cell>
          <cell r="D8158" t="str">
            <v>PE</v>
          </cell>
          <cell r="E8158" t="str">
            <v>522.52207</v>
          </cell>
          <cell r="F8158">
            <v>115</v>
          </cell>
          <cell r="G8158">
            <v>2</v>
          </cell>
          <cell r="H8158">
            <v>0</v>
          </cell>
          <cell r="I8158">
            <v>0</v>
          </cell>
          <cell r="J8158">
            <v>0</v>
          </cell>
          <cell r="K8158">
            <v>0</v>
          </cell>
          <cell r="L8158">
            <v>8</v>
          </cell>
        </row>
        <row r="8159">
          <cell r="A8159" t="str">
            <v>10019.10407</v>
          </cell>
          <cell r="B8159" t="str">
            <v>JOINT SPIRALE GRAPHITE AVEC ANNEAU</v>
          </cell>
          <cell r="C8159" t="str">
            <v>JOINT SPIRALE GRAPHITE AVEC ANNEAU EXTERIEUR ET INTERIEUR MATIERE : INOX 304 SS  DN 50 CLASSE 900 EPAISSEUR 4,5MM</v>
          </cell>
          <cell r="D8159" t="str">
            <v>PE</v>
          </cell>
          <cell r="E8159" t="str">
            <v>522.52207</v>
          </cell>
          <cell r="F8159">
            <v>19</v>
          </cell>
          <cell r="G8159">
            <v>0</v>
          </cell>
          <cell r="H8159">
            <v>0</v>
          </cell>
          <cell r="I8159">
            <v>0</v>
          </cell>
          <cell r="J8159">
            <v>0</v>
          </cell>
          <cell r="K8159">
            <v>0</v>
          </cell>
          <cell r="L8159">
            <v>20</v>
          </cell>
        </row>
        <row r="8160">
          <cell r="A8160" t="str">
            <v>10019.10409</v>
          </cell>
          <cell r="B8160" t="str">
            <v>JOINT SPIRALE GRAPHITE AVEC ANNEAU</v>
          </cell>
          <cell r="C8160" t="str">
            <v>JOINT SPIRALE GRAPHITE AVEC ANNEAU EXTERIEUR ET INTERIEUR MATIERE : INOX 304 SS  DN 80 CLASSE 900 EPAISSEUR 4,5MM</v>
          </cell>
          <cell r="D8160" t="str">
            <v>PE</v>
          </cell>
          <cell r="E8160" t="str">
            <v>522.52207</v>
          </cell>
          <cell r="F8160">
            <v>35.4</v>
          </cell>
          <cell r="G8160">
            <v>0</v>
          </cell>
          <cell r="H8160">
            <v>0</v>
          </cell>
          <cell r="I8160">
            <v>0</v>
          </cell>
          <cell r="J8160">
            <v>0</v>
          </cell>
          <cell r="K8160">
            <v>0</v>
          </cell>
          <cell r="L8160">
            <v>24</v>
          </cell>
        </row>
        <row r="8161">
          <cell r="A8161" t="str">
            <v>10019.10413</v>
          </cell>
          <cell r="B8161" t="str">
            <v>JOINT SPIRALE GRAPHITE AVEC ANNEAU</v>
          </cell>
          <cell r="C8161" t="str">
            <v>JOINT SPIRALE GRAPHITE AVEC ANNEAU EXTERIEUR ET INTERIEUR MATIERE : INOX 304 SS  DN 250 CLASSE 900 EPAISSEUR 4,5MM</v>
          </cell>
          <cell r="D8161" t="str">
            <v>PE</v>
          </cell>
          <cell r="E8161" t="str">
            <v>522.52207</v>
          </cell>
          <cell r="F8161">
            <v>170</v>
          </cell>
          <cell r="G8161">
            <v>0</v>
          </cell>
          <cell r="H8161">
            <v>0</v>
          </cell>
          <cell r="I8161">
            <v>0</v>
          </cell>
          <cell r="J8161">
            <v>0</v>
          </cell>
          <cell r="K8161">
            <v>0</v>
          </cell>
          <cell r="L8161">
            <v>12</v>
          </cell>
        </row>
        <row r="8162">
          <cell r="A8162" t="str">
            <v>10019.10414</v>
          </cell>
          <cell r="B8162" t="str">
            <v>JOINT SPIRALE GRAPHITE AVEC ANNEAU</v>
          </cell>
          <cell r="C8162" t="str">
            <v>JOINT SPIRALE GRAPHITE AVEC ANNEAU EXTERIEUR ET INTERIEUR MATIERE : INOX 304 SS  DN 300 CLASSE 900 EPAISSEUR 4,5MM</v>
          </cell>
          <cell r="D8162" t="str">
            <v>PE</v>
          </cell>
          <cell r="E8162" t="str">
            <v>522.52207</v>
          </cell>
          <cell r="F8162">
            <v>185</v>
          </cell>
          <cell r="G8162">
            <v>0</v>
          </cell>
          <cell r="H8162">
            <v>0</v>
          </cell>
          <cell r="I8162">
            <v>0</v>
          </cell>
          <cell r="J8162">
            <v>0</v>
          </cell>
          <cell r="K8162">
            <v>0</v>
          </cell>
          <cell r="L8162">
            <v>10</v>
          </cell>
        </row>
        <row r="8163">
          <cell r="A8163" t="str">
            <v>10019.10415</v>
          </cell>
          <cell r="B8163" t="str">
            <v>JOINT SPIRALE GRAPHITE AVEC ANNEAU</v>
          </cell>
          <cell r="C8163" t="str">
            <v>JOINT SPIRALE GRAPHITE AVEC ANNEAU EXTERIEUR ET INTERIEUR MATIERE : INOX 304 SS  DN 400 CLASSE 900 EPAISSEUR 4,5MM</v>
          </cell>
          <cell r="D8163" t="str">
            <v>PE</v>
          </cell>
          <cell r="E8163" t="str">
            <v>522.52207</v>
          </cell>
          <cell r="F8163">
            <v>280</v>
          </cell>
          <cell r="G8163">
            <v>0</v>
          </cell>
          <cell r="H8163">
            <v>0</v>
          </cell>
          <cell r="I8163">
            <v>0</v>
          </cell>
          <cell r="J8163">
            <v>0</v>
          </cell>
          <cell r="K8163">
            <v>0</v>
          </cell>
          <cell r="L8163">
            <v>10</v>
          </cell>
        </row>
        <row r="8164">
          <cell r="A8164" t="str">
            <v>10019.10416</v>
          </cell>
          <cell r="B8164" t="str">
            <v>JOINT SPIRALE GRAPHITE AVEC ANNEAU</v>
          </cell>
          <cell r="C8164" t="str">
            <v>JOINT SPIRALE GRAPHITE AVEC ANNEAU EXTERIEUR ET INTERIEUR MATIERE : INOX 304 SS  DN 450 CLASSE 900 EPAISSEUR 4,5MM</v>
          </cell>
          <cell r="D8164" t="str">
            <v>PE</v>
          </cell>
          <cell r="E8164" t="str">
            <v>522.52207</v>
          </cell>
          <cell r="F8164">
            <v>363.33330000000001</v>
          </cell>
          <cell r="G8164">
            <v>0</v>
          </cell>
          <cell r="H8164">
            <v>0</v>
          </cell>
          <cell r="I8164">
            <v>0</v>
          </cell>
          <cell r="J8164">
            <v>0</v>
          </cell>
          <cell r="K8164">
            <v>0</v>
          </cell>
          <cell r="L8164">
            <v>15</v>
          </cell>
        </row>
        <row r="8165">
          <cell r="A8165" t="str">
            <v>20428.21850</v>
          </cell>
          <cell r="B8165" t="str">
            <v>PALIER</v>
          </cell>
          <cell r="C8165" t="str">
            <v>MN 508 A N° 065089002PO1 REP 14</v>
          </cell>
          <cell r="D8165" t="str">
            <v>PE</v>
          </cell>
          <cell r="E8165" t="str">
            <v>515.51503</v>
          </cell>
          <cell r="F8165">
            <v>30460.877400000001</v>
          </cell>
          <cell r="G8165">
            <v>0</v>
          </cell>
          <cell r="H8165">
            <v>0</v>
          </cell>
          <cell r="I8165">
            <v>0</v>
          </cell>
          <cell r="J8165">
            <v>0</v>
          </cell>
          <cell r="K8165">
            <v>0</v>
          </cell>
          <cell r="L8165">
            <v>1</v>
          </cell>
        </row>
        <row r="8166">
          <cell r="A8166" t="str">
            <v>20428.21851</v>
          </cell>
          <cell r="B8166" t="str">
            <v>COUVERCLE DE PALIER</v>
          </cell>
          <cell r="C8166" t="str">
            <v>MN 508 A N° 065089002PO1 REP 16</v>
          </cell>
          <cell r="D8166" t="str">
            <v>PE</v>
          </cell>
          <cell r="E8166" t="str">
            <v>515.51503</v>
          </cell>
          <cell r="F8166">
            <v>14448.2706</v>
          </cell>
          <cell r="G8166">
            <v>0</v>
          </cell>
          <cell r="H8166">
            <v>0</v>
          </cell>
          <cell r="I8166">
            <v>0</v>
          </cell>
          <cell r="J8166">
            <v>0</v>
          </cell>
          <cell r="K8166">
            <v>0</v>
          </cell>
          <cell r="L8166">
            <v>2</v>
          </cell>
        </row>
        <row r="8167">
          <cell r="A8167" t="str">
            <v>20428.21852</v>
          </cell>
          <cell r="B8167" t="str">
            <v>COLLECTEUR DE REFOULEMENT</v>
          </cell>
          <cell r="C8167" t="str">
            <v>MN 508 A N° 065089002PO1 REP 51</v>
          </cell>
          <cell r="D8167" t="str">
            <v>PE</v>
          </cell>
          <cell r="E8167" t="str">
            <v>515.51503</v>
          </cell>
          <cell r="F8167">
            <v>139869.5747</v>
          </cell>
          <cell r="G8167">
            <v>0</v>
          </cell>
          <cell r="H8167">
            <v>0</v>
          </cell>
          <cell r="I8167">
            <v>1</v>
          </cell>
          <cell r="J8167">
            <v>0</v>
          </cell>
          <cell r="K8167">
            <v>0</v>
          </cell>
          <cell r="L8167">
            <v>1</v>
          </cell>
        </row>
        <row r="8168">
          <cell r="A8168" t="str">
            <v>20428.21853</v>
          </cell>
          <cell r="B8168" t="str">
            <v>COLLECTEUR D'ASPIRATION</v>
          </cell>
          <cell r="C8168" t="str">
            <v>MN 508 A N° 065089002PO1 REP 52</v>
          </cell>
          <cell r="D8168" t="str">
            <v>PE</v>
          </cell>
          <cell r="E8168" t="str">
            <v>515.51503</v>
          </cell>
          <cell r="F8168">
            <v>170359.40040000001</v>
          </cell>
          <cell r="G8168">
            <v>0</v>
          </cell>
          <cell r="H8168">
            <v>0</v>
          </cell>
          <cell r="I8168">
            <v>1</v>
          </cell>
          <cell r="J8168">
            <v>0</v>
          </cell>
          <cell r="K8168">
            <v>0</v>
          </cell>
          <cell r="L8168">
            <v>1</v>
          </cell>
        </row>
        <row r="8169">
          <cell r="A8169" t="str">
            <v>20428.21854</v>
          </cell>
          <cell r="B8169" t="str">
            <v>BOITE A BOURRAGE</v>
          </cell>
          <cell r="C8169" t="str">
            <v>MN 508 A N° 065089002PO1 REP 83</v>
          </cell>
          <cell r="D8169" t="str">
            <v>PE</v>
          </cell>
          <cell r="E8169" t="str">
            <v>515.51503</v>
          </cell>
          <cell r="F8169">
            <v>51478.722199999997</v>
          </cell>
          <cell r="G8169">
            <v>0</v>
          </cell>
          <cell r="H8169">
            <v>0</v>
          </cell>
          <cell r="I8169">
            <v>0</v>
          </cell>
          <cell r="J8169">
            <v>0</v>
          </cell>
          <cell r="K8169">
            <v>0</v>
          </cell>
          <cell r="L8169">
            <v>2</v>
          </cell>
        </row>
        <row r="8170">
          <cell r="A8170" t="str">
            <v>20428.21855</v>
          </cell>
          <cell r="B8170" t="str">
            <v>JOINT</v>
          </cell>
          <cell r="C8170" t="str">
            <v>MN 508 A N° 065089002PO1 REP J12</v>
          </cell>
          <cell r="D8170" t="str">
            <v>PE</v>
          </cell>
          <cell r="E8170" t="str">
            <v>515.51503</v>
          </cell>
          <cell r="F8170">
            <v>235.8305</v>
          </cell>
          <cell r="G8170">
            <v>0</v>
          </cell>
          <cell r="H8170">
            <v>1</v>
          </cell>
          <cell r="I8170">
            <v>0</v>
          </cell>
          <cell r="J8170">
            <v>0</v>
          </cell>
          <cell r="K8170">
            <v>0</v>
          </cell>
          <cell r="L8170">
            <v>1</v>
          </cell>
        </row>
        <row r="8171">
          <cell r="A8171" t="str">
            <v>20428.21856</v>
          </cell>
          <cell r="B8171" t="str">
            <v>COUVERCLE DE CARTER</v>
          </cell>
          <cell r="C8171" t="str">
            <v>500VE 470.54/1R N° 065089005PO1 REP 5</v>
          </cell>
          <cell r="D8171" t="str">
            <v>PE</v>
          </cell>
          <cell r="E8171" t="str">
            <v>515.51503</v>
          </cell>
          <cell r="F8171">
            <v>9523.9343000000008</v>
          </cell>
          <cell r="G8171">
            <v>0</v>
          </cell>
          <cell r="H8171">
            <v>0</v>
          </cell>
          <cell r="I8171">
            <v>0</v>
          </cell>
          <cell r="J8171">
            <v>0</v>
          </cell>
          <cell r="K8171">
            <v>0</v>
          </cell>
          <cell r="L8171">
            <v>1</v>
          </cell>
        </row>
        <row r="8172">
          <cell r="A8172" t="str">
            <v>20428.21857</v>
          </cell>
          <cell r="B8172" t="str">
            <v>BAGUE DE FOND</v>
          </cell>
          <cell r="C8172" t="str">
            <v>500VE 470.54/1R N° 065089005PO1 REP 10</v>
          </cell>
          <cell r="D8172" t="str">
            <v>PE</v>
          </cell>
          <cell r="E8172" t="str">
            <v>515.51503</v>
          </cell>
          <cell r="F8172">
            <v>9260.5439000000006</v>
          </cell>
          <cell r="G8172">
            <v>0</v>
          </cell>
          <cell r="H8172">
            <v>0</v>
          </cell>
          <cell r="I8172">
            <v>0</v>
          </cell>
          <cell r="J8172">
            <v>0</v>
          </cell>
          <cell r="K8172">
            <v>0</v>
          </cell>
          <cell r="L8172">
            <v>2</v>
          </cell>
        </row>
        <row r="8173">
          <cell r="A8173" t="str">
            <v>20428.21858</v>
          </cell>
          <cell r="B8173" t="str">
            <v>ROUE D'ASPIRATION</v>
          </cell>
          <cell r="C8173" t="str">
            <v>500VE 470.54/1R N° 065089005PO1 REP 55</v>
          </cell>
          <cell r="D8173" t="str">
            <v>PE</v>
          </cell>
          <cell r="E8173" t="str">
            <v>515.51503</v>
          </cell>
          <cell r="F8173">
            <v>171945.20759999999</v>
          </cell>
          <cell r="G8173">
            <v>0</v>
          </cell>
          <cell r="H8173">
            <v>0</v>
          </cell>
          <cell r="I8173">
            <v>0</v>
          </cell>
          <cell r="J8173">
            <v>0</v>
          </cell>
          <cell r="K8173">
            <v>0</v>
          </cell>
          <cell r="L8173">
            <v>1</v>
          </cell>
        </row>
        <row r="8174">
          <cell r="A8174" t="str">
            <v>20428.21859</v>
          </cell>
          <cell r="B8174" t="str">
            <v>JEU CERCLE MALE OUIE ET DOS</v>
          </cell>
          <cell r="C8174" t="str">
            <v>500VE 470.54/1R N° 065089005PO1 REP 70,71</v>
          </cell>
          <cell r="D8174" t="str">
            <v>PE</v>
          </cell>
          <cell r="E8174" t="str">
            <v>515.51503</v>
          </cell>
          <cell r="F8174">
            <v>81395.654299999995</v>
          </cell>
          <cell r="G8174">
            <v>0</v>
          </cell>
          <cell r="H8174">
            <v>0</v>
          </cell>
          <cell r="I8174">
            <v>0</v>
          </cell>
          <cell r="J8174">
            <v>0</v>
          </cell>
          <cell r="K8174">
            <v>0</v>
          </cell>
          <cell r="L8174">
            <v>2</v>
          </cell>
        </row>
        <row r="8175">
          <cell r="A8175" t="str">
            <v>20428.21860</v>
          </cell>
          <cell r="B8175" t="str">
            <v>JEU DE CHEMISE</v>
          </cell>
          <cell r="C8175" t="str">
            <v>500VE 470.54/1R N° 065089005PO1 REP 60,60A,60B</v>
          </cell>
          <cell r="D8175" t="str">
            <v>PE</v>
          </cell>
          <cell r="E8175" t="str">
            <v>515.51503</v>
          </cell>
          <cell r="F8175">
            <v>51322.726999999999</v>
          </cell>
          <cell r="G8175">
            <v>0</v>
          </cell>
          <cell r="H8175">
            <v>0</v>
          </cell>
          <cell r="I8175">
            <v>0</v>
          </cell>
          <cell r="J8175">
            <v>0</v>
          </cell>
          <cell r="K8175">
            <v>0</v>
          </cell>
          <cell r="L8175">
            <v>2</v>
          </cell>
        </row>
        <row r="8176">
          <cell r="A8176" t="str">
            <v>20428.21861</v>
          </cell>
          <cell r="B8176" t="str">
            <v>JEU DE COUSSINET</v>
          </cell>
          <cell r="C8176" t="str">
            <v>500VE 470.54/1R N° 065089005PO1 REP 82,82A</v>
          </cell>
          <cell r="D8176" t="str">
            <v>PE</v>
          </cell>
          <cell r="E8176" t="str">
            <v>515.51503</v>
          </cell>
          <cell r="F8176">
            <v>95638.382899999997</v>
          </cell>
          <cell r="G8176">
            <v>0</v>
          </cell>
          <cell r="H8176">
            <v>0</v>
          </cell>
          <cell r="I8176">
            <v>0</v>
          </cell>
          <cell r="J8176">
            <v>0</v>
          </cell>
          <cell r="K8176">
            <v>0</v>
          </cell>
          <cell r="L8176">
            <v>2</v>
          </cell>
        </row>
        <row r="8177">
          <cell r="A8177" t="str">
            <v>20428.21862</v>
          </cell>
          <cell r="B8177" t="str">
            <v>ECROU DE REGLAGE PALIER</v>
          </cell>
          <cell r="C8177" t="str">
            <v>500VE 470.54/1R N° 065089005PO1 REP 92A</v>
          </cell>
          <cell r="D8177" t="str">
            <v>PE</v>
          </cell>
          <cell r="E8177" t="str">
            <v>515.51503</v>
          </cell>
          <cell r="F8177">
            <v>16707.005099999998</v>
          </cell>
          <cell r="G8177">
            <v>0</v>
          </cell>
          <cell r="H8177">
            <v>0</v>
          </cell>
          <cell r="I8177">
            <v>0</v>
          </cell>
          <cell r="J8177">
            <v>0</v>
          </cell>
          <cell r="K8177">
            <v>0</v>
          </cell>
          <cell r="L8177">
            <v>1</v>
          </cell>
        </row>
        <row r="8178">
          <cell r="A8178" t="str">
            <v>20428.21863</v>
          </cell>
          <cell r="B8178" t="str">
            <v>ARBRE</v>
          </cell>
          <cell r="C8178" t="str">
            <v>500VE 470.54/1R N° 065089007PO1  REP 59</v>
          </cell>
          <cell r="D8178" t="str">
            <v>PE</v>
          </cell>
          <cell r="E8178" t="str">
            <v>515.51503</v>
          </cell>
          <cell r="F8178">
            <v>158131.87330000001</v>
          </cell>
          <cell r="G8178">
            <v>0</v>
          </cell>
          <cell r="H8178">
            <v>0</v>
          </cell>
          <cell r="I8178">
            <v>0</v>
          </cell>
          <cell r="J8178">
            <v>0</v>
          </cell>
          <cell r="K8178">
            <v>0</v>
          </cell>
          <cell r="L8178">
            <v>1</v>
          </cell>
        </row>
        <row r="8179">
          <cell r="A8179" t="str">
            <v>20499.21413</v>
          </cell>
          <cell r="B8179" t="str">
            <v>CORPS DE VANNE DE DESERCHAUFFE AVEC BUSES</v>
          </cell>
          <cell r="C8179" t="str">
            <v>ARCA REGLER PLAN:6H8-L2-LS2.811 TAG:TCV-108A DF:DN3" ANSI 300RF -KWF:DN2" ANSI 300RF</v>
          </cell>
          <cell r="D8179" t="str">
            <v>PE</v>
          </cell>
          <cell r="E8179" t="str">
            <v>512.51202</v>
          </cell>
          <cell r="F8179">
            <v>185643</v>
          </cell>
          <cell r="G8179">
            <v>0</v>
          </cell>
          <cell r="H8179">
            <v>0</v>
          </cell>
          <cell r="I8179">
            <v>0</v>
          </cell>
          <cell r="J8179">
            <v>0</v>
          </cell>
          <cell r="K8179">
            <v>1</v>
          </cell>
          <cell r="L8179">
            <v>1</v>
          </cell>
        </row>
        <row r="8180">
          <cell r="A8180" t="str">
            <v>20499.21414</v>
          </cell>
          <cell r="B8180" t="str">
            <v>SERVOMOTEUR POUR VANNE DE DESERCHAUFFE</v>
          </cell>
          <cell r="C8180" t="str">
            <v>ARCA REGLER PLAN:6H8-L2-LS2.811 TAG:TCV-108A</v>
          </cell>
          <cell r="D8180" t="str">
            <v>PE</v>
          </cell>
          <cell r="E8180" t="str">
            <v>512.51202</v>
          </cell>
          <cell r="F8180">
            <v>125004</v>
          </cell>
          <cell r="G8180">
            <v>0</v>
          </cell>
          <cell r="H8180">
            <v>0</v>
          </cell>
          <cell r="I8180">
            <v>0</v>
          </cell>
          <cell r="J8180">
            <v>0</v>
          </cell>
          <cell r="K8180">
            <v>1</v>
          </cell>
          <cell r="L8180">
            <v>0</v>
          </cell>
        </row>
        <row r="8181">
          <cell r="A8181" t="str">
            <v>20499.21415</v>
          </cell>
          <cell r="B8181" t="str">
            <v>CORPS DE VANNE DE DESERCHAUFFE AVEC BUSES</v>
          </cell>
          <cell r="C8181" t="str">
            <v>ARCA REGLER PLAN:590A.840 TAG:TCV-106A DF:DN3" ANSI 300RF -KWF:DN1" ANSI 300RF</v>
          </cell>
          <cell r="D8181" t="str">
            <v>PE</v>
          </cell>
          <cell r="E8181" t="str">
            <v>512.51202</v>
          </cell>
          <cell r="F8181">
            <v>185643</v>
          </cell>
          <cell r="G8181">
            <v>0</v>
          </cell>
          <cell r="H8181">
            <v>0</v>
          </cell>
          <cell r="I8181">
            <v>0</v>
          </cell>
          <cell r="J8181">
            <v>0</v>
          </cell>
          <cell r="K8181">
            <v>1</v>
          </cell>
          <cell r="L8181">
            <v>0</v>
          </cell>
        </row>
        <row r="8182">
          <cell r="A8182" t="str">
            <v>20499.21416</v>
          </cell>
          <cell r="B8182" t="str">
            <v>ROUE LATERAL</v>
          </cell>
          <cell r="C8182" t="str">
            <v>ARCA REGLER PLAN:52-HH-FI-OAA-ONB-1B-XN-T2 REP164</v>
          </cell>
          <cell r="D8182" t="str">
            <v>PE</v>
          </cell>
          <cell r="E8182" t="str">
            <v>512.51202</v>
          </cell>
          <cell r="F8182">
            <v>897</v>
          </cell>
          <cell r="G8182">
            <v>0</v>
          </cell>
          <cell r="H8182">
            <v>0</v>
          </cell>
          <cell r="I8182">
            <v>0</v>
          </cell>
          <cell r="J8182">
            <v>0</v>
          </cell>
          <cell r="K8182">
            <v>0</v>
          </cell>
          <cell r="L8182">
            <v>1</v>
          </cell>
        </row>
        <row r="8183">
          <cell r="A8183" t="str">
            <v>20499.21417</v>
          </cell>
          <cell r="B8183" t="str">
            <v>PACKING SET</v>
          </cell>
          <cell r="C8183" t="str">
            <v>ARCA REGLER PLAN:52-HH-FI-OAA-ONB-1B-XN-T2 REP156</v>
          </cell>
          <cell r="D8183" t="str">
            <v>PE</v>
          </cell>
          <cell r="E8183" t="str">
            <v>512.51202</v>
          </cell>
          <cell r="F8183">
            <v>3346</v>
          </cell>
          <cell r="G8183">
            <v>0</v>
          </cell>
          <cell r="H8183">
            <v>0</v>
          </cell>
          <cell r="I8183">
            <v>0</v>
          </cell>
          <cell r="J8183">
            <v>0</v>
          </cell>
          <cell r="K8183">
            <v>0</v>
          </cell>
          <cell r="L8183">
            <v>1</v>
          </cell>
        </row>
        <row r="8184">
          <cell r="A8184" t="str">
            <v>20499.21421</v>
          </cell>
          <cell r="B8184" t="str">
            <v>JOINT</v>
          </cell>
          <cell r="C8184" t="str">
            <v>ARCA REGLER PLAN:52-HH-FI-OAA-ONB-1B-XN-T2 REP58</v>
          </cell>
          <cell r="D8184" t="str">
            <v>PE</v>
          </cell>
          <cell r="E8184" t="str">
            <v>512.51202</v>
          </cell>
          <cell r="F8184">
            <v>172</v>
          </cell>
          <cell r="G8184">
            <v>0</v>
          </cell>
          <cell r="H8184">
            <v>0</v>
          </cell>
          <cell r="I8184">
            <v>0</v>
          </cell>
          <cell r="J8184">
            <v>0</v>
          </cell>
          <cell r="K8184">
            <v>0</v>
          </cell>
          <cell r="L8184">
            <v>2</v>
          </cell>
        </row>
        <row r="8185">
          <cell r="A8185" t="str">
            <v>20499.21422</v>
          </cell>
          <cell r="B8185" t="str">
            <v>SEGMENT DE PISTON</v>
          </cell>
          <cell r="C8185" t="str">
            <v>ARCA REGLER PLAN:52-HH-FI-OAA-ONB-1B-XN-T2 REP177</v>
          </cell>
          <cell r="D8185" t="str">
            <v>PE</v>
          </cell>
          <cell r="E8185" t="str">
            <v>512.51202</v>
          </cell>
          <cell r="F8185">
            <v>23324</v>
          </cell>
          <cell r="G8185">
            <v>1</v>
          </cell>
          <cell r="H8185">
            <v>0</v>
          </cell>
          <cell r="I8185">
            <v>0</v>
          </cell>
          <cell r="J8185">
            <v>0</v>
          </cell>
          <cell r="K8185">
            <v>0</v>
          </cell>
          <cell r="L8185">
            <v>0</v>
          </cell>
        </row>
        <row r="8186">
          <cell r="A8186" t="str">
            <v>20499.21423</v>
          </cell>
          <cell r="B8186" t="str">
            <v>JOINT</v>
          </cell>
          <cell r="C8186" t="str">
            <v>ARCA REGLER PLAN:52-HH-FI-OAA-ONB-1B-XN-T2 REP143</v>
          </cell>
          <cell r="D8186" t="str">
            <v>PE</v>
          </cell>
          <cell r="E8186" t="str">
            <v>512.51202</v>
          </cell>
          <cell r="F8186">
            <v>3544</v>
          </cell>
          <cell r="G8186">
            <v>1</v>
          </cell>
          <cell r="H8186">
            <v>0</v>
          </cell>
          <cell r="I8186">
            <v>0</v>
          </cell>
          <cell r="J8186">
            <v>0</v>
          </cell>
          <cell r="K8186">
            <v>0</v>
          </cell>
          <cell r="L8186">
            <v>0</v>
          </cell>
        </row>
        <row r="8187">
          <cell r="A8187" t="str">
            <v>20499.21425</v>
          </cell>
          <cell r="B8187" t="str">
            <v>JOINT</v>
          </cell>
          <cell r="C8187" t="str">
            <v>ARCA REGLER PLAN:52-HH-FI-OAA-ONB-1B-XN-T2 REP144</v>
          </cell>
          <cell r="D8187" t="str">
            <v>PE</v>
          </cell>
          <cell r="E8187" t="str">
            <v>512.51202</v>
          </cell>
          <cell r="F8187">
            <v>3544</v>
          </cell>
          <cell r="G8187">
            <v>1</v>
          </cell>
          <cell r="H8187">
            <v>0</v>
          </cell>
          <cell r="I8187">
            <v>0</v>
          </cell>
          <cell r="J8187">
            <v>0</v>
          </cell>
          <cell r="K8187">
            <v>0</v>
          </cell>
          <cell r="L8187">
            <v>0</v>
          </cell>
        </row>
        <row r="8188">
          <cell r="A8188" t="str">
            <v>20499.21426</v>
          </cell>
          <cell r="B8188" t="str">
            <v>ELEMENT D'ETANCHEITE</v>
          </cell>
          <cell r="C8188" t="str">
            <v>ARCA REGLER PLAN:52-HH-FI-OAA-ONB-1B-XN-T2 REP180</v>
          </cell>
          <cell r="D8188" t="str">
            <v>PE</v>
          </cell>
          <cell r="E8188" t="str">
            <v>512.51202</v>
          </cell>
          <cell r="F8188">
            <v>3369</v>
          </cell>
          <cell r="G8188">
            <v>2</v>
          </cell>
          <cell r="H8188">
            <v>0</v>
          </cell>
          <cell r="I8188">
            <v>0</v>
          </cell>
          <cell r="J8188">
            <v>0</v>
          </cell>
          <cell r="K8188">
            <v>0</v>
          </cell>
          <cell r="L8188">
            <v>0</v>
          </cell>
        </row>
        <row r="8189">
          <cell r="A8189" t="str">
            <v>20499.21427</v>
          </cell>
          <cell r="B8189" t="str">
            <v>JOINT</v>
          </cell>
          <cell r="C8189" t="str">
            <v>ARCA REGLER PLAN:52-HH-FI-OAA-ONB-1B-XN-T2 REP139</v>
          </cell>
          <cell r="D8189" t="str">
            <v>PE</v>
          </cell>
          <cell r="E8189" t="str">
            <v>512.51202</v>
          </cell>
          <cell r="F8189">
            <v>313</v>
          </cell>
          <cell r="G8189">
            <v>0</v>
          </cell>
          <cell r="H8189">
            <v>0</v>
          </cell>
          <cell r="I8189">
            <v>0</v>
          </cell>
          <cell r="J8189">
            <v>0</v>
          </cell>
          <cell r="K8189">
            <v>0</v>
          </cell>
          <cell r="L8189">
            <v>1</v>
          </cell>
        </row>
        <row r="8190">
          <cell r="A8190" t="str">
            <v>20499.21429</v>
          </cell>
          <cell r="B8190" t="str">
            <v>DIAPHRAGM</v>
          </cell>
          <cell r="C8190" t="str">
            <v>ARCA REGLER REF:101862 REP32</v>
          </cell>
          <cell r="D8190" t="str">
            <v>PE</v>
          </cell>
          <cell r="E8190" t="str">
            <v>512.51202</v>
          </cell>
          <cell r="F8190">
            <v>15583</v>
          </cell>
          <cell r="G8190">
            <v>1</v>
          </cell>
          <cell r="H8190">
            <v>0</v>
          </cell>
          <cell r="I8190">
            <v>0</v>
          </cell>
          <cell r="J8190">
            <v>0</v>
          </cell>
          <cell r="K8190">
            <v>0</v>
          </cell>
          <cell r="L8190">
            <v>0</v>
          </cell>
        </row>
        <row r="8191">
          <cell r="A8191" t="str">
            <v>20499.21430</v>
          </cell>
          <cell r="B8191" t="str">
            <v>DOUBLE ROBINET A BILLE A TROIS VOIES EVEC FLEXIBLE COUPLE. DN 125  PN 16</v>
          </cell>
          <cell r="C8191" t="str">
            <v>INDUFIL   PLAN 012.32.262.99      DN 125   PN16</v>
          </cell>
          <cell r="D8191" t="str">
            <v>PE</v>
          </cell>
          <cell r="E8191" t="str">
            <v>515.51511</v>
          </cell>
          <cell r="F8191">
            <v>128053</v>
          </cell>
          <cell r="G8191">
            <v>0</v>
          </cell>
          <cell r="H8191">
            <v>1</v>
          </cell>
          <cell r="I8191">
            <v>0</v>
          </cell>
          <cell r="J8191">
            <v>0</v>
          </cell>
          <cell r="K8191">
            <v>0</v>
          </cell>
          <cell r="L8191">
            <v>0</v>
          </cell>
        </row>
        <row r="8192">
          <cell r="A8192" t="str">
            <v>20499.21432</v>
          </cell>
          <cell r="B8192" t="str">
            <v>VANNE A PAPILLON</v>
          </cell>
          <cell r="C8192" t="str">
            <v>SACCAP PLAN   OP1625FF.A1CC  DN 350MM  AVEC MECANISME DE MANŒUVRE</v>
          </cell>
          <cell r="D8192" t="str">
            <v>PE</v>
          </cell>
          <cell r="E8192" t="str">
            <v>515.51511</v>
          </cell>
          <cell r="F8192">
            <v>14373</v>
          </cell>
          <cell r="G8192">
            <v>0</v>
          </cell>
          <cell r="H8192">
            <v>1</v>
          </cell>
          <cell r="I8192">
            <v>0</v>
          </cell>
          <cell r="J8192">
            <v>0</v>
          </cell>
          <cell r="K8192">
            <v>0</v>
          </cell>
          <cell r="L8192">
            <v>0</v>
          </cell>
        </row>
        <row r="8193">
          <cell r="A8193" t="str">
            <v>20498.12356</v>
          </cell>
          <cell r="B8193" t="str">
            <v>KIT DE JOINTS</v>
          </cell>
          <cell r="C8193" t="str">
            <v>EMERSON   SANS REF  PLAN:MMM61557  ACTIONNEUR SZ G4020 SR3  SERIE EU03474122</v>
          </cell>
          <cell r="D8193" t="str">
            <v>PE</v>
          </cell>
          <cell r="E8193" t="str">
            <v>512.51201</v>
          </cell>
          <cell r="F8193">
            <v>24935.229599999999</v>
          </cell>
          <cell r="G8193">
            <v>0</v>
          </cell>
          <cell r="H8193">
            <v>0</v>
          </cell>
          <cell r="I8193">
            <v>0</v>
          </cell>
          <cell r="J8193">
            <v>0</v>
          </cell>
          <cell r="K8193">
            <v>0</v>
          </cell>
          <cell r="L8193">
            <v>2</v>
          </cell>
        </row>
        <row r="8194">
          <cell r="A8194" t="str">
            <v>20498.12357</v>
          </cell>
          <cell r="B8194" t="str">
            <v>KIT DE JOINTS</v>
          </cell>
          <cell r="C8194" t="str">
            <v>EMERSON   SANS REF  PLAN:MMM61560 ACTIONNEUR G3016-SR3   SERIE EU03474125</v>
          </cell>
          <cell r="D8194" t="str">
            <v>PE</v>
          </cell>
          <cell r="E8194" t="str">
            <v>512.51201</v>
          </cell>
          <cell r="F8194">
            <v>20375.966400000001</v>
          </cell>
          <cell r="G8194">
            <v>0</v>
          </cell>
          <cell r="H8194">
            <v>0</v>
          </cell>
          <cell r="I8194">
            <v>0</v>
          </cell>
          <cell r="J8194">
            <v>0</v>
          </cell>
          <cell r="K8194">
            <v>0</v>
          </cell>
          <cell r="L8194">
            <v>1</v>
          </cell>
        </row>
        <row r="8195">
          <cell r="A8195" t="str">
            <v>20492.34767</v>
          </cell>
          <cell r="B8195" t="str">
            <v>DIFFUSEUR RIA DN33 30METRES TYPE EDF</v>
          </cell>
          <cell r="C8195" t="str">
            <v xml:space="preserve">POK REF 28522 CONFORME A LA NORME NF S 61-820 </v>
          </cell>
          <cell r="D8195" t="str">
            <v>PE</v>
          </cell>
          <cell r="E8195" t="str">
            <v>516.51601</v>
          </cell>
          <cell r="F8195">
            <v>11970</v>
          </cell>
          <cell r="G8195">
            <v>0</v>
          </cell>
          <cell r="H8195">
            <v>2</v>
          </cell>
          <cell r="I8195">
            <v>4</v>
          </cell>
          <cell r="J8195">
            <v>0</v>
          </cell>
          <cell r="K8195">
            <v>0</v>
          </cell>
          <cell r="L8195">
            <v>9</v>
          </cell>
        </row>
        <row r="8196">
          <cell r="A8196" t="str">
            <v>20708.00773</v>
          </cell>
          <cell r="B8196" t="str">
            <v>SONDE DE CONDUCTIVITE</v>
          </cell>
          <cell r="C8196" t="str">
            <v>142-03-14-54</v>
          </cell>
          <cell r="D8196" t="str">
            <v>PE</v>
          </cell>
          <cell r="E8196" t="str">
            <v>512.51201</v>
          </cell>
          <cell r="F8196">
            <v>4714</v>
          </cell>
          <cell r="G8196">
            <v>0</v>
          </cell>
          <cell r="H8196">
            <v>0</v>
          </cell>
          <cell r="I8196">
            <v>0</v>
          </cell>
          <cell r="J8196">
            <v>2</v>
          </cell>
          <cell r="K8196">
            <v>0</v>
          </cell>
          <cell r="L8196">
            <v>2</v>
          </cell>
        </row>
        <row r="8197">
          <cell r="A8197" t="str">
            <v>20438.01279</v>
          </cell>
          <cell r="B8197" t="str">
            <v>ACTIONNEUR PNEUMATIQUE</v>
          </cell>
          <cell r="C8197" t="str">
            <v xml:space="preserve">XRP-XS630-S08 C </v>
          </cell>
          <cell r="D8197" t="str">
            <v>PE</v>
          </cell>
          <cell r="E8197" t="str">
            <v>515.51511</v>
          </cell>
          <cell r="F8197">
            <v>33332.625999999997</v>
          </cell>
          <cell r="G8197">
            <v>0</v>
          </cell>
          <cell r="H8197">
            <v>0</v>
          </cell>
          <cell r="I8197">
            <v>0</v>
          </cell>
          <cell r="J8197">
            <v>0</v>
          </cell>
          <cell r="K8197">
            <v>0</v>
          </cell>
          <cell r="L8197">
            <v>3</v>
          </cell>
        </row>
        <row r="8198">
          <cell r="A8198" t="str">
            <v>20438.01280</v>
          </cell>
          <cell r="B8198" t="str">
            <v>ACTIONNEUR PNEUMATIQUE</v>
          </cell>
          <cell r="C8198" t="str">
            <v xml:space="preserve">XRP-XS960-S12 C </v>
          </cell>
          <cell r="D8198" t="str">
            <v>PE</v>
          </cell>
          <cell r="E8198" t="str">
            <v>515.51511</v>
          </cell>
          <cell r="F8198">
            <v>43957.334000000003</v>
          </cell>
          <cell r="G8198">
            <v>0</v>
          </cell>
          <cell r="H8198">
            <v>1</v>
          </cell>
          <cell r="I8198">
            <v>0</v>
          </cell>
          <cell r="J8198">
            <v>0</v>
          </cell>
          <cell r="K8198">
            <v>0</v>
          </cell>
          <cell r="L8198">
            <v>0</v>
          </cell>
        </row>
        <row r="8199">
          <cell r="A8199" t="str">
            <v>20438.01281</v>
          </cell>
          <cell r="B8199" t="str">
            <v>KIT DE RECHANGES POUR ACTIONNEUR</v>
          </cell>
          <cell r="C8199" t="str">
            <v>XSRE238014</v>
          </cell>
          <cell r="D8199" t="str">
            <v>PE</v>
          </cell>
          <cell r="E8199" t="str">
            <v>515.51511</v>
          </cell>
          <cell r="F8199">
            <v>2725.3760000000002</v>
          </cell>
          <cell r="G8199">
            <v>0</v>
          </cell>
          <cell r="H8199">
            <v>0</v>
          </cell>
          <cell r="I8199">
            <v>0</v>
          </cell>
          <cell r="J8199">
            <v>0</v>
          </cell>
          <cell r="K8199">
            <v>0</v>
          </cell>
          <cell r="L8199">
            <v>3</v>
          </cell>
        </row>
        <row r="8200">
          <cell r="A8200" t="str">
            <v>10068.10497</v>
          </cell>
          <cell r="B8200" t="str">
            <v>BRIDE PLATE A SOUDER</v>
          </cell>
          <cell r="C8200" t="str">
            <v xml:space="preserve">BRIDE PLATE A SOUDER DN 300 PN 20  MATIERE : ACIER NOIR     DIAMETRE EXTERIEUR : 483MM     ENTR'AXES : 431,8MM   12 TROUS DE DIAMETRE 25,4MM    </v>
          </cell>
          <cell r="D8200" t="str">
            <v>PE</v>
          </cell>
          <cell r="E8200" t="str">
            <v>313.31301</v>
          </cell>
          <cell r="F8200">
            <v>682</v>
          </cell>
          <cell r="G8200">
            <v>0</v>
          </cell>
          <cell r="H8200">
            <v>6</v>
          </cell>
          <cell r="I8200">
            <v>0</v>
          </cell>
          <cell r="J8200">
            <v>0</v>
          </cell>
          <cell r="K8200">
            <v>0</v>
          </cell>
          <cell r="L8200">
            <v>0</v>
          </cell>
        </row>
        <row r="8201">
          <cell r="A8201" t="str">
            <v>20492.34858</v>
          </cell>
          <cell r="B8201" t="str">
            <v>ELIMINATEUR DE BRUMES COMPLET AVEC ACCESSOIRES TOURS DE SECHAGE</v>
          </cell>
          <cell r="C8201" t="str">
            <v>MECS TYPE CS-I 30X65 P EFR REP1-2-4-5 ET 6 EN INOX 316L</v>
          </cell>
          <cell r="D8201" t="str">
            <v>PE</v>
          </cell>
          <cell r="E8201" t="str">
            <v>225.22502</v>
          </cell>
          <cell r="F8201">
            <v>33241.949999999997</v>
          </cell>
          <cell r="G8201">
            <v>0</v>
          </cell>
          <cell r="H8201">
            <v>0</v>
          </cell>
          <cell r="I8201">
            <v>0</v>
          </cell>
          <cell r="J8201">
            <v>0</v>
          </cell>
          <cell r="K8201">
            <v>0</v>
          </cell>
          <cell r="L8201">
            <v>8</v>
          </cell>
        </row>
        <row r="8202">
          <cell r="A8202" t="str">
            <v>10068.10508</v>
          </cell>
          <cell r="B8202" t="str">
            <v>BRIDE PLATE A SOUDER</v>
          </cell>
          <cell r="C8202" t="str">
            <v>BRIDE PLATE A SOUDER DN 150 PN 20  MATIERE : INOX UB6    DIAMETRE EXTERIEUR : 279MM     ENTR'AXES : 241,3MM   8 TROUS DE DIAMETRE 22,2MM</v>
          </cell>
          <cell r="D8202" t="str">
            <v>PE</v>
          </cell>
          <cell r="E8202" t="str">
            <v>313.31301</v>
          </cell>
          <cell r="F8202">
            <v>5289.9251000000004</v>
          </cell>
          <cell r="G8202">
            <v>0</v>
          </cell>
          <cell r="H8202">
            <v>0</v>
          </cell>
          <cell r="I8202">
            <v>0</v>
          </cell>
          <cell r="J8202">
            <v>0</v>
          </cell>
          <cell r="K8202">
            <v>0</v>
          </cell>
          <cell r="L8202">
            <v>2</v>
          </cell>
        </row>
        <row r="8203">
          <cell r="A8203" t="str">
            <v>20461.01565</v>
          </cell>
          <cell r="B8203" t="str">
            <v>NACELLE A BOUILLIE EN INOX 904L</v>
          </cell>
          <cell r="C8203" t="str">
            <v xml:space="preserve">SUIVANT PLAN: PMP-PHOS 82  ET LE PLAN : PMP-PHOS 82BIS+DESCRIPTIF TECHNIQUE 001/17 </v>
          </cell>
          <cell r="D8203" t="str">
            <v>PE</v>
          </cell>
          <cell r="E8203" t="str">
            <v>522.52213</v>
          </cell>
          <cell r="F8203">
            <v>221150</v>
          </cell>
          <cell r="G8203">
            <v>0</v>
          </cell>
          <cell r="H8203">
            <v>2</v>
          </cell>
          <cell r="I8203">
            <v>0</v>
          </cell>
          <cell r="J8203">
            <v>0</v>
          </cell>
          <cell r="K8203">
            <v>0</v>
          </cell>
          <cell r="L8203">
            <v>0</v>
          </cell>
        </row>
        <row r="8204">
          <cell r="A8204" t="str">
            <v>20498.12375</v>
          </cell>
          <cell r="B8204" t="str">
            <v>SONDE DE PRELEVEMENT</v>
          </cell>
          <cell r="C8204" t="str">
            <v>EMERSON  20 S 2010   TYPE SP2000-H/C/I/BB</v>
          </cell>
          <cell r="D8204" t="str">
            <v>PE</v>
          </cell>
          <cell r="E8204" t="str">
            <v>512.51201</v>
          </cell>
          <cell r="F8204">
            <v>83976.07</v>
          </cell>
          <cell r="G8204">
            <v>0</v>
          </cell>
          <cell r="H8204">
            <v>0</v>
          </cell>
          <cell r="I8204">
            <v>0</v>
          </cell>
          <cell r="J8204">
            <v>0</v>
          </cell>
          <cell r="K8204">
            <v>0</v>
          </cell>
          <cell r="L8204">
            <v>1</v>
          </cell>
        </row>
        <row r="8205">
          <cell r="A8205" t="str">
            <v>20498.12377</v>
          </cell>
          <cell r="B8205" t="str">
            <v>DEBIMETRE BOUCLE ANALYSEUR /BOUCLE RAPIDE</v>
          </cell>
          <cell r="C8205" t="str">
            <v>EMERSON  09 F 4000  GAMME:7-70 NI/h TYPE FM-40/70</v>
          </cell>
          <cell r="D8205" t="str">
            <v>PE</v>
          </cell>
          <cell r="E8205" t="str">
            <v>512.51201</v>
          </cell>
          <cell r="F8205">
            <v>2933</v>
          </cell>
          <cell r="G8205">
            <v>0</v>
          </cell>
          <cell r="H8205">
            <v>2</v>
          </cell>
          <cell r="I8205">
            <v>0</v>
          </cell>
          <cell r="J8205">
            <v>0</v>
          </cell>
          <cell r="K8205">
            <v>2</v>
          </cell>
          <cell r="L8205">
            <v>0</v>
          </cell>
        </row>
        <row r="8206">
          <cell r="A8206" t="str">
            <v>20498.12378</v>
          </cell>
          <cell r="B8206" t="str">
            <v>SERVOMOTEUR</v>
          </cell>
          <cell r="C8206" t="str">
            <v>REMOTE CONTROL  TYPE RC280-SR080QHT F14-46 HIGH TEMP REF:183385</v>
          </cell>
          <cell r="D8206" t="str">
            <v>PE</v>
          </cell>
          <cell r="E8206" t="str">
            <v>512.51202</v>
          </cell>
          <cell r="F8206">
            <v>39740</v>
          </cell>
          <cell r="G8206">
            <v>0</v>
          </cell>
          <cell r="H8206">
            <v>0</v>
          </cell>
          <cell r="I8206">
            <v>0</v>
          </cell>
          <cell r="J8206">
            <v>0</v>
          </cell>
          <cell r="K8206">
            <v>0</v>
          </cell>
          <cell r="L8206">
            <v>1</v>
          </cell>
        </row>
        <row r="8207">
          <cell r="A8207" t="str">
            <v>20498.12379</v>
          </cell>
          <cell r="B8207" t="str">
            <v>KIT DE JOINTS POUR SERVOMOTEUR</v>
          </cell>
          <cell r="C8207" t="str">
            <v>REMOTE CONTROL  P/TYPE RC280-SR080QHT F14-46 HIGH TEMP REF:183385</v>
          </cell>
          <cell r="D8207" t="str">
            <v>PE</v>
          </cell>
          <cell r="E8207" t="str">
            <v>512.51202</v>
          </cell>
          <cell r="F8207">
            <v>9435.42</v>
          </cell>
          <cell r="G8207">
            <v>0</v>
          </cell>
          <cell r="H8207">
            <v>0</v>
          </cell>
          <cell r="I8207">
            <v>0</v>
          </cell>
          <cell r="J8207">
            <v>0</v>
          </cell>
          <cell r="K8207">
            <v>0</v>
          </cell>
          <cell r="L8207">
            <v>0</v>
          </cell>
        </row>
        <row r="8208">
          <cell r="A8208" t="str">
            <v>20498.12380</v>
          </cell>
          <cell r="B8208" t="str">
            <v>SERVOMOTEUR</v>
          </cell>
          <cell r="C8208" t="str">
            <v>REMOTE CONTROL  TYPE RC250-SR080HTQ ACTUATOR F10/F12-22 REF:153469</v>
          </cell>
          <cell r="D8208" t="str">
            <v>PE</v>
          </cell>
          <cell r="E8208" t="str">
            <v>512.51202</v>
          </cell>
          <cell r="F8208">
            <v>9125.4</v>
          </cell>
          <cell r="G8208">
            <v>0</v>
          </cell>
          <cell r="H8208">
            <v>0</v>
          </cell>
          <cell r="I8208">
            <v>0</v>
          </cell>
          <cell r="J8208">
            <v>0</v>
          </cell>
          <cell r="K8208">
            <v>0</v>
          </cell>
          <cell r="L8208">
            <v>1</v>
          </cell>
        </row>
        <row r="8209">
          <cell r="A8209" t="str">
            <v>20498.12381</v>
          </cell>
          <cell r="B8209" t="str">
            <v>KIT DE JOINTS POUR SERVOMOTEUR</v>
          </cell>
          <cell r="C8209" t="str">
            <v>REMOTE CONTROL  P/TYPE RC250-SR080HTQ ACTUATOR F10/F12-22 REF:153469</v>
          </cell>
          <cell r="D8209" t="str">
            <v>PE</v>
          </cell>
          <cell r="E8209" t="str">
            <v>512.51202</v>
          </cell>
          <cell r="F8209">
            <v>10724.49</v>
          </cell>
          <cell r="G8209">
            <v>0</v>
          </cell>
          <cell r="H8209">
            <v>0</v>
          </cell>
          <cell r="I8209">
            <v>0</v>
          </cell>
          <cell r="J8209">
            <v>0</v>
          </cell>
          <cell r="K8209">
            <v>0</v>
          </cell>
          <cell r="L8209">
            <v>0</v>
          </cell>
        </row>
        <row r="8210">
          <cell r="A8210" t="str">
            <v>20498.12382</v>
          </cell>
          <cell r="B8210" t="str">
            <v>KIT DE JOINTS POUR SERVOMOTEUR</v>
          </cell>
          <cell r="C8210" t="str">
            <v>REMOTE CONTROL  P/TYPE RCGI100-DAM ACTUATOR M.O REF:203038</v>
          </cell>
          <cell r="D8210" t="str">
            <v>PE</v>
          </cell>
          <cell r="E8210" t="str">
            <v>512.51202</v>
          </cell>
          <cell r="F8210">
            <v>13289.33</v>
          </cell>
          <cell r="G8210">
            <v>0</v>
          </cell>
          <cell r="H8210">
            <v>0</v>
          </cell>
          <cell r="I8210">
            <v>0</v>
          </cell>
          <cell r="J8210">
            <v>0</v>
          </cell>
          <cell r="K8210">
            <v>0</v>
          </cell>
          <cell r="L8210">
            <v>0</v>
          </cell>
        </row>
        <row r="8211">
          <cell r="A8211" t="str">
            <v>20498.12383</v>
          </cell>
          <cell r="B8211" t="str">
            <v>KIT DE JOINTS POUR SERVOMOTEUR</v>
          </cell>
          <cell r="C8211" t="str">
            <v>REMOTE CONTROL  P/TYPE RCIO280-DA±3° F12/F16/F25-46 REF:183442</v>
          </cell>
          <cell r="D8211" t="str">
            <v>PE</v>
          </cell>
          <cell r="E8211" t="str">
            <v>512.51202</v>
          </cell>
          <cell r="F8211">
            <v>3202.73</v>
          </cell>
          <cell r="G8211">
            <v>0</v>
          </cell>
          <cell r="H8211">
            <v>0</v>
          </cell>
          <cell r="I8211">
            <v>0</v>
          </cell>
          <cell r="J8211">
            <v>0</v>
          </cell>
          <cell r="K8211">
            <v>0</v>
          </cell>
          <cell r="L8211">
            <v>0</v>
          </cell>
        </row>
        <row r="8212">
          <cell r="A8212" t="str">
            <v>20498.12387</v>
          </cell>
          <cell r="B8212" t="str">
            <v>THERMOCOUPLE AVEC DOIGT DE GANT</v>
          </cell>
          <cell r="C8212" t="str">
            <v xml:space="preserve">PYROCONTROLE PLAN N° 10 LONG 356mm MATIERE PUIT INOX 904L BRIDE TYPE 3/4" 150 RF MATIERE INOX 904L </v>
          </cell>
          <cell r="D8212" t="str">
            <v>PE</v>
          </cell>
          <cell r="E8212" t="str">
            <v>512.51201</v>
          </cell>
          <cell r="F8212">
            <v>6587.7515999999996</v>
          </cell>
          <cell r="G8212">
            <v>0</v>
          </cell>
          <cell r="H8212">
            <v>0</v>
          </cell>
          <cell r="I8212">
            <v>0</v>
          </cell>
          <cell r="J8212">
            <v>0</v>
          </cell>
          <cell r="K8212">
            <v>0</v>
          </cell>
          <cell r="L8212">
            <v>1</v>
          </cell>
        </row>
        <row r="8213">
          <cell r="A8213" t="str">
            <v>20708.00841</v>
          </cell>
          <cell r="B8213" t="str">
            <v>TUBE DE MESURE A BRIDES</v>
          </cell>
          <cell r="C8213" t="str">
            <v xml:space="preserve">8705APA040S1WONOG2DTQ4 </v>
          </cell>
          <cell r="D8213" t="str">
            <v>PE</v>
          </cell>
          <cell r="E8213" t="str">
            <v>512.51201</v>
          </cell>
          <cell r="F8213">
            <v>32107.16</v>
          </cell>
          <cell r="G8213">
            <v>0</v>
          </cell>
          <cell r="H8213">
            <v>1</v>
          </cell>
          <cell r="I8213">
            <v>0</v>
          </cell>
          <cell r="J8213">
            <v>0</v>
          </cell>
          <cell r="K8213">
            <v>0</v>
          </cell>
          <cell r="L8213">
            <v>0</v>
          </cell>
        </row>
        <row r="8214">
          <cell r="A8214" t="str">
            <v>20492.35233</v>
          </cell>
          <cell r="B8214" t="str">
            <v>ACTIONNEUR</v>
          </cell>
          <cell r="C8214" t="str">
            <v>NARVIK 20-90 PLAN D070098-010</v>
          </cell>
          <cell r="D8214" t="str">
            <v>PE</v>
          </cell>
          <cell r="E8214" t="str">
            <v>512.51201</v>
          </cell>
          <cell r="F8214">
            <v>69700</v>
          </cell>
          <cell r="G8214">
            <v>0</v>
          </cell>
          <cell r="H8214">
            <v>0</v>
          </cell>
          <cell r="I8214">
            <v>0</v>
          </cell>
          <cell r="J8214">
            <v>0</v>
          </cell>
          <cell r="K8214">
            <v>0</v>
          </cell>
          <cell r="L8214">
            <v>1</v>
          </cell>
        </row>
        <row r="8215">
          <cell r="A8215" t="str">
            <v>20492.29510</v>
          </cell>
          <cell r="B8215" t="str">
            <v>VERIN PNEUMATIQUE</v>
          </cell>
          <cell r="C8215" t="str">
            <v>RDC CONTRÔLE PATJ4NX3-48 PLAN 02-CM9218</v>
          </cell>
          <cell r="D8215" t="str">
            <v>PE</v>
          </cell>
          <cell r="E8215" t="str">
            <v>522.52209</v>
          </cell>
          <cell r="F8215">
            <v>63932.92</v>
          </cell>
          <cell r="G8215">
            <v>0</v>
          </cell>
          <cell r="H8215">
            <v>0</v>
          </cell>
          <cell r="I8215">
            <v>0</v>
          </cell>
          <cell r="J8215">
            <v>0</v>
          </cell>
          <cell r="K8215">
            <v>0</v>
          </cell>
          <cell r="L8215">
            <v>1</v>
          </cell>
        </row>
        <row r="8216">
          <cell r="A8216" t="str">
            <v>20492.29511</v>
          </cell>
          <cell r="B8216" t="str">
            <v>KIT DE JOINT POUR VERIN PNEUMATIQUE</v>
          </cell>
          <cell r="C8216" t="str">
            <v>RDC CONTRÔLE P/VERIN PATJ4NX3-48 PLAN 02-CM9218</v>
          </cell>
          <cell r="D8216" t="str">
            <v>JE</v>
          </cell>
          <cell r="E8216" t="str">
            <v>522.52209</v>
          </cell>
          <cell r="F8216">
            <v>6464.05</v>
          </cell>
          <cell r="G8216">
            <v>0</v>
          </cell>
          <cell r="H8216">
            <v>0</v>
          </cell>
          <cell r="I8216">
            <v>0</v>
          </cell>
          <cell r="J8216">
            <v>0</v>
          </cell>
          <cell r="K8216">
            <v>0</v>
          </cell>
          <cell r="L8216">
            <v>2</v>
          </cell>
        </row>
        <row r="8217">
          <cell r="A8217" t="str">
            <v>10067.06229</v>
          </cell>
          <cell r="B8217" t="str">
            <v>VANNE A PAPILLON DN400</v>
          </cell>
          <cell r="C8217" t="str">
            <v>VANNE A PAPILLON TRIPLE EXCENTRATION DN 400 MATIERE DU CORPS: ASTM A 216 WCB.  MATIERE DU PAPILLON: ASTM A 216 WCB + STELLITE Gr 6.  ENCOMBREMENT: 216 MM.  FLUIDE VEHICULE:VAPEUR BP,AVEC DEMULTIPLICATEUR A VOLANT SUIVANT FICHE TECHNIQUE</v>
          </cell>
          <cell r="D8217" t="str">
            <v>PE</v>
          </cell>
          <cell r="E8217" t="str">
            <v>515.51511</v>
          </cell>
          <cell r="F8217">
            <v>81209.4283</v>
          </cell>
          <cell r="G8217">
            <v>0</v>
          </cell>
          <cell r="H8217">
            <v>1</v>
          </cell>
          <cell r="I8217">
            <v>0</v>
          </cell>
          <cell r="J8217">
            <v>0</v>
          </cell>
          <cell r="K8217">
            <v>0</v>
          </cell>
          <cell r="L8217">
            <v>0</v>
          </cell>
        </row>
        <row r="8218">
          <cell r="A8218" t="str">
            <v>10092.00008</v>
          </cell>
          <cell r="B8218" t="str">
            <v>GEL DESINFECTANT POUR FRICTION HYDROALCOOLIQUE</v>
          </cell>
          <cell r="C8218" t="str">
            <v>GEL HYDROALCOOLIQUE THIXOTROPIQUE POUR LE TRAITEMENT HYGIENIQUE ET LA DESINFECTION CHIRUGICALE DES MAINS PAR FRICTION • ALCOOL ETHYLIQUE : 755 ml/l• POINT ECLAIR DU PRODUIT : +23°C • DENSITE A +20°C : ENV. 0.862 • PH A +20°C : ENVIRON 5,5 (PROCHE DE CELUI DE LA PEAU) • VISCOSITE A +20°C : 1200 A 2500 mPa.sGENRE ANIOSGEL 85 NPC REF 1644.763CONDITIONNEMENT : FLACON DE 1L - POMPE VISSEE NB : A LIVRER AVEC LA FDS</v>
          </cell>
          <cell r="D8218" t="str">
            <v>PE</v>
          </cell>
          <cell r="E8218" t="str">
            <v>223.22301</v>
          </cell>
          <cell r="F8218">
            <v>1274.7996000000001</v>
          </cell>
          <cell r="G8218">
            <v>0</v>
          </cell>
          <cell r="H8218">
            <v>11.26</v>
          </cell>
          <cell r="I8218">
            <v>0</v>
          </cell>
          <cell r="J8218">
            <v>0</v>
          </cell>
          <cell r="K8218">
            <v>0</v>
          </cell>
          <cell r="L8218">
            <v>0</v>
          </cell>
        </row>
        <row r="8219">
          <cell r="A8219" t="str">
            <v>20329.01456</v>
          </cell>
          <cell r="B8219" t="str">
            <v>ROULEMENT (CONE + CUVETTE)</v>
          </cell>
          <cell r="C8219" t="str">
            <v>HM813849/HM813810</v>
          </cell>
          <cell r="D8219" t="str">
            <v>PE</v>
          </cell>
          <cell r="E8219" t="str">
            <v>515.51515</v>
          </cell>
          <cell r="F8219">
            <v>874</v>
          </cell>
          <cell r="G8219">
            <v>0</v>
          </cell>
          <cell r="H8219">
            <v>0</v>
          </cell>
          <cell r="I8219">
            <v>0</v>
          </cell>
          <cell r="J8219">
            <v>2</v>
          </cell>
          <cell r="K8219">
            <v>2</v>
          </cell>
          <cell r="L8219">
            <v>2</v>
          </cell>
        </row>
        <row r="8220">
          <cell r="A8220" t="str">
            <v>20492.35602</v>
          </cell>
          <cell r="B8220" t="str">
            <v>ALIMENTATION</v>
          </cell>
          <cell r="C8220" t="str">
            <v xml:space="preserve">AEG  TYPE:  AC 2000 -E 230 G24/65 BWrg-Cü  REF:37204101    </v>
          </cell>
          <cell r="D8220" t="str">
            <v>PE</v>
          </cell>
          <cell r="E8220" t="str">
            <v>522.52206</v>
          </cell>
          <cell r="F8220">
            <v>32100</v>
          </cell>
          <cell r="G8220">
            <v>0</v>
          </cell>
          <cell r="H8220">
            <v>0</v>
          </cell>
          <cell r="I8220">
            <v>0</v>
          </cell>
          <cell r="J8220">
            <v>0</v>
          </cell>
          <cell r="K8220">
            <v>0</v>
          </cell>
          <cell r="L8220">
            <v>1</v>
          </cell>
        </row>
        <row r="8221">
          <cell r="A8221" t="str">
            <v>10068.02832</v>
          </cell>
          <cell r="B8221" t="str">
            <v>RACCORD A CAMES SUR BRIDE DN 25</v>
          </cell>
          <cell r="C8221" t="str">
            <v>RACCORD A CAMES SUR BRIDE DN25 PN 10/16 EN INOX 316L CONFORME A LA NORME  DIN-2828</v>
          </cell>
          <cell r="D8221" t="str">
            <v>PE</v>
          </cell>
          <cell r="E8221" t="str">
            <v>313.31301</v>
          </cell>
          <cell r="F8221">
            <v>1419</v>
          </cell>
          <cell r="G8221">
            <v>0</v>
          </cell>
          <cell r="H8221">
            <v>2</v>
          </cell>
          <cell r="I8221">
            <v>0</v>
          </cell>
          <cell r="J8221">
            <v>0</v>
          </cell>
          <cell r="K8221">
            <v>0</v>
          </cell>
          <cell r="L8221">
            <v>11</v>
          </cell>
        </row>
        <row r="8222">
          <cell r="A8222" t="str">
            <v>10068.02833</v>
          </cell>
          <cell r="B8222" t="str">
            <v>RACCORD A CAMES SUR BRIDE DN 50</v>
          </cell>
          <cell r="C8222" t="str">
            <v>RACCORD A CAMES SUR BRIDE DN50 PN 10/16 EN INOX 316L CONFORME A LA NORME  DIN-2828</v>
          </cell>
          <cell r="D8222" t="str">
            <v>PE</v>
          </cell>
          <cell r="E8222" t="str">
            <v>313.31301</v>
          </cell>
          <cell r="F8222">
            <v>1687.13</v>
          </cell>
          <cell r="G8222">
            <v>0</v>
          </cell>
          <cell r="H8222">
            <v>0</v>
          </cell>
          <cell r="I8222">
            <v>0</v>
          </cell>
          <cell r="J8222">
            <v>0</v>
          </cell>
          <cell r="K8222">
            <v>0</v>
          </cell>
          <cell r="L8222">
            <v>15</v>
          </cell>
        </row>
        <row r="8223">
          <cell r="A8223" t="str">
            <v>10068.02834</v>
          </cell>
          <cell r="B8223" t="str">
            <v>COUPLEUR CANNELE SECURISE DN 25</v>
          </cell>
          <cell r="C8223" t="str">
            <v>COUPLEUR CANNELE SECURISE AUTOLCK TYPE C100SSAUTO  DN 25 EN INOX 316L FILETAGE BSP G1" CONFORME A LA NORME  DIN 2828</v>
          </cell>
          <cell r="D8223" t="str">
            <v>PE</v>
          </cell>
          <cell r="E8223" t="str">
            <v>313.31301</v>
          </cell>
          <cell r="F8223">
            <v>86.21</v>
          </cell>
          <cell r="G8223">
            <v>0</v>
          </cell>
          <cell r="H8223">
            <v>0</v>
          </cell>
          <cell r="I8223">
            <v>0</v>
          </cell>
          <cell r="J8223">
            <v>3</v>
          </cell>
          <cell r="K8223">
            <v>5</v>
          </cell>
          <cell r="L8223">
            <v>5</v>
          </cell>
        </row>
        <row r="8224">
          <cell r="A8224" t="str">
            <v>10068.02835</v>
          </cell>
          <cell r="B8224" t="str">
            <v>COUPLEUR CANNELE SECURISE DN 50</v>
          </cell>
          <cell r="C8224" t="str">
            <v>COUPLEUR CANNELE SECURISE AUTOLCK TYPE C200SSAUTO  DN 50 EN INOX 316L FILETAGE BSP G2" CONFORME A LA NORME DIN 2828</v>
          </cell>
          <cell r="D8224" t="str">
            <v>PE</v>
          </cell>
          <cell r="E8224" t="str">
            <v>313.31301</v>
          </cell>
          <cell r="F8224">
            <v>201.71</v>
          </cell>
          <cell r="G8224">
            <v>0</v>
          </cell>
          <cell r="H8224">
            <v>10</v>
          </cell>
          <cell r="I8224">
            <v>0</v>
          </cell>
          <cell r="J8224">
            <v>0</v>
          </cell>
          <cell r="K8224">
            <v>5</v>
          </cell>
          <cell r="L8224">
            <v>0</v>
          </cell>
        </row>
        <row r="8225">
          <cell r="A8225" t="str">
            <v>10068.02836</v>
          </cell>
          <cell r="B8225" t="str">
            <v>ADAPTEUR DN 25</v>
          </cell>
          <cell r="C8225" t="str">
            <v>ADAPTEUR TYPE E DOUILLE CANNELEE SANS COLLERETTE DN 25 EN INOX 316L TYPE : E100SS CONFORME A LA NORME  DIN 2828</v>
          </cell>
          <cell r="D8225" t="str">
            <v>PE</v>
          </cell>
          <cell r="E8225" t="str">
            <v>313.31301</v>
          </cell>
          <cell r="F8225">
            <v>54.03</v>
          </cell>
          <cell r="G8225">
            <v>0</v>
          </cell>
          <cell r="H8225">
            <v>0</v>
          </cell>
          <cell r="I8225">
            <v>0</v>
          </cell>
          <cell r="J8225">
            <v>3</v>
          </cell>
          <cell r="K8225">
            <v>5</v>
          </cell>
          <cell r="L8225">
            <v>5</v>
          </cell>
        </row>
        <row r="8226">
          <cell r="A8226" t="str">
            <v>10068.02837</v>
          </cell>
          <cell r="B8226" t="str">
            <v>ADAPTEUR DN 50</v>
          </cell>
          <cell r="C8226" t="str">
            <v>ADAPTEUR TYPE E DOUILLE CANNELEE SANS COLLERETTE DN 50 EN INOX 316L TYPE : E200SS CONFORME A LA NORME  DIN 2828</v>
          </cell>
          <cell r="D8226" t="str">
            <v>PE</v>
          </cell>
          <cell r="E8226" t="str">
            <v>313.31301</v>
          </cell>
          <cell r="F8226">
            <v>168.3</v>
          </cell>
          <cell r="G8226">
            <v>0</v>
          </cell>
          <cell r="H8226">
            <v>0</v>
          </cell>
          <cell r="I8226">
            <v>0</v>
          </cell>
          <cell r="J8226">
            <v>0</v>
          </cell>
          <cell r="K8226">
            <v>5</v>
          </cell>
          <cell r="L8226">
            <v>10</v>
          </cell>
        </row>
        <row r="8227">
          <cell r="A8227" t="str">
            <v>10068.02838</v>
          </cell>
          <cell r="B8227" t="str">
            <v>JOINT POUR RACCORD A CAMES DN 25</v>
          </cell>
          <cell r="C8227" t="str">
            <v>JOINT POUR RACCORD A CAMES DN 25  NBR 100B</v>
          </cell>
          <cell r="D8227" t="str">
            <v>PE</v>
          </cell>
          <cell r="E8227" t="str">
            <v>313.31301</v>
          </cell>
          <cell r="F8227">
            <v>8.66</v>
          </cell>
          <cell r="G8227">
            <v>0</v>
          </cell>
          <cell r="H8227">
            <v>15</v>
          </cell>
          <cell r="I8227">
            <v>0</v>
          </cell>
          <cell r="J8227">
            <v>0</v>
          </cell>
          <cell r="K8227">
            <v>0</v>
          </cell>
          <cell r="L8227">
            <v>0</v>
          </cell>
        </row>
        <row r="8228">
          <cell r="A8228" t="str">
            <v>10068.02839</v>
          </cell>
          <cell r="B8228" t="str">
            <v>JOINT POUR RACCORD A CAMES DN 50</v>
          </cell>
          <cell r="C8228" t="str">
            <v>JOINT POUR RACCORD A CAMES DN 50 NBR 200B</v>
          </cell>
          <cell r="D8228" t="str">
            <v>PE</v>
          </cell>
          <cell r="E8228" t="str">
            <v>313.31301</v>
          </cell>
          <cell r="F8228">
            <v>12.37</v>
          </cell>
          <cell r="G8228">
            <v>0</v>
          </cell>
          <cell r="H8228">
            <v>15</v>
          </cell>
          <cell r="I8228">
            <v>0</v>
          </cell>
          <cell r="J8228">
            <v>0</v>
          </cell>
          <cell r="K8228">
            <v>0</v>
          </cell>
          <cell r="L8228">
            <v>0</v>
          </cell>
        </row>
        <row r="8229">
          <cell r="A8229" t="str">
            <v>10079.00109</v>
          </cell>
          <cell r="B8229" t="str">
            <v>SAC ISOTHERME</v>
          </cell>
          <cell r="C8229" t="str">
            <v>SAC ISOTHERME IMPERMEABLE QUI PERMET DE TRANSPORTER D’ENVIRON 5 L A 7 L EN UNE SEULE FOIS, TRES FONCTIONNEL ET ROBUSTE POUR GARANTIR LA DURABILITE. SON TRANSPORT EST FACILE GRACE AUX ANSES RENFORCEES.INTERIEUR THERMO ISOLECOULEUR : AU CHOIXNB : LES OFFRES DOIVENT ETRE ACCOMPAGNEES D'UN MODELE PROPOSE.</v>
          </cell>
          <cell r="D8229" t="str">
            <v>PE</v>
          </cell>
          <cell r="E8229" t="str">
            <v>222.22203</v>
          </cell>
          <cell r="F8229">
            <v>66</v>
          </cell>
          <cell r="G8229">
            <v>0</v>
          </cell>
          <cell r="H8229">
            <v>105</v>
          </cell>
          <cell r="I8229">
            <v>0</v>
          </cell>
          <cell r="J8229">
            <v>0</v>
          </cell>
          <cell r="K8229">
            <v>0</v>
          </cell>
          <cell r="L8229">
            <v>0</v>
          </cell>
        </row>
        <row r="8230">
          <cell r="A8230" t="str">
            <v>20492.35606</v>
          </cell>
          <cell r="B8230" t="str">
            <v>CABLE D'INTERFACE</v>
          </cell>
          <cell r="C8230" t="str">
            <v>PHOENIX CONTACT TYPE FLK 40-PA/EZ-DR/KS/600/YUC  REF 2314943</v>
          </cell>
          <cell r="D8230" t="str">
            <v>PE</v>
          </cell>
          <cell r="E8230" t="str">
            <v>522.52206</v>
          </cell>
          <cell r="F8230">
            <v>1353</v>
          </cell>
          <cell r="G8230">
            <v>0</v>
          </cell>
          <cell r="H8230">
            <v>0</v>
          </cell>
          <cell r="I8230">
            <v>0</v>
          </cell>
          <cell r="J8230">
            <v>0</v>
          </cell>
          <cell r="K8230">
            <v>0</v>
          </cell>
          <cell r="L8230">
            <v>0</v>
          </cell>
        </row>
        <row r="8231">
          <cell r="A8231" t="str">
            <v>10065.01582</v>
          </cell>
          <cell r="B8231" t="str">
            <v>CAILLEBOTIS EN ACIER INOXYDABLE 304L 1500X990</v>
          </cell>
          <cell r="C8231" t="str">
            <v>CAILLEBOTIS TYPE C EN ACIER INOXYDABLE 304L DIMENSIONS :  1500X990 MM SECTION BARRE PORTANTE : 30X3MM  MAIILE : 30X30MM  HAUTEUR : 30MM AVEC 4 AGRAFES PAR PANNEAU</v>
          </cell>
          <cell r="D8231" t="str">
            <v>PE</v>
          </cell>
          <cell r="E8231" t="str">
            <v>522.52213</v>
          </cell>
          <cell r="F8231">
            <v>2417.8000000000002</v>
          </cell>
          <cell r="G8231">
            <v>0</v>
          </cell>
          <cell r="H8231">
            <v>0</v>
          </cell>
          <cell r="I8231">
            <v>0</v>
          </cell>
          <cell r="J8231">
            <v>4</v>
          </cell>
          <cell r="K8231">
            <v>0</v>
          </cell>
          <cell r="L8231">
            <v>0</v>
          </cell>
        </row>
        <row r="8232">
          <cell r="A8232" t="str">
            <v>10065.01591</v>
          </cell>
          <cell r="B8232" t="str">
            <v>CAILLEBOTIS EN ACIER INOXYDABLE 304L 1556X1200</v>
          </cell>
          <cell r="C8232" t="str">
            <v>CAILLEBOTIS TYPE C EN ACIER INOXYDABLE 304L DIMENSIONS :   1556X1200 MM SECTION BARRE PORTANTE : 30X3MM  MAIILE : 30X30MM  HAUTEUR : 30MM AVEC 4 AGRAFES PAR PANNEAU</v>
          </cell>
          <cell r="D8232" t="str">
            <v>PE</v>
          </cell>
          <cell r="E8232" t="str">
            <v>522.52213</v>
          </cell>
          <cell r="F8232">
            <v>3041.5</v>
          </cell>
          <cell r="G8232">
            <v>0</v>
          </cell>
          <cell r="H8232">
            <v>0</v>
          </cell>
          <cell r="I8232">
            <v>0</v>
          </cell>
          <cell r="J8232">
            <v>4</v>
          </cell>
          <cell r="K8232">
            <v>0</v>
          </cell>
          <cell r="L8232">
            <v>0</v>
          </cell>
        </row>
        <row r="8233">
          <cell r="A8233" t="str">
            <v>10019.10495</v>
          </cell>
          <cell r="B8233" t="str">
            <v>TRESSE CARREE CARNONE-GRAPHITE  4 MM</v>
          </cell>
          <cell r="C8233" t="str">
            <v>TRESSE CARREE CONSTITUEE DE FILS DE GRAPHITE EXPANSE GAINES DE FIL D'INCONEL ENDUITE D'UN MELANGE DE GRAPHITE DOPE D'UN AGENT AMELIORANT LE COEFFICIENT DE FROTTEMENT.CONTIENT UN INHIBITEUR DE CORROSION PASSIF POUR ASSURER UNE PROTECTION DE LA TIGE ET DU LOGEMENT DES GARNITURES,CETTE PROTECTION EST ILLIMITEE DANS LE TEMPS.PRESSION:&lt;400 bar-TEMPERATURE:-200°C a +600°C-VITESSE:&lt;1m/s-pH:0-14 COTE:4MM LATTY GRAF 6940 EF</v>
          </cell>
          <cell r="D8233" t="str">
            <v>KG</v>
          </cell>
          <cell r="E8233" t="str">
            <v>522.52207</v>
          </cell>
          <cell r="F8233">
            <v>56.0608</v>
          </cell>
          <cell r="G8233">
            <v>0</v>
          </cell>
          <cell r="H8233">
            <v>0</v>
          </cell>
          <cell r="I8233">
            <v>0</v>
          </cell>
          <cell r="J8233">
            <v>0</v>
          </cell>
          <cell r="K8233">
            <v>0</v>
          </cell>
          <cell r="L8233">
            <v>10</v>
          </cell>
        </row>
        <row r="8234">
          <cell r="A8234" t="str">
            <v>10085.00044</v>
          </cell>
          <cell r="B8234" t="str">
            <v>PERMIS DE TRAVAIL SUR ÉCHAFAUDAGE (3 SOUCHES)</v>
          </cell>
          <cell r="C8234" t="str">
            <v>PERMIS DE TRAVAIL SUR ÉCHAFAUDAGE (3 SOUCHES)CARNET DE 50 LIASSES DE 3 FEUILLES AUTO-CARBONEESFORMAT: 21 x 31 CMCe document doit être fait en double exemplaire de couleurs différentes et les instructions FORCE : ORIGINAL DE 64 GR/M2 ET PAPIER PELURE POUR LE 2éme et le 3ème EXEMPLAIRECOUVERTURE: DOSSIER DISPONIBLENUMEROTATION EN 4 CHIFFRESPRESENTATION:A LA FRANCAISEIMPRESSION: RECTO EN NOIR POUR LES 3 EXEMPLAIRESL’ORIGINALE : BLANCLA 2EME COPIE: JAUNELA 3ème COPIE BLEU CIEL CLAIRSUIVANT MODELE F-HSE-29-03</v>
          </cell>
          <cell r="D8234" t="str">
            <v>PE</v>
          </cell>
          <cell r="E8234" t="str">
            <v>222.22206</v>
          </cell>
          <cell r="F8234">
            <v>26</v>
          </cell>
          <cell r="G8234">
            <v>0</v>
          </cell>
          <cell r="H8234">
            <v>0</v>
          </cell>
          <cell r="I8234">
            <v>0</v>
          </cell>
          <cell r="J8234">
            <v>0</v>
          </cell>
          <cell r="K8234">
            <v>80</v>
          </cell>
          <cell r="L8234">
            <v>0</v>
          </cell>
        </row>
        <row r="8235">
          <cell r="A8235" t="str">
            <v>20497.21740</v>
          </cell>
          <cell r="B8235" t="str">
            <v>ROBINET CASSE VIDE</v>
          </cell>
          <cell r="C8235" t="str">
            <v>ASP-53-250  PLAN 14822  REP695</v>
          </cell>
          <cell r="D8235" t="str">
            <v>PE</v>
          </cell>
          <cell r="E8235" t="str">
            <v>515.51505</v>
          </cell>
          <cell r="F8235">
            <v>6807.2</v>
          </cell>
          <cell r="G8235">
            <v>0</v>
          </cell>
          <cell r="H8235">
            <v>0</v>
          </cell>
          <cell r="I8235">
            <v>0</v>
          </cell>
          <cell r="J8235">
            <v>0</v>
          </cell>
          <cell r="K8235">
            <v>1</v>
          </cell>
          <cell r="L8235">
            <v>5</v>
          </cell>
        </row>
        <row r="8236">
          <cell r="A8236" t="str">
            <v>20498.12462</v>
          </cell>
          <cell r="B8236" t="str">
            <v>TRANSMETTEUR DE DENSITE</v>
          </cell>
          <cell r="C8236" t="str">
            <v>BERTHORD    TYPE : TB 444</v>
          </cell>
          <cell r="D8236" t="str">
            <v>PE</v>
          </cell>
          <cell r="E8236" t="str">
            <v>516.51602</v>
          </cell>
          <cell r="F8236">
            <v>60149</v>
          </cell>
          <cell r="G8236">
            <v>0</v>
          </cell>
          <cell r="H8236">
            <v>3</v>
          </cell>
          <cell r="I8236">
            <v>0</v>
          </cell>
          <cell r="J8236">
            <v>0</v>
          </cell>
          <cell r="K8236">
            <v>1</v>
          </cell>
          <cell r="L8236">
            <v>0</v>
          </cell>
        </row>
        <row r="8237">
          <cell r="A8237" t="str">
            <v>20630.00943</v>
          </cell>
          <cell r="B8237" t="str">
            <v>GARNITURE MECANIQUE CARTOUCHE</v>
          </cell>
          <cell r="C8237" t="str">
            <v>AESSEAL TYPE CDSA PLAN: 2066062-LGOOH-136 CODE:ADTTTC085V01</v>
          </cell>
          <cell r="D8237" t="str">
            <v>PE</v>
          </cell>
          <cell r="E8237" t="str">
            <v>522.52207</v>
          </cell>
          <cell r="F8237">
            <v>33055.480000000003</v>
          </cell>
          <cell r="G8237">
            <v>0</v>
          </cell>
          <cell r="H8237">
            <v>1</v>
          </cell>
          <cell r="I8237">
            <v>1</v>
          </cell>
          <cell r="J8237">
            <v>0</v>
          </cell>
          <cell r="K8237">
            <v>0</v>
          </cell>
          <cell r="L8237">
            <v>0</v>
          </cell>
        </row>
        <row r="8238">
          <cell r="A8238" t="str">
            <v>20492.35814</v>
          </cell>
          <cell r="B8238" t="str">
            <v>TRANSDUCTEUR</v>
          </cell>
          <cell r="C8238" t="str">
            <v>IME HT1BC1543</v>
          </cell>
          <cell r="D8238" t="str">
            <v>PE</v>
          </cell>
          <cell r="E8238" t="str">
            <v>522.52206</v>
          </cell>
          <cell r="F8238">
            <v>2828</v>
          </cell>
          <cell r="G8238">
            <v>0</v>
          </cell>
          <cell r="H8238">
            <v>0</v>
          </cell>
          <cell r="I8238">
            <v>0</v>
          </cell>
          <cell r="J8238">
            <v>0</v>
          </cell>
          <cell r="K8238">
            <v>0</v>
          </cell>
          <cell r="L8238">
            <v>10</v>
          </cell>
        </row>
        <row r="8239">
          <cell r="A8239" t="str">
            <v>20492.35817</v>
          </cell>
          <cell r="B8239" t="str">
            <v>TRANSDUCTEUR</v>
          </cell>
          <cell r="C8239" t="str">
            <v>IME HT1BC2043</v>
          </cell>
          <cell r="D8239" t="str">
            <v>PE</v>
          </cell>
          <cell r="E8239" t="str">
            <v>522.52206</v>
          </cell>
          <cell r="F8239">
            <v>2838</v>
          </cell>
          <cell r="G8239">
            <v>0</v>
          </cell>
          <cell r="H8239">
            <v>0</v>
          </cell>
          <cell r="I8239">
            <v>0</v>
          </cell>
          <cell r="J8239">
            <v>0</v>
          </cell>
          <cell r="K8239">
            <v>0</v>
          </cell>
          <cell r="L8239">
            <v>4</v>
          </cell>
        </row>
        <row r="8240">
          <cell r="A8240" t="str">
            <v>20492.35818</v>
          </cell>
          <cell r="B8240" t="str">
            <v>TRANSDUCTEUR</v>
          </cell>
          <cell r="C8240" t="str">
            <v>IME HT1BC3043</v>
          </cell>
          <cell r="D8240" t="str">
            <v>PE</v>
          </cell>
          <cell r="E8240" t="str">
            <v>522.52206</v>
          </cell>
          <cell r="F8240">
            <v>2838</v>
          </cell>
          <cell r="G8240">
            <v>0</v>
          </cell>
          <cell r="H8240">
            <v>0</v>
          </cell>
          <cell r="I8240">
            <v>0</v>
          </cell>
          <cell r="J8240">
            <v>0</v>
          </cell>
          <cell r="K8240">
            <v>0</v>
          </cell>
          <cell r="L8240">
            <v>2</v>
          </cell>
        </row>
        <row r="8241">
          <cell r="A8241" t="str">
            <v>20492.35819</v>
          </cell>
          <cell r="B8241" t="str">
            <v>TRANSDUCTEUR</v>
          </cell>
          <cell r="C8241" t="str">
            <v>IME TT1AA502A</v>
          </cell>
          <cell r="D8241" t="str">
            <v>PE</v>
          </cell>
          <cell r="E8241" t="str">
            <v>522.52206</v>
          </cell>
          <cell r="F8241">
            <v>998.90909999999997</v>
          </cell>
          <cell r="G8241">
            <v>0</v>
          </cell>
          <cell r="H8241">
            <v>8</v>
          </cell>
          <cell r="I8241">
            <v>0</v>
          </cell>
          <cell r="J8241">
            <v>0</v>
          </cell>
          <cell r="K8241">
            <v>0</v>
          </cell>
          <cell r="L8241">
            <v>25</v>
          </cell>
        </row>
        <row r="8242">
          <cell r="A8242" t="str">
            <v>20492.35820</v>
          </cell>
          <cell r="B8242" t="str">
            <v>TRANSDUCTEUR</v>
          </cell>
          <cell r="C8242" t="str">
            <v>IME TT1AB152A</v>
          </cell>
          <cell r="D8242" t="str">
            <v>PE</v>
          </cell>
          <cell r="E8242" t="str">
            <v>522.52206</v>
          </cell>
          <cell r="F8242">
            <v>815</v>
          </cell>
          <cell r="G8242">
            <v>0</v>
          </cell>
          <cell r="H8242">
            <v>1</v>
          </cell>
          <cell r="I8242">
            <v>0</v>
          </cell>
          <cell r="J8242">
            <v>0</v>
          </cell>
          <cell r="K8242">
            <v>0</v>
          </cell>
          <cell r="L8242">
            <v>79</v>
          </cell>
        </row>
        <row r="8243">
          <cell r="A8243" t="str">
            <v>20492.35821</v>
          </cell>
          <cell r="B8243" t="str">
            <v>TRANSDUCTEUR</v>
          </cell>
          <cell r="C8243" t="str">
            <v>IME TT1AB252A</v>
          </cell>
          <cell r="D8243" t="str">
            <v>PE</v>
          </cell>
          <cell r="E8243" t="str">
            <v>522.52206</v>
          </cell>
          <cell r="F8243">
            <v>815</v>
          </cell>
          <cell r="G8243">
            <v>0</v>
          </cell>
          <cell r="H8243">
            <v>0</v>
          </cell>
          <cell r="I8243">
            <v>0</v>
          </cell>
          <cell r="J8243">
            <v>0</v>
          </cell>
          <cell r="K8243">
            <v>0</v>
          </cell>
          <cell r="L8243">
            <v>20</v>
          </cell>
        </row>
        <row r="8244">
          <cell r="A8244" t="str">
            <v>20492.35823</v>
          </cell>
          <cell r="B8244" t="str">
            <v>AMPERMETRE 48*48 ECHELLE NORMALE SUR TC 150/1A</v>
          </cell>
          <cell r="C8244" t="str">
            <v>IME AN1211C150</v>
          </cell>
          <cell r="D8244" t="str">
            <v>PE</v>
          </cell>
          <cell r="E8244" t="str">
            <v>522.52206</v>
          </cell>
          <cell r="F8244">
            <v>142.69999999999999</v>
          </cell>
          <cell r="G8244">
            <v>0</v>
          </cell>
          <cell r="H8244">
            <v>0</v>
          </cell>
          <cell r="I8244">
            <v>0</v>
          </cell>
          <cell r="J8244">
            <v>0</v>
          </cell>
          <cell r="K8244">
            <v>0</v>
          </cell>
          <cell r="L8244">
            <v>2</v>
          </cell>
        </row>
        <row r="8245">
          <cell r="A8245" t="str">
            <v>20492.35824</v>
          </cell>
          <cell r="B8245" t="str">
            <v>AMPERMETRE 48*48 ECHELLE NORMALE SUR TC 200/1A</v>
          </cell>
          <cell r="C8245" t="str">
            <v>IME AN1211C200</v>
          </cell>
          <cell r="D8245" t="str">
            <v>PE</v>
          </cell>
          <cell r="E8245" t="str">
            <v>522.52206</v>
          </cell>
          <cell r="F8245">
            <v>142.69999999999999</v>
          </cell>
          <cell r="G8245">
            <v>0</v>
          </cell>
          <cell r="H8245">
            <v>0</v>
          </cell>
          <cell r="I8245">
            <v>0</v>
          </cell>
          <cell r="J8245">
            <v>0</v>
          </cell>
          <cell r="K8245">
            <v>0</v>
          </cell>
          <cell r="L8245">
            <v>2</v>
          </cell>
        </row>
        <row r="8246">
          <cell r="A8246" t="str">
            <v>20492.35825</v>
          </cell>
          <cell r="B8246" t="str">
            <v>AMPERMETRE 48*48 ECHELLE NORMALE SUR TC 250/1A</v>
          </cell>
          <cell r="C8246" t="str">
            <v>IME AN1211C250</v>
          </cell>
          <cell r="D8246" t="str">
            <v>PE</v>
          </cell>
          <cell r="E8246" t="str">
            <v>522.52206</v>
          </cell>
          <cell r="F8246">
            <v>142.69999999999999</v>
          </cell>
          <cell r="G8246">
            <v>0</v>
          </cell>
          <cell r="H8246">
            <v>0</v>
          </cell>
          <cell r="I8246">
            <v>0</v>
          </cell>
          <cell r="J8246">
            <v>0</v>
          </cell>
          <cell r="K8246">
            <v>0</v>
          </cell>
          <cell r="L8246">
            <v>8</v>
          </cell>
        </row>
        <row r="8247">
          <cell r="A8247" t="str">
            <v>10050.01223</v>
          </cell>
          <cell r="B8247" t="str">
            <v>CABLE ELECTRIQUE SOUPLE MT HAUTE TEMPERATURE 13.8KV</v>
          </cell>
          <cell r="C8247" t="str">
            <v>CABLE ELECTRIQUE SOUPLE M.T ISOLE SILICONE AVEC TRESSE DE RENFORT -SECTION NOMINALE: 185 MM2 -TENSION ASSIGNEE:13,8 KV -TENSION D'ESSAI:30 KV -COMPOSITION NOMINALE: 944X0,50 -RESISTANCE LINEIQUE MAXI A 20°C:0,108 O/km-AME SOUPLE ENCUIVRE ETAME CLASSE 5 SELON IEC 60228-RUBANT:SEMI-CONDUCTEUR-ISOLANT:CAOUTCHOUC DE SILICONE -RENFORT:TRESSE EN FIBRE SYNTHETIQUE ENDUITE-DIAMETRE NOMINAL DU FIL OU CABLE ISOLE:29,3 MM -MASSE LINEIQUE APPROXIMATIVE:2017 KG/KM -TEMPERATURE EN SERVICE CONTINU:-60°C A +180°C</v>
          </cell>
          <cell r="D8247" t="str">
            <v>M</v>
          </cell>
          <cell r="E8247" t="str">
            <v>522.52205</v>
          </cell>
          <cell r="F8247">
            <v>1240</v>
          </cell>
          <cell r="G8247">
            <v>0</v>
          </cell>
          <cell r="H8247">
            <v>0</v>
          </cell>
          <cell r="I8247">
            <v>0</v>
          </cell>
          <cell r="J8247">
            <v>0</v>
          </cell>
          <cell r="K8247">
            <v>0</v>
          </cell>
          <cell r="L8247">
            <v>0</v>
          </cell>
        </row>
        <row r="8248">
          <cell r="A8248" t="str">
            <v>10060.00804</v>
          </cell>
          <cell r="B8248" t="str">
            <v>SONDE DE TEMPERATURE + PUIT</v>
          </cell>
          <cell r="C8248" t="str">
            <v>TYPE :100 OHMS PT. 3-WIRE RTDDN BRIDE :200MM PN20 EN UB6                                                                DIAMÈTRE SONDE:6MM                                                                       MATIERE SONDE :316 SS                                                                 MATIERE PUITS:904L SS / TAPERED                                             MATIERE TÊTE:ALUMINUM +EPOXY                                                    TYPE D’ÉLÉMENT: 100 OHMS PT. 3-FILS RTD                                   LANGUEUR SONDE:4070MM(SELON PLAN)                                                                 LANGUEUR PUITS:370MM                                                                   LANGUEUR PROLONGATEUR PUITS:150MM                                                  INDICE DE PROTECTION:IP65                                                                 TYPE DE COMMUNICATION :FIELDBUSPLAGE DE MESURE:0-200C°MODE DE DÉFAILLANCE ÉLÉMENT :ÉLEVÉAFFICHAGE :LCD / 0-200 °CINDICE DE PROTECTION TRANSMETTEUR :IP67</v>
          </cell>
          <cell r="D8248" t="str">
            <v>PE</v>
          </cell>
          <cell r="E8248" t="str">
            <v>512.51201</v>
          </cell>
          <cell r="F8248">
            <v>102232.08379999999</v>
          </cell>
          <cell r="G8248">
            <v>0</v>
          </cell>
          <cell r="H8248">
            <v>0</v>
          </cell>
          <cell r="I8248">
            <v>1</v>
          </cell>
          <cell r="J8248">
            <v>0</v>
          </cell>
          <cell r="K8248">
            <v>0</v>
          </cell>
          <cell r="L8248">
            <v>0</v>
          </cell>
        </row>
        <row r="8249">
          <cell r="A8249" t="str">
            <v>10065.02151</v>
          </cell>
          <cell r="B8249" t="str">
            <v>POULIE TRAPEZOIDALE Ø280 AVEC MOYEU AMOVIBLE</v>
          </cell>
          <cell r="C8249" t="str">
            <v>POULIE A GORGE TRAPEZOIDALE AVEC MOYEU AMOVIBLE TYPE SPB DIAMETRE PREMITIF : 280 mm NOMBRE DE GORGE : 4 TYPE DE MOYEU N° 3020 ALLESAGE MAX 75</v>
          </cell>
          <cell r="D8249" t="str">
            <v>PE</v>
          </cell>
          <cell r="E8249" t="str">
            <v>515.51515</v>
          </cell>
          <cell r="F8249">
            <v>707</v>
          </cell>
          <cell r="G8249">
            <v>0</v>
          </cell>
          <cell r="H8249">
            <v>0</v>
          </cell>
          <cell r="I8249">
            <v>0</v>
          </cell>
          <cell r="J8249">
            <v>0</v>
          </cell>
          <cell r="K8249">
            <v>0</v>
          </cell>
          <cell r="L8249">
            <v>1</v>
          </cell>
        </row>
        <row r="8250">
          <cell r="A8250" t="str">
            <v>10016.00275</v>
          </cell>
          <cell r="B8250" t="str">
            <v>ACCOUPLEMENT COMPLET T:19</v>
          </cell>
          <cell r="C8250" t="str">
            <v>ACCOUPLEMENT COMPLET ROTEX KTR.- TAILLE : 19 - MATIERE : ALUMINIUM MOULE ,- ELEMENT ELASTIQUE 98 Sh-A EN POLYURETHANE</v>
          </cell>
          <cell r="D8250" t="str">
            <v>PE</v>
          </cell>
          <cell r="E8250" t="str">
            <v>515.51515</v>
          </cell>
          <cell r="F8250">
            <v>237.3</v>
          </cell>
          <cell r="G8250">
            <v>0</v>
          </cell>
          <cell r="H8250">
            <v>0</v>
          </cell>
          <cell r="I8250">
            <v>0</v>
          </cell>
          <cell r="J8250">
            <v>0</v>
          </cell>
          <cell r="K8250">
            <v>0</v>
          </cell>
          <cell r="L8250">
            <v>2</v>
          </cell>
        </row>
        <row r="8251">
          <cell r="A8251" t="str">
            <v>10016.00276</v>
          </cell>
          <cell r="B8251" t="str">
            <v>ELEMENT ELASTIQUE P/ACCOUPLEMENT T: 19</v>
          </cell>
          <cell r="C8251" t="str">
            <v>ELEMENT ELASTIQUE POUR ACCOUPLEMENT ROTEX KTR - TAILLE: 19 - DURETE DE L'ELEMENT: 98 Sh A ROUGE EN POLYURETHANE</v>
          </cell>
          <cell r="D8251" t="str">
            <v>PE</v>
          </cell>
          <cell r="E8251" t="str">
            <v>515.51515</v>
          </cell>
          <cell r="F8251">
            <v>93.45</v>
          </cell>
          <cell r="G8251">
            <v>0</v>
          </cell>
          <cell r="H8251">
            <v>0</v>
          </cell>
          <cell r="I8251">
            <v>1</v>
          </cell>
          <cell r="J8251">
            <v>0</v>
          </cell>
          <cell r="K8251">
            <v>0</v>
          </cell>
          <cell r="L8251">
            <v>3</v>
          </cell>
        </row>
        <row r="8252">
          <cell r="A8252" t="str">
            <v>20617.01123</v>
          </cell>
          <cell r="B8252" t="str">
            <v>PLAT D'USURE</v>
          </cell>
          <cell r="C8252" t="str">
            <v>24-135EE   PLAN 2805-135EE-300  REP 311-2</v>
          </cell>
          <cell r="D8252" t="str">
            <v>PE</v>
          </cell>
          <cell r="E8252" t="str">
            <v>515.51506</v>
          </cell>
          <cell r="F8252">
            <v>9414.7553000000007</v>
          </cell>
          <cell r="G8252">
            <v>0</v>
          </cell>
          <cell r="H8252">
            <v>12</v>
          </cell>
          <cell r="I8252">
            <v>2</v>
          </cell>
          <cell r="J8252">
            <v>0</v>
          </cell>
          <cell r="K8252">
            <v>0</v>
          </cell>
          <cell r="L8252">
            <v>0</v>
          </cell>
        </row>
        <row r="8253">
          <cell r="A8253" t="str">
            <v>20617.01124</v>
          </cell>
          <cell r="B8253" t="str">
            <v>PLAT D'USURE</v>
          </cell>
          <cell r="C8253" t="str">
            <v>24-135EE   PLAN 2805-135EE-300  REP 312-2</v>
          </cell>
          <cell r="D8253" t="str">
            <v>PE</v>
          </cell>
          <cell r="E8253" t="str">
            <v>515.51506</v>
          </cell>
          <cell r="F8253">
            <v>10008.11</v>
          </cell>
          <cell r="G8253">
            <v>0</v>
          </cell>
          <cell r="H8253">
            <v>24</v>
          </cell>
          <cell r="I8253">
            <v>2</v>
          </cell>
          <cell r="J8253">
            <v>0</v>
          </cell>
          <cell r="K8253">
            <v>0</v>
          </cell>
          <cell r="L8253">
            <v>0</v>
          </cell>
        </row>
        <row r="8254">
          <cell r="A8254" t="str">
            <v>20617.01125</v>
          </cell>
          <cell r="B8254" t="str">
            <v>CLAVETTE</v>
          </cell>
          <cell r="C8254" t="str">
            <v>24-135EE   PLAN 2805-135EE-500  REP 511-2</v>
          </cell>
          <cell r="D8254" t="str">
            <v>PE</v>
          </cell>
          <cell r="E8254" t="str">
            <v>515.51506</v>
          </cell>
          <cell r="F8254">
            <v>321.60939999999999</v>
          </cell>
          <cell r="G8254">
            <v>0</v>
          </cell>
          <cell r="H8254">
            <v>0</v>
          </cell>
          <cell r="I8254">
            <v>1</v>
          </cell>
          <cell r="J8254">
            <v>0</v>
          </cell>
          <cell r="K8254">
            <v>0</v>
          </cell>
          <cell r="L8254">
            <v>0</v>
          </cell>
        </row>
        <row r="8255">
          <cell r="A8255" t="str">
            <v>20617.01126</v>
          </cell>
          <cell r="B8255" t="str">
            <v>RONDELLE</v>
          </cell>
          <cell r="C8255" t="str">
            <v>24-135EE   PLAN 2805-135EE-500  REP 511-11</v>
          </cell>
          <cell r="D8255" t="str">
            <v>PE</v>
          </cell>
          <cell r="E8255" t="str">
            <v>515.51506</v>
          </cell>
          <cell r="F8255">
            <v>1862.5192</v>
          </cell>
          <cell r="G8255">
            <v>0</v>
          </cell>
          <cell r="H8255">
            <v>0</v>
          </cell>
          <cell r="I8255">
            <v>1</v>
          </cell>
          <cell r="J8255">
            <v>0</v>
          </cell>
          <cell r="K8255">
            <v>0</v>
          </cell>
          <cell r="L8255">
            <v>0</v>
          </cell>
        </row>
        <row r="8256">
          <cell r="A8256" t="str">
            <v>20617.01127</v>
          </cell>
          <cell r="B8256" t="str">
            <v>CAME INTERIEURE</v>
          </cell>
          <cell r="C8256" t="str">
            <v>24-135EE   PLAN 2805-135EE-700  REP 710-1</v>
          </cell>
          <cell r="D8256" t="str">
            <v>PE</v>
          </cell>
          <cell r="E8256" t="str">
            <v>515.51506</v>
          </cell>
          <cell r="F8256">
            <v>33388.374799999998</v>
          </cell>
          <cell r="G8256">
            <v>0</v>
          </cell>
          <cell r="H8256">
            <v>0</v>
          </cell>
          <cell r="I8256">
            <v>0</v>
          </cell>
          <cell r="J8256">
            <v>0</v>
          </cell>
          <cell r="K8256">
            <v>1</v>
          </cell>
          <cell r="L8256">
            <v>1</v>
          </cell>
        </row>
        <row r="8257">
          <cell r="A8257" t="str">
            <v>20617.01128</v>
          </cell>
          <cell r="B8257" t="str">
            <v>CAME INTERIEURE</v>
          </cell>
          <cell r="C8257" t="str">
            <v>24-135EE   PLAN 2805-135EE-700  REP 711-1</v>
          </cell>
          <cell r="D8257" t="str">
            <v>PE</v>
          </cell>
          <cell r="E8257" t="str">
            <v>515.51506</v>
          </cell>
          <cell r="F8257">
            <v>35857.233500000002</v>
          </cell>
          <cell r="G8257">
            <v>0</v>
          </cell>
          <cell r="H8257">
            <v>0</v>
          </cell>
          <cell r="I8257">
            <v>0</v>
          </cell>
          <cell r="J8257">
            <v>0</v>
          </cell>
          <cell r="K8257">
            <v>1</v>
          </cell>
          <cell r="L8257">
            <v>1</v>
          </cell>
        </row>
        <row r="8258">
          <cell r="A8258" t="str">
            <v>20617.01129</v>
          </cell>
          <cell r="B8258" t="str">
            <v>CAME INTERIEURE</v>
          </cell>
          <cell r="C8258" t="str">
            <v>24-135EE   PLAN 2805-135EE-700  REP 711-2</v>
          </cell>
          <cell r="D8258" t="str">
            <v>PE</v>
          </cell>
          <cell r="E8258" t="str">
            <v>515.51506</v>
          </cell>
          <cell r="F8258">
            <v>8635.6615999999995</v>
          </cell>
          <cell r="G8258">
            <v>0</v>
          </cell>
          <cell r="H8258">
            <v>0</v>
          </cell>
          <cell r="I8258">
            <v>0</v>
          </cell>
          <cell r="J8258">
            <v>0</v>
          </cell>
          <cell r="K8258">
            <v>1</v>
          </cell>
          <cell r="L8258">
            <v>1</v>
          </cell>
        </row>
        <row r="8259">
          <cell r="A8259" t="str">
            <v>20617.01130</v>
          </cell>
          <cell r="B8259" t="str">
            <v>CAME INTERIEURE</v>
          </cell>
          <cell r="C8259" t="str">
            <v>24-135EE   PLAN 2805-135EE-700  REP 712-1</v>
          </cell>
          <cell r="D8259" t="str">
            <v>PE</v>
          </cell>
          <cell r="E8259" t="str">
            <v>515.51506</v>
          </cell>
          <cell r="F8259">
            <v>14075.7009</v>
          </cell>
          <cell r="G8259">
            <v>0</v>
          </cell>
          <cell r="H8259">
            <v>0</v>
          </cell>
          <cell r="I8259">
            <v>0</v>
          </cell>
          <cell r="J8259">
            <v>0</v>
          </cell>
          <cell r="K8259">
            <v>1</v>
          </cell>
          <cell r="L8259">
            <v>1</v>
          </cell>
        </row>
        <row r="8260">
          <cell r="A8260" t="str">
            <v>20617.01131</v>
          </cell>
          <cell r="B8260" t="str">
            <v>CAME INTERIEURE</v>
          </cell>
          <cell r="C8260" t="str">
            <v>24-135EE   PLAN 2805-135EE-700  REP 712-2</v>
          </cell>
          <cell r="D8260" t="str">
            <v>PE</v>
          </cell>
          <cell r="E8260" t="str">
            <v>515.51506</v>
          </cell>
          <cell r="F8260">
            <v>12344.2935</v>
          </cell>
          <cell r="G8260">
            <v>0</v>
          </cell>
          <cell r="H8260">
            <v>0</v>
          </cell>
          <cell r="I8260">
            <v>0</v>
          </cell>
          <cell r="J8260">
            <v>0</v>
          </cell>
          <cell r="K8260">
            <v>1</v>
          </cell>
          <cell r="L8260">
            <v>1</v>
          </cell>
        </row>
        <row r="8261">
          <cell r="A8261" t="str">
            <v>20617.01132</v>
          </cell>
          <cell r="B8261" t="str">
            <v>CAME INTERIEURE</v>
          </cell>
          <cell r="C8261" t="str">
            <v>24-135EE   PLAN 2805-135EE-700  REP 713-1</v>
          </cell>
          <cell r="D8261" t="str">
            <v>PE</v>
          </cell>
          <cell r="E8261" t="str">
            <v>515.51506</v>
          </cell>
          <cell r="F8261">
            <v>17282.010900000001</v>
          </cell>
          <cell r="G8261">
            <v>0</v>
          </cell>
          <cell r="H8261">
            <v>0</v>
          </cell>
          <cell r="I8261">
            <v>0</v>
          </cell>
          <cell r="J8261">
            <v>0</v>
          </cell>
          <cell r="K8261">
            <v>1</v>
          </cell>
          <cell r="L8261">
            <v>1</v>
          </cell>
        </row>
        <row r="8262">
          <cell r="A8262" t="str">
            <v>20617.01133</v>
          </cell>
          <cell r="B8262" t="str">
            <v>CAME INTERIEURE</v>
          </cell>
          <cell r="C8262" t="str">
            <v>24-135EE   PLAN 2805-135EE-700  REP 713-2</v>
          </cell>
          <cell r="D8262" t="str">
            <v>PE</v>
          </cell>
          <cell r="E8262" t="str">
            <v>515.51506</v>
          </cell>
          <cell r="F8262">
            <v>15561.2912</v>
          </cell>
          <cell r="G8262">
            <v>0</v>
          </cell>
          <cell r="H8262">
            <v>0</v>
          </cell>
          <cell r="I8262">
            <v>0</v>
          </cell>
          <cell r="J8262">
            <v>0</v>
          </cell>
          <cell r="K8262">
            <v>1</v>
          </cell>
          <cell r="L8262">
            <v>1</v>
          </cell>
        </row>
        <row r="8263">
          <cell r="A8263" t="str">
            <v>20617.01134</v>
          </cell>
          <cell r="B8263" t="str">
            <v>CAME INTERIEURE</v>
          </cell>
          <cell r="C8263" t="str">
            <v>24-135EE   PLAN 2805-135EE-700  REP 714-1</v>
          </cell>
          <cell r="D8263" t="str">
            <v>PE</v>
          </cell>
          <cell r="E8263" t="str">
            <v>515.51506</v>
          </cell>
          <cell r="F8263">
            <v>20242.503799999999</v>
          </cell>
          <cell r="G8263">
            <v>0</v>
          </cell>
          <cell r="H8263">
            <v>0</v>
          </cell>
          <cell r="I8263">
            <v>0</v>
          </cell>
          <cell r="J8263">
            <v>0</v>
          </cell>
          <cell r="K8263">
            <v>1</v>
          </cell>
          <cell r="L8263">
            <v>1</v>
          </cell>
        </row>
        <row r="8264">
          <cell r="A8264" t="str">
            <v>20617.01135</v>
          </cell>
          <cell r="B8264" t="str">
            <v>CAME INTERIEURE</v>
          </cell>
          <cell r="C8264" t="str">
            <v>24-135EE   PLAN 2805-135EE-700  REP 714-2</v>
          </cell>
          <cell r="D8264" t="str">
            <v>PE</v>
          </cell>
          <cell r="E8264" t="str">
            <v>515.51506</v>
          </cell>
          <cell r="F8264">
            <v>24218.3282</v>
          </cell>
          <cell r="G8264">
            <v>0</v>
          </cell>
          <cell r="H8264">
            <v>0</v>
          </cell>
          <cell r="I8264">
            <v>0</v>
          </cell>
          <cell r="J8264">
            <v>0</v>
          </cell>
          <cell r="K8264">
            <v>1</v>
          </cell>
          <cell r="L8264">
            <v>1</v>
          </cell>
        </row>
        <row r="8265">
          <cell r="A8265" t="str">
            <v>20617.01136</v>
          </cell>
          <cell r="B8265" t="str">
            <v>CAME INTERIEURE</v>
          </cell>
          <cell r="C8265" t="str">
            <v>24-135EE   PLAN 2805-135EE-700  REP 715-1</v>
          </cell>
          <cell r="D8265" t="str">
            <v>PE</v>
          </cell>
          <cell r="E8265" t="str">
            <v>515.51506</v>
          </cell>
          <cell r="F8265">
            <v>24218.3282</v>
          </cell>
          <cell r="G8265">
            <v>0</v>
          </cell>
          <cell r="H8265">
            <v>0</v>
          </cell>
          <cell r="I8265">
            <v>0</v>
          </cell>
          <cell r="J8265">
            <v>0</v>
          </cell>
          <cell r="K8265">
            <v>1</v>
          </cell>
          <cell r="L8265">
            <v>1</v>
          </cell>
        </row>
        <row r="8266">
          <cell r="A8266" t="str">
            <v>20617.01137</v>
          </cell>
          <cell r="B8266" t="str">
            <v>CAME INTERIEURE</v>
          </cell>
          <cell r="C8266" t="str">
            <v>24-135EE   PLAN 2805-135EE-700  REP 715-2</v>
          </cell>
          <cell r="D8266" t="str">
            <v>PE</v>
          </cell>
          <cell r="E8266" t="str">
            <v>515.51506</v>
          </cell>
          <cell r="F8266">
            <v>5696.5441000000001</v>
          </cell>
          <cell r="G8266">
            <v>0</v>
          </cell>
          <cell r="H8266">
            <v>0</v>
          </cell>
          <cell r="I8266">
            <v>0</v>
          </cell>
          <cell r="J8266">
            <v>0</v>
          </cell>
          <cell r="K8266">
            <v>1</v>
          </cell>
          <cell r="L8266">
            <v>1</v>
          </cell>
        </row>
        <row r="8267">
          <cell r="A8267" t="str">
            <v>20617.01138</v>
          </cell>
          <cell r="B8267" t="str">
            <v>CAME INTERIEURE</v>
          </cell>
          <cell r="C8267" t="str">
            <v>24-135EE   PLAN 2805-135EE-700  REP 715-3</v>
          </cell>
          <cell r="D8267" t="str">
            <v>PE</v>
          </cell>
          <cell r="E8267" t="str">
            <v>515.51506</v>
          </cell>
          <cell r="F8267">
            <v>16298.7425</v>
          </cell>
          <cell r="G8267">
            <v>0</v>
          </cell>
          <cell r="H8267">
            <v>0</v>
          </cell>
          <cell r="I8267">
            <v>0</v>
          </cell>
          <cell r="J8267">
            <v>0</v>
          </cell>
          <cell r="K8267">
            <v>1</v>
          </cell>
          <cell r="L8267">
            <v>1</v>
          </cell>
        </row>
        <row r="8268">
          <cell r="A8268" t="str">
            <v>20497.21818</v>
          </cell>
          <cell r="B8268" t="str">
            <v>ADAPTEUR</v>
          </cell>
          <cell r="C8268" t="str">
            <v>FL SMIDTH KREBS MILLMAX REF : MM 150-099-12016</v>
          </cell>
          <cell r="D8268" t="str">
            <v>PE</v>
          </cell>
          <cell r="E8268" t="str">
            <v>515.51517</v>
          </cell>
          <cell r="F8268">
            <v>9582.3832000000002</v>
          </cell>
          <cell r="G8268">
            <v>0</v>
          </cell>
          <cell r="H8268">
            <v>0</v>
          </cell>
          <cell r="I8268">
            <v>1</v>
          </cell>
          <cell r="J8268">
            <v>0</v>
          </cell>
          <cell r="K8268">
            <v>0</v>
          </cell>
          <cell r="L8268">
            <v>0</v>
          </cell>
        </row>
        <row r="8269">
          <cell r="A8269" t="str">
            <v>20497.21819</v>
          </cell>
          <cell r="B8269" t="str">
            <v>VOLUTE</v>
          </cell>
          <cell r="C8269" t="str">
            <v>FL SMIDTH KREBS MILLMAX REF : MM 150-010-00001</v>
          </cell>
          <cell r="D8269" t="str">
            <v>PE</v>
          </cell>
          <cell r="E8269" t="str">
            <v>515.51517</v>
          </cell>
          <cell r="F8269">
            <v>37852.581599999998</v>
          </cell>
          <cell r="G8269">
            <v>0</v>
          </cell>
          <cell r="H8269">
            <v>0</v>
          </cell>
          <cell r="I8269">
            <v>0</v>
          </cell>
          <cell r="J8269">
            <v>0</v>
          </cell>
          <cell r="K8269">
            <v>0</v>
          </cell>
          <cell r="L8269">
            <v>2</v>
          </cell>
        </row>
        <row r="8270">
          <cell r="A8270" t="str">
            <v>20497.21820</v>
          </cell>
          <cell r="B8270" t="str">
            <v>BRIDE</v>
          </cell>
          <cell r="C8270" t="str">
            <v>FL SMIDTH KREBS MILLMAX REF : MM 150-020F-10049</v>
          </cell>
          <cell r="D8270" t="str">
            <v>PE</v>
          </cell>
          <cell r="E8270" t="str">
            <v>515.51517</v>
          </cell>
          <cell r="F8270">
            <v>1636.8098</v>
          </cell>
          <cell r="G8270">
            <v>0</v>
          </cell>
          <cell r="H8270">
            <v>0</v>
          </cell>
          <cell r="I8270">
            <v>0</v>
          </cell>
          <cell r="J8270">
            <v>0</v>
          </cell>
          <cell r="K8270">
            <v>0</v>
          </cell>
          <cell r="L8270">
            <v>2</v>
          </cell>
        </row>
        <row r="8271">
          <cell r="A8271" t="str">
            <v>20497.21821</v>
          </cell>
          <cell r="B8271" t="str">
            <v>FOULOIR</v>
          </cell>
          <cell r="C8271" t="str">
            <v>FL SMIDTH KREBS MILLMAX REF : MM 150-144-10100</v>
          </cell>
          <cell r="D8271" t="str">
            <v>PE</v>
          </cell>
          <cell r="E8271" t="str">
            <v>515.51517</v>
          </cell>
          <cell r="F8271">
            <v>1550.0914</v>
          </cell>
          <cell r="G8271">
            <v>0</v>
          </cell>
          <cell r="H8271">
            <v>0</v>
          </cell>
          <cell r="I8271">
            <v>0</v>
          </cell>
          <cell r="J8271">
            <v>0</v>
          </cell>
          <cell r="K8271">
            <v>0</v>
          </cell>
          <cell r="L8271">
            <v>2</v>
          </cell>
        </row>
        <row r="8272">
          <cell r="A8272" t="str">
            <v>20497.21822</v>
          </cell>
          <cell r="B8272" t="str">
            <v>CHEMISE D'ARBRE</v>
          </cell>
          <cell r="C8272" t="str">
            <v>FL SMIDTH KREBS MILLMAX REF : MM 150-179-10MMA</v>
          </cell>
          <cell r="D8272" t="str">
            <v>PE</v>
          </cell>
          <cell r="E8272" t="str">
            <v>515.51517</v>
          </cell>
          <cell r="F8272">
            <v>3176.0614</v>
          </cell>
          <cell r="G8272">
            <v>0</v>
          </cell>
          <cell r="H8272">
            <v>0</v>
          </cell>
          <cell r="I8272">
            <v>3</v>
          </cell>
          <cell r="J8272">
            <v>0</v>
          </cell>
          <cell r="K8272">
            <v>0</v>
          </cell>
          <cell r="L8272">
            <v>0</v>
          </cell>
        </row>
        <row r="8273">
          <cell r="A8273" t="str">
            <v>20497.21823</v>
          </cell>
          <cell r="B8273" t="str">
            <v>ANNEAU</v>
          </cell>
          <cell r="C8273" t="str">
            <v>FL SMIDTH KREBS MILLMAX REF : MM 150-083-00001</v>
          </cell>
          <cell r="D8273" t="str">
            <v>PE</v>
          </cell>
          <cell r="E8273" t="str">
            <v>515.51517</v>
          </cell>
          <cell r="F8273">
            <v>6720.6760000000004</v>
          </cell>
          <cell r="G8273">
            <v>0</v>
          </cell>
          <cell r="H8273">
            <v>0</v>
          </cell>
          <cell r="I8273">
            <v>0</v>
          </cell>
          <cell r="J8273">
            <v>0</v>
          </cell>
          <cell r="K8273">
            <v>0</v>
          </cell>
          <cell r="L8273">
            <v>4</v>
          </cell>
        </row>
        <row r="8274">
          <cell r="A8274" t="str">
            <v>20497.21824</v>
          </cell>
          <cell r="B8274" t="str">
            <v>PORTE ANNEAU</v>
          </cell>
          <cell r="C8274" t="str">
            <v>FL SMIDTH KREBS MILLMAX REF : MM 150-124-35001</v>
          </cell>
          <cell r="D8274" t="str">
            <v>PE</v>
          </cell>
          <cell r="E8274" t="str">
            <v>515.51517</v>
          </cell>
          <cell r="F8274">
            <v>7891.3743999999997</v>
          </cell>
          <cell r="G8274">
            <v>0</v>
          </cell>
          <cell r="H8274">
            <v>0</v>
          </cell>
          <cell r="I8274">
            <v>0</v>
          </cell>
          <cell r="J8274">
            <v>0</v>
          </cell>
          <cell r="K8274">
            <v>0</v>
          </cell>
          <cell r="L8274">
            <v>1</v>
          </cell>
        </row>
        <row r="8275">
          <cell r="A8275" t="str">
            <v>20497.21825</v>
          </cell>
          <cell r="B8275" t="str">
            <v>CORPS DE PALIER</v>
          </cell>
          <cell r="C8275" t="str">
            <v>FL SMIDTH KREBS MILLMAX REF : MMA-511-11001</v>
          </cell>
          <cell r="D8275" t="str">
            <v>PE</v>
          </cell>
          <cell r="E8275" t="str">
            <v>515.51517</v>
          </cell>
          <cell r="F8275">
            <v>6915.7924000000003</v>
          </cell>
          <cell r="G8275">
            <v>0</v>
          </cell>
          <cell r="H8275">
            <v>0</v>
          </cell>
          <cell r="I8275">
            <v>0</v>
          </cell>
          <cell r="J8275">
            <v>0</v>
          </cell>
          <cell r="K8275">
            <v>0</v>
          </cell>
          <cell r="L8275">
            <v>1</v>
          </cell>
        </row>
        <row r="8276">
          <cell r="A8276" t="str">
            <v>20497.21826</v>
          </cell>
          <cell r="B8276" t="str">
            <v>ECROU FREIN</v>
          </cell>
          <cell r="C8276" t="str">
            <v>FL SMIDTH KREBS MILLMAX REF : MMA-518-10001</v>
          </cell>
          <cell r="D8276" t="str">
            <v>PE</v>
          </cell>
          <cell r="E8276" t="str">
            <v>515.51517</v>
          </cell>
          <cell r="F8276">
            <v>791.30539999999996</v>
          </cell>
          <cell r="G8276">
            <v>0</v>
          </cell>
          <cell r="H8276">
            <v>0</v>
          </cell>
          <cell r="I8276">
            <v>2</v>
          </cell>
          <cell r="J8276">
            <v>0</v>
          </cell>
          <cell r="K8276">
            <v>0</v>
          </cell>
          <cell r="L8276">
            <v>4</v>
          </cell>
        </row>
        <row r="8277">
          <cell r="A8277" t="str">
            <v>20497.21827</v>
          </cell>
          <cell r="B8277" t="str">
            <v>RONDELLE FREIN</v>
          </cell>
          <cell r="C8277" t="str">
            <v>FL SMIDTH KREBS MILLMAX REF : MMA-519-10001</v>
          </cell>
          <cell r="D8277" t="str">
            <v>PE</v>
          </cell>
          <cell r="E8277" t="str">
            <v>515.51517</v>
          </cell>
          <cell r="F8277">
            <v>216.79599999999999</v>
          </cell>
          <cell r="G8277">
            <v>0</v>
          </cell>
          <cell r="H8277">
            <v>0</v>
          </cell>
          <cell r="I8277">
            <v>1</v>
          </cell>
          <cell r="J8277">
            <v>0</v>
          </cell>
          <cell r="K8277">
            <v>0</v>
          </cell>
          <cell r="L8277">
            <v>3</v>
          </cell>
        </row>
        <row r="8278">
          <cell r="A8278" t="str">
            <v>20497.21828</v>
          </cell>
          <cell r="B8278" t="str">
            <v>CHEMISE</v>
          </cell>
          <cell r="C8278" t="str">
            <v>FL SMIDTH KREBS MILLMAX REF : MM 150-079-10015</v>
          </cell>
          <cell r="D8278" t="str">
            <v>PE</v>
          </cell>
          <cell r="E8278" t="str">
            <v>515.51517</v>
          </cell>
          <cell r="F8278">
            <v>3176.0614</v>
          </cell>
          <cell r="G8278">
            <v>0</v>
          </cell>
          <cell r="H8278">
            <v>0</v>
          </cell>
          <cell r="I8278">
            <v>0</v>
          </cell>
          <cell r="J8278">
            <v>0</v>
          </cell>
          <cell r="K8278">
            <v>0</v>
          </cell>
          <cell r="L8278">
            <v>1</v>
          </cell>
        </row>
        <row r="8279">
          <cell r="A8279" t="str">
            <v>10019.10506</v>
          </cell>
          <cell r="B8279" t="str">
            <v>TRESSE CARREE CARNONE-GRAPHITE  8 MM</v>
          </cell>
          <cell r="C8279" t="str">
            <v>TRESSE CARREE CONSTITUEE DE FILS DE GRAPHITE EXPANSE GAINES DE FIL D'INCONEL ENDUITE D'UN MELANGE DE GRAPHITE DOPE D'UN AGENT AMELIORANT LE COEFFICIENT DE FROTTEMENT.CONTIENT UN INHIBITEUR DE CORROSION PASSIF POUR ASSURER UNE PROTECTION DE LA TIGE ET DU LOGEMENT DES GARNITURES,CETTE PROTECTION EST ILLIMITEE DANS LE TEMPS.PRESSION:&lt;400 bar-TEMPERATURE:-200°C a +600°C-VITESSE:&lt;1m/s-pH:0-14 COTE:8MM LATTY graf 6940 EF</v>
          </cell>
          <cell r="D8279" t="str">
            <v>PE</v>
          </cell>
          <cell r="E8279" t="str">
            <v>522.52207</v>
          </cell>
          <cell r="F8279">
            <v>139.7175</v>
          </cell>
          <cell r="G8279">
            <v>0</v>
          </cell>
          <cell r="H8279">
            <v>0</v>
          </cell>
          <cell r="I8279">
            <v>0</v>
          </cell>
          <cell r="J8279">
            <v>0</v>
          </cell>
          <cell r="K8279">
            <v>0</v>
          </cell>
          <cell r="L8279">
            <v>10</v>
          </cell>
        </row>
        <row r="8280">
          <cell r="A8280" t="str">
            <v>10019.10507</v>
          </cell>
          <cell r="B8280" t="str">
            <v>TRESSE CARREE CARNONE-GRAPHITE  10 MM</v>
          </cell>
          <cell r="C8280" t="str">
            <v>TRESSE CARREE CONSTITUEE DE FILS DE GRAPHITE EXPANSE GAINES DE FIL D'INCONEL ENDUITE D'UN MELANGE DE GRAPHITE DOPE D'UN AGENT AMELIORANT LE COEFFICIENT DE FROTTEMENT.CONTIENT UN INHIBITEUR DE CORROSION PASSIF POUR ASSURER UNE PROTECTION DE LA TIGE ET DU LOGEMENT DES GARNITURES,CETTE PROTECTION EST ILLIMITEE DANS LE TEMPS.PRESSION:&lt;400 bar-TEMPERATURE:-200°C a +600°C-VITESSE:&lt;1m/s-pH:0-14 COTE:10MM LATTY graf 6940 EF</v>
          </cell>
          <cell r="D8280" t="str">
            <v>PE</v>
          </cell>
          <cell r="E8280" t="str">
            <v>522.52207</v>
          </cell>
          <cell r="F8280">
            <v>192.95349999999999</v>
          </cell>
          <cell r="G8280">
            <v>0</v>
          </cell>
          <cell r="H8280">
            <v>0</v>
          </cell>
          <cell r="I8280">
            <v>0</v>
          </cell>
          <cell r="J8280">
            <v>0</v>
          </cell>
          <cell r="K8280">
            <v>0</v>
          </cell>
          <cell r="L8280">
            <v>15</v>
          </cell>
        </row>
        <row r="8281">
          <cell r="A8281" t="str">
            <v>10019.10508</v>
          </cell>
          <cell r="B8281" t="str">
            <v>TRESSE CARREE CARNONE-GRAPHITE  12,7 MM</v>
          </cell>
          <cell r="C8281" t="str">
            <v>TRESSE CARREE CONSTITUEE DE FILS DE GRAPHITE EXPANSE GAINES DE FIL D'INCONEL ENDUITE D'UN MELANGE DE GRAPHITE DOPE D'UN AGENT AMELIORANT LE COEFFICIENT DE FROTTEMENT.CONTIENT UN INHIBITEUR DE CORROSION PASSIF POUR ASSURER UNE PROTECTION DE LA TIGE ET DU LOGEMENT DES GARNITURES,CETTE PROTECTION EST ILLIMITEE DANS LE TEMPS.PRESSION:&lt;400 bar-TEMPERATURE:-200°C a +600°C-VITESSE:&lt;1m/s-pH:0-14 COTE:12,7MM LATTYgraf 6940 EF</v>
          </cell>
          <cell r="D8281" t="str">
            <v>PE</v>
          </cell>
          <cell r="E8281" t="str">
            <v>522.52207</v>
          </cell>
          <cell r="F8281">
            <v>278.67439999999999</v>
          </cell>
          <cell r="G8281">
            <v>0</v>
          </cell>
          <cell r="H8281">
            <v>0</v>
          </cell>
          <cell r="I8281">
            <v>0</v>
          </cell>
          <cell r="J8281">
            <v>0</v>
          </cell>
          <cell r="K8281">
            <v>0</v>
          </cell>
          <cell r="L8281">
            <v>15</v>
          </cell>
        </row>
        <row r="8282">
          <cell r="A8282" t="str">
            <v>10019.10509</v>
          </cell>
          <cell r="B8282" t="str">
            <v>TRESSE CARRE AVEC AME GRAPHITEE 10 MM</v>
          </cell>
          <cell r="C8282" t="str">
            <v>TRESSE CARREE 10 MM AVES AME EN GRAPHITE DANS LES ANGLES,DES FILS COMPOSITES PHENOLIQUES IMPREGNE DE         PTFE SELON LE PROCEDE FILCOAT ET DES FACES DE FROTTEEMENT EN FILS POLYACRYLIQUE PRESSION:0 A 200 BAR TEMPERATURE:0 A 260°C VITESSE:&lt;20 M/S PH:1-13 GENRE LATTY FLON 7189 POUR FLUIDES CHARGES</v>
          </cell>
          <cell r="D8282" t="str">
            <v>PE</v>
          </cell>
          <cell r="E8282" t="str">
            <v>522.52207</v>
          </cell>
          <cell r="F8282">
            <v>790</v>
          </cell>
          <cell r="G8282">
            <v>0</v>
          </cell>
          <cell r="H8282">
            <v>0</v>
          </cell>
          <cell r="I8282">
            <v>0</v>
          </cell>
          <cell r="J8282">
            <v>0</v>
          </cell>
          <cell r="K8282">
            <v>0</v>
          </cell>
          <cell r="L8282">
            <v>15</v>
          </cell>
        </row>
        <row r="8283">
          <cell r="A8283" t="str">
            <v>10019.10510</v>
          </cell>
          <cell r="B8283" t="str">
            <v>TRESSE CARRE AVEC AME GRAPHITEE 12 MM</v>
          </cell>
          <cell r="C8283" t="str">
            <v>TRESSE CARREE 14 MM AVES AME EN GRAPHITE DANS LES ANGLES,DES FILS COMPOSITES PHENOLIQUES IMPREGNE DE         PTFE SELON LE PROCEDE FILCOAT ET DES FACES DE FROTTEEMENT EN FILS POLYACRYLIQUE PRESSION:0 A 200 BAR TEMPERATURE:0 A 260°C VITESSE:&lt;20 M/S PH:1-13 GENRE LATTY FLON 7189 POUR FLUIDES CHARGES</v>
          </cell>
          <cell r="D8283" t="str">
            <v>PE</v>
          </cell>
          <cell r="E8283" t="str">
            <v>522.52207</v>
          </cell>
          <cell r="F8283">
            <v>790</v>
          </cell>
          <cell r="G8283">
            <v>0</v>
          </cell>
          <cell r="H8283">
            <v>0</v>
          </cell>
          <cell r="I8283">
            <v>0</v>
          </cell>
          <cell r="J8283">
            <v>0</v>
          </cell>
          <cell r="K8283">
            <v>0</v>
          </cell>
          <cell r="L8283">
            <v>10</v>
          </cell>
        </row>
        <row r="8284">
          <cell r="A8284" t="str">
            <v>10019.10511</v>
          </cell>
          <cell r="B8284" t="str">
            <v>TRESSE CARRE AVEC AME GRAPHITEE 14 MM</v>
          </cell>
          <cell r="C8284" t="str">
            <v>TRESSE CARREE 14 MM AVES AME EN GRAPHITE DANS LES ANGLES,DES FILS COMPOSITES PHENOLIQUES IMPREGNE DE         PTFE SELON LE PROCEDE FILCOAT ET DES FACES DE FROTTEEMENT EN FILS POLYACRYLIQUE PRESSION:0 A 200 BAR TEMPERATURE:0 A 260°C VITESSE:&lt;20 M/S PH:1-13 GENRE LATTY FLON 7189 POUR FLUIDES CHARGES</v>
          </cell>
          <cell r="D8284" t="str">
            <v>PE</v>
          </cell>
          <cell r="E8284" t="str">
            <v>522.52207</v>
          </cell>
          <cell r="F8284">
            <v>790</v>
          </cell>
          <cell r="G8284">
            <v>0</v>
          </cell>
          <cell r="H8284">
            <v>0</v>
          </cell>
          <cell r="I8284">
            <v>4</v>
          </cell>
          <cell r="J8284">
            <v>1</v>
          </cell>
          <cell r="K8284">
            <v>0</v>
          </cell>
          <cell r="L8284">
            <v>10</v>
          </cell>
        </row>
        <row r="8285">
          <cell r="A8285" t="str">
            <v>10019.10512</v>
          </cell>
          <cell r="B8285" t="str">
            <v>TRESSE CARRE AVEC AME GRAPHITEE 16 MM</v>
          </cell>
          <cell r="C8285" t="str">
            <v>TRESSE CARREE 16 MM AVES AME EN GRAPHITE DANS LES ANGLES,DES FILS COMPOSITES PHENOLIQUES IMPREGNE DE         PTFE SELON LE PROCEDE FILCOAT ET DES FACES DE FROTTEEMENT EN FILS POLYACRYLIQUE PRESSION:0 A 200 BAR TEMPERATURE:0 A 260°C VITESSE:&lt;20 M/S PH:1-13 GENRE LATTY FLON 7189 POUR FLUIDES CHARGES</v>
          </cell>
          <cell r="D8285" t="str">
            <v>PE</v>
          </cell>
          <cell r="E8285" t="str">
            <v>522.52207</v>
          </cell>
          <cell r="F8285">
            <v>790</v>
          </cell>
          <cell r="G8285">
            <v>0</v>
          </cell>
          <cell r="H8285">
            <v>0</v>
          </cell>
          <cell r="I8285">
            <v>15</v>
          </cell>
          <cell r="J8285">
            <v>0</v>
          </cell>
          <cell r="K8285">
            <v>5</v>
          </cell>
          <cell r="L8285">
            <v>0</v>
          </cell>
        </row>
        <row r="8286">
          <cell r="A8286" t="str">
            <v>10019.10513</v>
          </cell>
          <cell r="B8286" t="str">
            <v>TRESSE CARRE AVEC AME GRAPHITEE 18 MM</v>
          </cell>
          <cell r="C8286" t="str">
            <v>TRESSE CARREE 18 MM AVES AME EN GRAPHITE DANS LES ANGLES,DES FILS COMPOSITES PHENOLIQUES IMPREGNE DE         PTFE SELON LE PROCEDE FILCOAT ET DES FACES DE FROTTEEMENT EN FILS POLYACRYLIQUE PRESSION:0 A 200 BAR TEMPERATURE:0 A 260°C VITESSE:&lt;20 M/S PH:1-13 GENRE LATTY FLON 7189 POUR FLUIDES CHARGES</v>
          </cell>
          <cell r="D8286" t="str">
            <v>PE</v>
          </cell>
          <cell r="E8286" t="str">
            <v>522.52207</v>
          </cell>
          <cell r="F8286">
            <v>790</v>
          </cell>
          <cell r="G8286">
            <v>0</v>
          </cell>
          <cell r="H8286">
            <v>0</v>
          </cell>
          <cell r="I8286">
            <v>14</v>
          </cell>
          <cell r="J8286">
            <v>1</v>
          </cell>
          <cell r="K8286">
            <v>0</v>
          </cell>
          <cell r="L8286">
            <v>0</v>
          </cell>
        </row>
        <row r="8287">
          <cell r="A8287" t="str">
            <v>10019.10514</v>
          </cell>
          <cell r="B8287" t="str">
            <v>TRESSE CARRE 20 MM</v>
          </cell>
          <cell r="C8287" t="str">
            <v>TRESSE CARRE  20 MM   TEMPERATURE : -200°C + 275 °C PRESSION : 10MPa ( 100 BARS ) VITESSE : &lt; 20 m/s PH : 2-12   GENRE  LATTY FLON 4789</v>
          </cell>
          <cell r="D8287" t="str">
            <v>PE</v>
          </cell>
          <cell r="E8287" t="str">
            <v>522.52207</v>
          </cell>
          <cell r="F8287">
            <v>10762</v>
          </cell>
          <cell r="G8287">
            <v>0</v>
          </cell>
          <cell r="H8287">
            <v>0</v>
          </cell>
          <cell r="I8287">
            <v>6</v>
          </cell>
          <cell r="J8287">
            <v>0</v>
          </cell>
          <cell r="K8287">
            <v>0</v>
          </cell>
          <cell r="L8287">
            <v>9</v>
          </cell>
        </row>
        <row r="8288">
          <cell r="A8288" t="str">
            <v>10019.10515</v>
          </cell>
          <cell r="B8288" t="str">
            <v>BANDE PTFE EP:3  MM</v>
          </cell>
          <cell r="C8288" t="str">
            <v xml:space="preserve">BANDE EN PTFE PUR EXPANSE AVEC AUTOCOLANT  POUR BRIDES ET RESERVOIRS  POUR TOUS FLUIDES (SAUF METAUX ALCALINS FONDUS OU DISSOUS)  PRESSION : 200 BARS -TEMPERATURE: -269 A + 260°C PH 0-14  DIMENSIONS : LONG = 25 METRES - LARG =20 MM - EP = 3 MM </v>
          </cell>
          <cell r="D8288" t="str">
            <v>PE</v>
          </cell>
          <cell r="E8288" t="str">
            <v>522.52207</v>
          </cell>
          <cell r="F8288">
            <v>348.58530000000002</v>
          </cell>
          <cell r="G8288">
            <v>0</v>
          </cell>
          <cell r="H8288">
            <v>8</v>
          </cell>
          <cell r="I8288">
            <v>0</v>
          </cell>
          <cell r="J8288">
            <v>4</v>
          </cell>
          <cell r="K8288">
            <v>0</v>
          </cell>
          <cell r="L8288">
            <v>8</v>
          </cell>
        </row>
        <row r="8289">
          <cell r="A8289" t="str">
            <v>10019.10516</v>
          </cell>
          <cell r="B8289" t="str">
            <v>BANDE PTFE EP:5  MM</v>
          </cell>
          <cell r="C8289" t="str">
            <v xml:space="preserve">BANDE EN PTFE PUR EXPANSE AVEC AUTOCOLANT  POUR BRIDES ET RESERVOIRS  POUR TOUS FLUIDES (SAUF METAUX ALCALINS FONDUS OU DISSOUS)  PRESSION : 200 BARS -TEMPERATURE: -269 A + 260°C PH 0-14  DIMENSIONS : LONG = 25 METRES - LARG =20 MM - EP = 5 MM </v>
          </cell>
          <cell r="D8289" t="str">
            <v>PE</v>
          </cell>
          <cell r="E8289" t="str">
            <v>522.52207</v>
          </cell>
          <cell r="F8289">
            <v>540.29160000000002</v>
          </cell>
          <cell r="G8289">
            <v>0</v>
          </cell>
          <cell r="H8289">
            <v>0</v>
          </cell>
          <cell r="I8289">
            <v>0</v>
          </cell>
          <cell r="J8289">
            <v>0</v>
          </cell>
          <cell r="K8289">
            <v>0</v>
          </cell>
          <cell r="L8289">
            <v>7</v>
          </cell>
        </row>
        <row r="8290">
          <cell r="A8290" t="str">
            <v>10019.10517</v>
          </cell>
          <cell r="B8290" t="str">
            <v>BANDE EN FIBRE DE VERRE LARG:100 MM</v>
          </cell>
          <cell r="C8290" t="str">
            <v>BANDE EN FIBRE DE VERRE POUR GAZ SO2.SO3108 TEMPERATURE 550°C   PRESSION 3 BARS EN ROULEAU DE 30METRES LARGEUR 100MM EP 3MM</v>
          </cell>
          <cell r="D8290" t="str">
            <v>PE</v>
          </cell>
          <cell r="E8290" t="str">
            <v>522.52207</v>
          </cell>
          <cell r="F8290">
            <v>303.79989999999998</v>
          </cell>
          <cell r="G8290">
            <v>11</v>
          </cell>
          <cell r="H8290">
            <v>14</v>
          </cell>
          <cell r="I8290">
            <v>0</v>
          </cell>
          <cell r="J8290">
            <v>3</v>
          </cell>
          <cell r="K8290">
            <v>0</v>
          </cell>
          <cell r="L8290">
            <v>0</v>
          </cell>
        </row>
        <row r="8291">
          <cell r="A8291" t="str">
            <v>10019.10518</v>
          </cell>
          <cell r="B8291" t="str">
            <v>BANDE EN FIBRE DE VERRE LARG:60 MM</v>
          </cell>
          <cell r="C8291" t="str">
            <v>BANDE EN FIBRE DE VERRE POUR GAZ SO2.SO3108 TEMPERATURE 550°C   PRESSION 3 BARS EN ROULEAU DE 30METRES LARGEUR 60MM EP 3MM</v>
          </cell>
          <cell r="D8291" t="str">
            <v>PE</v>
          </cell>
          <cell r="E8291" t="str">
            <v>522.52207</v>
          </cell>
          <cell r="F8291">
            <v>181.45679999999999</v>
          </cell>
          <cell r="G8291">
            <v>2</v>
          </cell>
          <cell r="H8291">
            <v>6</v>
          </cell>
          <cell r="I8291">
            <v>0</v>
          </cell>
          <cell r="J8291">
            <v>0</v>
          </cell>
          <cell r="K8291">
            <v>0</v>
          </cell>
          <cell r="L8291">
            <v>0</v>
          </cell>
        </row>
        <row r="8292">
          <cell r="A8292" t="str">
            <v>10003.02890</v>
          </cell>
          <cell r="B8292" t="str">
            <v>CORNIERE AILES EGALE 40X40X4 MM INOX 316L</v>
          </cell>
          <cell r="C8292" t="str">
            <v>CORNIERE EN ACIER INOXYDABLE NUANCE AISI : 316L AFNOR: AF A 35573:Z2CND17-12 DIMENSIONS : 40 X 40 X 4 MM EN LONGUEUR DE 6 METRES</v>
          </cell>
          <cell r="D8292" t="str">
            <v>KG</v>
          </cell>
          <cell r="E8292" t="str">
            <v>522.52213</v>
          </cell>
          <cell r="F8292">
            <v>44.9</v>
          </cell>
          <cell r="G8292">
            <v>0</v>
          </cell>
          <cell r="H8292">
            <v>0</v>
          </cell>
          <cell r="I8292">
            <v>0</v>
          </cell>
          <cell r="J8292">
            <v>0</v>
          </cell>
          <cell r="K8292">
            <v>0</v>
          </cell>
          <cell r="L8292">
            <v>75</v>
          </cell>
        </row>
        <row r="8293">
          <cell r="A8293" t="str">
            <v>10003.02891</v>
          </cell>
          <cell r="B8293" t="str">
            <v>CORNIERE AILES EGALE 50X50X5 MM INOX 316L</v>
          </cell>
          <cell r="C8293" t="str">
            <v>CORNIERE EN ACIER INOXYDABLE NUANCE AISI : 316L AFNOR: AF A 35573:Z2CND17-12 DIMENSIONS : 50 X 50 X 5 MM EN LONGUEUR DE 6 METRES</v>
          </cell>
          <cell r="D8293" t="str">
            <v>KG</v>
          </cell>
          <cell r="E8293" t="str">
            <v>522.52213</v>
          </cell>
          <cell r="F8293">
            <v>44.9</v>
          </cell>
          <cell r="G8293">
            <v>0</v>
          </cell>
          <cell r="H8293">
            <v>0</v>
          </cell>
          <cell r="I8293">
            <v>0</v>
          </cell>
          <cell r="J8293">
            <v>0</v>
          </cell>
          <cell r="K8293">
            <v>0</v>
          </cell>
          <cell r="L8293">
            <v>118.2</v>
          </cell>
        </row>
        <row r="8294">
          <cell r="A8294" t="str">
            <v>10003.04363</v>
          </cell>
          <cell r="B8294" t="str">
            <v>FER PLAT ACIER INOX 316L</v>
          </cell>
          <cell r="C8294" t="str">
            <v>FER PLAT EN ACIER INOXYDABLE NUANCE : AFNOR Z2 CND 17.13 OU DIN X2 Cr Ni Mo 17.13  GENRE "UGINE NSM 22 S" OU "CREUSOT-LOIRE ICL 166 BC"  COMPOSITION -CHIMIQUE MOYENNE EN % :  C &lt; 0,03; Cr=16-18; Ni=10-14; Mo=2-3; Mn=2; S=0,030; Si=1; P=0,045  LONGUEUR = 6 METRES  LARGEUR = 160 MM  EPAISSEUR = 12 MM</v>
          </cell>
          <cell r="D8294" t="str">
            <v>KG</v>
          </cell>
          <cell r="E8294" t="str">
            <v>522.52213</v>
          </cell>
          <cell r="F8294">
            <v>44.9</v>
          </cell>
          <cell r="G8294">
            <v>0</v>
          </cell>
          <cell r="H8294">
            <v>0</v>
          </cell>
          <cell r="I8294">
            <v>0</v>
          </cell>
          <cell r="J8294">
            <v>0</v>
          </cell>
          <cell r="K8294">
            <v>0</v>
          </cell>
          <cell r="L8294">
            <v>361.68</v>
          </cell>
        </row>
        <row r="8295">
          <cell r="A8295" t="str">
            <v>10003.04364</v>
          </cell>
          <cell r="B8295" t="str">
            <v>FER PLAT ACIER INOX 316L</v>
          </cell>
          <cell r="C8295" t="str">
            <v>FER PLAT EN ACIER INOXYDABLE NUANCE : AFNOR Z2 CND 17.13 OU DIN X2 Cr Ni Mo 17.13  GENRE "UGINE NSM 22 S" OU "CREUSOT-LOIRE ICL 166 BC"  COMPOSITION -CHIMIQUE MOYENNE EN % :  C &lt; 0,03; Cr=16-18; Ni=10-14; Mo=2-3; Mn=2; S=0,030; Si=1; P=0,045  LONGUEUR = 6 METRES  LARGEUR = 200 MM  EPAISSEUR = 5 MM</v>
          </cell>
          <cell r="D8295" t="str">
            <v>KG</v>
          </cell>
          <cell r="E8295" t="str">
            <v>522.52213</v>
          </cell>
          <cell r="F8295">
            <v>44.9</v>
          </cell>
          <cell r="G8295">
            <v>0</v>
          </cell>
          <cell r="H8295">
            <v>0</v>
          </cell>
          <cell r="I8295">
            <v>0</v>
          </cell>
          <cell r="J8295">
            <v>0</v>
          </cell>
          <cell r="K8295">
            <v>0</v>
          </cell>
          <cell r="L8295">
            <v>282.60000000000002</v>
          </cell>
        </row>
        <row r="8296">
          <cell r="A8296" t="str">
            <v>10003.04365</v>
          </cell>
          <cell r="B8296" t="str">
            <v>FER PLAT ACIER INOX 316L</v>
          </cell>
          <cell r="C8296" t="str">
            <v>FER PLAT EN ACIER INOXYDABLE NUANCE : AFNOR Z2 CND 17.13 OU DIN X2 Cr Ni Mo 17.13  GENRE "UGINE NSM 22 S" OU "CREUSOT-LOIRE ICL 166 BC"  COMPOSITION -CHIMIQUE MOYENNE EN % :  C &lt; 0,03; Cr=16-18; Ni=10-14; Mo=2-3; Mn=2; S=0,030; Si=1; P=0,045  LONGUEUR = 6 METRES  LARGEUR = 200 MM  EPAISSEUR = 10 MM</v>
          </cell>
          <cell r="D8296" t="str">
            <v>KG</v>
          </cell>
          <cell r="E8296" t="str">
            <v>522.52213</v>
          </cell>
          <cell r="F8296">
            <v>44.9</v>
          </cell>
          <cell r="G8296">
            <v>0</v>
          </cell>
          <cell r="H8296">
            <v>0</v>
          </cell>
          <cell r="I8296">
            <v>0</v>
          </cell>
          <cell r="J8296">
            <v>0</v>
          </cell>
          <cell r="K8296">
            <v>0</v>
          </cell>
          <cell r="L8296">
            <v>471</v>
          </cell>
        </row>
        <row r="8297">
          <cell r="A8297" t="str">
            <v>20392.00074</v>
          </cell>
          <cell r="B8297" t="str">
            <v>ACCOUPMEMENT COMPLET</v>
          </cell>
          <cell r="C8297" t="str">
            <v>1100T-T20</v>
          </cell>
          <cell r="D8297" t="str">
            <v>PE</v>
          </cell>
          <cell r="E8297" t="str">
            <v>515.51515</v>
          </cell>
          <cell r="F8297">
            <v>7694.75</v>
          </cell>
          <cell r="G8297">
            <v>0</v>
          </cell>
          <cell r="H8297">
            <v>0</v>
          </cell>
          <cell r="I8297">
            <v>2</v>
          </cell>
          <cell r="J8297">
            <v>0</v>
          </cell>
          <cell r="K8297">
            <v>0</v>
          </cell>
          <cell r="L8297">
            <v>0</v>
          </cell>
        </row>
        <row r="8298">
          <cell r="A8298" t="str">
            <v>20392.00070</v>
          </cell>
          <cell r="B8298" t="str">
            <v>JEU DE RESSORTS ET JOINTS</v>
          </cell>
          <cell r="C8298" t="str">
            <v>POUR ACCOUPLEMENT TYPE 1100T-T10</v>
          </cell>
          <cell r="D8298" t="str">
            <v>PE</v>
          </cell>
          <cell r="E8298" t="str">
            <v>515.51515</v>
          </cell>
          <cell r="F8298">
            <v>1978</v>
          </cell>
          <cell r="G8298">
            <v>0</v>
          </cell>
          <cell r="H8298">
            <v>0</v>
          </cell>
          <cell r="I8298">
            <v>1</v>
          </cell>
          <cell r="J8298">
            <v>0</v>
          </cell>
          <cell r="K8298">
            <v>0</v>
          </cell>
          <cell r="L8298">
            <v>1</v>
          </cell>
        </row>
        <row r="8299">
          <cell r="A8299" t="str">
            <v>20492.37400</v>
          </cell>
          <cell r="B8299" t="str">
            <v>AFFICHE OPERATIONNELLE</v>
          </cell>
          <cell r="C8299" t="str">
            <v>CATU AM-240/2</v>
          </cell>
          <cell r="D8299" t="str">
            <v>PE</v>
          </cell>
          <cell r="E8299" t="str">
            <v>522.52217</v>
          </cell>
          <cell r="F8299">
            <v>56</v>
          </cell>
          <cell r="G8299">
            <v>0</v>
          </cell>
          <cell r="H8299">
            <v>0</v>
          </cell>
          <cell r="I8299">
            <v>0</v>
          </cell>
          <cell r="J8299">
            <v>0</v>
          </cell>
          <cell r="K8299">
            <v>0</v>
          </cell>
          <cell r="L8299">
            <v>0</v>
          </cell>
        </row>
        <row r="8300">
          <cell r="A8300" t="str">
            <v>20492.37401</v>
          </cell>
          <cell r="B8300" t="str">
            <v>SIGNALISATION DE LA TERRE ALUMETAL</v>
          </cell>
          <cell r="C8300" t="str">
            <v>CATU AM-345</v>
          </cell>
          <cell r="D8300" t="str">
            <v>PE</v>
          </cell>
          <cell r="E8300" t="str">
            <v>522.52217</v>
          </cell>
          <cell r="F8300">
            <v>45</v>
          </cell>
          <cell r="G8300">
            <v>0</v>
          </cell>
          <cell r="H8300">
            <v>0</v>
          </cell>
          <cell r="I8300">
            <v>0</v>
          </cell>
          <cell r="J8300">
            <v>0</v>
          </cell>
          <cell r="K8300">
            <v>0</v>
          </cell>
          <cell r="L8300">
            <v>0</v>
          </cell>
        </row>
        <row r="8301">
          <cell r="A8301" t="str">
            <v>20492.37402</v>
          </cell>
          <cell r="B8301" t="str">
            <v>VERIFICATEUR ABSENCE DE TENSION</v>
          </cell>
          <cell r="C8301" t="str">
            <v>CATU MS-918PG</v>
          </cell>
          <cell r="D8301" t="str">
            <v>PE</v>
          </cell>
          <cell r="E8301" t="str">
            <v>522.52217</v>
          </cell>
          <cell r="F8301">
            <v>1009</v>
          </cell>
          <cell r="G8301">
            <v>0</v>
          </cell>
          <cell r="H8301">
            <v>0</v>
          </cell>
          <cell r="I8301">
            <v>0</v>
          </cell>
          <cell r="J8301">
            <v>0</v>
          </cell>
          <cell r="K8301">
            <v>0</v>
          </cell>
          <cell r="L8301">
            <v>0</v>
          </cell>
        </row>
        <row r="8302">
          <cell r="A8302" t="str">
            <v>20492.37424</v>
          </cell>
          <cell r="B8302" t="str">
            <v>JOINT DE DILATATION METALLIQUE</v>
          </cell>
          <cell r="C8302" t="str">
            <v xml:space="preserve">MECS PLAN : 561-214 REV 2 MARK N° EJ-K1 </v>
          </cell>
          <cell r="D8302" t="str">
            <v>PE</v>
          </cell>
          <cell r="E8302" t="str">
            <v>225.22502</v>
          </cell>
          <cell r="F8302">
            <v>323431.8</v>
          </cell>
          <cell r="G8302">
            <v>0</v>
          </cell>
          <cell r="H8302">
            <v>1</v>
          </cell>
          <cell r="I8302">
            <v>0</v>
          </cell>
          <cell r="J8302">
            <v>0</v>
          </cell>
          <cell r="K8302">
            <v>0</v>
          </cell>
          <cell r="L8302">
            <v>0</v>
          </cell>
        </row>
        <row r="8303">
          <cell r="A8303" t="str">
            <v>20492.37425</v>
          </cell>
          <cell r="B8303" t="str">
            <v>JOINT DE DILATATION METALLIQUE</v>
          </cell>
          <cell r="C8303" t="str">
            <v xml:space="preserve">MECS PLAN : 561-214 REV 2 MARK N° EJ-L1 </v>
          </cell>
          <cell r="D8303" t="str">
            <v>PE</v>
          </cell>
          <cell r="E8303" t="str">
            <v>225.22502</v>
          </cell>
          <cell r="F8303">
            <v>340743.2</v>
          </cell>
          <cell r="G8303">
            <v>0</v>
          </cell>
          <cell r="H8303">
            <v>1</v>
          </cell>
          <cell r="I8303">
            <v>0</v>
          </cell>
          <cell r="J8303">
            <v>0</v>
          </cell>
          <cell r="K8303">
            <v>0</v>
          </cell>
          <cell r="L8303">
            <v>0</v>
          </cell>
        </row>
        <row r="8304">
          <cell r="A8304" t="str">
            <v>20498.21630</v>
          </cell>
          <cell r="B8304" t="str">
            <v>TUBE POUR ECHANGEUR</v>
          </cell>
          <cell r="C8304" t="str">
            <v>MONSANTO PLAN 511-112 REV 3</v>
          </cell>
          <cell r="D8304" t="str">
            <v>PE</v>
          </cell>
          <cell r="E8304" t="str">
            <v>515.51506</v>
          </cell>
          <cell r="F8304">
            <v>1055.925</v>
          </cell>
          <cell r="G8304">
            <v>0</v>
          </cell>
          <cell r="H8304">
            <v>327</v>
          </cell>
          <cell r="I8304">
            <v>0</v>
          </cell>
          <cell r="J8304">
            <v>0</v>
          </cell>
          <cell r="K8304">
            <v>0</v>
          </cell>
          <cell r="L8304">
            <v>0</v>
          </cell>
        </row>
        <row r="8305">
          <cell r="A8305" t="str">
            <v>10019.10539</v>
          </cell>
          <cell r="B8305" t="str">
            <v>JOINT EN CAOUTCHOUC  NEOPRENE</v>
          </cell>
          <cell r="C8305" t="str">
            <v>JOINT EN CAOUTCHOUC  NEOPRENE   DIMENSIONS : 24X24X21 MMMATIERE : NEOPRENELIVRAISON EN ROULEAU DE 20 METRESSUIVANT PLAN CI ATTACHE</v>
          </cell>
          <cell r="D8305" t="str">
            <v>PE</v>
          </cell>
          <cell r="E8305" t="str">
            <v>522.52207</v>
          </cell>
          <cell r="F8305">
            <v>58</v>
          </cell>
          <cell r="G8305">
            <v>0</v>
          </cell>
          <cell r="H8305">
            <v>0</v>
          </cell>
          <cell r="I8305">
            <v>0</v>
          </cell>
          <cell r="J8305">
            <v>0</v>
          </cell>
          <cell r="K8305">
            <v>0</v>
          </cell>
          <cell r="L8305">
            <v>0</v>
          </cell>
        </row>
        <row r="8306">
          <cell r="A8306" t="str">
            <v>10096.10043</v>
          </cell>
          <cell r="B8306" t="str">
            <v>KITS D'EVACUATION EN PVC</v>
          </cell>
          <cell r="C8306" t="str">
            <v>KITS D'EVACUATION EN PVC, AVEC UNE FERMETURE VELCRO                                                                      ET 2 OEILLETS DE FIXATION.CHAQUE KIT CONTIENT :- 01 GILET DE SECURITE FLUO JAUNE AVEC MARQUAGE GUIDE FILE- 01 GILET DE SECURITE FLUO ORANGE AVEC MARQUAGE SERRE FILE- 01 BRASSARD GUIDE-FILE- 01 BRASSARD SERRE-FILE- 01 LAMPE A LED- 01 SIFFLET</v>
          </cell>
          <cell r="D8306" t="str">
            <v>PE</v>
          </cell>
          <cell r="E8306" t="str">
            <v>522.52216</v>
          </cell>
          <cell r="F8306">
            <v>450</v>
          </cell>
          <cell r="G8306">
            <v>0</v>
          </cell>
          <cell r="H8306">
            <v>0</v>
          </cell>
          <cell r="I8306">
            <v>3</v>
          </cell>
          <cell r="J8306">
            <v>0</v>
          </cell>
          <cell r="K8306">
            <v>0</v>
          </cell>
          <cell r="L8306">
            <v>17</v>
          </cell>
        </row>
        <row r="8307">
          <cell r="A8307" t="str">
            <v>20497.22191</v>
          </cell>
          <cell r="B8307" t="str">
            <v>LANTERNE</v>
          </cell>
          <cell r="C8307" t="str">
            <v>SEEPEX TYPE BN1-12 PLAN N°062-002B1 REP200</v>
          </cell>
          <cell r="D8307" t="str">
            <v>PE</v>
          </cell>
          <cell r="E8307" t="str">
            <v>515.51503</v>
          </cell>
          <cell r="F8307">
            <v>2540.9760000000001</v>
          </cell>
          <cell r="G8307">
            <v>0</v>
          </cell>
          <cell r="H8307">
            <v>0</v>
          </cell>
          <cell r="I8307">
            <v>0</v>
          </cell>
          <cell r="J8307">
            <v>0</v>
          </cell>
          <cell r="K8307">
            <v>0</v>
          </cell>
          <cell r="L8307">
            <v>1</v>
          </cell>
        </row>
        <row r="8308">
          <cell r="A8308" t="str">
            <v>10068.02882</v>
          </cell>
          <cell r="B8308" t="str">
            <v>BRIDE PLEINE  A FACE SURELEVEE DN 150 CLASS 150</v>
          </cell>
          <cell r="C8308" t="str">
            <v>BRIDE PLEINE  A FACE SURELEVEE RF ASME B16.5DN 150 CLASS 150  EN ACIER ASTM A105</v>
          </cell>
          <cell r="D8308" t="str">
            <v>PE</v>
          </cell>
          <cell r="E8308" t="str">
            <v>313.31301</v>
          </cell>
          <cell r="F8308">
            <v>331</v>
          </cell>
          <cell r="G8308">
            <v>0</v>
          </cell>
          <cell r="H8308">
            <v>0</v>
          </cell>
          <cell r="I8308">
            <v>0</v>
          </cell>
          <cell r="J8308">
            <v>1</v>
          </cell>
          <cell r="K8308">
            <v>0</v>
          </cell>
          <cell r="L8308">
            <v>0</v>
          </cell>
        </row>
        <row r="8309">
          <cell r="A8309" t="str">
            <v>10066.06156</v>
          </cell>
          <cell r="B8309" t="str">
            <v>TUBE EN ACIER INOXYDABLE S/SOUDURE DN 25</v>
          </cell>
          <cell r="C8309" t="str">
            <v>TUBE SANS SOUDURE EN ACIER INOXYDABLE B36.19M A312 TP316L AFNOR X2 CrNiMo 17-12-2 ,-COMPOSITION CHIMIQUE: C 0,03 MAX, MN 2,0 MAX, Si 0,75 MAX, P 0,045 MAX, S 0,03, Cr 16 MIN 18 MAX, Mo 2,00 MIN 3,00 MAX, Ni 10 MIN 14 MAX, N 0,10 MAX.-RESISTANCE A LA TRACTION: 485 N/mm²,  -LIMITE D'ELASTICITE : 170 N/mm².DN 25 MM ØEXTERIEUR 33,4 MM EP: 3,38 MM, SCHEDULE: 40</v>
          </cell>
          <cell r="D8309" t="str">
            <v>M</v>
          </cell>
          <cell r="E8309" t="str">
            <v>313.31301</v>
          </cell>
          <cell r="F8309">
            <v>160</v>
          </cell>
          <cell r="G8309">
            <v>0</v>
          </cell>
          <cell r="H8309">
            <v>0</v>
          </cell>
          <cell r="I8309">
            <v>0</v>
          </cell>
          <cell r="J8309">
            <v>0</v>
          </cell>
          <cell r="K8309">
            <v>0</v>
          </cell>
          <cell r="L8309">
            <v>5.8</v>
          </cell>
        </row>
        <row r="8310">
          <cell r="A8310" t="str">
            <v>10066.06157</v>
          </cell>
          <cell r="B8310" t="str">
            <v>TUBE EN ACIER INOXYDABLE S/SOUDURE DN 40</v>
          </cell>
          <cell r="C8310" t="str">
            <v>TUBE SANS SOUDURE EN ACIER INOXYDABLE B36.19M A312 TP316L AFNOR X2 CrNiMo 17-12-2 ,-COMPOSITION CHIMIQUE: C 0,03 MAX, MN 2,0 MAX, Si 0,75 MAX, P 0,045 MAX, S 0,03, Cr 16 MIN 18 MAX, Mo 2,00 MIN 3,00 MAX, Ni 10 MIN 14 MAX, N 0,10 MAX.-RESISTANCE A LA TRACTION: 485 N/mm²,  -LIMITE D'ELASTICITE : 170 N/mm².DN 40 MM ØEXTERIEUR 48,3 MM EP: 3,69 MM, SCHEDULE: 40</v>
          </cell>
          <cell r="D8310" t="str">
            <v>M</v>
          </cell>
          <cell r="E8310" t="str">
            <v>313.31301</v>
          </cell>
          <cell r="F8310">
            <v>250</v>
          </cell>
          <cell r="G8310">
            <v>0</v>
          </cell>
          <cell r="H8310">
            <v>0</v>
          </cell>
          <cell r="I8310">
            <v>0</v>
          </cell>
          <cell r="J8310">
            <v>0</v>
          </cell>
          <cell r="K8310">
            <v>5.94</v>
          </cell>
          <cell r="L8310">
            <v>0</v>
          </cell>
        </row>
        <row r="8311">
          <cell r="A8311" t="str">
            <v>20708.00886</v>
          </cell>
          <cell r="B8311" t="str">
            <v>TRANSMETTEUR DE DE DEBIT</v>
          </cell>
          <cell r="C8311" t="str">
            <v>8732EMR1A1M4Q4</v>
          </cell>
          <cell r="D8311" t="str">
            <v>PE</v>
          </cell>
          <cell r="E8311" t="str">
            <v>512.51201</v>
          </cell>
          <cell r="F8311">
            <v>17212.07</v>
          </cell>
          <cell r="G8311">
            <v>0</v>
          </cell>
          <cell r="H8311">
            <v>0</v>
          </cell>
          <cell r="I8311">
            <v>1</v>
          </cell>
          <cell r="J8311">
            <v>0</v>
          </cell>
          <cell r="K8311">
            <v>1</v>
          </cell>
          <cell r="L8311">
            <v>0</v>
          </cell>
        </row>
        <row r="8312">
          <cell r="A8312" t="str">
            <v>20630.01099</v>
          </cell>
          <cell r="B8312" t="str">
            <v>GARNITURE MECANIQUE</v>
          </cell>
          <cell r="C8312" t="str">
            <v xml:space="preserve">MSG : 922SD110DINQ10Q10VM1G3-A10Q10V MM150  </v>
          </cell>
          <cell r="D8312" t="str">
            <v>PE</v>
          </cell>
          <cell r="E8312" t="str">
            <v>17.0362</v>
          </cell>
          <cell r="F8312">
            <v>76888</v>
          </cell>
          <cell r="G8312">
            <v>0</v>
          </cell>
          <cell r="H8312">
            <v>0</v>
          </cell>
          <cell r="I8312">
            <v>0</v>
          </cell>
          <cell r="J8312">
            <v>2</v>
          </cell>
          <cell r="K8312">
            <v>0</v>
          </cell>
          <cell r="L8312">
            <v>3</v>
          </cell>
        </row>
        <row r="8313">
          <cell r="A8313" t="str">
            <v>20630.01100</v>
          </cell>
          <cell r="B8313" t="str">
            <v>GARNITURE MECANIQUE</v>
          </cell>
          <cell r="C8313" t="str">
            <v xml:space="preserve">MSG : 922SD110DINQ10Q10VM1G3-A10Q10V MM200  </v>
          </cell>
          <cell r="D8313" t="str">
            <v>PE</v>
          </cell>
          <cell r="E8313" t="str">
            <v>17.0362</v>
          </cell>
          <cell r="F8313">
            <v>102795.3333</v>
          </cell>
          <cell r="G8313">
            <v>0</v>
          </cell>
          <cell r="H8313">
            <v>0</v>
          </cell>
          <cell r="I8313">
            <v>0</v>
          </cell>
          <cell r="J8313">
            <v>1</v>
          </cell>
          <cell r="K8313">
            <v>0</v>
          </cell>
          <cell r="L8313">
            <v>3</v>
          </cell>
        </row>
        <row r="8314">
          <cell r="A8314" t="str">
            <v>10068.10552</v>
          </cell>
          <cell r="B8314" t="str">
            <v>COUDE A SOUDE SW A 90° DN 25 SCH 80 A105</v>
          </cell>
          <cell r="C8314" t="str">
            <v>COUDE A SOUDE A EMBOITEMENT SW A 90° DN 25 S/NORME: ASME B16.11 / SCHEDULE 80      MATIERE: ASTM A105</v>
          </cell>
          <cell r="D8314" t="str">
            <v>PE</v>
          </cell>
          <cell r="E8314" t="str">
            <v>313.31301</v>
          </cell>
          <cell r="F8314">
            <v>43.548400000000001</v>
          </cell>
          <cell r="G8314">
            <v>0</v>
          </cell>
          <cell r="H8314">
            <v>0</v>
          </cell>
          <cell r="I8314">
            <v>0</v>
          </cell>
          <cell r="J8314">
            <v>0</v>
          </cell>
          <cell r="K8314">
            <v>16</v>
          </cell>
          <cell r="L8314">
            <v>10</v>
          </cell>
        </row>
        <row r="8315">
          <cell r="A8315" t="str">
            <v>10068.10577</v>
          </cell>
          <cell r="B8315" t="str">
            <v>TE EGAL A SOUDE DN 40 SCH 40 A403-WP316L</v>
          </cell>
          <cell r="C8315" t="str">
            <v>TE EGAL A SOUDE DN 40 SCHEDULE 40 S/NORME: ANSI B16.9         MATIERE: ASTM A403-WP316LØEXT: 48,3 MM     EP: 3,70 MM"</v>
          </cell>
          <cell r="D8315" t="str">
            <v>PE</v>
          </cell>
          <cell r="E8315" t="str">
            <v>313.31301</v>
          </cell>
          <cell r="F8315">
            <v>635</v>
          </cell>
          <cell r="G8315">
            <v>0</v>
          </cell>
          <cell r="H8315">
            <v>0</v>
          </cell>
          <cell r="I8315">
            <v>0</v>
          </cell>
          <cell r="J8315">
            <v>4</v>
          </cell>
          <cell r="K8315">
            <v>0</v>
          </cell>
          <cell r="L8315">
            <v>0</v>
          </cell>
        </row>
        <row r="8316">
          <cell r="A8316" t="str">
            <v>20492.36781</v>
          </cell>
          <cell r="B8316" t="str">
            <v>REGULATEUR DE PRESSION</v>
          </cell>
          <cell r="C8316" t="str">
            <v>DRESSER RAND 1A13884-1 NOMENCLATURE OR29725 REP46</v>
          </cell>
          <cell r="D8316" t="str">
            <v>PE</v>
          </cell>
          <cell r="E8316" t="str">
            <v>515.51517</v>
          </cell>
          <cell r="F8316">
            <v>53559.806700000001</v>
          </cell>
          <cell r="G8316">
            <v>0</v>
          </cell>
          <cell r="H8316">
            <v>0</v>
          </cell>
          <cell r="I8316">
            <v>0</v>
          </cell>
          <cell r="J8316">
            <v>0</v>
          </cell>
          <cell r="K8316">
            <v>0</v>
          </cell>
          <cell r="L8316">
            <v>1</v>
          </cell>
        </row>
        <row r="8317">
          <cell r="A8317" t="str">
            <v>20492.24252</v>
          </cell>
          <cell r="B8317" t="str">
            <v>BOUCHON P/TUBE TAILLE 1-1/2" X 2" X 7120</v>
          </cell>
          <cell r="C8317" t="str">
            <v>GRAPHITE INDIA PLAN : GV/25387/15-REV 4 SANS REP P/TUBE REP 4</v>
          </cell>
          <cell r="D8317" t="str">
            <v>PE</v>
          </cell>
          <cell r="E8317" t="str">
            <v>515.51509</v>
          </cell>
          <cell r="F8317">
            <v>70</v>
          </cell>
          <cell r="G8317">
            <v>0</v>
          </cell>
          <cell r="H8317">
            <v>97</v>
          </cell>
          <cell r="I8317">
            <v>135</v>
          </cell>
          <cell r="J8317">
            <v>0</v>
          </cell>
          <cell r="K8317">
            <v>0</v>
          </cell>
          <cell r="L8317">
            <v>58</v>
          </cell>
        </row>
        <row r="8318">
          <cell r="A8318" t="str">
            <v>20375.01266</v>
          </cell>
          <cell r="B8318" t="str">
            <v>SUPPORT MOTEUR</v>
          </cell>
          <cell r="C8318" t="str">
            <v>MTH 40312 N° SERIE 60921 REP 86</v>
          </cell>
          <cell r="D8318" t="str">
            <v>PE</v>
          </cell>
          <cell r="E8318" t="str">
            <v>515.51503</v>
          </cell>
          <cell r="F8318">
            <v>58674.650399999999</v>
          </cell>
          <cell r="G8318">
            <v>0</v>
          </cell>
          <cell r="H8318">
            <v>0</v>
          </cell>
          <cell r="I8318">
            <v>0</v>
          </cell>
          <cell r="J8318">
            <v>0</v>
          </cell>
          <cell r="K8318">
            <v>0</v>
          </cell>
          <cell r="L8318">
            <v>1</v>
          </cell>
        </row>
        <row r="8319">
          <cell r="A8319" t="str">
            <v>20375.01267</v>
          </cell>
          <cell r="B8319" t="str">
            <v>PRESSE ETOUPE</v>
          </cell>
          <cell r="C8319" t="str">
            <v>MTH 40312 N° SERIE 60921 REP 90</v>
          </cell>
          <cell r="D8319" t="str">
            <v>PE</v>
          </cell>
          <cell r="E8319" t="str">
            <v>515.51503</v>
          </cell>
          <cell r="F8319">
            <v>7008.3609999999999</v>
          </cell>
          <cell r="G8319">
            <v>0</v>
          </cell>
          <cell r="H8319">
            <v>1</v>
          </cell>
          <cell r="I8319">
            <v>0</v>
          </cell>
          <cell r="J8319">
            <v>0</v>
          </cell>
          <cell r="K8319">
            <v>0</v>
          </cell>
          <cell r="L8319">
            <v>0</v>
          </cell>
        </row>
        <row r="8320">
          <cell r="A8320" t="str">
            <v>20492.36862</v>
          </cell>
          <cell r="B8320" t="str">
            <v>ALIMENTATION</v>
          </cell>
          <cell r="C8320" t="str">
            <v xml:space="preserve">AEG  TYPE:  DC 2000 TYPE G26/65 REF: 763 720 4601    </v>
          </cell>
          <cell r="D8320" t="str">
            <v>PE</v>
          </cell>
          <cell r="E8320" t="str">
            <v>522.52206</v>
          </cell>
          <cell r="F8320">
            <v>28175</v>
          </cell>
          <cell r="G8320">
            <v>0</v>
          </cell>
          <cell r="H8320">
            <v>0</v>
          </cell>
          <cell r="I8320">
            <v>0</v>
          </cell>
          <cell r="J8320">
            <v>2</v>
          </cell>
          <cell r="K8320">
            <v>0</v>
          </cell>
          <cell r="L8320">
            <v>1</v>
          </cell>
        </row>
        <row r="8321">
          <cell r="A8321" t="str">
            <v>10065.08204</v>
          </cell>
          <cell r="B8321" t="str">
            <v>TOILE FILTRANTE POUR FILTRE A BOUILLIE</v>
          </cell>
          <cell r="C8321" t="str">
            <v>TOILE FILTRANTE (05-1001-K215) POUR FILTRE A BOUILLIE PRAYON 24-135EE MATIERE: PP,MONOFILAMENT -  ALLONGEMENT A LA RUPTURE CHAINE/TRAME(%): 30/35 RESISTANCE A LA RUPTURE CHAINE/TRAME(DaN/5cm): 260/155 DIMENSIONS DES PORES (µm):225/265 - TRAITEMENT CALENDRE ARMURE SERGE - POIDS g/m2:250/7,4 - Ep:(µm): 480 DIMENSIONS DE LA TOILE:LONGUEUR 5150 MM-GRANDE LARGEUR:2720 MM-PETITE LARGEUR:1400 MM,</v>
          </cell>
          <cell r="D8321" t="str">
            <v>PE</v>
          </cell>
          <cell r="E8321" t="str">
            <v>515.51506</v>
          </cell>
          <cell r="F8321">
            <v>580</v>
          </cell>
          <cell r="G8321">
            <v>0</v>
          </cell>
          <cell r="H8321">
            <v>456</v>
          </cell>
          <cell r="I8321">
            <v>560</v>
          </cell>
          <cell r="J8321">
            <v>390</v>
          </cell>
          <cell r="K8321">
            <v>50</v>
          </cell>
          <cell r="L8321">
            <v>600</v>
          </cell>
        </row>
        <row r="8322">
          <cell r="A8322" t="str">
            <v>20492.39960</v>
          </cell>
          <cell r="B8322" t="str">
            <v>CANNE DE DILUTION</v>
          </cell>
          <cell r="C8322" t="str">
            <v>MECS 461-001 REV 2</v>
          </cell>
          <cell r="D8322" t="str">
            <v>PE</v>
          </cell>
          <cell r="E8322" t="str">
            <v>225.22502</v>
          </cell>
          <cell r="F8322">
            <v>148334.01</v>
          </cell>
          <cell r="G8322">
            <v>0</v>
          </cell>
          <cell r="H8322">
            <v>1</v>
          </cell>
          <cell r="I8322">
            <v>0</v>
          </cell>
          <cell r="J8322">
            <v>0</v>
          </cell>
          <cell r="K8322">
            <v>0</v>
          </cell>
          <cell r="L8322">
            <v>0</v>
          </cell>
        </row>
        <row r="8323">
          <cell r="A8323" t="str">
            <v>10068.10610</v>
          </cell>
          <cell r="B8323" t="str">
            <v>BRIDE WELDING NECK (WN )DN6" RF</v>
          </cell>
          <cell r="C8323" t="str">
            <v>BRIDE WELDING NECK (WN )DN6" RF ;MATIERE A105 GRADE B; CLASSE 150LBS</v>
          </cell>
          <cell r="D8323" t="str">
            <v>PE</v>
          </cell>
          <cell r="E8323" t="str">
            <v>313.31301</v>
          </cell>
          <cell r="F8323">
            <v>240</v>
          </cell>
          <cell r="G8323">
            <v>0</v>
          </cell>
          <cell r="H8323">
            <v>0</v>
          </cell>
          <cell r="I8323">
            <v>27</v>
          </cell>
          <cell r="J8323">
            <v>17</v>
          </cell>
          <cell r="K8323">
            <v>0</v>
          </cell>
          <cell r="L8323">
            <v>16</v>
          </cell>
        </row>
        <row r="8324">
          <cell r="A8324" t="str">
            <v>10068.10611</v>
          </cell>
          <cell r="B8324" t="str">
            <v>BRIDE WELDING NECK (WN )DN4" RF</v>
          </cell>
          <cell r="C8324" t="str">
            <v>BRIDE WELDING NECK (WN )DN4" RF ;MATIERE A105 GRADE B; CLASSE 150LBS</v>
          </cell>
          <cell r="D8324" t="str">
            <v>PE</v>
          </cell>
          <cell r="E8324" t="str">
            <v>313.31301</v>
          </cell>
          <cell r="F8324">
            <v>182</v>
          </cell>
          <cell r="G8324">
            <v>0</v>
          </cell>
          <cell r="H8324">
            <v>0</v>
          </cell>
          <cell r="I8324">
            <v>0</v>
          </cell>
          <cell r="J8324">
            <v>3</v>
          </cell>
          <cell r="K8324">
            <v>0</v>
          </cell>
          <cell r="L8324">
            <v>0</v>
          </cell>
        </row>
        <row r="8325">
          <cell r="A8325" t="str">
            <v>10068.10612</v>
          </cell>
          <cell r="B8325" t="str">
            <v>BRIDE WELDING NECK (WN )DN3" RF</v>
          </cell>
          <cell r="C8325" t="str">
            <v>BRIDE WELDING NECK (WN )DN3" RF ;MATIERE A105 GRADE B; CLASSE 150LBS</v>
          </cell>
          <cell r="D8325" t="str">
            <v>PE</v>
          </cell>
          <cell r="E8325" t="str">
            <v>313.31301</v>
          </cell>
          <cell r="F8325">
            <v>127</v>
          </cell>
          <cell r="G8325">
            <v>0</v>
          </cell>
          <cell r="H8325">
            <v>0</v>
          </cell>
          <cell r="I8325">
            <v>0</v>
          </cell>
          <cell r="J8325">
            <v>0</v>
          </cell>
          <cell r="K8325">
            <v>0</v>
          </cell>
          <cell r="L8325">
            <v>6</v>
          </cell>
        </row>
        <row r="8326">
          <cell r="A8326" t="str">
            <v>10096.10068</v>
          </cell>
          <cell r="B8326" t="str">
            <v>SAC</v>
          </cell>
          <cell r="C8326" t="str">
            <v>ARTICLES POUR LA LUTTE CONTRE L'INCENDIESAC POUR MASQUE « PROTEX® » POUR TRANSPORTER LE MASQUEGENRE : DRÄGER  R 54 939</v>
          </cell>
          <cell r="D8326" t="str">
            <v>PE</v>
          </cell>
          <cell r="E8326" t="str">
            <v>516.51601</v>
          </cell>
          <cell r="F8326">
            <v>29.579799999999999</v>
          </cell>
          <cell r="G8326">
            <v>0</v>
          </cell>
          <cell r="H8326">
            <v>0</v>
          </cell>
          <cell r="I8326">
            <v>0</v>
          </cell>
          <cell r="J8326">
            <v>0</v>
          </cell>
          <cell r="K8326">
            <v>0</v>
          </cell>
          <cell r="L8326">
            <v>200</v>
          </cell>
        </row>
        <row r="8327">
          <cell r="A8327" t="str">
            <v>20497.26844</v>
          </cell>
          <cell r="B8327" t="str">
            <v>TUYAUTERIE</v>
          </cell>
          <cell r="C8327" t="str">
            <v>SULZER 4877850334 P/POMPE ASP53-250 SERIE 100038223  REP 700.2</v>
          </cell>
          <cell r="D8327" t="str">
            <v>PE</v>
          </cell>
          <cell r="E8327" t="str">
            <v>515.51505</v>
          </cell>
          <cell r="F8327">
            <v>820</v>
          </cell>
          <cell r="G8327">
            <v>0</v>
          </cell>
          <cell r="H8327">
            <v>0</v>
          </cell>
          <cell r="I8327">
            <v>0</v>
          </cell>
          <cell r="J8327">
            <v>0</v>
          </cell>
          <cell r="K8327">
            <v>0</v>
          </cell>
          <cell r="L8327">
            <v>4</v>
          </cell>
        </row>
        <row r="8328">
          <cell r="A8328" t="str">
            <v>20497.26845</v>
          </cell>
          <cell r="B8328" t="str">
            <v>ADAPTEUR DE TUYAU</v>
          </cell>
          <cell r="C8328" t="str">
            <v>SULZER CCD4070034 P/POMPE ASP53-250 SERIE 100038223  REP 730.1</v>
          </cell>
          <cell r="D8328" t="str">
            <v>PE</v>
          </cell>
          <cell r="E8328" t="str">
            <v>515.51505</v>
          </cell>
          <cell r="F8328">
            <v>1127.5</v>
          </cell>
          <cell r="G8328">
            <v>0</v>
          </cell>
          <cell r="H8328">
            <v>0</v>
          </cell>
          <cell r="I8328">
            <v>0</v>
          </cell>
          <cell r="J8328">
            <v>0</v>
          </cell>
          <cell r="K8328">
            <v>0</v>
          </cell>
          <cell r="L8328">
            <v>4</v>
          </cell>
        </row>
        <row r="8329">
          <cell r="A8329" t="str">
            <v>20497.26846</v>
          </cell>
          <cell r="B8329" t="str">
            <v>JOINT</v>
          </cell>
          <cell r="C8329" t="str">
            <v>SULZER CCD4050034 P/POMPE ASP53-250 SERIE 100038223  REP 730.2</v>
          </cell>
          <cell r="D8329" t="str">
            <v>PE</v>
          </cell>
          <cell r="E8329" t="str">
            <v>515.51505</v>
          </cell>
          <cell r="F8329">
            <v>588</v>
          </cell>
          <cell r="G8329">
            <v>0</v>
          </cell>
          <cell r="H8329">
            <v>0</v>
          </cell>
          <cell r="I8329">
            <v>0</v>
          </cell>
          <cell r="J8329">
            <v>0</v>
          </cell>
          <cell r="K8329">
            <v>0</v>
          </cell>
          <cell r="L8329">
            <v>2</v>
          </cell>
        </row>
        <row r="8330">
          <cell r="A8330" t="str">
            <v>20497.26847</v>
          </cell>
          <cell r="B8330" t="str">
            <v>RACCORD DOUBLE</v>
          </cell>
          <cell r="C8330" t="str">
            <v>SULZER CCP4070534 P/POMPE ASP53-250 SERIE 100038223  REP 793.1</v>
          </cell>
          <cell r="D8330" t="str">
            <v>PE</v>
          </cell>
          <cell r="E8330" t="str">
            <v>515.51505</v>
          </cell>
          <cell r="F8330">
            <v>717.5</v>
          </cell>
          <cell r="G8330">
            <v>0</v>
          </cell>
          <cell r="H8330">
            <v>0</v>
          </cell>
          <cell r="I8330">
            <v>0</v>
          </cell>
          <cell r="J8330">
            <v>0</v>
          </cell>
          <cell r="K8330">
            <v>0</v>
          </cell>
          <cell r="L8330">
            <v>4</v>
          </cell>
        </row>
        <row r="8331">
          <cell r="A8331" t="str">
            <v>20492.41077</v>
          </cell>
          <cell r="B8331" t="str">
            <v>BLOC MULTIPRISE 6 PRISES 2P + T - 10/16A 1,5M</v>
          </cell>
          <cell r="C8331" t="str">
            <v xml:space="preserve">INGELEC  Réf 1566   </v>
          </cell>
          <cell r="D8331" t="str">
            <v>PE</v>
          </cell>
          <cell r="E8331" t="str">
            <v>522.52206</v>
          </cell>
          <cell r="F8331">
            <v>60</v>
          </cell>
          <cell r="G8331">
            <v>0</v>
          </cell>
          <cell r="H8331">
            <v>0</v>
          </cell>
          <cell r="I8331">
            <v>0</v>
          </cell>
          <cell r="J8331">
            <v>0</v>
          </cell>
          <cell r="K8331">
            <v>10</v>
          </cell>
          <cell r="L8331">
            <v>0</v>
          </cell>
        </row>
        <row r="8332">
          <cell r="A8332" t="str">
            <v>20710.00296</v>
          </cell>
          <cell r="B8332" t="str">
            <v>DEBIMETRE TUBE PILOT</v>
          </cell>
          <cell r="C8332" t="str">
            <v>V510 16"SCH100-15-H-HPT-F10150F22-RTG</v>
          </cell>
          <cell r="D8332" t="str">
            <v>PE</v>
          </cell>
          <cell r="E8332" t="str">
            <v>512.51201</v>
          </cell>
          <cell r="F8332">
            <v>104900</v>
          </cell>
          <cell r="G8332">
            <v>1</v>
          </cell>
          <cell r="H8332">
            <v>0</v>
          </cell>
          <cell r="I8332">
            <v>0</v>
          </cell>
          <cell r="J8332">
            <v>0</v>
          </cell>
          <cell r="K8332">
            <v>0</v>
          </cell>
          <cell r="L8332">
            <v>0</v>
          </cell>
        </row>
        <row r="8333">
          <cell r="A8333" t="str">
            <v>20492.41471</v>
          </cell>
          <cell r="B8333" t="str">
            <v>JOINT DE DILATATION METALLIQUE MONO-ONDE N° SXJ114</v>
          </cell>
          <cell r="C8333" t="str">
            <v>MECS PLAN 561-203 REV1 + 561-118 REV1</v>
          </cell>
          <cell r="D8333" t="str">
            <v>PE</v>
          </cell>
          <cell r="E8333" t="str">
            <v>225.22502</v>
          </cell>
          <cell r="F8333">
            <v>97200</v>
          </cell>
          <cell r="G8333">
            <v>0</v>
          </cell>
          <cell r="H8333">
            <v>2</v>
          </cell>
          <cell r="I8333">
            <v>0</v>
          </cell>
          <cell r="J8333">
            <v>0</v>
          </cell>
          <cell r="K8333">
            <v>0</v>
          </cell>
          <cell r="L8333">
            <v>0</v>
          </cell>
        </row>
        <row r="8334">
          <cell r="A8334" t="str">
            <v>20492.41472</v>
          </cell>
          <cell r="B8334" t="str">
            <v>JOINT DE DILATATION METALLIQUE MONO-ONDE N° SXJ116</v>
          </cell>
          <cell r="C8334" t="str">
            <v>MECS PLAN 561-203 REV1 + 561-107 REV1</v>
          </cell>
          <cell r="D8334" t="str">
            <v>PE</v>
          </cell>
          <cell r="E8334" t="str">
            <v>225.22502</v>
          </cell>
          <cell r="F8334">
            <v>122850</v>
          </cell>
          <cell r="G8334">
            <v>0</v>
          </cell>
          <cell r="H8334">
            <v>2</v>
          </cell>
          <cell r="I8334">
            <v>0</v>
          </cell>
          <cell r="J8334">
            <v>0</v>
          </cell>
          <cell r="K8334">
            <v>0</v>
          </cell>
          <cell r="L8334">
            <v>0</v>
          </cell>
        </row>
        <row r="8335">
          <cell r="A8335" t="str">
            <v>20499.24524</v>
          </cell>
          <cell r="B8335" t="str">
            <v>ROBINET A SOUPAPE A CLAPET DE NON RETOUR</v>
          </cell>
          <cell r="C8335" t="str">
            <v xml:space="preserve">FLOWSERVE   PLAN P106477   TAILLE 10   FIGURE B607 </v>
          </cell>
          <cell r="D8335" t="str">
            <v>PE</v>
          </cell>
          <cell r="E8335" t="str">
            <v>515.51511</v>
          </cell>
          <cell r="F8335">
            <v>447330.05</v>
          </cell>
          <cell r="G8335">
            <v>0</v>
          </cell>
          <cell r="H8335">
            <v>1</v>
          </cell>
          <cell r="I8335">
            <v>0</v>
          </cell>
          <cell r="J8335">
            <v>0</v>
          </cell>
          <cell r="K8335">
            <v>0</v>
          </cell>
          <cell r="L8335">
            <v>0</v>
          </cell>
        </row>
        <row r="8336">
          <cell r="A8336" t="str">
            <v>20442.22379</v>
          </cell>
          <cell r="B8336" t="str">
            <v>PROTECTEUR DE GRAISSEUR</v>
          </cell>
          <cell r="C8336" t="str">
            <v>LC 50-350 PLAN A-3986354  SERIE SP53200397-01  REP 9311</v>
          </cell>
          <cell r="D8336" t="str">
            <v>PE</v>
          </cell>
          <cell r="E8336" t="str">
            <v>515.51503</v>
          </cell>
          <cell r="F8336">
            <v>150.52099999999999</v>
          </cell>
          <cell r="G8336">
            <v>0</v>
          </cell>
          <cell r="H8336">
            <v>0</v>
          </cell>
          <cell r="I8336">
            <v>0</v>
          </cell>
          <cell r="J8336">
            <v>0</v>
          </cell>
          <cell r="K8336">
            <v>0</v>
          </cell>
          <cell r="L8336">
            <v>2</v>
          </cell>
        </row>
        <row r="8337">
          <cell r="A8337" t="str">
            <v>20442.22382</v>
          </cell>
          <cell r="B8337" t="str">
            <v>OGIVE DE ROUE</v>
          </cell>
          <cell r="C8337" t="str">
            <v>LC 50-350 PLAN A-3986354  SERIE SP53200397-01  REP 2914</v>
          </cell>
          <cell r="D8337" t="str">
            <v>PE</v>
          </cell>
          <cell r="E8337" t="str">
            <v>515.51503</v>
          </cell>
          <cell r="F8337">
            <v>1290.18</v>
          </cell>
          <cell r="G8337">
            <v>0</v>
          </cell>
          <cell r="H8337">
            <v>0</v>
          </cell>
          <cell r="I8337">
            <v>0</v>
          </cell>
          <cell r="J8337">
            <v>0</v>
          </cell>
          <cell r="K8337">
            <v>0</v>
          </cell>
          <cell r="L8337">
            <v>5</v>
          </cell>
        </row>
        <row r="8338">
          <cell r="A8338" t="str">
            <v>20442.22383</v>
          </cell>
          <cell r="B8338" t="str">
            <v>ECROU A ENCOCHE</v>
          </cell>
          <cell r="C8338" t="str">
            <v>LC 50-350 PLAN A-3986360  SERIE SP53200397-03  REP 9930</v>
          </cell>
          <cell r="D8338" t="str">
            <v>PE</v>
          </cell>
          <cell r="E8338" t="str">
            <v>515.51503</v>
          </cell>
          <cell r="F8338">
            <v>53.7575</v>
          </cell>
          <cell r="G8338">
            <v>0</v>
          </cell>
          <cell r="H8338">
            <v>0</v>
          </cell>
          <cell r="I8338">
            <v>0</v>
          </cell>
          <cell r="J8338">
            <v>0</v>
          </cell>
          <cell r="K8338">
            <v>0</v>
          </cell>
          <cell r="L8338">
            <v>3</v>
          </cell>
        </row>
        <row r="8339">
          <cell r="A8339" t="str">
            <v>20499.24525</v>
          </cell>
          <cell r="B8339" t="str">
            <v>VANNE A GUILLOTINE DOUBLE EFFET PNEUMATIQUE</v>
          </cell>
          <cell r="C8339" t="str">
            <v>PICON  TYPE PAL-APE FONTE   DN150</v>
          </cell>
          <cell r="D8339" t="str">
            <v>PE</v>
          </cell>
          <cell r="E8339" t="str">
            <v>515.51511</v>
          </cell>
          <cell r="F8339">
            <v>5230</v>
          </cell>
          <cell r="G8339">
            <v>0</v>
          </cell>
          <cell r="H8339">
            <v>1</v>
          </cell>
          <cell r="I8339">
            <v>0</v>
          </cell>
          <cell r="J8339">
            <v>0</v>
          </cell>
          <cell r="K8339">
            <v>0</v>
          </cell>
          <cell r="L8339">
            <v>0</v>
          </cell>
        </row>
        <row r="8340">
          <cell r="A8340" t="str">
            <v>20428.22239</v>
          </cell>
          <cell r="B8340" t="str">
            <v>BAGUE DE BUTEE</v>
          </cell>
          <cell r="C8340" t="str">
            <v>CAHRK 1200GV PLAN SEC06503001 REP27</v>
          </cell>
          <cell r="D8340" t="str">
            <v>PE</v>
          </cell>
          <cell r="E8340" t="str">
            <v>515.51503</v>
          </cell>
          <cell r="F8340">
            <v>2572.4974999999999</v>
          </cell>
          <cell r="G8340">
            <v>0</v>
          </cell>
          <cell r="H8340">
            <v>0</v>
          </cell>
          <cell r="I8340">
            <v>0</v>
          </cell>
          <cell r="J8340">
            <v>0</v>
          </cell>
          <cell r="K8340">
            <v>0</v>
          </cell>
          <cell r="L8340">
            <v>1</v>
          </cell>
        </row>
        <row r="8341">
          <cell r="A8341" t="str">
            <v>20428.22240</v>
          </cell>
          <cell r="B8341" t="str">
            <v>GRAISSEUR</v>
          </cell>
          <cell r="C8341" t="str">
            <v>CAHRK 1200GV PLAN SEC06503001 REP G1</v>
          </cell>
          <cell r="D8341" t="str">
            <v>PE</v>
          </cell>
          <cell r="E8341" t="str">
            <v>515.51503</v>
          </cell>
          <cell r="F8341">
            <v>96.569699999999997</v>
          </cell>
          <cell r="G8341">
            <v>0</v>
          </cell>
          <cell r="H8341">
            <v>0</v>
          </cell>
          <cell r="I8341">
            <v>0</v>
          </cell>
          <cell r="J8341">
            <v>0</v>
          </cell>
          <cell r="K8341">
            <v>0</v>
          </cell>
          <cell r="L8341">
            <v>4</v>
          </cell>
        </row>
        <row r="8342">
          <cell r="A8342" t="str">
            <v>20428.22241</v>
          </cell>
          <cell r="B8342" t="str">
            <v>DEFLECTEUR INFERIEUR</v>
          </cell>
          <cell r="C8342" t="str">
            <v>500VE470-54/1R PLAN SEC06.50895T REP9</v>
          </cell>
          <cell r="D8342" t="str">
            <v>PE</v>
          </cell>
          <cell r="E8342" t="str">
            <v>515.51503</v>
          </cell>
          <cell r="F8342">
            <v>3548.6381999999999</v>
          </cell>
          <cell r="G8342">
            <v>0</v>
          </cell>
          <cell r="H8342">
            <v>0</v>
          </cell>
          <cell r="I8342">
            <v>0</v>
          </cell>
          <cell r="J8342">
            <v>0</v>
          </cell>
          <cell r="K8342">
            <v>0</v>
          </cell>
          <cell r="L8342">
            <v>1</v>
          </cell>
        </row>
        <row r="8343">
          <cell r="A8343" t="str">
            <v>20428.22242</v>
          </cell>
          <cell r="B8343" t="str">
            <v>DEFLECTEUR SUPERIEUR</v>
          </cell>
          <cell r="C8343" t="str">
            <v>500VE470-54/1R PLAN SEC06.50895T REP9A</v>
          </cell>
          <cell r="D8343" t="str">
            <v>PE</v>
          </cell>
          <cell r="E8343" t="str">
            <v>515.51503</v>
          </cell>
          <cell r="F8343">
            <v>3449.5698000000002</v>
          </cell>
          <cell r="G8343">
            <v>0</v>
          </cell>
          <cell r="H8343">
            <v>0</v>
          </cell>
          <cell r="I8343">
            <v>0</v>
          </cell>
          <cell r="J8343">
            <v>0</v>
          </cell>
          <cell r="K8343">
            <v>0</v>
          </cell>
          <cell r="L8343">
            <v>1</v>
          </cell>
        </row>
        <row r="8344">
          <cell r="A8344" t="str">
            <v>20428.22243</v>
          </cell>
          <cell r="B8344" t="str">
            <v>ECROU DE ROUE</v>
          </cell>
          <cell r="C8344" t="str">
            <v>500VE470-54/1R PLAN SEC06.50895T REP58</v>
          </cell>
          <cell r="D8344" t="str">
            <v>PE</v>
          </cell>
          <cell r="E8344" t="str">
            <v>515.51503</v>
          </cell>
          <cell r="F8344">
            <v>17366.3331</v>
          </cell>
          <cell r="G8344">
            <v>0</v>
          </cell>
          <cell r="H8344">
            <v>0</v>
          </cell>
          <cell r="I8344">
            <v>0</v>
          </cell>
          <cell r="J8344">
            <v>0</v>
          </cell>
          <cell r="K8344">
            <v>0</v>
          </cell>
          <cell r="L8344">
            <v>2</v>
          </cell>
        </row>
        <row r="8345">
          <cell r="A8345" t="str">
            <v>20428.22245</v>
          </cell>
          <cell r="B8345" t="str">
            <v>COUVERCLE</v>
          </cell>
          <cell r="C8345" t="str">
            <v>500VE470-54-2R PLAN SEC06,50896T REP5</v>
          </cell>
          <cell r="D8345" t="str">
            <v>PE</v>
          </cell>
          <cell r="E8345" t="str">
            <v>515.51503</v>
          </cell>
          <cell r="F8345">
            <v>9404.3952000000008</v>
          </cell>
          <cell r="G8345">
            <v>0</v>
          </cell>
          <cell r="H8345">
            <v>0</v>
          </cell>
          <cell r="I8345">
            <v>0</v>
          </cell>
          <cell r="J8345">
            <v>0</v>
          </cell>
          <cell r="K8345">
            <v>0</v>
          </cell>
          <cell r="L8345">
            <v>1</v>
          </cell>
        </row>
        <row r="8346">
          <cell r="A8346" t="str">
            <v>20428.22246</v>
          </cell>
          <cell r="B8346" t="str">
            <v>ECROU DE CALAGE</v>
          </cell>
          <cell r="C8346" t="str">
            <v>NCE150-26A PLAN FA 21408 REP92</v>
          </cell>
          <cell r="D8346" t="str">
            <v>PE</v>
          </cell>
          <cell r="E8346" t="str">
            <v>515.51503</v>
          </cell>
          <cell r="F8346">
            <v>221.65539999999999</v>
          </cell>
          <cell r="G8346">
            <v>0</v>
          </cell>
          <cell r="H8346">
            <v>0</v>
          </cell>
          <cell r="I8346">
            <v>0</v>
          </cell>
          <cell r="J8346">
            <v>0</v>
          </cell>
          <cell r="K8346">
            <v>0</v>
          </cell>
          <cell r="L8346">
            <v>2</v>
          </cell>
        </row>
        <row r="8347">
          <cell r="A8347" t="str">
            <v>20428.22247</v>
          </cell>
          <cell r="B8347" t="str">
            <v>GRAISSEUR</v>
          </cell>
          <cell r="C8347" t="str">
            <v>VAP 24 CRW 50-32 PLAN SEC 065296016 REP G</v>
          </cell>
          <cell r="D8347" t="str">
            <v>PE</v>
          </cell>
          <cell r="E8347" t="str">
            <v>515.51503</v>
          </cell>
          <cell r="F8347">
            <v>97.537499999999994</v>
          </cell>
          <cell r="G8347">
            <v>0</v>
          </cell>
          <cell r="H8347">
            <v>0</v>
          </cell>
          <cell r="I8347">
            <v>0</v>
          </cell>
          <cell r="J8347">
            <v>0</v>
          </cell>
          <cell r="K8347">
            <v>0</v>
          </cell>
          <cell r="L8347">
            <v>1</v>
          </cell>
        </row>
        <row r="8348">
          <cell r="A8348" t="str">
            <v>20428.22248</v>
          </cell>
          <cell r="B8348" t="str">
            <v>BOITE DE ROULEMENT</v>
          </cell>
          <cell r="C8348" t="str">
            <v>VRN 20 PLAN SEC065073001 REP2</v>
          </cell>
          <cell r="D8348" t="str">
            <v>PE</v>
          </cell>
          <cell r="E8348" t="str">
            <v>515.51503</v>
          </cell>
          <cell r="F8348">
            <v>16770.1086</v>
          </cell>
          <cell r="G8348">
            <v>0</v>
          </cell>
          <cell r="H8348">
            <v>0</v>
          </cell>
          <cell r="I8348">
            <v>0</v>
          </cell>
          <cell r="J8348">
            <v>0</v>
          </cell>
          <cell r="K8348">
            <v>0</v>
          </cell>
          <cell r="L8348">
            <v>1</v>
          </cell>
        </row>
        <row r="8349">
          <cell r="A8349" t="str">
            <v>20428.22249</v>
          </cell>
          <cell r="B8349" t="str">
            <v>ROUE</v>
          </cell>
          <cell r="C8349" t="str">
            <v>VRN 20 PLAN SEC065073001 REP55</v>
          </cell>
          <cell r="D8349" t="str">
            <v>PE</v>
          </cell>
          <cell r="E8349" t="str">
            <v>515.51503</v>
          </cell>
          <cell r="F8349">
            <v>1635165.1354</v>
          </cell>
          <cell r="G8349">
            <v>0</v>
          </cell>
          <cell r="H8349">
            <v>0</v>
          </cell>
          <cell r="I8349">
            <v>0</v>
          </cell>
          <cell r="J8349">
            <v>0</v>
          </cell>
          <cell r="K8349">
            <v>0</v>
          </cell>
          <cell r="L8349">
            <v>1</v>
          </cell>
        </row>
        <row r="8350">
          <cell r="A8350" t="str">
            <v>20498.21772</v>
          </cell>
          <cell r="B8350" t="str">
            <v>MANOMETRE AVEC SEPARATEUR 0-4 bar</v>
          </cell>
          <cell r="C8350" t="str">
            <v xml:space="preserve">NUOVA FIMA MODEL MGS18 REF:1.18.3/A/E/0-4bar /41M/G11.T32 + 4.700-MGS9/7-9-9-AAA-RF3-41F-6-A.TS5.MPP.P15    </v>
          </cell>
          <cell r="D8350" t="str">
            <v>PE</v>
          </cell>
          <cell r="E8350" t="str">
            <v>512.51201</v>
          </cell>
          <cell r="F8350">
            <v>7300</v>
          </cell>
          <cell r="G8350">
            <v>0</v>
          </cell>
          <cell r="H8350">
            <v>0</v>
          </cell>
          <cell r="I8350">
            <v>0</v>
          </cell>
          <cell r="J8350">
            <v>0</v>
          </cell>
          <cell r="K8350">
            <v>0</v>
          </cell>
          <cell r="L8350">
            <v>10</v>
          </cell>
        </row>
        <row r="8351">
          <cell r="A8351" t="str">
            <v>20498.21773</v>
          </cell>
          <cell r="B8351" t="str">
            <v>MANOMETRE AVEC SEPARATEUR 0-10 bar</v>
          </cell>
          <cell r="C8351" t="str">
            <v xml:space="preserve">NUOVA FIMA MODEL MGS18 REF:1.18.3/A/E/0-10bar /41M/G11.T32 + 4.700-MGS9/7-9-9-AAA-RF3-41F-6-A.TS5.MPP.P15    </v>
          </cell>
          <cell r="D8351" t="str">
            <v>PE</v>
          </cell>
          <cell r="E8351" t="str">
            <v>512.51201</v>
          </cell>
          <cell r="F8351">
            <v>7200</v>
          </cell>
          <cell r="G8351">
            <v>0</v>
          </cell>
          <cell r="H8351">
            <v>1</v>
          </cell>
          <cell r="I8351">
            <v>0</v>
          </cell>
          <cell r="J8351">
            <v>0</v>
          </cell>
          <cell r="K8351">
            <v>0</v>
          </cell>
          <cell r="L8351">
            <v>1</v>
          </cell>
        </row>
        <row r="8352">
          <cell r="A8352" t="str">
            <v>20498.21774</v>
          </cell>
          <cell r="B8352" t="str">
            <v>MANOMETRE AVEC SEPARATEUR 0-75 bar</v>
          </cell>
          <cell r="C8352" t="str">
            <v xml:space="preserve">NUOVA FIMA MODEL MGS18 REF:1.18.3/A/E/0-75bar /41M/G11.T32 + 4.700-MGS9/7-9-9-AAA-RF3-41F-6-A.TS5.MPP.P16    </v>
          </cell>
          <cell r="D8352" t="str">
            <v>PE</v>
          </cell>
          <cell r="E8352" t="str">
            <v>512.51201</v>
          </cell>
          <cell r="F8352">
            <v>7300</v>
          </cell>
          <cell r="G8352">
            <v>0</v>
          </cell>
          <cell r="H8352">
            <v>0</v>
          </cell>
          <cell r="I8352">
            <v>0</v>
          </cell>
          <cell r="J8352">
            <v>0</v>
          </cell>
          <cell r="K8352">
            <v>0</v>
          </cell>
          <cell r="L8352">
            <v>2</v>
          </cell>
        </row>
        <row r="8353">
          <cell r="A8353" t="str">
            <v>20498.21775</v>
          </cell>
          <cell r="B8353" t="str">
            <v>MANOMETRE AVEC SEPARATEUR 0- 100bar</v>
          </cell>
          <cell r="C8353" t="str">
            <v xml:space="preserve">NUOVA FIMA MODEL MGS18 REF:1.18.3/A/E/0-100bar /41M/G11.T32 + 4.700-MGS9/7-9-9-AAA-RF3-41F-6-A.TS5.MPP.P17    </v>
          </cell>
          <cell r="D8353" t="str">
            <v>PE</v>
          </cell>
          <cell r="E8353" t="str">
            <v>512.51201</v>
          </cell>
          <cell r="F8353">
            <v>7300</v>
          </cell>
          <cell r="G8353">
            <v>0</v>
          </cell>
          <cell r="H8353">
            <v>0</v>
          </cell>
          <cell r="I8353">
            <v>0</v>
          </cell>
          <cell r="J8353">
            <v>0</v>
          </cell>
          <cell r="K8353">
            <v>0</v>
          </cell>
          <cell r="L8353">
            <v>2</v>
          </cell>
        </row>
        <row r="8354">
          <cell r="A8354" t="str">
            <v>20498.21776</v>
          </cell>
          <cell r="B8354" t="str">
            <v>MANOMETRE AVEC SEPARATEUR 0- 150bar</v>
          </cell>
          <cell r="C8354" t="str">
            <v xml:space="preserve">NUOVA FIMA MODEL MGS18 REF:1.18.3/A/E/0-150bar /41M/G11.T32 + 4.700-MGS9/7-9-9-AAA-RF3-41F-6-A.TS5.MPP.P18    </v>
          </cell>
          <cell r="D8354" t="str">
            <v>PE</v>
          </cell>
          <cell r="E8354" t="str">
            <v>512.51201</v>
          </cell>
          <cell r="F8354">
            <v>7300</v>
          </cell>
          <cell r="G8354">
            <v>0</v>
          </cell>
          <cell r="H8354">
            <v>0</v>
          </cell>
          <cell r="I8354">
            <v>0</v>
          </cell>
          <cell r="J8354">
            <v>0</v>
          </cell>
          <cell r="K8354">
            <v>0</v>
          </cell>
          <cell r="L8354">
            <v>2</v>
          </cell>
        </row>
        <row r="8355">
          <cell r="A8355" t="str">
            <v>20498.21777</v>
          </cell>
          <cell r="B8355" t="str">
            <v>MANOMETRE AVEC SEPARATEUR 0- 10bar</v>
          </cell>
          <cell r="C8355" t="str">
            <v xml:space="preserve">NUOVA FIMA MODEL MGS18 REF:1.18.3/A/E/0-10bar /41M/G11.T32 + 4.700-MGS9/7-9-9-AAA-RF3-41F-6-A.TS5.MPP.P20    </v>
          </cell>
          <cell r="D8355" t="str">
            <v>PE</v>
          </cell>
          <cell r="E8355" t="str">
            <v>512.51201</v>
          </cell>
          <cell r="F8355">
            <v>7200</v>
          </cell>
          <cell r="G8355">
            <v>0</v>
          </cell>
          <cell r="H8355">
            <v>0</v>
          </cell>
          <cell r="I8355">
            <v>0</v>
          </cell>
          <cell r="J8355">
            <v>0</v>
          </cell>
          <cell r="K8355">
            <v>0</v>
          </cell>
          <cell r="L8355">
            <v>1</v>
          </cell>
        </row>
        <row r="8356">
          <cell r="A8356" t="str">
            <v>20498.21778</v>
          </cell>
          <cell r="B8356" t="str">
            <v>MANOMETRE AVEC SEPARATEUR 0- 100bar</v>
          </cell>
          <cell r="C8356" t="str">
            <v xml:space="preserve">NUOVA FIMA MODEL MGS18 REF:1.18.3/A/E/0-100bar /41M/G11.T32 + 4.700-MGS9/7-9-9-AAA-RF3-41F-6-A.TS5.MPP.P20    </v>
          </cell>
          <cell r="D8356" t="str">
            <v>PE</v>
          </cell>
          <cell r="E8356" t="str">
            <v>512.51201</v>
          </cell>
          <cell r="F8356">
            <v>7300</v>
          </cell>
          <cell r="G8356">
            <v>0</v>
          </cell>
          <cell r="H8356">
            <v>0</v>
          </cell>
          <cell r="I8356">
            <v>0</v>
          </cell>
          <cell r="J8356">
            <v>0</v>
          </cell>
          <cell r="K8356">
            <v>0</v>
          </cell>
          <cell r="L8356">
            <v>2</v>
          </cell>
        </row>
        <row r="8357">
          <cell r="A8357" t="str">
            <v>20498.21779</v>
          </cell>
          <cell r="B8357" t="str">
            <v>MANOMETRE A VIDE -1-0,6bar</v>
          </cell>
          <cell r="C8357" t="str">
            <v xml:space="preserve">NUOVA FIMA MODEL MGS18 REF:1.18.3 A/G/-1-0,6bar/43M/G11.E67.T32 MONTAGE RADIAL  </v>
          </cell>
          <cell r="D8357" t="str">
            <v>PE</v>
          </cell>
          <cell r="E8357" t="str">
            <v>512.51201</v>
          </cell>
          <cell r="F8357">
            <v>750</v>
          </cell>
          <cell r="G8357">
            <v>0</v>
          </cell>
          <cell r="H8357">
            <v>1</v>
          </cell>
          <cell r="I8357">
            <v>2</v>
          </cell>
          <cell r="J8357">
            <v>4</v>
          </cell>
          <cell r="K8357">
            <v>0</v>
          </cell>
          <cell r="L8357">
            <v>3</v>
          </cell>
        </row>
        <row r="8358">
          <cell r="A8358" t="str">
            <v>20498.21780</v>
          </cell>
          <cell r="B8358" t="str">
            <v>MANOMETRE A MEMBRANE 0-4bar</v>
          </cell>
          <cell r="C8358" t="str">
            <v xml:space="preserve">NUOVA FIMA MODEL MN12/18 REF:2.42.1/A/F/0-4bar/41M/R10    </v>
          </cell>
          <cell r="D8358" t="str">
            <v>PE</v>
          </cell>
          <cell r="E8358" t="str">
            <v>512.51201</v>
          </cell>
          <cell r="F8358">
            <v>3300</v>
          </cell>
          <cell r="G8358">
            <v>0</v>
          </cell>
          <cell r="H8358">
            <v>0</v>
          </cell>
          <cell r="I8358">
            <v>0</v>
          </cell>
          <cell r="J8358">
            <v>0</v>
          </cell>
          <cell r="K8358">
            <v>0</v>
          </cell>
          <cell r="L8358">
            <v>1</v>
          </cell>
        </row>
        <row r="8359">
          <cell r="A8359" t="str">
            <v>20498.21781</v>
          </cell>
          <cell r="B8359" t="str">
            <v>MANOMETRE A MEMBRANE 0-25bar</v>
          </cell>
          <cell r="C8359" t="str">
            <v xml:space="preserve">NUOVA FIMA MODEL MN12/18 REF:2.42.1/A/F/0-25bar/41M/R10    </v>
          </cell>
          <cell r="D8359" t="str">
            <v>PE</v>
          </cell>
          <cell r="E8359" t="str">
            <v>512.51201</v>
          </cell>
          <cell r="F8359">
            <v>3300</v>
          </cell>
          <cell r="G8359">
            <v>0</v>
          </cell>
          <cell r="H8359">
            <v>1</v>
          </cell>
          <cell r="I8359">
            <v>0</v>
          </cell>
          <cell r="J8359">
            <v>0</v>
          </cell>
          <cell r="K8359">
            <v>0</v>
          </cell>
          <cell r="L8359">
            <v>1</v>
          </cell>
        </row>
        <row r="8360">
          <cell r="A8360" t="str">
            <v>20498.21783</v>
          </cell>
          <cell r="B8360" t="str">
            <v>SIPHON POUR MANOMETRE A VIDE</v>
          </cell>
          <cell r="C8360" t="str">
            <v xml:space="preserve">NUOVA FIMA MODEL MP5 REF:5/566/5/43M/43F    </v>
          </cell>
          <cell r="D8360" t="str">
            <v>PE</v>
          </cell>
          <cell r="E8360" t="str">
            <v>512.51201</v>
          </cell>
          <cell r="F8360">
            <v>700</v>
          </cell>
          <cell r="G8360">
            <v>0</v>
          </cell>
          <cell r="H8360">
            <v>0</v>
          </cell>
          <cell r="I8360">
            <v>0</v>
          </cell>
          <cell r="J8360">
            <v>0</v>
          </cell>
          <cell r="K8360">
            <v>0</v>
          </cell>
          <cell r="L8360">
            <v>7</v>
          </cell>
        </row>
        <row r="8361">
          <cell r="A8361" t="str">
            <v>20498.21784</v>
          </cell>
          <cell r="B8361" t="str">
            <v>SIPHON POUR MANOMETRE A VIDE</v>
          </cell>
          <cell r="C8361" t="str">
            <v xml:space="preserve">NUOVA FIMA MODEL MP5 REF:5/533/5/43M/43F    </v>
          </cell>
          <cell r="D8361" t="str">
            <v>PE</v>
          </cell>
          <cell r="E8361" t="str">
            <v>512.51201</v>
          </cell>
          <cell r="F8361">
            <v>700</v>
          </cell>
          <cell r="G8361">
            <v>0</v>
          </cell>
          <cell r="H8361">
            <v>1</v>
          </cell>
          <cell r="I8361">
            <v>0</v>
          </cell>
          <cell r="J8361">
            <v>0</v>
          </cell>
          <cell r="K8361">
            <v>0</v>
          </cell>
          <cell r="L8361">
            <v>1</v>
          </cell>
        </row>
        <row r="8362">
          <cell r="A8362" t="str">
            <v>20461.10032</v>
          </cell>
          <cell r="B8362" t="str">
            <v>CLOCHE DE LA BOUCLE C.A.P EN INOX UB6 (904L)</v>
          </cell>
          <cell r="C8362" t="str">
            <v>SUIVANT PLAN: PMP-PH 108 + SPECIFICATIONS TECHNIQUES</v>
          </cell>
          <cell r="D8362" t="str">
            <v>PE</v>
          </cell>
          <cell r="E8362" t="str">
            <v>522.52213</v>
          </cell>
          <cell r="F8362">
            <v>479400</v>
          </cell>
          <cell r="G8362">
            <v>0</v>
          </cell>
          <cell r="H8362">
            <v>0</v>
          </cell>
          <cell r="I8362">
            <v>1</v>
          </cell>
          <cell r="J8362">
            <v>0</v>
          </cell>
          <cell r="K8362">
            <v>0</v>
          </cell>
          <cell r="L8362">
            <v>0</v>
          </cell>
        </row>
        <row r="8363">
          <cell r="A8363" t="str">
            <v>20498.20285</v>
          </cell>
          <cell r="B8363" t="str">
            <v>PRESSOSTAT</v>
          </cell>
          <cell r="C8363" t="str">
            <v xml:space="preserve">UNITED ELECTRIC  J6-230 RACCORDEMENT 1/2" NPT FEMELLE </v>
          </cell>
          <cell r="D8363" t="str">
            <v>PE</v>
          </cell>
          <cell r="E8363" t="str">
            <v>512.51201</v>
          </cell>
          <cell r="F8363">
            <v>3763</v>
          </cell>
          <cell r="G8363">
            <v>0</v>
          </cell>
          <cell r="H8363">
            <v>0</v>
          </cell>
          <cell r="I8363">
            <v>0</v>
          </cell>
          <cell r="J8363">
            <v>0</v>
          </cell>
          <cell r="K8363">
            <v>0</v>
          </cell>
          <cell r="L8363">
            <v>2</v>
          </cell>
        </row>
        <row r="8364">
          <cell r="A8364" t="str">
            <v>20498.20286</v>
          </cell>
          <cell r="B8364" t="str">
            <v>CONVERTISSEUR</v>
          </cell>
          <cell r="C8364" t="str">
            <v>RED LION CONTROLS  102MC-ST-15</v>
          </cell>
          <cell r="D8364" t="str">
            <v>PE</v>
          </cell>
          <cell r="E8364" t="str">
            <v>512.51201</v>
          </cell>
          <cell r="F8364">
            <v>3886</v>
          </cell>
          <cell r="G8364">
            <v>0</v>
          </cell>
          <cell r="H8364">
            <v>0</v>
          </cell>
          <cell r="I8364">
            <v>2</v>
          </cell>
          <cell r="J8364">
            <v>0</v>
          </cell>
          <cell r="K8364">
            <v>0</v>
          </cell>
          <cell r="L8364">
            <v>0</v>
          </cell>
        </row>
        <row r="8365">
          <cell r="A8365" t="str">
            <v>20498.20287</v>
          </cell>
          <cell r="B8365" t="str">
            <v>CONVERTISSEUR</v>
          </cell>
          <cell r="C8365" t="str">
            <v>RED LION CONTROLS  106FX2-ST-15</v>
          </cell>
          <cell r="D8365" t="str">
            <v>PE</v>
          </cell>
          <cell r="E8365" t="str">
            <v>512.51201</v>
          </cell>
          <cell r="F8365">
            <v>6955</v>
          </cell>
          <cell r="G8365">
            <v>0</v>
          </cell>
          <cell r="H8365">
            <v>0</v>
          </cell>
          <cell r="I8365">
            <v>2</v>
          </cell>
          <cell r="J8365">
            <v>0</v>
          </cell>
          <cell r="K8365">
            <v>0</v>
          </cell>
          <cell r="L8365">
            <v>0</v>
          </cell>
        </row>
        <row r="8366">
          <cell r="A8366" t="str">
            <v>20461.10055</v>
          </cell>
          <cell r="B8366" t="str">
            <v>GRILLE POUR BASSIN EAU DE MER EN INOX 316L</v>
          </cell>
          <cell r="C8366" t="str">
            <v>SUIVANT PLAN PMP C.T 12 CERTIFICAT MATIERE OBLIGATOIRE A LA LIVRAISON</v>
          </cell>
          <cell r="D8366" t="str">
            <v>PE</v>
          </cell>
          <cell r="E8366" t="str">
            <v>522.52213</v>
          </cell>
          <cell r="F8366">
            <v>33970</v>
          </cell>
          <cell r="G8366">
            <v>0</v>
          </cell>
          <cell r="H8366">
            <v>0</v>
          </cell>
          <cell r="I8366">
            <v>0</v>
          </cell>
          <cell r="J8366">
            <v>0</v>
          </cell>
          <cell r="K8366">
            <v>3</v>
          </cell>
          <cell r="L8366">
            <v>0</v>
          </cell>
        </row>
        <row r="8367">
          <cell r="A8367" t="str">
            <v>20499.24530</v>
          </cell>
          <cell r="B8367" t="str">
            <v>VANNE A BOISSEAU</v>
          </cell>
          <cell r="C8367" t="str">
            <v xml:space="preserve">FLUOROSEAL FPS-152-302-F-STD-L-05-13 DN50 CLASSE 150 </v>
          </cell>
          <cell r="D8367" t="str">
            <v>PE</v>
          </cell>
          <cell r="E8367" t="str">
            <v>515.51511</v>
          </cell>
          <cell r="F8367">
            <v>3618</v>
          </cell>
          <cell r="G8367">
            <v>0</v>
          </cell>
          <cell r="H8367">
            <v>0</v>
          </cell>
          <cell r="I8367">
            <v>0</v>
          </cell>
          <cell r="J8367">
            <v>0</v>
          </cell>
          <cell r="K8367">
            <v>0</v>
          </cell>
          <cell r="L8367">
            <v>4</v>
          </cell>
        </row>
        <row r="8368">
          <cell r="A8368" t="str">
            <v>20499.24531</v>
          </cell>
          <cell r="B8368" t="str">
            <v>VANNE A BOISSEAU</v>
          </cell>
          <cell r="C8368" t="str">
            <v xml:space="preserve">FLUOROSEAL FPS-152-302-F-STD-L-05-13 DN20 CLASSE 150  </v>
          </cell>
          <cell r="D8368" t="str">
            <v>PE</v>
          </cell>
          <cell r="E8368" t="str">
            <v>515.51511</v>
          </cell>
          <cell r="F8368">
            <v>1704</v>
          </cell>
          <cell r="G8368">
            <v>0</v>
          </cell>
          <cell r="H8368">
            <v>1</v>
          </cell>
          <cell r="I8368">
            <v>0</v>
          </cell>
          <cell r="J8368">
            <v>0</v>
          </cell>
          <cell r="K8368">
            <v>0</v>
          </cell>
          <cell r="L8368">
            <v>11</v>
          </cell>
        </row>
        <row r="8369">
          <cell r="A8369" t="str">
            <v>20499.24532</v>
          </cell>
          <cell r="B8369" t="str">
            <v>VANNE A BOISSEAU</v>
          </cell>
          <cell r="C8369" t="str">
            <v xml:space="preserve">FLUOROSEAL FPS-152-302-F-FS-13-24 DN250 CLASSE 150 </v>
          </cell>
          <cell r="D8369" t="str">
            <v>PE</v>
          </cell>
          <cell r="E8369" t="str">
            <v>515.51511</v>
          </cell>
          <cell r="F8369">
            <v>42886</v>
          </cell>
          <cell r="G8369">
            <v>0</v>
          </cell>
          <cell r="H8369">
            <v>0</v>
          </cell>
          <cell r="I8369">
            <v>0</v>
          </cell>
          <cell r="J8369">
            <v>0</v>
          </cell>
          <cell r="K8369">
            <v>0</v>
          </cell>
          <cell r="L8369">
            <v>2</v>
          </cell>
        </row>
        <row r="8370">
          <cell r="A8370" t="str">
            <v>20492.43474</v>
          </cell>
          <cell r="B8370" t="str">
            <v>RACK MOUNT SET HORIZONTAL</v>
          </cell>
          <cell r="C8370" t="str">
            <v>KVM REF A7000022  (19"RM-SET 210MM DVIMUX2-MC2)</v>
          </cell>
          <cell r="D8370" t="str">
            <v>PE</v>
          </cell>
          <cell r="E8370" t="str">
            <v>512.51201</v>
          </cell>
          <cell r="F8370">
            <v>709.75</v>
          </cell>
          <cell r="G8370">
            <v>0</v>
          </cell>
          <cell r="H8370">
            <v>0</v>
          </cell>
          <cell r="I8370">
            <v>0</v>
          </cell>
          <cell r="J8370">
            <v>0</v>
          </cell>
          <cell r="K8370">
            <v>20</v>
          </cell>
          <cell r="L8370">
            <v>0</v>
          </cell>
        </row>
        <row r="8371">
          <cell r="A8371" t="str">
            <v>10067.66863</v>
          </cell>
          <cell r="B8371" t="str">
            <v>CLAPET ANTI-RETOUR A BATTANT DN18"</v>
          </cell>
          <cell r="C8371" t="str">
            <v>CLAPET ANTI-RETOUR A BATTANT DN 18" PRESSION 30BAR TEMPERATURE 29/316°C TYPE CHECK_NCFC MATIERE CORPS ET DISQUE EN A8901A DIAMETRE EXTERIEUR 547 MM ECARTEMENT 205 MM</v>
          </cell>
          <cell r="D8371" t="str">
            <v>PE</v>
          </cell>
          <cell r="E8371" t="str">
            <v>515.51511</v>
          </cell>
          <cell r="F8371">
            <v>92508</v>
          </cell>
          <cell r="G8371">
            <v>0</v>
          </cell>
          <cell r="H8371">
            <v>1</v>
          </cell>
          <cell r="I8371">
            <v>1</v>
          </cell>
          <cell r="J8371">
            <v>0</v>
          </cell>
          <cell r="K8371">
            <v>0</v>
          </cell>
          <cell r="L8371">
            <v>0</v>
          </cell>
        </row>
        <row r="8372">
          <cell r="A8372" t="str">
            <v>10096.10201</v>
          </cell>
          <cell r="B8372" t="str">
            <v>CASQUE DE PROTECTION POUR ELECTRICIEN AVEC ECRAN FACIAL</v>
          </cell>
          <cell r="C8372" t="str">
            <v>CASQUE DE PROTECTION POUR ELECTRICIEN AVEC ECRAN FACIAL.CASQUE: NORME TECHNIQUE: EN397 ET EN 50365.SPECIFICATION TECHNIQUE: *MATIERE: ABS OU POLYAMIDE; *RESISTANCE A HAUT ET BASSE TEMPERATURE; *ISOLEMENT ELECTRIQUE 1000V AC; *TESTE LD ET MM.FORMES ET ACCESSOIRES: *JUGULAIRE ADAPTEE (2POINTS) *SERRAGE A CREMALLERE; *DEUX RESERVATIONS POUR LOGER D'AUTRES ARTICLES (STOP BRUIT, ECRAN FACIAL....); *ENSEMBLE HARNAIS: COIFFE AVEC SANGLE D'AMORTISSEMENT A 6 POINTS. ECRAN FACIAL ELECTRICIEN +PORTE ECRAN NORME:    EN 166  2C-1,2-1 AT 389 K N; N° CODE FILTRE :2C FILTRE UV AVEC BONNE RECONNAISSANCE DES COULEURS;  N°ECHELON /TEINTE: 1,2 INCOLORE/JAUNE;  CLASSE OPTIQUE: 1;   RESISTANCE MECANIQUE : AT;   K:RESISTANCE A LA DETERIORATION DES SURFACES PAR LES FINES PARTICULES;  N:RESISTANCE DE L’OCULAIRE A LA BUEE; 3:PROJECTIONS LIQUIDES;   8:ARC ELECTRIQUE DE COURT CIRCUIT; 9:PROJECTION METAL FONDU ET SOLIDE CHAUDS.DUREE APRES FABRICATION RELEVEE A LA LIVRAISON: INFERIEURE A 6 MOIS.CONFORMITE:  MARQUAGE CE;  FICHE TECHNIQUE;   ATTESTATION D'EXAMEN UE DE TYPE;  CERTIFICAT D'ASSURANCE QUALITE PROCESS DELIVRE PAR UN ORGANISME NOTIFIEE.(REGLEMENT UE 2016/425).</v>
          </cell>
          <cell r="D8372" t="str">
            <v>PE</v>
          </cell>
          <cell r="E8372" t="str">
            <v>522.52216</v>
          </cell>
          <cell r="F8372">
            <v>595</v>
          </cell>
          <cell r="G8372">
            <v>0</v>
          </cell>
          <cell r="H8372">
            <v>0</v>
          </cell>
          <cell r="I8372">
            <v>10</v>
          </cell>
          <cell r="J8372">
            <v>0</v>
          </cell>
          <cell r="K8372">
            <v>0</v>
          </cell>
          <cell r="L8372">
            <v>20</v>
          </cell>
        </row>
        <row r="8373">
          <cell r="A8373" t="str">
            <v>10096.10203</v>
          </cell>
          <cell r="B8373" t="str">
            <v>LUNETTE A BRANCHES  ( INCOLORE)</v>
          </cell>
          <cell r="C8373" t="str">
            <v>LUNETTE A BRANCHES  ( INCOLORE) NORME : EN 166. MONTURE: FT;  OCULAIRE: 2C-1,2 1-FT-K-N;  N° CODE DU FILTRE 2C: FILTRE UV;  N° D'ECHELON1,2:INCOLORE;  CLASSE OPTIQUE: 1 QUALITE OPTIQUE POUR TRAVAUX CONTINUS;  RESISTANCE MECANIQUE : FT CHOC DE FAIBLE ENERGIE A DES TEMPERATURES EXTREME; K:RESISTANCE A LA DETERIORATION DES SURFACES PAR LES FINES PARTICULES ;  N:RESISTANCE DE L’OCULAIRE A LA BUEE.FORMES ET ACCESSOIRES : ETUI ET CORDETTE  (EMBALLAGE INDIVIDUEL). CONFORMITE:  MARQUAGE CE;  FICHE TECHNIQUE;  ATTESTATION D'EXAMEN UE DE TYPE. (REGLEMENT UE 2016/425).</v>
          </cell>
          <cell r="D8373" t="str">
            <v>PE</v>
          </cell>
          <cell r="E8373" t="str">
            <v>522.52216</v>
          </cell>
          <cell r="F8373">
            <v>19.162400000000002</v>
          </cell>
          <cell r="G8373">
            <v>0</v>
          </cell>
          <cell r="H8373">
            <v>0</v>
          </cell>
          <cell r="I8373">
            <v>0</v>
          </cell>
          <cell r="J8373">
            <v>0</v>
          </cell>
          <cell r="K8373">
            <v>0</v>
          </cell>
          <cell r="L8373">
            <v>170</v>
          </cell>
        </row>
        <row r="8374">
          <cell r="A8374" t="str">
            <v>10096.10205</v>
          </cell>
          <cell r="B8374" t="str">
            <v>LUNETTE A BRANCHES (INCOLORE): SUR LUNETTE</v>
          </cell>
          <cell r="C8374" t="str">
            <v>LUNETTE A BRANCHES (INCOLORE): SUR LUNETTE NORME : EN 166  ; OCULAIRE: 2C-1,2 1-FT-K-N ;  MONTURE: FT;  N° CODE DU FILTRE 2C: FILTRE UV;   N° D'ECHELON/TEINTE: 1,2 INCOLORE; CLASSE OPTIQUE: 1  QUALITE OPTIQUE POUR TRAVAUX CONTINUS; RESISTANCE MECANIQUE : FT CHOC DE FAIBLE ENERGIE A DES TEMPERATURES EXTREMES;  K:RESISTANCE A LA DETERIORATION DES SURFACES PAR LES FINES PARTICULES;  N:RESISTANCE DE L’OCULAIRE A LA BUEE.FORMES ET ACCESSOIRES : ETUI ET CORDETTE  (EMBALLAGE INDIVIDUEL) SUR LUNETTE A BRANCHES REGLABLE A PORTER PAR DESSUS DES LUNETTES CORRECTRICES. CONFORMITE: MARQUAGE CE;  FICHE TECHNIQUE;  ATTESTATION D'EXAMEN UE DE TYPE.(REGLEMENT UE 2016/425).</v>
          </cell>
          <cell r="D8374" t="str">
            <v>PE</v>
          </cell>
          <cell r="E8374" t="str">
            <v>522.52216</v>
          </cell>
          <cell r="F8374">
            <v>23.492899999999999</v>
          </cell>
          <cell r="G8374">
            <v>0</v>
          </cell>
          <cell r="H8374">
            <v>1</v>
          </cell>
          <cell r="I8374">
            <v>3</v>
          </cell>
          <cell r="J8374">
            <v>0</v>
          </cell>
          <cell r="K8374">
            <v>0</v>
          </cell>
          <cell r="L8374">
            <v>96</v>
          </cell>
        </row>
        <row r="8375">
          <cell r="A8375" t="str">
            <v>10096.10206</v>
          </cell>
          <cell r="B8375" t="str">
            <v>LUNETTE MASQUE (INCOLORE)</v>
          </cell>
          <cell r="C8375" t="str">
            <v>LUNETTE MASQUE (INCOLORE) NORME :   EN 166.   OCULAIRE:2C-1,2 -1-FT-K-N;  MONTURE: FT 3 5;  N°CODE FILTRE : 2C FILTRE UV ;   N°ECHELON /TEINTE: 1,2 INCOLORE; CLASSE OPTIQUE: 1; RESISTANCE MECANIQUE : FT;  RESISTANCE A LA DETERIORATION DES SURFACES PAR LES FINES PARTICULES :K; RESISTANCE DE L’OCULAIRE A LA BUEE : N; 3:GOUTTELETTES LIQUIDES; 5:GAZ ET FINES PARTICULES DE POUSSIERE (&lt; 5 mm).CONFORMITE:  MARQUAGE CE;  FICHE TECHNIQUE;    ATTESTATION D'EXAMEN UE DE TYPE.(REGLEMENT UE 2016/425).</v>
          </cell>
          <cell r="D8375" t="str">
            <v>PE</v>
          </cell>
          <cell r="E8375" t="str">
            <v>522.52216</v>
          </cell>
          <cell r="F8375">
            <v>49.281399999999998</v>
          </cell>
          <cell r="G8375">
            <v>0</v>
          </cell>
          <cell r="H8375">
            <v>2</v>
          </cell>
          <cell r="I8375">
            <v>6</v>
          </cell>
          <cell r="J8375">
            <v>0</v>
          </cell>
          <cell r="K8375">
            <v>0</v>
          </cell>
          <cell r="L8375">
            <v>232</v>
          </cell>
        </row>
        <row r="8376">
          <cell r="A8376" t="str">
            <v>10096.10207</v>
          </cell>
          <cell r="B8376" t="str">
            <v>ECRAN FACIAL  CONTRE PROJECTION MECANIQUE ET LIQUIDE (INCOLORE)+PORTE ECRAN</v>
          </cell>
          <cell r="C8376" t="str">
            <v>ECRAN FACIAL  CONTRE PROJECTION MECANIQUE ET LIQUIDE (INCOLORE)+PORTE ECRAN  NORME : EN 166.ECRAN :2C-1,2-1BT-K-N-3 9; N°CODE FILTRE :2C;  N°ECHELON /TEINTE: 1,2 INCOLORE/JAUNE; CLASSE OPTIQUE: 1 PORT OCCASIONNEL;     RESISTANCE MECANIQUE : BT;  K:RESISTANCE A LA DETERIORATION DES SURFACES PAR LES FINES PARTICULES;  N:RESISTANCE DE L’OCULAIRE A LA BUEE;  3:PROJECTIONS LIQUIDES;  9: METAL FONDU ET SOLIDE CHAUD.FORMES ET ACCESSOIRES : PORTE ECRAN ADABTABLE A L'ECRAN:BT-3 9.CONFORMITE: MARQUAGE CE;   FICHE TECHNIQUE;   ATTESTATION D'EXAMEN UE DE TYPE.(REGLEMENT UE 2016/425).</v>
          </cell>
          <cell r="D8376" t="str">
            <v>PE</v>
          </cell>
          <cell r="E8376" t="str">
            <v>522.52216</v>
          </cell>
          <cell r="F8376">
            <v>320.68</v>
          </cell>
          <cell r="G8376">
            <v>0</v>
          </cell>
          <cell r="H8376">
            <v>17</v>
          </cell>
          <cell r="I8376">
            <v>15</v>
          </cell>
          <cell r="J8376">
            <v>0</v>
          </cell>
          <cell r="K8376">
            <v>0</v>
          </cell>
          <cell r="L8376">
            <v>108</v>
          </cell>
        </row>
        <row r="8377">
          <cell r="A8377" t="str">
            <v>10096.10216</v>
          </cell>
          <cell r="B8377" t="str">
            <v>CASQUE SERRE-NUQUE ANTI-BRUIT</v>
          </cell>
          <cell r="C8377" t="str">
            <v>CASQUE SERRE-NUQUE ANTI-BRUIT NORME : EN 352-1; SNR: 30 DB.FORMES ET ACCESSOIRES : AUCUN.CONFORMITE: MARQUAGE CE;  FICHE TECHNIQUE;  ATTESTATION D'EXAMEN UE DE TYPE.(REGLEMENT UE 2016/425).</v>
          </cell>
          <cell r="D8377" t="str">
            <v>PE</v>
          </cell>
          <cell r="E8377" t="str">
            <v>522.52216</v>
          </cell>
          <cell r="F8377">
            <v>156.35550000000001</v>
          </cell>
          <cell r="G8377">
            <v>15</v>
          </cell>
          <cell r="H8377">
            <v>9</v>
          </cell>
          <cell r="I8377">
            <v>14</v>
          </cell>
          <cell r="J8377">
            <v>0</v>
          </cell>
          <cell r="K8377">
            <v>0</v>
          </cell>
          <cell r="L8377">
            <v>202</v>
          </cell>
        </row>
        <row r="8378">
          <cell r="A8378" t="str">
            <v>10096.10217</v>
          </cell>
          <cell r="B8378" t="str">
            <v>BOUCHONS D'OREILLES RÉUTILISABLES</v>
          </cell>
          <cell r="C8378" t="str">
            <v>BOUCHONS D'OREILLES RÉUTILISABLES NORME : EN 352-2;  SNR: 30 DB.SPECIFICATIONS COMPLEMENTAIRES:  BOUCHONS REUTILISABLES;   *MATIERE : TPE DOUX HYPOALLERGENIQUE.FORMES ET ACCESOIRES: CONIQUE MOULABLE; BOUCHONS D'OREILLES CORDES.CONFORMITE: MARQUAGE CE;  FICHE TECHNIQUE;  ATTESTATION D'EXAMEN UE DE TYPE.(REGLEMENT UE 2016/425).</v>
          </cell>
          <cell r="D8378" t="str">
            <v>PE</v>
          </cell>
          <cell r="E8378" t="str">
            <v>522.52216</v>
          </cell>
          <cell r="F8378">
            <v>13.5</v>
          </cell>
          <cell r="G8378">
            <v>17</v>
          </cell>
          <cell r="H8378">
            <v>26</v>
          </cell>
          <cell r="I8378">
            <v>33</v>
          </cell>
          <cell r="J8378">
            <v>0</v>
          </cell>
          <cell r="K8378">
            <v>0</v>
          </cell>
          <cell r="L8378">
            <v>364</v>
          </cell>
        </row>
        <row r="8379">
          <cell r="A8379" t="str">
            <v>10096.10219</v>
          </cell>
          <cell r="B8379" t="str">
            <v>GANT DE PROTECTION  POUR TRAVAUX ORDINAIRE</v>
          </cell>
          <cell r="C8379" t="str">
            <v>GANT DE PROTECTION  POUR TRAVAUX ORDINAIRE NORME : EN 420;  EN 388 INDICE 2X21A OU 2121XSPECIFICATION COMPLEMENTAIRE:  *MATIERE: CUIR;  TAILLE : DE 6 à 11 ( A PRECISER A LA COMMANDE).FORMES ET ACCESSOIRES : AUCUN.CONFORMITE : MARQUAGE CE; FICHE TECHNIQUE; ATTESTATION D'EXAMEN UE DE TYPE.(REGLEMENT UE 2016/425).</v>
          </cell>
          <cell r="D8379" t="str">
            <v>PE</v>
          </cell>
          <cell r="E8379" t="str">
            <v>522.52216</v>
          </cell>
          <cell r="F8379">
            <v>32.753</v>
          </cell>
          <cell r="G8379">
            <v>0</v>
          </cell>
          <cell r="H8379">
            <v>0</v>
          </cell>
          <cell r="I8379">
            <v>480</v>
          </cell>
          <cell r="J8379">
            <v>0</v>
          </cell>
          <cell r="K8379">
            <v>0</v>
          </cell>
          <cell r="L8379">
            <v>0</v>
          </cell>
        </row>
        <row r="8380">
          <cell r="A8380" t="str">
            <v>10096.10220</v>
          </cell>
          <cell r="B8380" t="str">
            <v>GANT DE PROTECTION POUR TRAVAUX DE PRECISION</v>
          </cell>
          <cell r="C8380" t="str">
            <v xml:space="preserve">GANT DE PROTECTION POUR TRAVAUX DE PRECISION  NORME : EN 420, EN 388 INDICE 2X21A.SPECIFICATION COMPLEMENTAIRE: *MATIERE: POLY ARAMIDE ENDUIT (EN POLYURETHANE OU AUTRES); TAILLE : DE 6 à 11 ( A PRECISER A LA COMMANDE).FORMES ET ACCESSOIRES : AUCUN. CONFORMITE : MARQUAGE C E;    FICHE TECHNIQUE;   ATTESTATION D'EXAMEN UE DE TYPE.(REGLEMENT UE 2016/425).                         </v>
          </cell>
          <cell r="D8380" t="str">
            <v>PE</v>
          </cell>
          <cell r="E8380" t="str">
            <v>522.52216</v>
          </cell>
          <cell r="F8380">
            <v>5.7633000000000001</v>
          </cell>
          <cell r="G8380">
            <v>17</v>
          </cell>
          <cell r="H8380">
            <v>34</v>
          </cell>
          <cell r="I8380">
            <v>108</v>
          </cell>
          <cell r="J8380">
            <v>0</v>
          </cell>
          <cell r="K8380">
            <v>0</v>
          </cell>
          <cell r="L8380">
            <v>321</v>
          </cell>
        </row>
        <row r="8381">
          <cell r="A8381" t="str">
            <v>10096.10221</v>
          </cell>
          <cell r="B8381" t="str">
            <v>GANT DE PROTECTION  POUR TRAVAUX DE MANUTENTION</v>
          </cell>
          <cell r="C8381" t="str">
            <v>GANT DE PROTECTION  POUR TRAVAUX DE MANUTENTION NORME : EN 420;   EN 388 INDICE 3X32A.SPECIFICATION COMPLEMENTAIRE: *TAILLE : DE 6 à 11 ( A PRECISER A LA COMMANDE).FORMES ET ACCESSOIRES : AUCUN.CONFORMITE :  MARQUAGE CE;  FICHE TECHNIQUE;   ATTESTATION D'EXAMEN UE DE TYPE.(REGLEMENT UE 2016/425).</v>
          </cell>
          <cell r="D8381" t="str">
            <v>PE</v>
          </cell>
          <cell r="E8381" t="str">
            <v>522.52216</v>
          </cell>
          <cell r="F8381">
            <v>32.216099999999997</v>
          </cell>
          <cell r="G8381">
            <v>6</v>
          </cell>
          <cell r="H8381">
            <v>6</v>
          </cell>
          <cell r="I8381">
            <v>9</v>
          </cell>
          <cell r="J8381">
            <v>0</v>
          </cell>
          <cell r="K8381">
            <v>0</v>
          </cell>
          <cell r="L8381">
            <v>117</v>
          </cell>
        </row>
        <row r="8382">
          <cell r="A8382" t="str">
            <v>10096.10230</v>
          </cell>
          <cell r="B8382" t="str">
            <v>GANT COMPOSITE DE PROTECTION ELECTRIQUE CLASSE 2</v>
          </cell>
          <cell r="C8382" t="str">
            <v>GANT COMPOSITE DE PROTECTION ELECTRIQUE CLASSE 2 NORME : EN 420   EN 60903 CLASSE 2 SPECIFICATIONS COMPLEMENTAIRES: TAILLE : DE 6 à 11( A PRECISER A LA COMMANDE)  CATEGORIE: R+C FORMES ET ACCESSOIRES : AUCUN  DATE DE FABRICATION : INFERIEURE A 6 MOIS CONFORMITE : MARQUAGE CE;  FICHE TECHNIQUE;  ATTESTATION D'EXAMEN UE DE TYPE;  CERTIFICAT D'ASSURANCE QUALITE PROCESS DELIVRE PAR UN ORGANISME NOTIFIEE. (REGLEMENT UE 2016/425).</v>
          </cell>
          <cell r="D8382" t="str">
            <v>PE</v>
          </cell>
          <cell r="E8382" t="str">
            <v>522.52216</v>
          </cell>
          <cell r="F8382">
            <v>717.34519999999998</v>
          </cell>
          <cell r="G8382">
            <v>0</v>
          </cell>
          <cell r="H8382">
            <v>0</v>
          </cell>
          <cell r="I8382">
            <v>9</v>
          </cell>
          <cell r="J8382">
            <v>0</v>
          </cell>
          <cell r="K8382">
            <v>0</v>
          </cell>
          <cell r="L8382">
            <v>21</v>
          </cell>
        </row>
        <row r="8383">
          <cell r="A8383" t="str">
            <v>10096.10236</v>
          </cell>
          <cell r="B8383" t="str">
            <v>CHAUSSURE DE SÉCURITÉ GÉNÉRALE P38</v>
          </cell>
          <cell r="C8383" t="str">
            <v>CHAUSSURE DE SÉCURITÉ GÉNÉRALE P38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83" t="str">
            <v>PE</v>
          </cell>
          <cell r="E8383" t="str">
            <v>522.52216</v>
          </cell>
          <cell r="F8383">
            <v>461.60550000000001</v>
          </cell>
          <cell r="G8383">
            <v>0</v>
          </cell>
          <cell r="H8383">
            <v>0</v>
          </cell>
          <cell r="I8383">
            <v>1</v>
          </cell>
          <cell r="J8383">
            <v>0</v>
          </cell>
          <cell r="K8383">
            <v>0</v>
          </cell>
          <cell r="L8383">
            <v>9</v>
          </cell>
        </row>
        <row r="8384">
          <cell r="A8384" t="str">
            <v>10096.10237</v>
          </cell>
          <cell r="B8384" t="str">
            <v>CHAUSSURE DE SÉCURITÉ GÉNÉRALE P39</v>
          </cell>
          <cell r="C8384" t="str">
            <v>CHAUSSURE DE SÉCURITÉ GÉNÉRALE P39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84" t="str">
            <v>PE</v>
          </cell>
          <cell r="E8384" t="str">
            <v>522.52216</v>
          </cell>
          <cell r="F8384">
            <v>461.60550000000001</v>
          </cell>
          <cell r="G8384">
            <v>0</v>
          </cell>
          <cell r="H8384">
            <v>3</v>
          </cell>
          <cell r="I8384">
            <v>1</v>
          </cell>
          <cell r="J8384">
            <v>0</v>
          </cell>
          <cell r="K8384">
            <v>0</v>
          </cell>
          <cell r="L8384">
            <v>6</v>
          </cell>
        </row>
        <row r="8385">
          <cell r="A8385" t="str">
            <v>10096.10238</v>
          </cell>
          <cell r="B8385" t="str">
            <v>CHAUSSURE DE SÉCURITÉ GÉNÉRALE P40</v>
          </cell>
          <cell r="C8385" t="str">
            <v>CHAUSSURE DE SÉCURITÉ GÉNÉRALE P40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85" t="str">
            <v>PE</v>
          </cell>
          <cell r="E8385" t="str">
            <v>522.52216</v>
          </cell>
          <cell r="F8385">
            <v>461.60550000000001</v>
          </cell>
          <cell r="G8385">
            <v>0</v>
          </cell>
          <cell r="H8385">
            <v>4</v>
          </cell>
          <cell r="I8385">
            <v>3</v>
          </cell>
          <cell r="J8385">
            <v>0</v>
          </cell>
          <cell r="K8385">
            <v>0</v>
          </cell>
          <cell r="L8385">
            <v>33</v>
          </cell>
        </row>
        <row r="8386">
          <cell r="A8386" t="str">
            <v>10096.10239</v>
          </cell>
          <cell r="B8386" t="str">
            <v>CHAUSSURE DE SÉCURITÉ GÉNÉRALE P41</v>
          </cell>
          <cell r="C8386" t="str">
            <v>CHAUSSURE DE SÉCURITÉ GÉNÉRALE P41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86" t="str">
            <v>PE</v>
          </cell>
          <cell r="E8386" t="str">
            <v>522.52216</v>
          </cell>
          <cell r="F8386">
            <v>461.60550000000001</v>
          </cell>
          <cell r="G8386">
            <v>0</v>
          </cell>
          <cell r="H8386">
            <v>24</v>
          </cell>
          <cell r="I8386">
            <v>14</v>
          </cell>
          <cell r="J8386">
            <v>0</v>
          </cell>
          <cell r="K8386">
            <v>0</v>
          </cell>
          <cell r="L8386">
            <v>22</v>
          </cell>
        </row>
        <row r="8387">
          <cell r="A8387" t="str">
            <v>10096.10240</v>
          </cell>
          <cell r="B8387" t="str">
            <v>CHAUSSURE DE SÉCURITÉ GÉNÉRALE P42</v>
          </cell>
          <cell r="C8387" t="str">
            <v>CHAUSSURE DE SÉCURITÉ GÉNÉRALE P42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87" t="str">
            <v>PE</v>
          </cell>
          <cell r="E8387" t="str">
            <v>522.52216</v>
          </cell>
          <cell r="F8387">
            <v>461.60550000000001</v>
          </cell>
          <cell r="G8387">
            <v>2</v>
          </cell>
          <cell r="H8387">
            <v>6</v>
          </cell>
          <cell r="I8387">
            <v>49</v>
          </cell>
          <cell r="J8387">
            <v>0</v>
          </cell>
          <cell r="K8387">
            <v>0</v>
          </cell>
          <cell r="L8387">
            <v>8</v>
          </cell>
        </row>
        <row r="8388">
          <cell r="A8388" t="str">
            <v>10096.10241</v>
          </cell>
          <cell r="B8388" t="str">
            <v>CHAUSSURE DE SÉCURITÉ GÉNÉRALE P43</v>
          </cell>
          <cell r="C8388" t="str">
            <v>CHAUSSURE DE SÉCURITÉ GÉNÉRALE P43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88" t="str">
            <v>PE</v>
          </cell>
          <cell r="E8388" t="str">
            <v>522.52216</v>
          </cell>
          <cell r="F8388">
            <v>461.60550000000001</v>
          </cell>
          <cell r="G8388">
            <v>2</v>
          </cell>
          <cell r="H8388">
            <v>11</v>
          </cell>
          <cell r="I8388">
            <v>42</v>
          </cell>
          <cell r="J8388">
            <v>0</v>
          </cell>
          <cell r="K8388">
            <v>0</v>
          </cell>
          <cell r="L8388">
            <v>10</v>
          </cell>
        </row>
        <row r="8389">
          <cell r="A8389" t="str">
            <v>10096.10242</v>
          </cell>
          <cell r="B8389" t="str">
            <v>CHAUSSURE DE SÉCURITÉ GÉNÉRALE P44</v>
          </cell>
          <cell r="C8389" t="str">
            <v>CHAUSSURE DE SÉCURITÉ GÉNÉRALE P44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89" t="str">
            <v>PE</v>
          </cell>
          <cell r="E8389" t="str">
            <v>522.52216</v>
          </cell>
          <cell r="F8389">
            <v>461.60550000000001</v>
          </cell>
          <cell r="G8389">
            <v>0</v>
          </cell>
          <cell r="H8389">
            <v>9</v>
          </cell>
          <cell r="I8389">
            <v>6</v>
          </cell>
          <cell r="J8389">
            <v>0</v>
          </cell>
          <cell r="K8389">
            <v>0</v>
          </cell>
          <cell r="L8389">
            <v>5</v>
          </cell>
        </row>
        <row r="8390">
          <cell r="A8390" t="str">
            <v>10096.10243</v>
          </cell>
          <cell r="B8390" t="str">
            <v>CHAUSSURE DE SÉCURITÉ GÉNÉRALE P45</v>
          </cell>
          <cell r="C8390" t="str">
            <v>CHAUSSURE DE SÉCURITÉ GÉNÉRALE P45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90" t="str">
            <v>PE</v>
          </cell>
          <cell r="E8390" t="str">
            <v>522.52216</v>
          </cell>
          <cell r="F8390">
            <v>491.00630000000001</v>
          </cell>
          <cell r="G8390">
            <v>0</v>
          </cell>
          <cell r="H8390">
            <v>59</v>
          </cell>
          <cell r="I8390">
            <v>5</v>
          </cell>
          <cell r="J8390">
            <v>0</v>
          </cell>
          <cell r="K8390">
            <v>0</v>
          </cell>
          <cell r="L8390">
            <v>0</v>
          </cell>
        </row>
        <row r="8391">
          <cell r="A8391" t="str">
            <v>10096.10244</v>
          </cell>
          <cell r="B8391" t="str">
            <v>CHAUSSURE DE SÉCURITÉ GÉNÉRALE P46</v>
          </cell>
          <cell r="C8391" t="str">
            <v>CHAUSSURE DE SÉCURITÉ GÉNÉRALE P46 NORME : EN ISO 20345 S3 HRO SRC SPÉCIFICATION COMPLÉMENTAIRE: POIDS:&lt; 1,4KG POUR UNE POITURE  42 / PAIRE DE CHAUSSURE FORME: B. MATÉRIAUX : CUIR FORMES ET ACCESSOIRES : AUCUN  CONFORMITÉ :  MARQUAGE CE ;  FICHE TECHNIQUE ;  ATTESTATION D'EXAMEN UE DE TYPE .(REGLEMENT UE 2016/425).</v>
          </cell>
          <cell r="D8391" t="str">
            <v>PE</v>
          </cell>
          <cell r="E8391" t="str">
            <v>522.52216</v>
          </cell>
          <cell r="F8391">
            <v>461.60550000000001</v>
          </cell>
          <cell r="G8391">
            <v>0</v>
          </cell>
          <cell r="H8391">
            <v>0</v>
          </cell>
          <cell r="I8391">
            <v>2</v>
          </cell>
          <cell r="J8391">
            <v>0</v>
          </cell>
          <cell r="K8391">
            <v>0</v>
          </cell>
          <cell r="L8391">
            <v>0</v>
          </cell>
        </row>
        <row r="8392">
          <cell r="A8392" t="str">
            <v>10096.10290</v>
          </cell>
          <cell r="B8392" t="str">
            <v>BOTTE DE SECURITE (MILIEU ACIDE)  P40</v>
          </cell>
          <cell r="C8392" t="str">
            <v>BOTTE DE SECURITE ( MILIEU ACIDE)  P40 NORME : EN 20345   S5 CR HRO SRC EN 13832-3 SPÉCIFICATION COMPLÉMENTAIRE: FORME: D FORMES ET ACCESSOIRES : AUCUN  CONFORMITÉ : MARQUAGE CE; FICHE TECHNIQUE;  ATTESTATION D'EXAMEN UE DE TYPE; CERTIFICAT D'ASSURANCE QUALITE PROCESS DELIVRE PAR UN ORGANISME NOTIFIEE.(REGLEMENT UE 2016/425).</v>
          </cell>
          <cell r="D8392" t="str">
            <v>PE</v>
          </cell>
          <cell r="E8392" t="str">
            <v>522.52216</v>
          </cell>
          <cell r="F8392">
            <v>805.40250000000003</v>
          </cell>
          <cell r="G8392">
            <v>0</v>
          </cell>
          <cell r="H8392">
            <v>0</v>
          </cell>
          <cell r="I8392">
            <v>0</v>
          </cell>
          <cell r="J8392">
            <v>0</v>
          </cell>
          <cell r="K8392">
            <v>0</v>
          </cell>
          <cell r="L8392">
            <v>15</v>
          </cell>
        </row>
        <row r="8393">
          <cell r="A8393" t="str">
            <v>10096.10291</v>
          </cell>
          <cell r="B8393" t="str">
            <v>BOTTE DE SECURITE (MILIEU ACIDE)  P41</v>
          </cell>
          <cell r="C8393" t="str">
            <v>BOTTE DE SECURITE ( MILIEU ACIDE)  P41 NORME : EN 20345   S5 CR HRO SRC EN 13832-3 SPÉCIFICATION COMPLÉMENTAIRE: FORME: D FORMES ET ACCESSOIRES : AUCUN  CONFORMITÉ : MARQUAGE CE; FICHE TECHNIQUE;  ATTESTATION D'EXAMEN UE DE TYPE; CERTIFICAT D'ASSURANCE QUALITE PROCESS DELIVRE PAR UN ORGANISME NOTIFIEE.(REGLEMENT UE 2016/425).</v>
          </cell>
          <cell r="D8393" t="str">
            <v>PE</v>
          </cell>
          <cell r="E8393" t="str">
            <v>522.52216</v>
          </cell>
          <cell r="F8393">
            <v>805.40250000000003</v>
          </cell>
          <cell r="G8393">
            <v>0</v>
          </cell>
          <cell r="H8393">
            <v>2</v>
          </cell>
          <cell r="I8393">
            <v>6</v>
          </cell>
          <cell r="J8393">
            <v>0</v>
          </cell>
          <cell r="K8393">
            <v>0</v>
          </cell>
          <cell r="L8393">
            <v>7</v>
          </cell>
        </row>
        <row r="8394">
          <cell r="A8394" t="str">
            <v>10096.10292</v>
          </cell>
          <cell r="B8394" t="str">
            <v>BOTTE DE SECURITE (MILIEU ACIDE)  P42</v>
          </cell>
          <cell r="C8394" t="str">
            <v>BOTTE DE SECURITE ( MILIEU ACIDE)  P42 NORME : EN 20345   S5 CR HRO SRC EN 13832-3 SPÉCIFICATION COMPLÉMENTAIRE: FORME: D FORMES ET ACCESSOIRES : AUCUN  CONFORMITÉ : MARQUAGE CE; FICHE TECHNIQUE;  ATTESTATION D'EXAMEN UE DE TYPE; CERTIFICAT D'ASSURANCE QUALITE PROCESS DELIVRE PAR UN ORGANISME NOTIFIEE.(REGLEMENT UE 2016/425).</v>
          </cell>
          <cell r="D8394" t="str">
            <v>PE</v>
          </cell>
          <cell r="E8394" t="str">
            <v>522.52216</v>
          </cell>
          <cell r="F8394">
            <v>805.40250000000003</v>
          </cell>
          <cell r="G8394">
            <v>0</v>
          </cell>
          <cell r="H8394">
            <v>3</v>
          </cell>
          <cell r="I8394">
            <v>9</v>
          </cell>
          <cell r="J8394">
            <v>0</v>
          </cell>
          <cell r="K8394">
            <v>0</v>
          </cell>
          <cell r="L8394">
            <v>8</v>
          </cell>
        </row>
        <row r="8395">
          <cell r="A8395" t="str">
            <v>10096.10293</v>
          </cell>
          <cell r="B8395" t="str">
            <v>BOTTE DE SECURITE (MILIEU ACIDE)  P43</v>
          </cell>
          <cell r="C8395" t="str">
            <v>BOTTE DE SECURITE ( MILIEU ACIDE)  P43 NORME : EN 20345   S5 CR HRO SRC EN 13832-3 SPÉCIFICATION COMPLÉMENTAIRE: FORME: D FORMES ET ACCESSOIRES : AUCUN  CONFORMITÉ : MARQUAGE CE; FICHE TECHNIQUE;  ATTESTATION D'EXAMEN UE DE TYPE; CERTIFICAT D'ASSURANCE QUALITE PROCESS DELIVRE PAR UN ORGANISME NOTIFIEE.(REGLEMENT UE 2016/425).</v>
          </cell>
          <cell r="D8395" t="str">
            <v>PE</v>
          </cell>
          <cell r="E8395" t="str">
            <v>522.52216</v>
          </cell>
          <cell r="F8395">
            <v>805.40250000000003</v>
          </cell>
          <cell r="G8395">
            <v>0</v>
          </cell>
          <cell r="H8395">
            <v>1</v>
          </cell>
          <cell r="I8395">
            <v>11</v>
          </cell>
          <cell r="J8395">
            <v>0</v>
          </cell>
          <cell r="K8395">
            <v>0</v>
          </cell>
          <cell r="L8395">
            <v>9</v>
          </cell>
        </row>
        <row r="8396">
          <cell r="A8396" t="str">
            <v>10096.10294</v>
          </cell>
          <cell r="B8396" t="str">
            <v>BOTTE DE SECURITE (MILIEU ACIDE)  P44</v>
          </cell>
          <cell r="C8396" t="str">
            <v>BOTTE DE SECURITE ( MILIEU ACIDE)  P44 NORME : EN 20345   S5 CR HRO SRC EN 13832-3 SPÉCIFICATION COMPLÉMENTAIRE: FORME: D FORMES ET ACCESSOIRES : AUCUN  CONFORMITÉ : MARQUAGE CE; FICHE TECHNIQUE;  ATTESTATION D'EXAMEN UE DE TYPE; CERTIFICAT D'ASSURANCE QUALITE PROCESS DELIVRE PAR UN ORGANISME NOTIFIEE.(REGLEMENT UE 2016/425).</v>
          </cell>
          <cell r="D8396" t="str">
            <v>PE</v>
          </cell>
          <cell r="E8396" t="str">
            <v>522.52216</v>
          </cell>
          <cell r="F8396">
            <v>805.40250000000003</v>
          </cell>
          <cell r="G8396">
            <v>0</v>
          </cell>
          <cell r="H8396">
            <v>0</v>
          </cell>
          <cell r="I8396">
            <v>1</v>
          </cell>
          <cell r="J8396">
            <v>0</v>
          </cell>
          <cell r="K8396">
            <v>0</v>
          </cell>
          <cell r="L8396">
            <v>2</v>
          </cell>
        </row>
        <row r="8397">
          <cell r="A8397" t="str">
            <v>10096.10295</v>
          </cell>
          <cell r="B8397" t="str">
            <v>BOTTE DE SECURITE (MILIEU ACIDE)  P45</v>
          </cell>
          <cell r="C8397" t="str">
            <v>BOTTE DE SECURITE ( MILIEU ACIDE)  P45 NORME : EN 20345   S5 CR HRO SRC EN 13832-3 SPÉCIFICATION COMPLÉMENTAIRE: FORME: D FORMES ET ACCESSOIRES : AUCUN  CONFORMITÉ : MARQUAGE CE; FICHE TECHNIQUE;  ATTESTATION D'EXAMEN UE DE TYPE; CERTIFICAT D'ASSURANCE QUALITE PROCESS DELIVRE PAR UN ORGANISME NOTIFIEE.(REGLEMENT UE 2016/425).</v>
          </cell>
          <cell r="D8397" t="str">
            <v>PE</v>
          </cell>
          <cell r="E8397" t="str">
            <v>522.52216</v>
          </cell>
          <cell r="F8397">
            <v>805.40250000000003</v>
          </cell>
          <cell r="G8397">
            <v>0</v>
          </cell>
          <cell r="H8397">
            <v>0</v>
          </cell>
          <cell r="I8397">
            <v>1</v>
          </cell>
          <cell r="J8397">
            <v>0</v>
          </cell>
          <cell r="K8397">
            <v>0</v>
          </cell>
          <cell r="L8397">
            <v>1</v>
          </cell>
        </row>
        <row r="8398">
          <cell r="A8398" t="str">
            <v>10096.10340</v>
          </cell>
          <cell r="B8398" t="str">
            <v>MASQUE FILTRANT ANTI AEROSOLS ET POUSSIERES FINES</v>
          </cell>
          <cell r="C8398" t="str">
            <v>MASQUE FILTRANT ANTI AEROSOLS ET POUSSIERES FINES NORME :  EN 149: 2001+ A1 : 2009  FFP 3 NR D  FORMES ET ACCESSOIRES : AUCUN CONFORMITE: MARQUAGE CE;  FICHE TECHNIQUE ;  ATTESTATION D'EXAMEN UE DE TYPE.  (REGLEMENT UE 2016/425).</v>
          </cell>
          <cell r="D8398" t="str">
            <v>PE</v>
          </cell>
          <cell r="E8398" t="str">
            <v>522.52216</v>
          </cell>
          <cell r="F8398">
            <v>9.4030000000000005</v>
          </cell>
          <cell r="G8398">
            <v>0</v>
          </cell>
          <cell r="H8398">
            <v>0</v>
          </cell>
          <cell r="I8398">
            <v>0</v>
          </cell>
          <cell r="J8398">
            <v>0</v>
          </cell>
          <cell r="K8398">
            <v>0</v>
          </cell>
          <cell r="L8398">
            <v>1440</v>
          </cell>
        </row>
        <row r="8399">
          <cell r="A8399" t="str">
            <v>10096.10341</v>
          </cell>
          <cell r="B8399" t="str">
            <v>FILTRE COMBINE POUR MASQUE COMPLET</v>
          </cell>
          <cell r="C8399" t="str">
            <v>FILTRE COMBINE POUR MASQUE COMPLET NORME : EN 14387;   EN 143 ABEK2P3  FORMES ET ACCESSOIRES:  ADAPTABLE A LA REFERENCE DU MASQUE COMPLET CONFORMITE:  MARQUAGE CE;  FICHE TECHNIQUE;   ATTESTATION D'EXAMEN UE DE TYPE;  SYSTEME DE GARANTIE DE QUALITE CE OU SYSTEME D'ASSURANCE QUALITE CE DE LA PRODUCTION AVEC SURVEILLANCE.(REGLEMENT UE 2016/425).</v>
          </cell>
          <cell r="D8399" t="str">
            <v>PE</v>
          </cell>
          <cell r="E8399" t="str">
            <v>522.52216</v>
          </cell>
          <cell r="F8399">
            <v>197</v>
          </cell>
          <cell r="G8399">
            <v>5</v>
          </cell>
          <cell r="H8399">
            <v>0</v>
          </cell>
          <cell r="I8399">
            <v>0</v>
          </cell>
          <cell r="J8399">
            <v>0</v>
          </cell>
          <cell r="K8399">
            <v>0</v>
          </cell>
          <cell r="L8399">
            <v>235</v>
          </cell>
        </row>
        <row r="8400">
          <cell r="A8400" t="str">
            <v>10096.10343</v>
          </cell>
          <cell r="B8400" t="str">
            <v>MASQUE COMPLET (MASQUE + FILTRE)</v>
          </cell>
          <cell r="C8400" t="str">
            <v>MASQUE COMPLET (MASQUE + FILTRE) MASQUE:        NORME :             EN 136             CLASSE 2           OCULAIRE: HAUTE RESISTANCE AUX IMPACTS,        RESISTANCE AUX RAYURES. CONCEPTION A DOUBLE FILTRE POUR UNE RESISTANCE RESPIRATOIRE FAIBLE FILTRE:  NORME :  EN 14387;   EN 143 ABEK2P3 FORMES ET ACCESSOIRES : AUCUN CONFORMITE: MARQUAGE CE; FICHE TECHNIQUE;  ATTESTATION D'EXAMEN UE DE TYPE; SYSTEME DE GARANTIE DE QUALITE CE OU SYSTEME D'ASSURANCE QUALITE CE DE LA PRODUCTION AVEC SURVEILLANCE.(REGLEMENT UE 2016/425).</v>
          </cell>
          <cell r="D8400" t="str">
            <v>PE</v>
          </cell>
          <cell r="E8400" t="str">
            <v>522.52216</v>
          </cell>
          <cell r="F8400">
            <v>1085</v>
          </cell>
          <cell r="G8400">
            <v>1</v>
          </cell>
          <cell r="H8400">
            <v>0</v>
          </cell>
          <cell r="I8400">
            <v>0</v>
          </cell>
          <cell r="J8400">
            <v>0</v>
          </cell>
          <cell r="K8400">
            <v>0</v>
          </cell>
          <cell r="L8400">
            <v>238</v>
          </cell>
        </row>
        <row r="8401">
          <cell r="A8401" t="str">
            <v>10096.10367</v>
          </cell>
          <cell r="B8401" t="str">
            <v>LUNETTES DE RECHANGE POUR LE CASQUE DE SECURITE AVEC LUNETTES INTEGREES</v>
          </cell>
          <cell r="C8401" t="str">
            <v>LUNETTES DE RECHANGE POUR LE CASQUE DE SECURITE AVEC LUNETTES INTEGREES  NORME : EN 166; OCULAIRE: 2C-1,2 1-F-K-N ; N° CODE DU FILTRE 2C: FILTRE UV ; N° D'ECHELON 1,2:INCOLORE; CLASSE OPTIQUE: 1  QUALITE OPTIQUE POUR TRAVAUX CONTINUS ; RESISTANCE MECANIQUE : F CHOC DE FAIBLE ENERGIE  ; K:RESISTANCE A LA DETERIORATION DES SURFACES PAR LES FINES PARTICULES;   N:RESISTANCE DE L’OCULAIRE A LA BUEEFORMES ETACCESSOIRES : ADAPTABLE AVEC LA REFERENCE DU CASQUE A PRECISER LORS DE L'APPEL D'OFFRECONFORMITE: MARQUAGE CE;  FICHE TECHNIQUE;   ATTESTATION D'EXAMEN UE DE TYPE.(REGLEMENT UE 2016/425).</v>
          </cell>
          <cell r="D8401" t="str">
            <v>PE</v>
          </cell>
          <cell r="E8401" t="str">
            <v>522.52216</v>
          </cell>
          <cell r="F8401">
            <v>145</v>
          </cell>
          <cell r="G8401">
            <v>0</v>
          </cell>
          <cell r="H8401">
            <v>0</v>
          </cell>
          <cell r="I8401">
            <v>0</v>
          </cell>
          <cell r="J8401">
            <v>0</v>
          </cell>
          <cell r="K8401">
            <v>0</v>
          </cell>
          <cell r="L8401">
            <v>240</v>
          </cell>
        </row>
        <row r="8402">
          <cell r="A8402" t="str">
            <v>10096.10371</v>
          </cell>
          <cell r="B8402" t="str">
            <v>CASQUE DE SECURITE GENERAL AVEC LUNETTES INTEGREES</v>
          </cell>
          <cell r="C8402" t="str">
            <v>CASQUE DE SECURITE GENERAL AVEC LUNETTES INTEGREES NORME :  CASQUE: EN 397;  LUNETTE DE PROTECTION: EN 166;  OCULAIRE: 2C-1,2 1-F-K-N SPECIFICATIONS TECHNQUES: *MATIERE: ABS OU POLYAMIDE *RESISTANCE A BASSE ET HAUTE TEMPERATURE; *ISOLEMENT ELECTRIQUE 440V AC; * TESTE LD ET MM ; FORME ET ACCESSOIRES:   *JUGULAIRE ADAPTEE (2 POINTS).   *SERRAGE A CREMAILLERE   *RESERVATIONS POUR LOGER D'AUTRES ARTICLES (STOP BRUIT, ECRAN FACIAL....)   *PERSONNALISATION AU LOGO OCP PAR IMPRESSION FRONTALE   *ENSEMBLE HARNAIS: COIFFE AVEC SANGLE D'AMORTISSEMENT A 6 POINTS COULEUR DU CASQUE: BLANCHE DATE DE FABRICATION : INFERIEURE A 6 MOIS CONFORMITE :  MARQUAGE CE;  FICHE TECHNIQUE;  ATTESTATION D'EXAMEN UE DE TYPE.(REGLEMENT UE 2016/425).</v>
          </cell>
          <cell r="D8402" t="str">
            <v>PE</v>
          </cell>
          <cell r="E8402" t="str">
            <v>522.52216</v>
          </cell>
          <cell r="F8402">
            <v>262</v>
          </cell>
          <cell r="G8402">
            <v>2</v>
          </cell>
          <cell r="H8402">
            <v>134</v>
          </cell>
          <cell r="I8402">
            <v>24</v>
          </cell>
          <cell r="J8402">
            <v>0</v>
          </cell>
          <cell r="K8402">
            <v>0</v>
          </cell>
          <cell r="L8402">
            <v>80</v>
          </cell>
        </row>
        <row r="8403">
          <cell r="A8403" t="str">
            <v>10096.10372</v>
          </cell>
          <cell r="B8403" t="str">
            <v>TENUE DE TRAVAIL ( BLOUSON )  T42</v>
          </cell>
          <cell r="C8403" t="str">
            <v>TENUE DE TRAVAIL ( BLOUSON )  T42  REFERENCE A LA NORME : EN 11612 A1 A2 B1 C1 E1 F1 IEC 61482-2 CLASSE 1 EN 11611 CLASSE 1 A1 EN 1149 - 5 EN 13034 - TYPE 6 CONFORMITE : MARQUAGE C E  FICHE TECHNIQUE  ATTESTATION D'EXAMEN UE DE TYPE SUIVANT SPECIFICATIONS TECHNIQUES  CI ATTACHES</v>
          </cell>
          <cell r="D8403" t="str">
            <v>PE</v>
          </cell>
          <cell r="E8403" t="str">
            <v>522.52216</v>
          </cell>
          <cell r="F8403">
            <v>582</v>
          </cell>
          <cell r="G8403">
            <v>0</v>
          </cell>
          <cell r="H8403">
            <v>77</v>
          </cell>
          <cell r="I8403">
            <v>1</v>
          </cell>
          <cell r="J8403">
            <v>0</v>
          </cell>
          <cell r="K8403">
            <v>0</v>
          </cell>
          <cell r="L8403">
            <v>30</v>
          </cell>
        </row>
        <row r="8404">
          <cell r="A8404" t="str">
            <v>10096.10373</v>
          </cell>
          <cell r="B8404" t="str">
            <v>TENUE DE TRAVAIL ( BLOUSON )  T44</v>
          </cell>
          <cell r="C8404" t="str">
            <v>TENUE DE TRAVAIL ( BLOUSON )  T44  REFERENCE A LA NORME : EN 11612 A1 A2 B1 C1 E1 F1 IEC 61482-2 CLASSE 1 EN 11611 CLASSE 1 A1 EN 1149 - 5 EN 13034 - TYPE 6 CONFORMITE : MARQUAGE C E  FICHE TECHNIQUE  ATTESTATION D'EXAMEN UE DE TYPE SUIVANT SPECIFICATIONS TECHNIQUES  CI ATTACHES</v>
          </cell>
          <cell r="D8404" t="str">
            <v>PE</v>
          </cell>
          <cell r="E8404" t="str">
            <v>522.52216</v>
          </cell>
          <cell r="F8404">
            <v>593.90449999999998</v>
          </cell>
          <cell r="G8404">
            <v>0</v>
          </cell>
          <cell r="H8404">
            <v>84</v>
          </cell>
          <cell r="I8404">
            <v>4</v>
          </cell>
          <cell r="J8404">
            <v>0</v>
          </cell>
          <cell r="K8404">
            <v>0</v>
          </cell>
          <cell r="L8404">
            <v>44</v>
          </cell>
        </row>
        <row r="8405">
          <cell r="A8405" t="str">
            <v>10096.10374</v>
          </cell>
          <cell r="B8405" t="str">
            <v>TENUE DE TRAVAIL ( BLOUSON )  T46</v>
          </cell>
          <cell r="C8405" t="str">
            <v>TENUE DE TRAVAIL ( BLOUSON )  T46  REFERENCE A LA NORME : EN 11612 A1 A2 B1 C1 E1 F1 IEC 61482-2 CLASSE 1 EN 11611 CLASSE 1 A1 EN 1149 - 5 EN 13034 - TYPE 6 CONFORMITE : MARQUAGE C E  FICHE TECHNIQUE  ATTESTATION D'EXAMEN UE DE TYPE SUIVANT SPECIFICATIONS TECHNIQUES  CI ATTACHES</v>
          </cell>
          <cell r="D8405" t="str">
            <v>PE</v>
          </cell>
          <cell r="E8405" t="str">
            <v>522.52216</v>
          </cell>
          <cell r="F8405">
            <v>640.20000000000005</v>
          </cell>
          <cell r="G8405">
            <v>2</v>
          </cell>
          <cell r="H8405">
            <v>4</v>
          </cell>
          <cell r="I8405">
            <v>0</v>
          </cell>
          <cell r="J8405">
            <v>0</v>
          </cell>
          <cell r="K8405">
            <v>0</v>
          </cell>
          <cell r="L8405">
            <v>55</v>
          </cell>
        </row>
        <row r="8406">
          <cell r="A8406" t="str">
            <v>10096.10375</v>
          </cell>
          <cell r="B8406" t="str">
            <v>TENUE DE TRAVAIL ( BLOUSON )  T48</v>
          </cell>
          <cell r="C8406" t="str">
            <v>TENUE DE TRAVAIL ( BLOUSON )  T48  REFERENCE A LA NORME : EN 11612 A1 A2 B1 C1 E1 F1 IEC 61482-2 CLASSE 1 EN 11611 CLASSE 1 A1 EN 1149 - 5 EN 13034 - TYPE 6 CONFORMITE : MARQUAGE C E  FICHE TECHNIQUE  ATTESTATION D'EXAMEN UE DE TYPE SUIVANT SPECIFICATIONS TECHNIQUES  CI ATTACHES</v>
          </cell>
          <cell r="D8406" t="str">
            <v>PE</v>
          </cell>
          <cell r="E8406" t="str">
            <v>522.52216</v>
          </cell>
          <cell r="F8406">
            <v>582</v>
          </cell>
          <cell r="G8406">
            <v>0</v>
          </cell>
          <cell r="H8406">
            <v>5</v>
          </cell>
          <cell r="I8406">
            <v>3</v>
          </cell>
          <cell r="J8406">
            <v>0</v>
          </cell>
          <cell r="K8406">
            <v>0</v>
          </cell>
          <cell r="L8406">
            <v>0</v>
          </cell>
        </row>
        <row r="8407">
          <cell r="A8407" t="str">
            <v>10096.10376</v>
          </cell>
          <cell r="B8407" t="str">
            <v>TENUE DE TRAVAIL ( BLOUSON )  T50</v>
          </cell>
          <cell r="C8407" t="str">
            <v>TENUE DE TRAVAIL ( BLOUSON )  T50  REFERENCE A LA NORME : EN 11612 A1 A2 B1 C1 E1 F1 IEC 61482-2 CLASSE 1 EN 11611 CLASSE 1 A1 EN 1149 - 5 EN 13034 - TYPE 6 CONFORMITE : MARQUAGE C E  FICHE TECHNIQUE  ATTESTATION D'EXAMEN UE DE TYPE SUIVANT SPECIFICATIONS TECHNIQUES  CI ATTACHES</v>
          </cell>
          <cell r="D8407" t="str">
            <v>PE</v>
          </cell>
          <cell r="E8407" t="str">
            <v>522.52216</v>
          </cell>
          <cell r="F8407">
            <v>582</v>
          </cell>
          <cell r="G8407">
            <v>0</v>
          </cell>
          <cell r="H8407">
            <v>4</v>
          </cell>
          <cell r="I8407">
            <v>0</v>
          </cell>
          <cell r="J8407">
            <v>0</v>
          </cell>
          <cell r="K8407">
            <v>0</v>
          </cell>
          <cell r="L8407">
            <v>0</v>
          </cell>
        </row>
        <row r="8408">
          <cell r="A8408" t="str">
            <v>10096.10377</v>
          </cell>
          <cell r="B8408" t="str">
            <v>TENUE DE TRAVAIL ( BLOUSON )   T52</v>
          </cell>
          <cell r="C8408" t="str">
            <v>TENUE DE TRAVAIL ( BLOUSON )  T52  REFERENCE A LA NORME : EN 11612 A1 A2 B1 C1 E1 F1 IEC 61482-2 CLASSE 1 EN 11611 CLASSE 1 A1 EN 1149 - 5 EN 13034 - TYPE 6 CONFORMITE : MARQUAGE C E  FICHE TECHNIQUE  ATTESTATION D'EXAMEN UE DE TYPE SUIVANT SPECIFICATIONS TECHNIQUES  CI ATTACHES</v>
          </cell>
          <cell r="D8408" t="str">
            <v>PE</v>
          </cell>
          <cell r="E8408" t="str">
            <v>522.52216</v>
          </cell>
          <cell r="F8408">
            <v>582</v>
          </cell>
          <cell r="G8408">
            <v>0</v>
          </cell>
          <cell r="H8408">
            <v>4</v>
          </cell>
          <cell r="I8408">
            <v>0</v>
          </cell>
          <cell r="J8408">
            <v>0</v>
          </cell>
          <cell r="K8408">
            <v>0</v>
          </cell>
          <cell r="L8408">
            <v>8</v>
          </cell>
        </row>
        <row r="8409">
          <cell r="A8409" t="str">
            <v>10096.10378</v>
          </cell>
          <cell r="B8409" t="str">
            <v>TENUE DE TRAVAIL ( BLOUSON )  T54</v>
          </cell>
          <cell r="C8409" t="str">
            <v>TENUE DE TRAVAIL ( BLOUSON )  T54  REFERENCE A LA NORME : EN 11612 A1 A2 B1 C1 E1 F1 IEC 61482-2 CLASSE 1 EN 11611 CLASSE 1 A1 EN 1149 - 5 EN 13034 - TYPE 6 CONFORMITE : MARQUAGE C E  FICHE TECHNIQUE  ATTESTATION D'EXAMEN UE DE TYPE SUIVANT SPECIFICATIONS TECHNIQUES  CI ATTACHES</v>
          </cell>
          <cell r="D8409" t="str">
            <v>PE</v>
          </cell>
          <cell r="E8409" t="str">
            <v>522.52216</v>
          </cell>
          <cell r="F8409">
            <v>582</v>
          </cell>
          <cell r="G8409">
            <v>0</v>
          </cell>
          <cell r="H8409">
            <v>2</v>
          </cell>
          <cell r="I8409">
            <v>0</v>
          </cell>
          <cell r="J8409">
            <v>0</v>
          </cell>
          <cell r="K8409">
            <v>0</v>
          </cell>
          <cell r="L8409">
            <v>4</v>
          </cell>
        </row>
        <row r="8410">
          <cell r="A8410" t="str">
            <v>10096.10379</v>
          </cell>
          <cell r="B8410" t="str">
            <v>TENUE DE TRAVAIL ( BLOUSON )  T56</v>
          </cell>
          <cell r="C8410" t="str">
            <v>TENUE DE TRAVAIL ( BLOUSON )  T56  REFERENCE A LA NORME : EN 11612 A1 A2 B1 C1 E1 F1 IEC 61482-2 CLASSE 1 EN 11611 CLASSE 1 A1 EN 1149 - 5 EN 13034 - TYPE 6 CONFORMITE : MARQUAGE C E  FICHE TECHNIQUE  ATTESTATION D'EXAMEN UE DE TYPE SUIVANT SPECIFICATIONS TECHNIQUES  CI ATTACHES</v>
          </cell>
          <cell r="D8410" t="str">
            <v>PE</v>
          </cell>
          <cell r="E8410" t="str">
            <v>522.52216</v>
          </cell>
          <cell r="F8410">
            <v>582</v>
          </cell>
          <cell r="G8410">
            <v>0</v>
          </cell>
          <cell r="H8410">
            <v>0</v>
          </cell>
          <cell r="I8410">
            <v>0</v>
          </cell>
          <cell r="J8410">
            <v>0</v>
          </cell>
          <cell r="K8410">
            <v>0</v>
          </cell>
          <cell r="L8410">
            <v>4</v>
          </cell>
        </row>
        <row r="8411">
          <cell r="A8411" t="str">
            <v>10096.10382</v>
          </cell>
          <cell r="B8411" t="str">
            <v>PANTALON   T : 36</v>
          </cell>
          <cell r="C8411" t="str">
            <v>PANTALON   T : 36 REFERENCE A LA NORME : EN 11612 A1 A2 B1 C1 E1 F1 IEC 61482-2 CLASSE 1 EN 11611 CLASSE 1 A1 EN 1149 - 5 EN 13034 - TYPE 6 CONFORMITE : MARQUAGE C E  FICHE TECHNIQUE  ATTESTATION D'EXAMEN UE DE TYPE SUIVANT SPECIFICATIONS TECHNIQUES CI ATTACHES</v>
          </cell>
          <cell r="D8411" t="str">
            <v>PE</v>
          </cell>
          <cell r="E8411" t="str">
            <v>522.52216</v>
          </cell>
          <cell r="F8411">
            <v>326</v>
          </cell>
          <cell r="G8411">
            <v>0</v>
          </cell>
          <cell r="H8411">
            <v>70</v>
          </cell>
          <cell r="I8411">
            <v>0</v>
          </cell>
          <cell r="J8411">
            <v>0</v>
          </cell>
          <cell r="K8411">
            <v>0</v>
          </cell>
          <cell r="L8411">
            <v>10</v>
          </cell>
        </row>
        <row r="8412">
          <cell r="A8412" t="str">
            <v>10096.10383</v>
          </cell>
          <cell r="B8412" t="str">
            <v>PANTALON   T : 38</v>
          </cell>
          <cell r="C8412" t="str">
            <v>PANTALON   T : 38  REFERENCE A LA NORME : EN 11612 A1 A2 B1 C1 E1 F1 IEC 61482-2 CLASSE 1 EN 11611 CLASSE 1 A1 EN 1149 - 5 EN 13034 - TYPE 6 CONFORMITE : MARQUAGE C E  FICHE TECHNIQUE  ATTESTATION D'EXAMEN UE DE TYPE SUIVANT SPECIFICATIONS TECHNIQUES CI ATTACHES</v>
          </cell>
          <cell r="D8412" t="str">
            <v>PE</v>
          </cell>
          <cell r="E8412" t="str">
            <v>522.52216</v>
          </cell>
          <cell r="F8412">
            <v>326</v>
          </cell>
          <cell r="G8412">
            <v>0</v>
          </cell>
          <cell r="H8412">
            <v>80</v>
          </cell>
          <cell r="I8412">
            <v>0</v>
          </cell>
          <cell r="J8412">
            <v>0</v>
          </cell>
          <cell r="K8412">
            <v>0</v>
          </cell>
          <cell r="L8412">
            <v>0</v>
          </cell>
        </row>
        <row r="8413">
          <cell r="A8413" t="str">
            <v>10096.10384</v>
          </cell>
          <cell r="B8413" t="str">
            <v>PANTALON   T : 40</v>
          </cell>
          <cell r="C8413" t="str">
            <v>PANTALON   T : 40  REFERENCE A LA NORME : EN 11612 A1 A2 B1 C1 E1 F1 IEC 61482-2 CLASSE 1 EN 11611 CLASSE 1 A1 EN 1149 - 5 EN 13034 - TYPE 6 CONFORMITE : MARQUAGE C E  FICHE TECHNIQUE  ATTESTATION D'EXAMEN UE DE TYPE SUIVANT SPECIFICATIONS TECHNIQUES CI ATTACHES</v>
          </cell>
          <cell r="D8413" t="str">
            <v>PE</v>
          </cell>
          <cell r="E8413" t="str">
            <v>522.52216</v>
          </cell>
          <cell r="F8413">
            <v>329.91199999999998</v>
          </cell>
          <cell r="G8413">
            <v>0</v>
          </cell>
          <cell r="H8413">
            <v>79</v>
          </cell>
          <cell r="I8413">
            <v>2</v>
          </cell>
          <cell r="J8413">
            <v>0</v>
          </cell>
          <cell r="K8413">
            <v>0</v>
          </cell>
          <cell r="L8413">
            <v>8</v>
          </cell>
        </row>
        <row r="8414">
          <cell r="A8414" t="str">
            <v>10096.10385</v>
          </cell>
          <cell r="B8414" t="str">
            <v>PANTALON   T : 42</v>
          </cell>
          <cell r="C8414" t="str">
            <v>PANTALON   T : 42  REFERENCE A LA NORME : EN 11612 A1 A2 B1 C1 E1 F1 IEC 61482-2 CLASSE 1 EN 11611 CLASSE 1 A1 EN 1149 - 5 EN 13034 - TYPE 6 CONFORMITE : MARQUAGE C E  FICHE TECHNIQUE  ATTESTATION D'EXAMEN UE DE TYPE SUIVANT SPECIFICATIONS TECHNIQUES CI ATTACHES</v>
          </cell>
          <cell r="D8414" t="str">
            <v>PE</v>
          </cell>
          <cell r="E8414" t="str">
            <v>522.52216</v>
          </cell>
          <cell r="F8414">
            <v>326</v>
          </cell>
          <cell r="G8414">
            <v>0</v>
          </cell>
          <cell r="H8414">
            <v>69</v>
          </cell>
          <cell r="I8414">
            <v>1</v>
          </cell>
          <cell r="J8414">
            <v>0</v>
          </cell>
          <cell r="K8414">
            <v>0</v>
          </cell>
          <cell r="L8414">
            <v>22</v>
          </cell>
        </row>
        <row r="8415">
          <cell r="A8415" t="str">
            <v>10096.10386</v>
          </cell>
          <cell r="B8415" t="str">
            <v>PANTALON   T : 44</v>
          </cell>
          <cell r="C8415" t="str">
            <v>PANTALON   T : 44  REFERENCE A LA NORME : EN 11612 A1 A2 B1 C1 E1 F1 IEC 61482-2 CLASSE 1 EN 11611 CLASSE 1 A1 EN 1149 - 5 EN 13034 - TYPE 6 CONFORMITE : MARQUAGE C E  FICHE TECHNIQUE  ATTESTATION D'EXAMEN UE DE TYPE SUIVANT SPECIFICATIONS TECHNIQUES CI ATTACHES</v>
          </cell>
          <cell r="D8415" t="str">
            <v>PE</v>
          </cell>
          <cell r="E8415" t="str">
            <v>522.52216</v>
          </cell>
          <cell r="F8415">
            <v>326</v>
          </cell>
          <cell r="G8415">
            <v>0</v>
          </cell>
          <cell r="H8415">
            <v>75</v>
          </cell>
          <cell r="I8415">
            <v>5</v>
          </cell>
          <cell r="J8415">
            <v>0</v>
          </cell>
          <cell r="K8415">
            <v>0</v>
          </cell>
          <cell r="L8415">
            <v>30</v>
          </cell>
        </row>
        <row r="8416">
          <cell r="A8416" t="str">
            <v>10096.10387</v>
          </cell>
          <cell r="B8416" t="str">
            <v>PANTALON   T : 46</v>
          </cell>
          <cell r="C8416" t="str">
            <v>PANTALON   T : 46  REFERENCE A LA NORME : EN 11612 A1 A2 B1 C1 E1 F1 IEC 61482-2 CLASSE 1 EN 11611 CLASSE 1 A1 EN 1149 - 5 EN 13034 - TYPE 6 CONFORMITE : MARQUAGE C E  FICHE TECHNIQUE  ATTESTATION D'EXAMEN UE DE TYPE SUIVANT SPECIFICATIONS TECHNIQUES CI ATTACHES</v>
          </cell>
          <cell r="D8416" t="str">
            <v>PE</v>
          </cell>
          <cell r="E8416" t="str">
            <v>522.52216</v>
          </cell>
          <cell r="F8416">
            <v>326</v>
          </cell>
          <cell r="G8416">
            <v>0</v>
          </cell>
          <cell r="H8416">
            <v>0</v>
          </cell>
          <cell r="I8416">
            <v>0</v>
          </cell>
          <cell r="J8416">
            <v>0</v>
          </cell>
          <cell r="K8416">
            <v>0</v>
          </cell>
          <cell r="L8416">
            <v>0</v>
          </cell>
        </row>
        <row r="8417">
          <cell r="A8417" t="str">
            <v>10096.10388</v>
          </cell>
          <cell r="B8417" t="str">
            <v>PANTALON   T : 48</v>
          </cell>
          <cell r="C8417" t="str">
            <v>PANTALON   T : 48  REFERENCE A LA NORME : EN 11612 A1 A2 B1 C1 E1 F1 IEC 61482-2 CLASSE 1 EN 11611 CLASSE 1 A1 EN 1149 - 5 EN 13034 - TYPE 6 CONFORMITE : MARQUAGE C E  FICHE TECHNIQUE  ATTESTATION D'EXAMEN UE DE TYPE SUIVANT SPECIFICATIONS TECHNIQUES CI ATTACHES</v>
          </cell>
          <cell r="D8417" t="str">
            <v>PE</v>
          </cell>
          <cell r="E8417" t="str">
            <v>522.52216</v>
          </cell>
          <cell r="F8417">
            <v>358.6</v>
          </cell>
          <cell r="G8417">
            <v>2</v>
          </cell>
          <cell r="H8417">
            <v>10</v>
          </cell>
          <cell r="I8417">
            <v>2</v>
          </cell>
          <cell r="J8417">
            <v>0</v>
          </cell>
          <cell r="K8417">
            <v>0</v>
          </cell>
          <cell r="L8417">
            <v>53</v>
          </cell>
        </row>
        <row r="8418">
          <cell r="A8418" t="str">
            <v>10096.10389</v>
          </cell>
          <cell r="B8418" t="str">
            <v>PANTALON   T : 50</v>
          </cell>
          <cell r="C8418" t="str">
            <v>PANTALON   T : 50  REFERENCE A LA NORME : EN 11612 A1 A2 B1 C1 E1 F1 IEC 61482-2 CLASSE 1 EN 11611 CLASSE 1 A1 EN 1149 - 5 EN 13034 - TYPE 6 CONFORMITE : MARQUAGE C E  FICHE TECHNIQUE  ATTESTATION D'EXAMEN UE DE TYPE SUIVANT SPECIFICATIONS TECHNIQUES CI ATTACHES</v>
          </cell>
          <cell r="D8418" t="str">
            <v>PE</v>
          </cell>
          <cell r="E8418" t="str">
            <v>522.52216</v>
          </cell>
          <cell r="F8418">
            <v>326</v>
          </cell>
          <cell r="G8418">
            <v>0</v>
          </cell>
          <cell r="H8418">
            <v>4</v>
          </cell>
          <cell r="I8418">
            <v>0</v>
          </cell>
          <cell r="J8418">
            <v>0</v>
          </cell>
          <cell r="K8418">
            <v>0</v>
          </cell>
          <cell r="L8418">
            <v>17</v>
          </cell>
        </row>
        <row r="8419">
          <cell r="A8419" t="str">
            <v>10096.10390</v>
          </cell>
          <cell r="B8419" t="str">
            <v>PANTALON   T : 52</v>
          </cell>
          <cell r="C8419" t="str">
            <v>PANTALON   T : 52  REFERENCE A LA NORME : EN 11612 A1 A2 B1 C1 E1 F1 IEC 61482-2 CLASSE 1 EN 11611 CLASSE 1 A1 EN 1149 - 5 EN 13034 - TYPE 6 CONFORMITE : MARQUAGE C E  FICHE TECHNIQUE  ATTESTATION D'EXAMEN UE DE TYPE SUIVANT SPECIFICATIONS TECHNIQUES CI ATTACHES</v>
          </cell>
          <cell r="D8419" t="str">
            <v>PE</v>
          </cell>
          <cell r="E8419" t="str">
            <v>522.52216</v>
          </cell>
          <cell r="F8419">
            <v>326</v>
          </cell>
          <cell r="G8419">
            <v>0</v>
          </cell>
          <cell r="H8419">
            <v>4</v>
          </cell>
          <cell r="I8419">
            <v>0</v>
          </cell>
          <cell r="J8419">
            <v>0</v>
          </cell>
          <cell r="K8419">
            <v>0</v>
          </cell>
          <cell r="L8419">
            <v>10</v>
          </cell>
        </row>
        <row r="8420">
          <cell r="A8420" t="str">
            <v>10096.10391</v>
          </cell>
          <cell r="B8420" t="str">
            <v>PANTALON   T : 54</v>
          </cell>
          <cell r="C8420" t="str">
            <v>PANTALON   T : 54  REFERENCE A LA NORME : EN 11612 A1 A2 B1 C1 E1 F1 IEC 61482-2 CLASSE 1 EN 11611 CLASSE 1 A1 EN 1149 - 5 EN 13034 - TYPE 6 CONFORMITE : MARQUAGE C E  FICHE TECHNIQUE  ATTESTATION D'EXAMEN UE DE TYPE SUIVANT SPECIFICATIONS TECHNIQUES CI ATTACHES</v>
          </cell>
          <cell r="D8420" t="str">
            <v>PE</v>
          </cell>
          <cell r="E8420" t="str">
            <v>522.52216</v>
          </cell>
          <cell r="F8420">
            <v>326</v>
          </cell>
          <cell r="G8420">
            <v>0</v>
          </cell>
          <cell r="H8420">
            <v>2</v>
          </cell>
          <cell r="I8420">
            <v>0</v>
          </cell>
          <cell r="J8420">
            <v>0</v>
          </cell>
          <cell r="K8420">
            <v>0</v>
          </cell>
          <cell r="L8420">
            <v>5</v>
          </cell>
        </row>
        <row r="8421">
          <cell r="A8421" t="str">
            <v>10096.10414</v>
          </cell>
          <cell r="B8421" t="str">
            <v>GILET FILET A HAUTE VISIBILITE    T : S</v>
          </cell>
          <cell r="C8421" t="str">
            <v>GILET FILET A HAUTE VISIBILITE    T : S   REFERENCE A LA NORME : EN 20471 CLASSE 2 CONFORMITE : MARQUAGE C E  FICHE TECHNIQUE  ATTESTATION D'EXAMEN UE DE TYPE SUIVANT SPECIFICATIONS TECHNIQUES CI ATTACHES</v>
          </cell>
          <cell r="D8421" t="str">
            <v>PE</v>
          </cell>
          <cell r="E8421" t="str">
            <v>522.52216</v>
          </cell>
          <cell r="F8421">
            <v>142</v>
          </cell>
          <cell r="G8421">
            <v>0</v>
          </cell>
          <cell r="H8421">
            <v>26</v>
          </cell>
          <cell r="I8421">
            <v>0</v>
          </cell>
          <cell r="J8421">
            <v>0</v>
          </cell>
          <cell r="K8421">
            <v>0</v>
          </cell>
          <cell r="L8421">
            <v>0</v>
          </cell>
        </row>
        <row r="8422">
          <cell r="A8422" t="str">
            <v>10096.10415</v>
          </cell>
          <cell r="B8422" t="str">
            <v>GILET FILET A HAUTE VISIBILITE    T : M</v>
          </cell>
          <cell r="C8422" t="str">
            <v>GILET FILET A HAUTE VISIBILITE    T : M   REFERENCE A LA NORME : EN 20471 CLASSE 2 CONFORMITE : MARQUAGE C E  FICHE TECHNIQUE  ATTESTATION D'EXAMEN UE DE TYPE SUIVANT SPECIFICATIONS TECHNIQUES CI ATTACHES</v>
          </cell>
          <cell r="D8422" t="str">
            <v>PE</v>
          </cell>
          <cell r="E8422" t="str">
            <v>522.52216</v>
          </cell>
          <cell r="F8422">
            <v>142</v>
          </cell>
          <cell r="G8422">
            <v>1</v>
          </cell>
          <cell r="H8422">
            <v>46</v>
          </cell>
          <cell r="I8422">
            <v>0</v>
          </cell>
          <cell r="J8422">
            <v>0</v>
          </cell>
          <cell r="K8422">
            <v>0</v>
          </cell>
          <cell r="L8422">
            <v>33</v>
          </cell>
        </row>
        <row r="8423">
          <cell r="A8423" t="str">
            <v>10096.10416</v>
          </cell>
          <cell r="B8423" t="str">
            <v>GILET FILET A HAUTE VISIBILITE    T : L</v>
          </cell>
          <cell r="C8423" t="str">
            <v>GILET FILET A HAUTE VISIBILITE    T : L   REFERENCE A LA NORME : EN 20471 CLASSE 2 CONFORMITE : MARQUAGE C E  FICHE TECHNIQUE  ATTESTATION D'EXAMEN UE DE TYPE SUIVANT SPECIFICATIONS TECHNIQUES CI ATTACHES</v>
          </cell>
          <cell r="D8423" t="str">
            <v>PE</v>
          </cell>
          <cell r="E8423" t="str">
            <v>522.52216</v>
          </cell>
          <cell r="F8423">
            <v>142</v>
          </cell>
          <cell r="G8423">
            <v>0</v>
          </cell>
          <cell r="H8423">
            <v>61</v>
          </cell>
          <cell r="I8423">
            <v>0</v>
          </cell>
          <cell r="J8423">
            <v>0</v>
          </cell>
          <cell r="K8423">
            <v>0</v>
          </cell>
          <cell r="L8423">
            <v>19</v>
          </cell>
        </row>
        <row r="8424">
          <cell r="A8424" t="str">
            <v>10096.10417</v>
          </cell>
          <cell r="B8424" t="str">
            <v>GILET FILET A HAUTE VISIBILITE    T : XL</v>
          </cell>
          <cell r="C8424" t="str">
            <v>GILET FILET A HAUTE VISIBILITE    T : XL  REFERENCE A LA NORME : EN 20471 CLASSE 2  CONFORMITE : MARQUAGE C E  FICHE TECHNIQUE  ATTESTATION D'EXAMEN UE DE TYPE SUIVANT SPECIFICATIONS TECHNIQUES CI ATTACHES</v>
          </cell>
          <cell r="D8424" t="str">
            <v>PE</v>
          </cell>
          <cell r="E8424" t="str">
            <v>522.52216</v>
          </cell>
          <cell r="F8424">
            <v>142</v>
          </cell>
          <cell r="G8424">
            <v>0</v>
          </cell>
          <cell r="H8424">
            <v>30</v>
          </cell>
          <cell r="I8424">
            <v>0</v>
          </cell>
          <cell r="J8424">
            <v>0</v>
          </cell>
          <cell r="K8424">
            <v>0</v>
          </cell>
          <cell r="L8424">
            <v>0</v>
          </cell>
        </row>
        <row r="8425">
          <cell r="A8425" t="str">
            <v>10096.10418</v>
          </cell>
          <cell r="B8425" t="str">
            <v>PARKA     T : S</v>
          </cell>
          <cell r="C8425" t="str">
            <v>PARKA    T: S SUIVANT SPECIFICATIONS TECHNIQUES CI ATTACHES</v>
          </cell>
          <cell r="D8425" t="str">
            <v>PE</v>
          </cell>
          <cell r="E8425" t="str">
            <v>522.52216</v>
          </cell>
          <cell r="F8425">
            <v>612</v>
          </cell>
          <cell r="G8425">
            <v>0</v>
          </cell>
          <cell r="H8425">
            <v>1</v>
          </cell>
          <cell r="I8425">
            <v>24</v>
          </cell>
          <cell r="J8425">
            <v>0</v>
          </cell>
          <cell r="K8425">
            <v>0</v>
          </cell>
          <cell r="L8425">
            <v>15</v>
          </cell>
        </row>
        <row r="8426">
          <cell r="A8426" t="str">
            <v>10096.10419</v>
          </cell>
          <cell r="B8426" t="str">
            <v>PARKA    T: M</v>
          </cell>
          <cell r="C8426" t="str">
            <v>PARKA    T: M SUIVANT SPECIFICATIONS TECHNIQUES CI ATTACHES</v>
          </cell>
          <cell r="D8426" t="str">
            <v>PE</v>
          </cell>
          <cell r="E8426" t="str">
            <v>522.52216</v>
          </cell>
          <cell r="F8426">
            <v>612</v>
          </cell>
          <cell r="G8426">
            <v>0</v>
          </cell>
          <cell r="H8426">
            <v>2</v>
          </cell>
          <cell r="I8426">
            <v>69</v>
          </cell>
          <cell r="J8426">
            <v>0</v>
          </cell>
          <cell r="K8426">
            <v>0</v>
          </cell>
          <cell r="L8426">
            <v>9</v>
          </cell>
        </row>
        <row r="8427">
          <cell r="A8427" t="str">
            <v>10096.10420</v>
          </cell>
          <cell r="B8427" t="str">
            <v>PARKA    T: L</v>
          </cell>
          <cell r="C8427" t="str">
            <v>PARKA    T: L SUIVANT SPECIFICATIONS TECHNIQUES CI ATTACHES</v>
          </cell>
          <cell r="D8427" t="str">
            <v>PE</v>
          </cell>
          <cell r="E8427" t="str">
            <v>522.52216</v>
          </cell>
          <cell r="F8427">
            <v>612</v>
          </cell>
          <cell r="G8427">
            <v>3</v>
          </cell>
          <cell r="H8427">
            <v>9</v>
          </cell>
          <cell r="I8427">
            <v>54</v>
          </cell>
          <cell r="J8427">
            <v>0</v>
          </cell>
          <cell r="K8427">
            <v>0</v>
          </cell>
          <cell r="L8427">
            <v>14</v>
          </cell>
        </row>
        <row r="8428">
          <cell r="A8428" t="str">
            <v>10096.10421</v>
          </cell>
          <cell r="B8428" t="str">
            <v>PARKA    T: XL</v>
          </cell>
          <cell r="C8428" t="str">
            <v>PARKA    T: XL SUIVANT SPECIFICATIONS TECHNIQUES CI ATTACHES</v>
          </cell>
          <cell r="D8428" t="str">
            <v>PE</v>
          </cell>
          <cell r="E8428" t="str">
            <v>522.52216</v>
          </cell>
          <cell r="F8428">
            <v>612</v>
          </cell>
          <cell r="G8428">
            <v>0</v>
          </cell>
          <cell r="H8428">
            <v>0</v>
          </cell>
          <cell r="I8428">
            <v>15</v>
          </cell>
          <cell r="J8428">
            <v>0</v>
          </cell>
          <cell r="K8428">
            <v>0</v>
          </cell>
          <cell r="L8428">
            <v>0</v>
          </cell>
        </row>
        <row r="8429">
          <cell r="A8429" t="str">
            <v>10096.10422</v>
          </cell>
          <cell r="B8429" t="str">
            <v>JACKET IMPERMIABLE      T: S</v>
          </cell>
          <cell r="C8429" t="str">
            <v>JACKET IMPERMIABLE      T: S SUIVANT SPECIFICATIONS TECHNIQUES CI ATTACHES</v>
          </cell>
          <cell r="D8429" t="str">
            <v>PE</v>
          </cell>
          <cell r="E8429" t="str">
            <v>522.52216</v>
          </cell>
          <cell r="F8429">
            <v>327</v>
          </cell>
          <cell r="G8429">
            <v>0</v>
          </cell>
          <cell r="H8429">
            <v>27</v>
          </cell>
          <cell r="I8429">
            <v>0</v>
          </cell>
          <cell r="J8429">
            <v>0</v>
          </cell>
          <cell r="K8429">
            <v>0</v>
          </cell>
          <cell r="L8429">
            <v>13</v>
          </cell>
        </row>
        <row r="8430">
          <cell r="A8430" t="str">
            <v>10096.10423</v>
          </cell>
          <cell r="B8430" t="str">
            <v>JACKET IMPERMIABLE      T: M</v>
          </cell>
          <cell r="C8430" t="str">
            <v>JACKET IMPERMIABLE      T: M SUIVANT SPECIFICATIONS TECHNIQUES CI ATTACHES</v>
          </cell>
          <cell r="D8430" t="str">
            <v>PE</v>
          </cell>
          <cell r="E8430" t="str">
            <v>522.52216</v>
          </cell>
          <cell r="F8430">
            <v>327</v>
          </cell>
          <cell r="G8430">
            <v>0</v>
          </cell>
          <cell r="H8430">
            <v>51</v>
          </cell>
          <cell r="I8430">
            <v>0</v>
          </cell>
          <cell r="J8430">
            <v>0</v>
          </cell>
          <cell r="K8430">
            <v>0</v>
          </cell>
          <cell r="L8430">
            <v>29</v>
          </cell>
        </row>
        <row r="8431">
          <cell r="A8431" t="str">
            <v>10096.10424</v>
          </cell>
          <cell r="B8431" t="str">
            <v>JACKET IMPERMIABLE      T: L</v>
          </cell>
          <cell r="C8431" t="str">
            <v>JACKET IMPERMIABLE      T: L SUIVANT SPECIFICATIONS TECHNIQUES CI ATTACHES</v>
          </cell>
          <cell r="D8431" t="str">
            <v>PE</v>
          </cell>
          <cell r="E8431" t="str">
            <v>522.52216</v>
          </cell>
          <cell r="F8431">
            <v>327</v>
          </cell>
          <cell r="G8431">
            <v>0</v>
          </cell>
          <cell r="H8431">
            <v>80</v>
          </cell>
          <cell r="I8431">
            <v>0</v>
          </cell>
          <cell r="J8431">
            <v>0</v>
          </cell>
          <cell r="K8431">
            <v>0</v>
          </cell>
          <cell r="L8431">
            <v>0</v>
          </cell>
        </row>
        <row r="8432">
          <cell r="A8432" t="str">
            <v>10096.10426</v>
          </cell>
          <cell r="B8432" t="str">
            <v>PANTALON IMPERMEABLE  T : S</v>
          </cell>
          <cell r="C8432" t="str">
            <v>PANTALON IMPERMEABLE  T : S SUIVANT SPECIFICATIONS TECHNIQUES CI ATTACHES</v>
          </cell>
          <cell r="D8432" t="str">
            <v>PE</v>
          </cell>
          <cell r="E8432" t="str">
            <v>522.52216</v>
          </cell>
          <cell r="F8432">
            <v>209</v>
          </cell>
          <cell r="G8432">
            <v>0</v>
          </cell>
          <cell r="H8432">
            <v>25</v>
          </cell>
          <cell r="I8432">
            <v>0</v>
          </cell>
          <cell r="J8432">
            <v>0</v>
          </cell>
          <cell r="K8432">
            <v>0</v>
          </cell>
          <cell r="L8432">
            <v>15</v>
          </cell>
        </row>
        <row r="8433">
          <cell r="A8433" t="str">
            <v>10096.10427</v>
          </cell>
          <cell r="B8433" t="str">
            <v>PANTALON IMPERMEABLE  T : M</v>
          </cell>
          <cell r="C8433" t="str">
            <v>PANTALON IMPERMEABLE  T : M SUIVANT SPECIFICATIONS TECHNIQUES CI ATTACHES</v>
          </cell>
          <cell r="D8433" t="str">
            <v>PE</v>
          </cell>
          <cell r="E8433" t="str">
            <v>522.52216</v>
          </cell>
          <cell r="F8433">
            <v>209</v>
          </cell>
          <cell r="G8433">
            <v>0</v>
          </cell>
          <cell r="H8433">
            <v>71</v>
          </cell>
          <cell r="I8433">
            <v>0</v>
          </cell>
          <cell r="J8433">
            <v>0</v>
          </cell>
          <cell r="K8433">
            <v>0</v>
          </cell>
          <cell r="L8433">
            <v>9</v>
          </cell>
        </row>
        <row r="8434">
          <cell r="A8434" t="str">
            <v>10096.10428</v>
          </cell>
          <cell r="B8434" t="str">
            <v>PANTALON IMPERMEABLE  T : L</v>
          </cell>
          <cell r="C8434" t="str">
            <v>PANTALON IMPERMEABLE  T : L SUIVANT SPECIFICATIONS TECHNIQUES CI ATTACHES</v>
          </cell>
          <cell r="D8434" t="str">
            <v>PE</v>
          </cell>
          <cell r="E8434" t="str">
            <v>522.52216</v>
          </cell>
          <cell r="F8434">
            <v>209</v>
          </cell>
          <cell r="G8434">
            <v>0</v>
          </cell>
          <cell r="H8434">
            <v>80</v>
          </cell>
          <cell r="I8434">
            <v>0</v>
          </cell>
          <cell r="J8434">
            <v>0</v>
          </cell>
          <cell r="K8434">
            <v>0</v>
          </cell>
          <cell r="L8434">
            <v>0</v>
          </cell>
        </row>
        <row r="8435">
          <cell r="A8435" t="str">
            <v>20497.27414</v>
          </cell>
          <cell r="B8435" t="str">
            <v>AMORTISSEUR DE PULSATION</v>
          </cell>
          <cell r="C8435" t="str">
            <v>HIDRACAR MODEL U100AO3E1-AI</v>
          </cell>
          <cell r="D8435" t="str">
            <v>PE</v>
          </cell>
          <cell r="E8435" t="str">
            <v>515.51517</v>
          </cell>
          <cell r="F8435">
            <v>26983</v>
          </cell>
          <cell r="G8435">
            <v>0</v>
          </cell>
          <cell r="H8435">
            <v>0</v>
          </cell>
          <cell r="I8435">
            <v>0</v>
          </cell>
          <cell r="J8435">
            <v>0</v>
          </cell>
          <cell r="K8435">
            <v>0</v>
          </cell>
          <cell r="L8435">
            <v>2</v>
          </cell>
        </row>
        <row r="8436">
          <cell r="A8436" t="str">
            <v>20498.30332</v>
          </cell>
          <cell r="B8436" t="str">
            <v>COLLIMATEUR POUR IRRADATION FRONTALE</v>
          </cell>
          <cell r="C8436" t="str">
            <v>BERTHOLD 11814</v>
          </cell>
          <cell r="D8436" t="str">
            <v>PE</v>
          </cell>
          <cell r="E8436" t="str">
            <v>512.51201</v>
          </cell>
          <cell r="F8436">
            <v>9676</v>
          </cell>
          <cell r="G8436">
            <v>0</v>
          </cell>
          <cell r="H8436">
            <v>1</v>
          </cell>
          <cell r="I8436">
            <v>2</v>
          </cell>
          <cell r="J8436">
            <v>0</v>
          </cell>
          <cell r="K8436">
            <v>0</v>
          </cell>
          <cell r="L8436">
            <v>0</v>
          </cell>
        </row>
        <row r="8437">
          <cell r="A8437" t="str">
            <v>20498.30348</v>
          </cell>
          <cell r="B8437" t="str">
            <v>TRANSMETTEUR HAWK SULTAN SONAR SYSTEM AWR234 SUXXXX</v>
          </cell>
          <cell r="C8437" t="str">
            <v>HAWK SULTAN SONAR SYSTEM AWR234 SUXXXX</v>
          </cell>
          <cell r="D8437" t="str">
            <v>PE</v>
          </cell>
          <cell r="E8437" t="str">
            <v>512.51201</v>
          </cell>
          <cell r="F8437">
            <v>6275</v>
          </cell>
          <cell r="G8437">
            <v>0</v>
          </cell>
          <cell r="H8437">
            <v>0</v>
          </cell>
          <cell r="I8437">
            <v>0</v>
          </cell>
          <cell r="J8437">
            <v>0</v>
          </cell>
          <cell r="K8437">
            <v>0</v>
          </cell>
          <cell r="L8437">
            <v>1</v>
          </cell>
        </row>
        <row r="8438">
          <cell r="A8438" t="str">
            <v>20498.30349</v>
          </cell>
          <cell r="B8438" t="str">
            <v>SONDE</v>
          </cell>
          <cell r="C8438" t="str">
            <v>HAWK SULTAN SONAR SYSTEM AWRTS 002S4XC6</v>
          </cell>
          <cell r="D8438" t="str">
            <v>PE</v>
          </cell>
          <cell r="E8438" t="str">
            <v>512.51201</v>
          </cell>
          <cell r="F8438">
            <v>17562</v>
          </cell>
          <cell r="G8438">
            <v>0</v>
          </cell>
          <cell r="H8438">
            <v>0</v>
          </cell>
          <cell r="I8438">
            <v>0</v>
          </cell>
          <cell r="J8438">
            <v>0</v>
          </cell>
          <cell r="K8438">
            <v>0</v>
          </cell>
          <cell r="L8438">
            <v>2</v>
          </cell>
        </row>
        <row r="8439">
          <cell r="A8439" t="str">
            <v>20498.30350</v>
          </cell>
          <cell r="B8439" t="str">
            <v>SYSTEM DE NETTOYAGE</v>
          </cell>
          <cell r="C8439" t="str">
            <v>HAWK SULTAN SONAR SYSTEM IMPACT PLATE</v>
          </cell>
          <cell r="D8439" t="str">
            <v>PE</v>
          </cell>
          <cell r="E8439" t="str">
            <v>512.51201</v>
          </cell>
          <cell r="F8439">
            <v>5134</v>
          </cell>
          <cell r="G8439">
            <v>0</v>
          </cell>
          <cell r="H8439">
            <v>0</v>
          </cell>
          <cell r="I8439">
            <v>0</v>
          </cell>
          <cell r="J8439">
            <v>0</v>
          </cell>
          <cell r="K8439">
            <v>0</v>
          </cell>
          <cell r="L8439">
            <v>1</v>
          </cell>
        </row>
        <row r="8440">
          <cell r="A8440" t="str">
            <v>10096.10434</v>
          </cell>
          <cell r="B8440" t="str">
            <v>GILET FILET A HAUTE VISIBILITE    T : 2XL</v>
          </cell>
          <cell r="C8440" t="str">
            <v>GILET FILET A HAUTE VISIBILITE    T : 2XL  REFERENCE A LA NORME : EN 20471 CLASSE 2 CONFORMITE : MARQUAGE C E  FICHE TECHNIQUE  ATTESTATION D'EXAMEN UE DE TYPE SUIVANT SPECIFICATIONS TECHNIQUES CI ATTACHES</v>
          </cell>
          <cell r="D8440" t="str">
            <v>PE</v>
          </cell>
          <cell r="E8440" t="str">
            <v>522.52216</v>
          </cell>
          <cell r="F8440">
            <v>142</v>
          </cell>
          <cell r="G8440">
            <v>0</v>
          </cell>
          <cell r="H8440">
            <v>4</v>
          </cell>
          <cell r="I8440">
            <v>0</v>
          </cell>
          <cell r="J8440">
            <v>0</v>
          </cell>
          <cell r="K8440">
            <v>0</v>
          </cell>
          <cell r="L8440">
            <v>0</v>
          </cell>
        </row>
        <row r="8441">
          <cell r="A8441" t="str">
            <v>10096.10438</v>
          </cell>
          <cell r="B8441" t="str">
            <v>PARKA    T: 2XL</v>
          </cell>
          <cell r="C8441" t="str">
            <v>PARKA    T: 2XL SUIVANT SPECIFICATIONS TECHNIQUES CI ATTACHES</v>
          </cell>
          <cell r="D8441" t="str">
            <v>PE</v>
          </cell>
          <cell r="E8441" t="str">
            <v>522.52216</v>
          </cell>
          <cell r="F8441">
            <v>612</v>
          </cell>
          <cell r="G8441">
            <v>0</v>
          </cell>
          <cell r="H8441">
            <v>0</v>
          </cell>
          <cell r="I8441">
            <v>4</v>
          </cell>
          <cell r="J8441">
            <v>0</v>
          </cell>
          <cell r="K8441">
            <v>0</v>
          </cell>
          <cell r="L8441">
            <v>0</v>
          </cell>
        </row>
        <row r="8442">
          <cell r="A8442" t="str">
            <v>10096.10439</v>
          </cell>
          <cell r="B8442" t="str">
            <v>PARKA    T: 3XL</v>
          </cell>
          <cell r="C8442" t="str">
            <v>PARKA    T: 3XL SUIVANT SPECIFICATIONS TECHNIQUES CI ATTACHES</v>
          </cell>
          <cell r="D8442" t="str">
            <v>PE</v>
          </cell>
          <cell r="E8442" t="str">
            <v>522.52216</v>
          </cell>
          <cell r="F8442">
            <v>612</v>
          </cell>
          <cell r="G8442">
            <v>0</v>
          </cell>
          <cell r="H8442">
            <v>0</v>
          </cell>
          <cell r="I8442">
            <v>1</v>
          </cell>
          <cell r="J8442">
            <v>0</v>
          </cell>
          <cell r="K8442">
            <v>0</v>
          </cell>
          <cell r="L8442">
            <v>0</v>
          </cell>
        </row>
        <row r="8443">
          <cell r="A8443" t="str">
            <v>10096.10442</v>
          </cell>
          <cell r="B8443" t="str">
            <v>JACKET IMPERMIABLE      T: 3XL</v>
          </cell>
          <cell r="C8443" t="str">
            <v>JACKET IMPERMIABLE      T: 3XL SUIVANT SPECIFICATIONS TECHNIQUES CI ATTACHES</v>
          </cell>
          <cell r="D8443" t="str">
            <v>PE</v>
          </cell>
          <cell r="E8443" t="str">
            <v>522.52216</v>
          </cell>
          <cell r="F8443">
            <v>327</v>
          </cell>
          <cell r="G8443">
            <v>0</v>
          </cell>
          <cell r="H8443">
            <v>1</v>
          </cell>
          <cell r="I8443">
            <v>0</v>
          </cell>
          <cell r="J8443">
            <v>0</v>
          </cell>
          <cell r="K8443">
            <v>0</v>
          </cell>
          <cell r="L8443">
            <v>0</v>
          </cell>
        </row>
        <row r="8444">
          <cell r="A8444" t="str">
            <v>10096.10445</v>
          </cell>
          <cell r="B8444" t="str">
            <v>PANTALON IMPERMEABLE  T : 3XL</v>
          </cell>
          <cell r="C8444" t="str">
            <v>PANTALON IMPERMEABLE  T : 3XL SUIVANT SPECIFICATIONS TECHNIQUES CI ATTACHES</v>
          </cell>
          <cell r="D8444" t="str">
            <v>PE</v>
          </cell>
          <cell r="E8444" t="str">
            <v>522.52216</v>
          </cell>
          <cell r="F8444">
            <v>209</v>
          </cell>
          <cell r="G8444">
            <v>0</v>
          </cell>
          <cell r="H8444">
            <v>1</v>
          </cell>
          <cell r="I8444">
            <v>0</v>
          </cell>
          <cell r="J8444">
            <v>0</v>
          </cell>
          <cell r="K8444">
            <v>0</v>
          </cell>
          <cell r="L8444">
            <v>0</v>
          </cell>
        </row>
        <row r="8445">
          <cell r="A8445" t="str">
            <v>20438.01347</v>
          </cell>
          <cell r="B8445" t="str">
            <v>VANNE A PAPILLON DN14"</v>
          </cell>
          <cell r="C8445" t="str">
            <v>14-811-267-TG-FTI-A-S</v>
          </cell>
          <cell r="D8445" t="str">
            <v>PE</v>
          </cell>
          <cell r="E8445" t="str">
            <v>515.51511</v>
          </cell>
          <cell r="F8445">
            <v>15954.626</v>
          </cell>
          <cell r="G8445">
            <v>0</v>
          </cell>
          <cell r="H8445">
            <v>3</v>
          </cell>
          <cell r="I8445">
            <v>1</v>
          </cell>
          <cell r="J8445">
            <v>0</v>
          </cell>
          <cell r="K8445">
            <v>0</v>
          </cell>
          <cell r="L8445">
            <v>2</v>
          </cell>
        </row>
        <row r="8446">
          <cell r="A8446" t="str">
            <v>20492.51310</v>
          </cell>
          <cell r="B8446" t="str">
            <v>PIEGE A RESINES</v>
          </cell>
          <cell r="C8446" t="str">
            <v xml:space="preserve">VEOLIA PLAN: N°STI-00-MAF-021 REV B               </v>
          </cell>
          <cell r="D8446" t="str">
            <v>PE</v>
          </cell>
          <cell r="E8446" t="str">
            <v>524.52401</v>
          </cell>
          <cell r="F8446">
            <v>4858.8280000000004</v>
          </cell>
          <cell r="G8446">
            <v>0</v>
          </cell>
          <cell r="H8446">
            <v>0</v>
          </cell>
          <cell r="I8446">
            <v>0</v>
          </cell>
          <cell r="J8446">
            <v>0</v>
          </cell>
          <cell r="K8446">
            <v>10</v>
          </cell>
          <cell r="L8446">
            <v>0</v>
          </cell>
        </row>
        <row r="8447">
          <cell r="A8447" t="str">
            <v>20492.51311</v>
          </cell>
          <cell r="B8447" t="str">
            <v>PIEGE A CHARBON ACTIF</v>
          </cell>
          <cell r="C8447" t="str">
            <v>VEOLIA PLAN: N°STI-00-MAF-022 REV B</v>
          </cell>
          <cell r="D8447" t="str">
            <v>PE</v>
          </cell>
          <cell r="E8447" t="str">
            <v>524.52401</v>
          </cell>
          <cell r="F8447">
            <v>6587.6668</v>
          </cell>
          <cell r="G8447">
            <v>0</v>
          </cell>
          <cell r="H8447">
            <v>0</v>
          </cell>
          <cell r="I8447">
            <v>0</v>
          </cell>
          <cell r="J8447">
            <v>0</v>
          </cell>
          <cell r="K8447">
            <v>4</v>
          </cell>
          <cell r="L8447">
            <v>0</v>
          </cell>
        </row>
        <row r="8448">
          <cell r="A8448" t="str">
            <v>20492.51312</v>
          </cell>
          <cell r="B8448" t="str">
            <v>PIEGE A CHARBON ACTIF</v>
          </cell>
          <cell r="C8448" t="str">
            <v>VEOLIA PLAN: N°STI-00-MAF-023 REV B</v>
          </cell>
          <cell r="D8448" t="str">
            <v>PE</v>
          </cell>
          <cell r="E8448" t="str">
            <v>524.52401</v>
          </cell>
          <cell r="F8448">
            <v>5728.8972000000003</v>
          </cell>
          <cell r="G8448">
            <v>0</v>
          </cell>
          <cell r="H8448">
            <v>0</v>
          </cell>
          <cell r="I8448">
            <v>0</v>
          </cell>
          <cell r="J8448">
            <v>0</v>
          </cell>
          <cell r="K8448">
            <v>2</v>
          </cell>
          <cell r="L8448">
            <v>0</v>
          </cell>
        </row>
        <row r="8449">
          <cell r="A8449" t="str">
            <v>10096.10518</v>
          </cell>
          <cell r="B8449" t="str">
            <v>TENUE DE TRAVAIL ( BLOUSON )  T36</v>
          </cell>
          <cell r="C8449" t="str">
            <v>TENUE DE TRAVAIL ( BLOUSON )  T36  REFERENCE A LA NORME : EN 11612 A1 A2 B1 C1 E1 F1 IEC 61482-2 CLASSE 1 EN 11611 CLASSE 1 A1 EN 1149 - 5 EN 13034 - TYPE 6 CONFORMITE : MARQUAGE C E  FICHE TECHNIQUE  ATTESTATION D'EXAMEN UE DE TYPE SUIVANT SPECIFICATIONS TECHNIQUES  CI ATTACHES</v>
          </cell>
          <cell r="D8449" t="str">
            <v>PE</v>
          </cell>
          <cell r="E8449" t="str">
            <v>522.52216</v>
          </cell>
          <cell r="F8449">
            <v>582</v>
          </cell>
          <cell r="G8449">
            <v>0</v>
          </cell>
          <cell r="H8449">
            <v>60</v>
          </cell>
          <cell r="I8449">
            <v>0</v>
          </cell>
          <cell r="J8449">
            <v>0</v>
          </cell>
          <cell r="K8449">
            <v>0</v>
          </cell>
          <cell r="L8449">
            <v>20</v>
          </cell>
        </row>
        <row r="8450">
          <cell r="A8450" t="str">
            <v>10096.10519</v>
          </cell>
          <cell r="B8450" t="str">
            <v>TENUE DE TRAVAIL ( BLOUSON )  T38</v>
          </cell>
          <cell r="C8450" t="str">
            <v>TENUE DE TRAVAIL ( BLOUSON )  T38  REFERENCE A LA NORME : EN 11612 A1 A2 B1 C1 E1 F1 IEC 61482-2 CLASSE 1 EN 11611 CLASSE 1 A1 EN 1149 - 5 EN 13034 - TYPE 6 CONFORMITE : MARQUAGE C E  FICHE TECHNIQUE  ATTESTATION D'EXAMEN UE DE TYPE SUIVANT SPECIFICATIONS TECHNIQUES  CI ATTACHES</v>
          </cell>
          <cell r="D8450" t="str">
            <v>PE</v>
          </cell>
          <cell r="E8450" t="str">
            <v>522.52216</v>
          </cell>
          <cell r="F8450">
            <v>582</v>
          </cell>
          <cell r="G8450">
            <v>0</v>
          </cell>
          <cell r="H8450">
            <v>80</v>
          </cell>
          <cell r="I8450">
            <v>0</v>
          </cell>
          <cell r="J8450">
            <v>0</v>
          </cell>
          <cell r="K8450">
            <v>0</v>
          </cell>
          <cell r="L8450">
            <v>4</v>
          </cell>
        </row>
        <row r="8451">
          <cell r="A8451" t="str">
            <v>10096.10520</v>
          </cell>
          <cell r="B8451" t="str">
            <v>TENUE DE TRAVAIL ( BLOUSON )  T40</v>
          </cell>
          <cell r="C8451" t="str">
            <v>TENUE DE TRAVAIL ( BLOUSON )  T40  REFERENCE A LA NORME : EN 11612 A1 A2 B1 C1 E1 F1 IEC 61482-2 CLASSE 1 EN 11611 CLASSE 1 A1 EN 1149 - 5 EN 13034 - TYPE 6 CONFORMITE : MARQUAGE C E  FICHE TECHNIQUE  ATTESTATION D'EXAMEN UE DE TYPE SUIVANT SPECIFICATIONS TECHNIQUES  CI ATTACHES</v>
          </cell>
          <cell r="D8451" t="str">
            <v>PE</v>
          </cell>
          <cell r="E8451" t="str">
            <v>522.52216</v>
          </cell>
          <cell r="F8451">
            <v>582</v>
          </cell>
          <cell r="G8451">
            <v>0</v>
          </cell>
          <cell r="H8451">
            <v>22</v>
          </cell>
          <cell r="I8451">
            <v>2</v>
          </cell>
          <cell r="J8451">
            <v>0</v>
          </cell>
          <cell r="K8451">
            <v>0</v>
          </cell>
          <cell r="L8451">
            <v>56</v>
          </cell>
        </row>
        <row r="8452">
          <cell r="A8452" t="str">
            <v>10096.10526</v>
          </cell>
          <cell r="B8452" t="str">
            <v>PANTALON   T : 56</v>
          </cell>
          <cell r="C8452" t="str">
            <v>PANTALON   T : 56 REFERENCE A LA NORME : EN 11612 A1 A2 B1 C1 E1 F1 IEC 61482-2 CLASSE 1 EN 11611 CLASSE 1 A1 EN 1149 - 5 EN 13034 - TYPE 6 CONFORMITE : MARQUAGE C E  FICHE TECHNIQUE  ATTESTATION D'EXAMEN UE DE TYPE SUIVANT SPECIFICATIONS TECHNIQUES CI ATTACHES</v>
          </cell>
          <cell r="D8452" t="str">
            <v>PE</v>
          </cell>
          <cell r="E8452" t="str">
            <v>522.52216</v>
          </cell>
          <cell r="F8452">
            <v>326</v>
          </cell>
          <cell r="G8452">
            <v>0</v>
          </cell>
          <cell r="H8452">
            <v>0</v>
          </cell>
          <cell r="I8452">
            <v>0</v>
          </cell>
          <cell r="J8452">
            <v>0</v>
          </cell>
          <cell r="K8452">
            <v>0</v>
          </cell>
          <cell r="L8452">
            <v>4</v>
          </cell>
        </row>
        <row r="8453">
          <cell r="A8453" t="str">
            <v>20691.01525</v>
          </cell>
          <cell r="B8453" t="str">
            <v>CARTOUCHE TONER NOIR (3.000 PAGES)</v>
          </cell>
          <cell r="C8453" t="str">
            <v xml:space="preserve">XEROX 106R02777 P/IMPRIMANTRE TYPE WORKCENTRE 3215/ 3225 N.B : A PRECISER SUR OFFRE ''MARQUE ORIGINE OU ADAPTABLE'' </v>
          </cell>
          <cell r="D8453" t="str">
            <v>PE</v>
          </cell>
          <cell r="E8453" t="str">
            <v>222.22206</v>
          </cell>
          <cell r="F8453">
            <v>839</v>
          </cell>
          <cell r="G8453">
            <v>1</v>
          </cell>
          <cell r="H8453">
            <v>13</v>
          </cell>
          <cell r="I8453">
            <v>14</v>
          </cell>
          <cell r="J8453">
            <v>4</v>
          </cell>
          <cell r="K8453">
            <v>6</v>
          </cell>
          <cell r="L8453">
            <v>12</v>
          </cell>
        </row>
        <row r="8454">
          <cell r="A8454" t="str">
            <v>20691.01526</v>
          </cell>
          <cell r="B8454" t="str">
            <v>CARTOUCHE TAMBOUR (10.000 PAGES)</v>
          </cell>
          <cell r="C8454" t="str">
            <v>XEROX 101R00474 P/IMPRIMANTRE TYPE WORKCENTRE 3215/ 3225 N.B : A PRECISER SUR OFFRE ''MARQUE ORIGINE OU ADAPTABLE''</v>
          </cell>
          <cell r="D8454" t="str">
            <v>PE</v>
          </cell>
          <cell r="E8454" t="str">
            <v>222.22206</v>
          </cell>
          <cell r="F8454">
            <v>790.41669999999999</v>
          </cell>
          <cell r="G8454">
            <v>0</v>
          </cell>
          <cell r="H8454">
            <v>3</v>
          </cell>
          <cell r="I8454">
            <v>6</v>
          </cell>
          <cell r="J8454">
            <v>2</v>
          </cell>
          <cell r="K8454">
            <v>4</v>
          </cell>
          <cell r="L8454">
            <v>15</v>
          </cell>
        </row>
        <row r="8455">
          <cell r="A8455" t="str">
            <v>10096.10549</v>
          </cell>
          <cell r="B8455" t="str">
            <v>BAVETTES JETABLES COVID 19</v>
          </cell>
          <cell r="C8455" t="str">
            <v>BAVETTES JETABLES COVID 19 NORME : NM/ST 21.5.200SPECIFICATION COMPLEMENTAIRE : NOMBRE DE PLIS : 3 ; LA LARGEUR MINIMALE DE LA BAVETTE OUVERTE : 155 MM ; LA LONGUEUR MINIMALE : 195 MM.FORMES ET ACCESSOIRES : BAVETTE PLATE RECTANGULAIRE AVEC DEUX ELASTIQUES A QUATRE POINTS ATTACHABLE SUR LA TETE DE BONNE QUALITE ET COMFORTABLE. CONFORMITE : CERTIFICAT IMANOR ; FICHE TECHNIQUE ; RAPPORT DES TESTS.TRANSMETTRE 3 ECHANTILLONS AVEC L’OFFRE TECHNIQUE.EMBALLAGES POUR 10 BAVETTES.</v>
          </cell>
          <cell r="D8455" t="str">
            <v>PE</v>
          </cell>
          <cell r="E8455" t="str">
            <v>522.52216</v>
          </cell>
          <cell r="F8455">
            <v>4.8771000000000004</v>
          </cell>
          <cell r="G8455">
            <v>0</v>
          </cell>
          <cell r="H8455">
            <v>2892</v>
          </cell>
          <cell r="I8455">
            <v>0</v>
          </cell>
          <cell r="J8455">
            <v>0</v>
          </cell>
          <cell r="K8455">
            <v>0</v>
          </cell>
          <cell r="L8455">
            <v>0</v>
          </cell>
        </row>
        <row r="8456">
          <cell r="A8456" t="str">
            <v>10065.03104</v>
          </cell>
          <cell r="B8456" t="str">
            <v>POULIE A MOYEU MGT  SPB D212MM</v>
          </cell>
          <cell r="C8456" t="str">
            <v>POULIE A MOYEU ET DOUILLE DE SERRAGE TYPE MAGIC GRIP.T. SECTION:SPB.DIAMETRE:212 MM.NOMBRE DE GORGES:4.NUMERO DE LA DOUILLE:.3020ALESAGE MINI25 MAXI:-75</v>
          </cell>
          <cell r="D8456" t="str">
            <v>PE</v>
          </cell>
          <cell r="E8456" t="str">
            <v>515.51515</v>
          </cell>
          <cell r="F8456">
            <v>530</v>
          </cell>
          <cell r="G8456">
            <v>0</v>
          </cell>
          <cell r="H8456">
            <v>0</v>
          </cell>
          <cell r="I8456">
            <v>0</v>
          </cell>
          <cell r="J8456">
            <v>0</v>
          </cell>
          <cell r="K8456">
            <v>0</v>
          </cell>
          <cell r="L8456">
            <v>1</v>
          </cell>
        </row>
        <row r="8457">
          <cell r="A8457" t="str">
            <v>10092.00003</v>
          </cell>
          <cell r="B8457" t="str">
            <v>GEL DESINFECTANT POUR FRICTION HYDROALCOOLIQUE.FLACON DE 500ML.</v>
          </cell>
          <cell r="C8457" t="str">
            <v>GEL HYDROALCOOLIQUE THIXOTROPIQUE POUR LE TRAITEMENT HYGIENIQUE ET LA DESINFECTION CHIRUGICALE DES MAINS PAR FRICTION  • ALCOOL ETHYLIQUE : 755 ml/l • POINT ECLAIR DU PRODUIT : +23°C  • DENSITE A +20°C : ENV. 0.862  • PH A +20°C : ENVIRON 5,5 (PROCHE DE CELUI DE LA PEAU)  • VISCOSITE A +20°C : 1200 A 2500 mPa.s GENRE ANIOSGEL 85 NPC REF 1644.636 CONDITIONNEMENT : FLACON DE 500 ml - POMPE VISSEE (1.5ml)  NB : A LIVRER AVEC LA FDS</v>
          </cell>
          <cell r="D8457" t="str">
            <v>PE</v>
          </cell>
          <cell r="E8457" t="str">
            <v>223.22301</v>
          </cell>
          <cell r="F8457">
            <v>16.169</v>
          </cell>
          <cell r="G8457">
            <v>0</v>
          </cell>
          <cell r="H8457">
            <v>1443</v>
          </cell>
          <cell r="I8457">
            <v>0</v>
          </cell>
          <cell r="J8457">
            <v>0</v>
          </cell>
          <cell r="K8457">
            <v>0</v>
          </cell>
          <cell r="L8457">
            <v>131</v>
          </cell>
        </row>
        <row r="8458">
          <cell r="A8458" t="str">
            <v>20497.28982</v>
          </cell>
          <cell r="B8458" t="str">
            <v>CORPS DE REFOULEMENT</v>
          </cell>
          <cell r="C8458" t="str">
            <v>APOLLO REF: 236990.00.0 TYPE GLKV-100B/5-827/TN  PLAN 1275434/01-SZ  REP 107</v>
          </cell>
          <cell r="D8458" t="str">
            <v>PE</v>
          </cell>
          <cell r="E8458" t="str">
            <v>515.51511</v>
          </cell>
          <cell r="F8458">
            <v>53705</v>
          </cell>
          <cell r="G8458">
            <v>0</v>
          </cell>
          <cell r="H8458">
            <v>0</v>
          </cell>
          <cell r="I8458">
            <v>0</v>
          </cell>
          <cell r="J8458">
            <v>0</v>
          </cell>
          <cell r="K8458">
            <v>0</v>
          </cell>
          <cell r="L8458">
            <v>1</v>
          </cell>
        </row>
        <row r="8459">
          <cell r="A8459" t="str">
            <v>20497.28983</v>
          </cell>
          <cell r="B8459" t="str">
            <v>BOITIER VESTE</v>
          </cell>
          <cell r="C8459" t="str">
            <v>APOLLO REF: 236991-5 TYPE GLKV-100B/5-827/TN  PLAN 1275434/01-SZ  REP 151</v>
          </cell>
          <cell r="D8459" t="str">
            <v>PE</v>
          </cell>
          <cell r="E8459" t="str">
            <v>515.51511</v>
          </cell>
          <cell r="F8459">
            <v>78147</v>
          </cell>
          <cell r="G8459">
            <v>1</v>
          </cell>
          <cell r="H8459">
            <v>0</v>
          </cell>
          <cell r="I8459">
            <v>0</v>
          </cell>
          <cell r="J8459">
            <v>0</v>
          </cell>
          <cell r="K8459">
            <v>0</v>
          </cell>
          <cell r="L8459">
            <v>0</v>
          </cell>
        </row>
        <row r="8460">
          <cell r="A8460" t="str">
            <v>20497.28984</v>
          </cell>
          <cell r="B8460" t="str">
            <v>BOULON DE CRAVATE</v>
          </cell>
          <cell r="C8460" t="str">
            <v>APOLLO REF: 195166 TYPE GLKV-100B/5-827/TN  PLAN 1275434/01-SZ  REP 905</v>
          </cell>
          <cell r="D8460" t="str">
            <v>PE</v>
          </cell>
          <cell r="E8460" t="str">
            <v>515.51511</v>
          </cell>
          <cell r="F8460">
            <v>2187</v>
          </cell>
          <cell r="G8460">
            <v>0</v>
          </cell>
          <cell r="H8460">
            <v>0</v>
          </cell>
          <cell r="I8460">
            <v>0</v>
          </cell>
          <cell r="J8460">
            <v>0</v>
          </cell>
          <cell r="K8460">
            <v>0</v>
          </cell>
          <cell r="L8460">
            <v>8</v>
          </cell>
        </row>
        <row r="8461">
          <cell r="A8461" t="str">
            <v>10096.10551</v>
          </cell>
          <cell r="B8461" t="str">
            <v>BAVETTES JETABLES AVEC BARRETTE NASALE COVID 19</v>
          </cell>
          <cell r="C8461" t="str">
            <v>BAVETTES JETABLES AVEC BARRETTE NASALE COVID 19 NORME : NM/ST 21.5.200SPECIFICATION COMPLEMENTAIRE : NOMBRE DE PLIS : 3 ; LA LARGEUR MINIMALE DE LA BAVETTE OUVERTE :  155 MM ; LA LONGUEUR ENTRE : 165 ET 175 MM.FORMES ET ACCESSOIRES : BAVETTE PLATE RECTANGULAIRE A BARRETTE NASALE AVEC DEUX ELASTIQUES TORSADÉS A QUATRE POINTS ATTACHABLE SUR L'OREILLE DE BONNE QUALITE ET COMFORTABLE. CONFORMITE : CERTIFICAT IMANOR ; FICHE TECHNIQUE ; RAPPORT DES TESTS.TRANSMETTRE 3 ECHANTILLONS AVEC L’OFFRE TECHNIQUE.EMBALLAGES POUR 10 BAVETTES.</v>
          </cell>
          <cell r="D8461" t="str">
            <v>PE</v>
          </cell>
          <cell r="E8461" t="str">
            <v>522.52216</v>
          </cell>
          <cell r="F8461">
            <v>1.9431</v>
          </cell>
          <cell r="G8461">
            <v>0</v>
          </cell>
          <cell r="H8461">
            <v>4359</v>
          </cell>
          <cell r="I8461">
            <v>0</v>
          </cell>
          <cell r="J8461">
            <v>0</v>
          </cell>
          <cell r="K8461">
            <v>0</v>
          </cell>
          <cell r="L8461">
            <v>655</v>
          </cell>
        </row>
        <row r="8462">
          <cell r="A8462" t="str">
            <v>10096.10551</v>
          </cell>
          <cell r="B8462" t="str">
            <v>BAVETTES JETABLES AVEC BARRETTE NASALE COVID 19</v>
          </cell>
          <cell r="C8462" t="str">
            <v>BAVETTES JETABLES AVEC BARRETTE NASALE COVID 19 NORME : NM/ST 21.5.200SPECIFICATION COMPLEMENTAIRE : NOMBRE DE PLIS : 3 ; LA LARGEUR MINIMALE DE LA BAVETTE OUVERTE :  155 MM ; LA LONGUEUR ENTRE : 165 ET 175 MM.FORMES ET ACCESSOIRES : BAVETTE PLATE RECTANGULAIRE A BARRETTE NASALE AVEC DEUX ELASTIQUES TORSADÉS A QUATRE POINTS ATTACHABLE SUR L'OREILLE DE BONNE QUALITE ET COMFORTABLE. CONFORMITE : CERTIFICAT IMANOR ; FICHE TECHNIQUE ; RAPPORT DES TESTS.TRANSMETTRE 3 ECHANTILLONS AVEC L’OFFRE TECHNIQUE.EMBALLAGES POUR 10 BAVETTES.</v>
          </cell>
          <cell r="D8462" t="str">
            <v>PE</v>
          </cell>
          <cell r="E8462" t="str">
            <v>522.52216</v>
          </cell>
          <cell r="F8462">
            <v>1.9431</v>
          </cell>
          <cell r="G8462">
            <v>0</v>
          </cell>
          <cell r="H8462">
            <v>524</v>
          </cell>
          <cell r="I8462">
            <v>0</v>
          </cell>
          <cell r="J8462">
            <v>0</v>
          </cell>
          <cell r="K8462">
            <v>0</v>
          </cell>
          <cell r="L8462">
            <v>0</v>
          </cell>
        </row>
        <row r="8463">
          <cell r="A8463" t="str">
            <v>20492.56346</v>
          </cell>
          <cell r="B8463" t="str">
            <v>AMORTISSEUR DE PULSATION</v>
          </cell>
          <cell r="C8463" t="str">
            <v>HIDRACAR TYPE: U100AO3E1-AI</v>
          </cell>
          <cell r="D8463" t="str">
            <v>PE</v>
          </cell>
          <cell r="E8463" t="str">
            <v>522.52206</v>
          </cell>
          <cell r="F8463">
            <v>37601.760000000002</v>
          </cell>
          <cell r="G8463">
            <v>0</v>
          </cell>
          <cell r="H8463">
            <v>0</v>
          </cell>
          <cell r="I8463">
            <v>0</v>
          </cell>
          <cell r="J8463">
            <v>0</v>
          </cell>
          <cell r="K8463">
            <v>0</v>
          </cell>
          <cell r="L8463">
            <v>2</v>
          </cell>
        </row>
        <row r="8464">
          <cell r="A8464" t="str">
            <v>20492.56345</v>
          </cell>
          <cell r="B8464" t="str">
            <v>AMORTISSEUR DE PULSATION</v>
          </cell>
          <cell r="C8464" t="str">
            <v>HIDRACAR TYPE: U060A04V1-AI 1-1/2" NPT</v>
          </cell>
          <cell r="D8464" t="str">
            <v>PE</v>
          </cell>
          <cell r="E8464" t="str">
            <v>522.52206</v>
          </cell>
          <cell r="F8464">
            <v>30364.13</v>
          </cell>
          <cell r="G8464">
            <v>0</v>
          </cell>
          <cell r="H8464">
            <v>0</v>
          </cell>
          <cell r="I8464">
            <v>0</v>
          </cell>
          <cell r="J8464">
            <v>0</v>
          </cell>
          <cell r="K8464">
            <v>0</v>
          </cell>
          <cell r="L8464">
            <v>2</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24"/>
  <sheetViews>
    <sheetView tabSelected="1" workbookViewId="0">
      <selection activeCell="D12" sqref="D12"/>
    </sheetView>
  </sheetViews>
  <sheetFormatPr baseColWidth="10" defaultColWidth="20.85546875" defaultRowHeight="12.75" x14ac:dyDescent="0.25"/>
  <cols>
    <col min="1" max="3" width="20.85546875" style="2"/>
    <col min="4" max="4" width="66.85546875" style="2" customWidth="1"/>
    <col min="5" max="14" width="20.85546875" style="2"/>
    <col min="15" max="27" width="8.85546875" style="2" customWidth="1"/>
    <col min="28" max="16384" width="20.85546875" style="2"/>
  </cols>
  <sheetData>
    <row r="1" spans="1:29" ht="41.25" customHeight="1" x14ac:dyDescent="0.25">
      <c r="A1" s="1" t="s">
        <v>276</v>
      </c>
      <c r="B1" s="3" t="s">
        <v>275</v>
      </c>
      <c r="C1" s="3" t="s">
        <v>0</v>
      </c>
      <c r="D1" s="3" t="s">
        <v>1</v>
      </c>
      <c r="E1" s="3" t="s">
        <v>2</v>
      </c>
      <c r="F1" s="3" t="s">
        <v>403</v>
      </c>
      <c r="G1" s="3" t="s">
        <v>3</v>
      </c>
      <c r="H1" s="3" t="s">
        <v>4</v>
      </c>
      <c r="I1" s="3" t="s">
        <v>5</v>
      </c>
      <c r="J1" s="3" t="s">
        <v>6</v>
      </c>
      <c r="K1" s="3" t="s">
        <v>7</v>
      </c>
      <c r="L1" s="3" t="s">
        <v>8</v>
      </c>
      <c r="M1" s="3" t="s">
        <v>402</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401</v>
      </c>
      <c r="AC1" s="3" t="s">
        <v>23</v>
      </c>
    </row>
    <row r="2" spans="1:29" x14ac:dyDescent="0.25">
      <c r="A2" s="1" t="s">
        <v>277</v>
      </c>
      <c r="B2" s="1" t="s">
        <v>24</v>
      </c>
      <c r="C2" s="1">
        <v>6</v>
      </c>
      <c r="D2" s="3" t="s">
        <v>25</v>
      </c>
      <c r="E2" s="1">
        <v>2</v>
      </c>
      <c r="F2" s="1">
        <v>3</v>
      </c>
      <c r="G2" s="1">
        <v>0</v>
      </c>
      <c r="H2" s="3">
        <v>1</v>
      </c>
      <c r="I2" s="3">
        <v>1</v>
      </c>
      <c r="J2" s="3">
        <v>1</v>
      </c>
      <c r="K2" s="3">
        <v>1</v>
      </c>
      <c r="L2" s="3" t="s">
        <v>29</v>
      </c>
      <c r="M2" s="3">
        <v>12</v>
      </c>
      <c r="N2" s="3" t="s">
        <v>26</v>
      </c>
      <c r="O2" s="1">
        <v>0</v>
      </c>
      <c r="P2" s="1">
        <v>0</v>
      </c>
      <c r="Q2" s="1">
        <v>0</v>
      </c>
      <c r="R2" s="1">
        <v>0</v>
      </c>
      <c r="S2" s="1">
        <v>0</v>
      </c>
      <c r="T2" s="1">
        <v>0</v>
      </c>
      <c r="U2" s="1">
        <v>0</v>
      </c>
      <c r="V2" s="1">
        <v>0</v>
      </c>
      <c r="W2" s="1">
        <v>0</v>
      </c>
      <c r="X2" s="1">
        <v>0</v>
      </c>
      <c r="Y2" s="1">
        <v>0</v>
      </c>
      <c r="Z2" s="1">
        <v>0</v>
      </c>
      <c r="AA2" s="1">
        <v>0</v>
      </c>
      <c r="AB2" s="3">
        <f t="shared" ref="AB2:AB65" si="0">AVERAGE(O2:AA2)</f>
        <v>0</v>
      </c>
      <c r="AC2" s="4">
        <f>VLOOKUP(B2,'[1]INV 02-02-23'!$A$1:$L$8464,6,FALSE)</f>
        <v>76.650000000000006</v>
      </c>
    </row>
    <row r="3" spans="1:29" x14ac:dyDescent="0.25">
      <c r="A3" s="1" t="s">
        <v>278</v>
      </c>
      <c r="B3" s="1" t="s">
        <v>270</v>
      </c>
      <c r="C3" s="1"/>
      <c r="D3" s="3" t="s">
        <v>271</v>
      </c>
      <c r="E3" s="5">
        <v>1</v>
      </c>
      <c r="F3" s="1">
        <v>1</v>
      </c>
      <c r="G3" s="1">
        <f>(P3+Q3+R3+S3+T3)/60</f>
        <v>0</v>
      </c>
      <c r="H3" s="3">
        <v>1</v>
      </c>
      <c r="I3" s="1">
        <v>1</v>
      </c>
      <c r="J3" s="3">
        <f>+G3*10+I3</f>
        <v>1</v>
      </c>
      <c r="K3" s="3">
        <v>2</v>
      </c>
      <c r="L3" s="3" t="s">
        <v>29</v>
      </c>
      <c r="M3" s="3">
        <v>12</v>
      </c>
      <c r="N3" s="3" t="s">
        <v>49</v>
      </c>
      <c r="O3" s="1">
        <v>0</v>
      </c>
      <c r="P3" s="1">
        <v>0</v>
      </c>
      <c r="Q3" s="1">
        <v>0</v>
      </c>
      <c r="R3" s="1">
        <v>0</v>
      </c>
      <c r="S3" s="1">
        <v>0</v>
      </c>
      <c r="T3" s="1">
        <v>0</v>
      </c>
      <c r="U3" s="1">
        <v>0</v>
      </c>
      <c r="V3" s="1">
        <v>0</v>
      </c>
      <c r="W3" s="1">
        <v>0</v>
      </c>
      <c r="X3" s="1">
        <v>0</v>
      </c>
      <c r="Y3" s="1">
        <v>0</v>
      </c>
      <c r="Z3" s="1">
        <v>0</v>
      </c>
      <c r="AA3" s="1">
        <v>0</v>
      </c>
      <c r="AB3" s="3">
        <f t="shared" si="0"/>
        <v>0</v>
      </c>
      <c r="AC3" s="1"/>
    </row>
    <row r="4" spans="1:29" ht="25.5" x14ac:dyDescent="0.25">
      <c r="A4" s="1" t="s">
        <v>279</v>
      </c>
      <c r="B4" s="5" t="s">
        <v>27</v>
      </c>
      <c r="C4" s="1">
        <v>6</v>
      </c>
      <c r="D4" s="3" t="s">
        <v>28</v>
      </c>
      <c r="E4" s="5">
        <v>8</v>
      </c>
      <c r="F4" s="1">
        <v>4</v>
      </c>
      <c r="G4" s="1">
        <f>(P4+Q4+R4+S4+T4)/60</f>
        <v>0.76666666666666672</v>
      </c>
      <c r="H4" s="3">
        <v>36</v>
      </c>
      <c r="I4" s="3">
        <v>4</v>
      </c>
      <c r="J4" s="3">
        <f>+G4*10+I4</f>
        <v>11.666666666666668</v>
      </c>
      <c r="K4" s="3">
        <f>J4+(G4*M4)</f>
        <v>20.866666666666667</v>
      </c>
      <c r="L4" s="3" t="s">
        <v>29</v>
      </c>
      <c r="M4" s="3">
        <v>12</v>
      </c>
      <c r="N4" s="3" t="s">
        <v>30</v>
      </c>
      <c r="O4" s="1">
        <v>6</v>
      </c>
      <c r="P4" s="1">
        <v>10</v>
      </c>
      <c r="Q4" s="1">
        <v>8</v>
      </c>
      <c r="R4" s="1">
        <v>10</v>
      </c>
      <c r="S4" s="1">
        <v>12</v>
      </c>
      <c r="T4" s="1">
        <v>6</v>
      </c>
      <c r="U4" s="1">
        <v>0</v>
      </c>
      <c r="V4" s="1">
        <v>4</v>
      </c>
      <c r="W4" s="1">
        <v>0</v>
      </c>
      <c r="X4" s="1">
        <v>0</v>
      </c>
      <c r="Y4" s="1">
        <v>0</v>
      </c>
      <c r="Z4" s="1">
        <v>1</v>
      </c>
      <c r="AA4" s="1">
        <v>10</v>
      </c>
      <c r="AB4" s="3">
        <f t="shared" si="0"/>
        <v>5.1538461538461542</v>
      </c>
      <c r="AC4" s="4">
        <f>VLOOKUP(B4,'[1]INV 02-02-23'!$A$1:$L$8464,6,FALSE)</f>
        <v>2921.5619000000002</v>
      </c>
    </row>
    <row r="5" spans="1:29" x14ac:dyDescent="0.25">
      <c r="A5" s="1" t="s">
        <v>280</v>
      </c>
      <c r="B5" s="5" t="s">
        <v>31</v>
      </c>
      <c r="C5" s="1">
        <v>6</v>
      </c>
      <c r="D5" s="3" t="s">
        <v>32</v>
      </c>
      <c r="E5" s="5">
        <v>3</v>
      </c>
      <c r="F5" s="1">
        <v>2</v>
      </c>
      <c r="G5" s="1">
        <f>(P5+Q5+R5+S5+T5)/60</f>
        <v>0.21666666666666667</v>
      </c>
      <c r="H5" s="3">
        <v>18</v>
      </c>
      <c r="I5" s="3">
        <v>2</v>
      </c>
      <c r="J5" s="3">
        <f>+G5*10+I5</f>
        <v>4.166666666666667</v>
      </c>
      <c r="K5" s="3">
        <f>J5+(G5*M5)</f>
        <v>6.7666666666666675</v>
      </c>
      <c r="L5" s="3" t="s">
        <v>29</v>
      </c>
      <c r="M5" s="3">
        <v>12</v>
      </c>
      <c r="N5" s="3" t="s">
        <v>33</v>
      </c>
      <c r="O5" s="1">
        <v>1</v>
      </c>
      <c r="P5" s="1">
        <v>2</v>
      </c>
      <c r="Q5" s="1">
        <v>4</v>
      </c>
      <c r="R5" s="1">
        <v>3</v>
      </c>
      <c r="S5" s="1">
        <v>2</v>
      </c>
      <c r="T5" s="1">
        <v>2</v>
      </c>
      <c r="U5" s="1">
        <v>2</v>
      </c>
      <c r="V5" s="1">
        <v>0</v>
      </c>
      <c r="W5" s="1">
        <v>0</v>
      </c>
      <c r="X5" s="1">
        <v>2</v>
      </c>
      <c r="Y5" s="1"/>
      <c r="Z5" s="1">
        <v>1</v>
      </c>
      <c r="AA5" s="1">
        <v>0</v>
      </c>
      <c r="AB5" s="3">
        <f t="shared" si="0"/>
        <v>1.5833333333333333</v>
      </c>
      <c r="AC5" s="4">
        <f>VLOOKUP(B5,'[1]INV 02-02-23'!$A$1:$L$8464,6,FALSE)</f>
        <v>9248.8633000000009</v>
      </c>
    </row>
    <row r="6" spans="1:29" x14ac:dyDescent="0.25">
      <c r="A6" s="1" t="s">
        <v>281</v>
      </c>
      <c r="B6" s="5" t="s">
        <v>34</v>
      </c>
      <c r="C6" s="1">
        <v>6</v>
      </c>
      <c r="D6" s="3" t="s">
        <v>35</v>
      </c>
      <c r="E6" s="5">
        <v>6</v>
      </c>
      <c r="F6" s="1">
        <v>2</v>
      </c>
      <c r="G6" s="1">
        <f>(P6+Q6+R6+S6+T6)/60</f>
        <v>0.2</v>
      </c>
      <c r="H6" s="3">
        <v>20</v>
      </c>
      <c r="I6" s="3">
        <v>2</v>
      </c>
      <c r="J6" s="3">
        <f>+G6*10+I6</f>
        <v>4</v>
      </c>
      <c r="K6" s="3">
        <f>J6+(G6*M6)</f>
        <v>5.6</v>
      </c>
      <c r="L6" s="3" t="s">
        <v>29</v>
      </c>
      <c r="M6" s="3">
        <v>8</v>
      </c>
      <c r="N6" s="3" t="s">
        <v>30</v>
      </c>
      <c r="O6" s="1">
        <v>1</v>
      </c>
      <c r="P6" s="1">
        <v>2</v>
      </c>
      <c r="Q6" s="1">
        <v>4</v>
      </c>
      <c r="R6" s="1">
        <v>2</v>
      </c>
      <c r="S6" s="1">
        <v>1</v>
      </c>
      <c r="T6" s="1">
        <v>3</v>
      </c>
      <c r="U6" s="1">
        <v>0</v>
      </c>
      <c r="V6" s="1">
        <v>1</v>
      </c>
      <c r="W6" s="1">
        <v>0</v>
      </c>
      <c r="X6" s="1">
        <v>1</v>
      </c>
      <c r="Y6" s="1">
        <v>1</v>
      </c>
      <c r="Z6" s="1">
        <v>0</v>
      </c>
      <c r="AA6" s="1">
        <v>1</v>
      </c>
      <c r="AB6" s="3">
        <f t="shared" si="0"/>
        <v>1.3076923076923077</v>
      </c>
      <c r="AC6" s="4">
        <f>VLOOKUP(B6,'[1]INV 02-02-23'!$A$1:$L$8464,6,FALSE)</f>
        <v>10741.291300000001</v>
      </c>
    </row>
    <row r="7" spans="1:29" x14ac:dyDescent="0.25">
      <c r="A7" s="1" t="s">
        <v>282</v>
      </c>
      <c r="B7" s="5" t="s">
        <v>36</v>
      </c>
      <c r="C7" s="1">
        <v>6</v>
      </c>
      <c r="D7" s="3" t="s">
        <v>37</v>
      </c>
      <c r="E7" s="5">
        <v>3</v>
      </c>
      <c r="F7" s="1">
        <v>1</v>
      </c>
      <c r="G7" s="1">
        <f>(P7+Q7+R7+S7+T7)/60</f>
        <v>0.13333333333333333</v>
      </c>
      <c r="H7" s="3">
        <v>18</v>
      </c>
      <c r="I7" s="3">
        <v>2</v>
      </c>
      <c r="J7" s="3">
        <f>+G7*10+I7</f>
        <v>3.333333333333333</v>
      </c>
      <c r="K7" s="3">
        <f>J7+(G7*M7)</f>
        <v>4.9333333333333336</v>
      </c>
      <c r="L7" s="3" t="s">
        <v>29</v>
      </c>
      <c r="M7" s="3">
        <v>12</v>
      </c>
      <c r="N7" s="3" t="s">
        <v>30</v>
      </c>
      <c r="O7" s="1">
        <v>1</v>
      </c>
      <c r="P7" s="1">
        <v>2</v>
      </c>
      <c r="Q7" s="1">
        <v>1</v>
      </c>
      <c r="R7" s="1">
        <v>2</v>
      </c>
      <c r="S7" s="1">
        <v>2</v>
      </c>
      <c r="T7" s="1">
        <v>1</v>
      </c>
      <c r="U7" s="1">
        <v>0</v>
      </c>
      <c r="V7" s="1">
        <v>0</v>
      </c>
      <c r="W7" s="1">
        <v>0</v>
      </c>
      <c r="X7" s="1">
        <v>0</v>
      </c>
      <c r="Y7" s="1">
        <v>2</v>
      </c>
      <c r="Z7" s="1">
        <v>2</v>
      </c>
      <c r="AA7" s="1">
        <v>1</v>
      </c>
      <c r="AB7" s="3">
        <f t="shared" si="0"/>
        <v>1.0769230769230769</v>
      </c>
      <c r="AC7" s="4">
        <f>VLOOKUP(B7,'[1]INV 02-02-23'!$A$1:$L$8464,6,FALSE)</f>
        <v>2892.2</v>
      </c>
    </row>
    <row r="8" spans="1:29" x14ac:dyDescent="0.25">
      <c r="A8" s="1" t="s">
        <v>283</v>
      </c>
      <c r="B8" s="1" t="s">
        <v>38</v>
      </c>
      <c r="C8" s="1">
        <v>6</v>
      </c>
      <c r="D8" s="3" t="s">
        <v>39</v>
      </c>
      <c r="E8" s="1">
        <v>13</v>
      </c>
      <c r="F8" s="1">
        <v>6</v>
      </c>
      <c r="G8" s="1">
        <f>(P8+Q8+R8+S8+T8)/60</f>
        <v>0.78333333333333333</v>
      </c>
      <c r="H8" s="3">
        <v>60</v>
      </c>
      <c r="I8" s="3">
        <v>5</v>
      </c>
      <c r="J8" s="3">
        <f>+G8*10+I8</f>
        <v>12.833333333333332</v>
      </c>
      <c r="K8" s="3">
        <f>J8+(G8*M8)</f>
        <v>19.099999999999998</v>
      </c>
      <c r="L8" s="3" t="s">
        <v>29</v>
      </c>
      <c r="M8" s="3">
        <v>8</v>
      </c>
      <c r="N8" s="3" t="s">
        <v>30</v>
      </c>
      <c r="O8" s="1">
        <v>2</v>
      </c>
      <c r="P8" s="1">
        <v>10</v>
      </c>
      <c r="Q8" s="1">
        <v>8</v>
      </c>
      <c r="R8" s="1">
        <v>10</v>
      </c>
      <c r="S8" s="1">
        <v>9</v>
      </c>
      <c r="T8" s="1">
        <v>10</v>
      </c>
      <c r="U8" s="1">
        <v>0</v>
      </c>
      <c r="V8" s="1">
        <v>6</v>
      </c>
      <c r="W8" s="1">
        <v>0</v>
      </c>
      <c r="X8" s="1">
        <v>0</v>
      </c>
      <c r="Y8" s="1">
        <v>5</v>
      </c>
      <c r="Z8" s="1">
        <v>5</v>
      </c>
      <c r="AA8" s="1">
        <v>1</v>
      </c>
      <c r="AB8" s="3">
        <f t="shared" si="0"/>
        <v>5.0769230769230766</v>
      </c>
      <c r="AC8" s="4">
        <f>VLOOKUP(B8,'[1]INV 02-02-23'!$A$1:$L$8464,6,FALSE)</f>
        <v>3513.09</v>
      </c>
    </row>
    <row r="9" spans="1:29" x14ac:dyDescent="0.25">
      <c r="A9" s="1" t="s">
        <v>284</v>
      </c>
      <c r="B9" s="5" t="s">
        <v>40</v>
      </c>
      <c r="C9" s="1">
        <v>6</v>
      </c>
      <c r="D9" s="3" t="s">
        <v>41</v>
      </c>
      <c r="E9" s="5">
        <v>3</v>
      </c>
      <c r="F9" s="1">
        <v>1</v>
      </c>
      <c r="G9" s="1">
        <f>(P9+Q9+R9+S9+T9)/60</f>
        <v>0.18333333333333332</v>
      </c>
      <c r="H9" s="3">
        <v>12</v>
      </c>
      <c r="I9" s="3">
        <v>1</v>
      </c>
      <c r="J9" s="3">
        <f>+G9*10+I9</f>
        <v>2.833333333333333</v>
      </c>
      <c r="K9" s="3">
        <f>J9+(G9*M9)</f>
        <v>4.3</v>
      </c>
      <c r="L9" s="3" t="s">
        <v>29</v>
      </c>
      <c r="M9" s="3">
        <v>8</v>
      </c>
      <c r="N9" s="3" t="s">
        <v>30</v>
      </c>
      <c r="O9" s="1">
        <v>1</v>
      </c>
      <c r="P9" s="1">
        <v>4</v>
      </c>
      <c r="Q9" s="1">
        <v>2</v>
      </c>
      <c r="R9" s="1">
        <v>4</v>
      </c>
      <c r="S9" s="1">
        <v>1</v>
      </c>
      <c r="T9" s="1">
        <v>0</v>
      </c>
      <c r="U9" s="1">
        <v>0</v>
      </c>
      <c r="V9" s="1">
        <v>1</v>
      </c>
      <c r="W9" s="1">
        <v>0</v>
      </c>
      <c r="X9" s="1">
        <v>1</v>
      </c>
      <c r="Y9" s="1">
        <v>0</v>
      </c>
      <c r="Z9" s="1">
        <v>0</v>
      </c>
      <c r="AA9" s="1">
        <v>0</v>
      </c>
      <c r="AB9" s="3">
        <f t="shared" si="0"/>
        <v>1.0769230769230769</v>
      </c>
      <c r="AC9" s="4">
        <f>VLOOKUP(B9,'[1]INV 02-02-23'!$A$1:$L$8464,6,FALSE)</f>
        <v>3784.46</v>
      </c>
    </row>
    <row r="10" spans="1:29" ht="25.5" x14ac:dyDescent="0.25">
      <c r="A10" s="1" t="s">
        <v>285</v>
      </c>
      <c r="B10" s="1" t="s">
        <v>42</v>
      </c>
      <c r="C10" s="1">
        <v>6</v>
      </c>
      <c r="D10" s="3" t="s">
        <v>43</v>
      </c>
      <c r="E10" s="1">
        <v>2</v>
      </c>
      <c r="F10" s="1">
        <v>1</v>
      </c>
      <c r="G10" s="1">
        <f>(P10+Q10+R10+S10+T10)/60</f>
        <v>1.6666666666666666E-2</v>
      </c>
      <c r="H10" s="3">
        <v>3</v>
      </c>
      <c r="I10" s="3">
        <v>1</v>
      </c>
      <c r="J10" s="3">
        <f>+G10*10+I10</f>
        <v>1.1666666666666667</v>
      </c>
      <c r="K10" s="3">
        <f>J10+(G10*M10)</f>
        <v>1.3666666666666667</v>
      </c>
      <c r="L10" s="3" t="s">
        <v>44</v>
      </c>
      <c r="M10" s="3">
        <v>12</v>
      </c>
      <c r="N10" s="3" t="s">
        <v>45</v>
      </c>
      <c r="O10" s="1">
        <v>0</v>
      </c>
      <c r="P10" s="1">
        <v>0</v>
      </c>
      <c r="Q10" s="1">
        <v>0</v>
      </c>
      <c r="R10" s="1">
        <v>0</v>
      </c>
      <c r="S10" s="1">
        <v>1</v>
      </c>
      <c r="T10" s="1">
        <v>0</v>
      </c>
      <c r="U10" s="1">
        <v>0</v>
      </c>
      <c r="V10" s="1">
        <v>0</v>
      </c>
      <c r="W10" s="1">
        <v>1</v>
      </c>
      <c r="X10" s="1">
        <v>0</v>
      </c>
      <c r="Y10" s="1">
        <v>0</v>
      </c>
      <c r="Z10" s="1">
        <v>0</v>
      </c>
      <c r="AA10" s="1">
        <v>0</v>
      </c>
      <c r="AB10" s="3">
        <f t="shared" si="0"/>
        <v>0.15384615384615385</v>
      </c>
      <c r="AC10" s="4">
        <f>VLOOKUP(B10,'[1]INV 02-02-23'!$A$1:$L$8464,6,FALSE)</f>
        <v>34500</v>
      </c>
    </row>
    <row r="11" spans="1:29" x14ac:dyDescent="0.25">
      <c r="A11" s="1" t="s">
        <v>286</v>
      </c>
      <c r="B11" s="1" t="s">
        <v>46</v>
      </c>
      <c r="C11" s="1">
        <v>6</v>
      </c>
      <c r="D11" s="3" t="s">
        <v>47</v>
      </c>
      <c r="E11" s="1">
        <v>9</v>
      </c>
      <c r="F11" s="1">
        <v>4</v>
      </c>
      <c r="G11" s="1">
        <f>(P11+Q11+R11+S11+T11)/60</f>
        <v>0.16666666666666666</v>
      </c>
      <c r="H11" s="3">
        <v>18</v>
      </c>
      <c r="I11" s="3">
        <v>2</v>
      </c>
      <c r="J11" s="3">
        <f>+G11*10+I11</f>
        <v>3.6666666666666665</v>
      </c>
      <c r="K11" s="3">
        <f>J11+(G11*M11)</f>
        <v>5</v>
      </c>
      <c r="L11" s="3" t="s">
        <v>48</v>
      </c>
      <c r="M11" s="3">
        <v>8</v>
      </c>
      <c r="N11" s="3" t="s">
        <v>49</v>
      </c>
      <c r="O11" s="1">
        <v>1</v>
      </c>
      <c r="P11" s="1">
        <v>2</v>
      </c>
      <c r="Q11" s="1">
        <v>2</v>
      </c>
      <c r="R11" s="1">
        <v>2</v>
      </c>
      <c r="S11" s="1">
        <v>4</v>
      </c>
      <c r="T11" s="1">
        <v>0</v>
      </c>
      <c r="U11" s="1">
        <v>0</v>
      </c>
      <c r="V11" s="1">
        <v>0</v>
      </c>
      <c r="W11" s="1">
        <v>2</v>
      </c>
      <c r="X11" s="1">
        <v>0</v>
      </c>
      <c r="Y11" s="1">
        <v>2</v>
      </c>
      <c r="Z11" s="1">
        <v>3</v>
      </c>
      <c r="AA11" s="1">
        <v>0</v>
      </c>
      <c r="AB11" s="3">
        <f t="shared" si="0"/>
        <v>1.3846153846153846</v>
      </c>
      <c r="AC11" s="4">
        <f>VLOOKUP(B11,'[1]INV 02-02-23'!$A$1:$L$8464,6,FALSE)</f>
        <v>1808.212</v>
      </c>
    </row>
    <row r="12" spans="1:29" x14ac:dyDescent="0.25">
      <c r="A12" s="1" t="s">
        <v>287</v>
      </c>
      <c r="B12" s="1" t="s">
        <v>50</v>
      </c>
      <c r="C12" s="1">
        <v>6</v>
      </c>
      <c r="D12" s="3" t="s">
        <v>51</v>
      </c>
      <c r="E12" s="1">
        <v>2</v>
      </c>
      <c r="F12" s="1">
        <v>2</v>
      </c>
      <c r="G12" s="1">
        <f>(P12+Q12+R12+S12+T12)/60</f>
        <v>6.6666666666666666E-2</v>
      </c>
      <c r="H12" s="3">
        <v>6</v>
      </c>
      <c r="I12" s="3">
        <v>1</v>
      </c>
      <c r="J12" s="3">
        <f>+G12*10+I12</f>
        <v>1.6666666666666665</v>
      </c>
      <c r="K12" s="3">
        <f>J12+(G12*M12)</f>
        <v>2.1999999999999997</v>
      </c>
      <c r="L12" s="3" t="s">
        <v>48</v>
      </c>
      <c r="M12" s="3">
        <v>8</v>
      </c>
      <c r="N12" s="3" t="s">
        <v>30</v>
      </c>
      <c r="O12" s="1">
        <v>3</v>
      </c>
      <c r="P12" s="1">
        <v>2</v>
      </c>
      <c r="Q12" s="1">
        <v>1</v>
      </c>
      <c r="R12" s="1">
        <v>0</v>
      </c>
      <c r="S12" s="1">
        <v>1</v>
      </c>
      <c r="T12" s="1">
        <v>0</v>
      </c>
      <c r="U12" s="1">
        <v>0</v>
      </c>
      <c r="V12" s="1">
        <v>0</v>
      </c>
      <c r="W12" s="1">
        <v>1</v>
      </c>
      <c r="X12" s="1">
        <v>0</v>
      </c>
      <c r="Y12" s="1">
        <v>0</v>
      </c>
      <c r="Z12" s="1">
        <v>0</v>
      </c>
      <c r="AA12" s="1">
        <v>1</v>
      </c>
      <c r="AB12" s="3">
        <f t="shared" si="0"/>
        <v>0.69230769230769229</v>
      </c>
      <c r="AC12" s="4">
        <f>VLOOKUP(B12,'[1]INV 02-02-23'!$A$1:$L$8464,6,FALSE)</f>
        <v>1632.8230000000001</v>
      </c>
    </row>
    <row r="13" spans="1:29" x14ac:dyDescent="0.25">
      <c r="A13" s="1" t="s">
        <v>288</v>
      </c>
      <c r="B13" s="1" t="s">
        <v>52</v>
      </c>
      <c r="C13" s="1">
        <v>6</v>
      </c>
      <c r="D13" s="3" t="s">
        <v>53</v>
      </c>
      <c r="E13" s="1">
        <v>7</v>
      </c>
      <c r="F13" s="1">
        <v>2</v>
      </c>
      <c r="G13" s="1">
        <f>(P13+Q13+R13+S13+T13)/60</f>
        <v>0.13333333333333333</v>
      </c>
      <c r="H13" s="3">
        <v>14</v>
      </c>
      <c r="I13" s="3">
        <v>2</v>
      </c>
      <c r="J13" s="3">
        <f>+G13*10+I13</f>
        <v>3.333333333333333</v>
      </c>
      <c r="K13" s="3">
        <f>J13+(G13*M13)</f>
        <v>4.9333333333333336</v>
      </c>
      <c r="L13" s="3" t="s">
        <v>48</v>
      </c>
      <c r="M13" s="3">
        <v>12</v>
      </c>
      <c r="N13" s="3" t="s">
        <v>30</v>
      </c>
      <c r="O13" s="1">
        <v>3</v>
      </c>
      <c r="P13" s="1">
        <v>0</v>
      </c>
      <c r="Q13" s="1">
        <v>4</v>
      </c>
      <c r="R13" s="1">
        <v>0</v>
      </c>
      <c r="S13" s="1">
        <v>2</v>
      </c>
      <c r="T13" s="1">
        <v>2</v>
      </c>
      <c r="U13" s="1">
        <v>2</v>
      </c>
      <c r="V13" s="1">
        <v>0</v>
      </c>
      <c r="W13" s="1">
        <v>1</v>
      </c>
      <c r="X13" s="1">
        <v>2</v>
      </c>
      <c r="Y13" s="1">
        <v>0</v>
      </c>
      <c r="Z13" s="1">
        <v>1</v>
      </c>
      <c r="AA13" s="1">
        <v>0</v>
      </c>
      <c r="AB13" s="3">
        <f t="shared" si="0"/>
        <v>1.3076923076923077</v>
      </c>
      <c r="AC13" s="4">
        <f>VLOOKUP(B13,'[1]INV 02-02-23'!$A$1:$L$8464,6,FALSE)</f>
        <v>3414.96</v>
      </c>
    </row>
    <row r="14" spans="1:29" x14ac:dyDescent="0.25">
      <c r="A14" s="1" t="s">
        <v>289</v>
      </c>
      <c r="B14" s="1" t="s">
        <v>54</v>
      </c>
      <c r="C14" s="1">
        <v>6</v>
      </c>
      <c r="D14" s="3" t="s">
        <v>55</v>
      </c>
      <c r="E14" s="1">
        <v>2</v>
      </c>
      <c r="F14" s="1">
        <v>2</v>
      </c>
      <c r="G14" s="1">
        <f>(P14+Q14+R14+S14+T14)/60</f>
        <v>0</v>
      </c>
      <c r="H14" s="3">
        <v>2</v>
      </c>
      <c r="I14" s="3">
        <v>1</v>
      </c>
      <c r="J14" s="3">
        <f>+G14*10+I14</f>
        <v>1</v>
      </c>
      <c r="K14" s="3">
        <f>J14+(G14*M14)</f>
        <v>1</v>
      </c>
      <c r="L14" s="3" t="s">
        <v>48</v>
      </c>
      <c r="M14" s="3">
        <v>12</v>
      </c>
      <c r="N14" s="3" t="s">
        <v>30</v>
      </c>
      <c r="O14" s="1">
        <v>5</v>
      </c>
      <c r="P14" s="1">
        <v>0</v>
      </c>
      <c r="Q14" s="1">
        <v>0</v>
      </c>
      <c r="R14" s="1">
        <v>0</v>
      </c>
      <c r="S14" s="1">
        <v>0</v>
      </c>
      <c r="T14" s="1">
        <v>0</v>
      </c>
      <c r="U14" s="1">
        <v>0</v>
      </c>
      <c r="V14" s="1">
        <v>0</v>
      </c>
      <c r="W14" s="1">
        <v>0</v>
      </c>
      <c r="X14" s="1">
        <v>0</v>
      </c>
      <c r="Y14" s="1">
        <v>0</v>
      </c>
      <c r="Z14" s="1">
        <v>0</v>
      </c>
      <c r="AA14" s="1">
        <v>0</v>
      </c>
      <c r="AB14" s="3">
        <f t="shared" si="0"/>
        <v>0.38461538461538464</v>
      </c>
      <c r="AC14" s="4">
        <f>VLOOKUP(B14,'[1]INV 02-02-23'!$A$1:$L$8464,6,FALSE)</f>
        <v>4195.6071000000002</v>
      </c>
    </row>
    <row r="15" spans="1:29" x14ac:dyDescent="0.25">
      <c r="A15" s="1" t="s">
        <v>290</v>
      </c>
      <c r="B15" s="1" t="s">
        <v>56</v>
      </c>
      <c r="C15" s="1">
        <v>6</v>
      </c>
      <c r="D15" s="3" t="s">
        <v>57</v>
      </c>
      <c r="E15" s="1">
        <v>2</v>
      </c>
      <c r="F15" s="1">
        <v>1</v>
      </c>
      <c r="G15" s="1">
        <f>(P15+Q15+R15+S15+T15)/60</f>
        <v>1.6666666666666666E-2</v>
      </c>
      <c r="H15" s="3">
        <v>3</v>
      </c>
      <c r="I15" s="3">
        <v>1</v>
      </c>
      <c r="J15" s="3">
        <f>+G15*10+I15</f>
        <v>1.1666666666666667</v>
      </c>
      <c r="K15" s="3">
        <f>J15+(G15*M15)</f>
        <v>1.3666666666666667</v>
      </c>
      <c r="L15" s="3" t="s">
        <v>48</v>
      </c>
      <c r="M15" s="3">
        <v>12</v>
      </c>
      <c r="N15" s="3" t="s">
        <v>49</v>
      </c>
      <c r="O15" s="1">
        <v>2</v>
      </c>
      <c r="P15" s="1">
        <v>0</v>
      </c>
      <c r="Q15" s="1">
        <v>0</v>
      </c>
      <c r="R15" s="1">
        <v>1</v>
      </c>
      <c r="S15" s="1">
        <v>0</v>
      </c>
      <c r="T15" s="1">
        <v>0</v>
      </c>
      <c r="U15" s="1">
        <v>0</v>
      </c>
      <c r="V15" s="1">
        <v>1</v>
      </c>
      <c r="W15" s="1">
        <v>0</v>
      </c>
      <c r="X15" s="1">
        <v>0</v>
      </c>
      <c r="Y15" s="1">
        <v>1</v>
      </c>
      <c r="Z15" s="1">
        <v>0</v>
      </c>
      <c r="AA15" s="1">
        <v>0</v>
      </c>
      <c r="AB15" s="3">
        <f t="shared" si="0"/>
        <v>0.38461538461538464</v>
      </c>
      <c r="AC15" s="4">
        <f>VLOOKUP(B15,'[1]INV 02-02-23'!$A$1:$L$8464,6,FALSE)</f>
        <v>6929.4</v>
      </c>
    </row>
    <row r="16" spans="1:29" x14ac:dyDescent="0.25">
      <c r="A16" s="1" t="s">
        <v>291</v>
      </c>
      <c r="B16" s="1" t="s">
        <v>58</v>
      </c>
      <c r="C16" s="1">
        <v>6</v>
      </c>
      <c r="D16" s="3" t="s">
        <v>59</v>
      </c>
      <c r="E16" s="1">
        <v>3</v>
      </c>
      <c r="F16" s="1">
        <v>1</v>
      </c>
      <c r="G16" s="1">
        <f>(P16+Q16+R16+S16+T16)/60</f>
        <v>6.6666666666666666E-2</v>
      </c>
      <c r="H16" s="3">
        <v>9</v>
      </c>
      <c r="I16" s="3">
        <v>1</v>
      </c>
      <c r="J16" s="3">
        <f>+G16*10+I16</f>
        <v>1.6666666666666665</v>
      </c>
      <c r="K16" s="3">
        <f>J16+(G16*M16)</f>
        <v>2.4666666666666668</v>
      </c>
      <c r="L16" s="3" t="s">
        <v>48</v>
      </c>
      <c r="M16" s="3">
        <v>12</v>
      </c>
      <c r="N16" s="3" t="s">
        <v>49</v>
      </c>
      <c r="O16" s="1">
        <v>1</v>
      </c>
      <c r="P16" s="1">
        <v>2</v>
      </c>
      <c r="Q16" s="1">
        <v>2</v>
      </c>
      <c r="R16" s="1">
        <v>0</v>
      </c>
      <c r="S16" s="1">
        <v>0</v>
      </c>
      <c r="T16" s="1">
        <v>0</v>
      </c>
      <c r="U16" s="1">
        <v>0</v>
      </c>
      <c r="V16" s="1">
        <v>0</v>
      </c>
      <c r="W16" s="1">
        <v>0</v>
      </c>
      <c r="X16" s="1">
        <v>0</v>
      </c>
      <c r="Y16" s="1">
        <v>1</v>
      </c>
      <c r="Z16" s="1">
        <v>1</v>
      </c>
      <c r="AA16" s="1">
        <v>0</v>
      </c>
      <c r="AB16" s="3">
        <f t="shared" si="0"/>
        <v>0.53846153846153844</v>
      </c>
      <c r="AC16" s="4">
        <f>VLOOKUP(B16,'[1]INV 02-02-23'!$A$1:$L$8464,6,FALSE)</f>
        <v>2250.5115000000001</v>
      </c>
    </row>
    <row r="17" spans="1:29" x14ac:dyDescent="0.25">
      <c r="A17" s="1" t="s">
        <v>292</v>
      </c>
      <c r="B17" s="1" t="s">
        <v>60</v>
      </c>
      <c r="C17" s="1">
        <v>6</v>
      </c>
      <c r="D17" s="3" t="s">
        <v>61</v>
      </c>
      <c r="E17" s="1">
        <v>3</v>
      </c>
      <c r="F17" s="1">
        <v>3</v>
      </c>
      <c r="G17" s="1">
        <f>(P17+Q17+R17+S17+T17)/60</f>
        <v>0.05</v>
      </c>
      <c r="H17" s="3">
        <v>6</v>
      </c>
      <c r="I17" s="3">
        <v>1</v>
      </c>
      <c r="J17" s="3">
        <f>+G17*10+I17</f>
        <v>1.5</v>
      </c>
      <c r="K17" s="3">
        <f>J17+(G17*M17)</f>
        <v>2.1</v>
      </c>
      <c r="L17" s="3" t="s">
        <v>48</v>
      </c>
      <c r="M17" s="3">
        <v>12</v>
      </c>
      <c r="N17" s="3" t="s">
        <v>49</v>
      </c>
      <c r="O17" s="1">
        <v>0</v>
      </c>
      <c r="P17" s="1">
        <v>0</v>
      </c>
      <c r="Q17" s="1">
        <v>2</v>
      </c>
      <c r="R17" s="1">
        <v>0</v>
      </c>
      <c r="S17" s="1">
        <v>1</v>
      </c>
      <c r="T17" s="1">
        <v>0</v>
      </c>
      <c r="U17" s="1">
        <v>0</v>
      </c>
      <c r="V17" s="1">
        <v>0</v>
      </c>
      <c r="W17" s="1">
        <v>1</v>
      </c>
      <c r="X17" s="1">
        <v>0</v>
      </c>
      <c r="Y17" s="1">
        <v>0</v>
      </c>
      <c r="Z17" s="1">
        <v>0</v>
      </c>
      <c r="AA17" s="1">
        <v>0</v>
      </c>
      <c r="AB17" s="3">
        <f t="shared" si="0"/>
        <v>0.30769230769230771</v>
      </c>
      <c r="AC17" s="4">
        <f>VLOOKUP(B17,'[1]INV 02-02-23'!$A$1:$L$8464,6,FALSE)</f>
        <v>3414.96</v>
      </c>
    </row>
    <row r="18" spans="1:29" ht="25.5" x14ac:dyDescent="0.25">
      <c r="A18" s="1" t="s">
        <v>293</v>
      </c>
      <c r="B18" s="1" t="s">
        <v>62</v>
      </c>
      <c r="C18" s="1">
        <v>6</v>
      </c>
      <c r="D18" s="3" t="s">
        <v>63</v>
      </c>
      <c r="E18" s="1">
        <v>8</v>
      </c>
      <c r="F18" s="1">
        <v>4</v>
      </c>
      <c r="G18" s="1">
        <f>(P18+Q18+R18+S18+T18)/60</f>
        <v>0.53333333333333333</v>
      </c>
      <c r="H18" s="3">
        <v>24</v>
      </c>
      <c r="I18" s="3">
        <v>4</v>
      </c>
      <c r="J18" s="3">
        <f>+G18*10+I18</f>
        <v>9.3333333333333321</v>
      </c>
      <c r="K18" s="3">
        <f>J18+(G18*M18)</f>
        <v>15.733333333333333</v>
      </c>
      <c r="L18" s="3" t="s">
        <v>64</v>
      </c>
      <c r="M18" s="3">
        <v>12</v>
      </c>
      <c r="N18" s="3" t="s">
        <v>30</v>
      </c>
      <c r="O18" s="1">
        <v>6</v>
      </c>
      <c r="P18" s="1">
        <v>0</v>
      </c>
      <c r="Q18" s="1">
        <v>11</v>
      </c>
      <c r="R18" s="1">
        <v>8</v>
      </c>
      <c r="S18" s="1">
        <v>8</v>
      </c>
      <c r="T18" s="1">
        <v>5</v>
      </c>
      <c r="U18" s="1">
        <v>4</v>
      </c>
      <c r="V18" s="1">
        <v>3</v>
      </c>
      <c r="W18" s="1">
        <v>5</v>
      </c>
      <c r="X18" s="1">
        <v>7</v>
      </c>
      <c r="Y18" s="1">
        <v>12</v>
      </c>
      <c r="Z18" s="1">
        <v>0</v>
      </c>
      <c r="AA18" s="1">
        <v>0</v>
      </c>
      <c r="AB18" s="3">
        <f t="shared" si="0"/>
        <v>5.3076923076923075</v>
      </c>
      <c r="AC18" s="4">
        <f>VLOOKUP(B18,'[1]INV 02-02-23'!$A$1:$L$8464,6,FALSE)</f>
        <v>1425.7469000000001</v>
      </c>
    </row>
    <row r="19" spans="1:29" ht="25.5" x14ac:dyDescent="0.25">
      <c r="A19" s="1" t="s">
        <v>294</v>
      </c>
      <c r="B19" s="1" t="s">
        <v>65</v>
      </c>
      <c r="C19" s="1">
        <v>6</v>
      </c>
      <c r="D19" s="3" t="s">
        <v>66</v>
      </c>
      <c r="E19" s="1">
        <v>16</v>
      </c>
      <c r="F19" s="1">
        <v>10</v>
      </c>
      <c r="G19" s="1">
        <f>(P19+Q19+R19+S19+T19)/60</f>
        <v>0.65</v>
      </c>
      <c r="H19" s="3">
        <v>32</v>
      </c>
      <c r="I19" s="3">
        <v>4</v>
      </c>
      <c r="J19" s="3">
        <f>+G19*10+I19</f>
        <v>10.5</v>
      </c>
      <c r="K19" s="3">
        <f>J19+(G19*M19)</f>
        <v>18.3</v>
      </c>
      <c r="L19" s="3" t="s">
        <v>64</v>
      </c>
      <c r="M19" s="3">
        <v>12</v>
      </c>
      <c r="N19" s="3" t="s">
        <v>30</v>
      </c>
      <c r="O19" s="1">
        <v>4</v>
      </c>
      <c r="P19" s="1">
        <v>0</v>
      </c>
      <c r="Q19" s="1">
        <v>10</v>
      </c>
      <c r="R19" s="1">
        <v>14</v>
      </c>
      <c r="S19" s="1">
        <v>15</v>
      </c>
      <c r="T19" s="1">
        <v>0</v>
      </c>
      <c r="U19" s="1">
        <v>2</v>
      </c>
      <c r="V19" s="1">
        <v>4</v>
      </c>
      <c r="W19" s="1">
        <v>0</v>
      </c>
      <c r="X19" s="1">
        <v>0</v>
      </c>
      <c r="Y19" s="1">
        <v>0</v>
      </c>
      <c r="Z19" s="1">
        <v>0</v>
      </c>
      <c r="AA19" s="1">
        <v>0</v>
      </c>
      <c r="AB19" s="3">
        <f t="shared" si="0"/>
        <v>3.7692307692307692</v>
      </c>
      <c r="AC19" s="4">
        <f>VLOOKUP(B19,'[1]INV 02-02-23'!$A$1:$L$8464,6,FALSE)</f>
        <v>2085.8667</v>
      </c>
    </row>
    <row r="20" spans="1:29" ht="25.5" x14ac:dyDescent="0.25">
      <c r="A20" s="1" t="s">
        <v>295</v>
      </c>
      <c r="B20" s="1" t="s">
        <v>67</v>
      </c>
      <c r="C20" s="1">
        <v>6</v>
      </c>
      <c r="D20" s="3" t="s">
        <v>68</v>
      </c>
      <c r="E20" s="1">
        <v>3</v>
      </c>
      <c r="F20" s="1">
        <v>3</v>
      </c>
      <c r="G20" s="1">
        <f>(P20+Q20+R20+S20+T20)/60</f>
        <v>3.3333333333333333E-2</v>
      </c>
      <c r="H20" s="3">
        <v>6</v>
      </c>
      <c r="I20" s="3">
        <v>1</v>
      </c>
      <c r="J20" s="3">
        <f>+G20*10+I20</f>
        <v>1.3333333333333333</v>
      </c>
      <c r="K20" s="3">
        <f>J20+(G20*M20)</f>
        <v>1.7333333333333334</v>
      </c>
      <c r="L20" s="3" t="s">
        <v>64</v>
      </c>
      <c r="M20" s="3">
        <v>12</v>
      </c>
      <c r="N20" s="3" t="s">
        <v>49</v>
      </c>
      <c r="O20" s="1">
        <v>1</v>
      </c>
      <c r="P20" s="1">
        <v>0</v>
      </c>
      <c r="Q20" s="1">
        <v>1</v>
      </c>
      <c r="R20" s="1">
        <v>0</v>
      </c>
      <c r="S20" s="1">
        <v>1</v>
      </c>
      <c r="T20" s="1">
        <v>0</v>
      </c>
      <c r="U20" s="1">
        <v>1</v>
      </c>
      <c r="V20" s="1">
        <v>1</v>
      </c>
      <c r="W20" s="1">
        <v>2</v>
      </c>
      <c r="X20" s="1">
        <v>0</v>
      </c>
      <c r="Y20" s="1">
        <v>0</v>
      </c>
      <c r="Z20" s="1">
        <v>0</v>
      </c>
      <c r="AA20" s="1">
        <v>0</v>
      </c>
      <c r="AB20" s="3">
        <f t="shared" si="0"/>
        <v>0.53846153846153844</v>
      </c>
      <c r="AC20" s="4">
        <f>VLOOKUP(B20,'[1]INV 02-02-23'!$A$1:$L$8464,6,FALSE)</f>
        <v>2304</v>
      </c>
    </row>
    <row r="21" spans="1:29" ht="25.5" x14ac:dyDescent="0.25">
      <c r="A21" s="1" t="s">
        <v>296</v>
      </c>
      <c r="B21" s="1" t="s">
        <v>69</v>
      </c>
      <c r="C21" s="1">
        <v>6</v>
      </c>
      <c r="D21" s="3" t="s">
        <v>70</v>
      </c>
      <c r="E21" s="1">
        <v>3</v>
      </c>
      <c r="F21" s="1">
        <v>2</v>
      </c>
      <c r="G21" s="1">
        <f>(P21+Q21+R21+S21+T21)/60</f>
        <v>0.11666666666666667</v>
      </c>
      <c r="H21" s="3">
        <v>9</v>
      </c>
      <c r="I21" s="3">
        <v>1</v>
      </c>
      <c r="J21" s="3">
        <f>+G21*10+I21</f>
        <v>2.166666666666667</v>
      </c>
      <c r="K21" s="3">
        <f>J21+(G21*M21)</f>
        <v>3.5666666666666669</v>
      </c>
      <c r="L21" s="3" t="s">
        <v>64</v>
      </c>
      <c r="M21" s="3">
        <v>12</v>
      </c>
      <c r="N21" s="3" t="s">
        <v>30</v>
      </c>
      <c r="O21" s="1">
        <v>2</v>
      </c>
      <c r="P21" s="1">
        <v>1</v>
      </c>
      <c r="Q21" s="1">
        <v>1</v>
      </c>
      <c r="R21" s="1">
        <v>2</v>
      </c>
      <c r="S21" s="1">
        <v>0</v>
      </c>
      <c r="T21" s="1">
        <v>3</v>
      </c>
      <c r="U21" s="1">
        <v>1</v>
      </c>
      <c r="V21" s="1">
        <v>1</v>
      </c>
      <c r="W21" s="1">
        <v>0</v>
      </c>
      <c r="X21" s="1">
        <v>2</v>
      </c>
      <c r="Y21" s="1">
        <v>0</v>
      </c>
      <c r="Z21" s="1">
        <v>0</v>
      </c>
      <c r="AA21" s="1">
        <v>0</v>
      </c>
      <c r="AB21" s="3">
        <f t="shared" si="0"/>
        <v>1</v>
      </c>
      <c r="AC21" s="4">
        <f>VLOOKUP(B21,'[1]INV 02-02-23'!$A$1:$L$8464,6,FALSE)</f>
        <v>4065.7379999999998</v>
      </c>
    </row>
    <row r="22" spans="1:29" ht="25.5" x14ac:dyDescent="0.25">
      <c r="A22" s="1" t="s">
        <v>297</v>
      </c>
      <c r="B22" s="1" t="s">
        <v>71</v>
      </c>
      <c r="C22" s="1">
        <v>6</v>
      </c>
      <c r="D22" s="3" t="s">
        <v>72</v>
      </c>
      <c r="E22" s="1">
        <v>6</v>
      </c>
      <c r="F22" s="1">
        <v>1</v>
      </c>
      <c r="G22" s="1">
        <f>(P22+Q22+R22+S22+T22)/60</f>
        <v>0.13333333333333333</v>
      </c>
      <c r="H22" s="3">
        <v>18</v>
      </c>
      <c r="I22" s="3">
        <v>2</v>
      </c>
      <c r="J22" s="3">
        <f>+G22*10+I22</f>
        <v>3.333333333333333</v>
      </c>
      <c r="K22" s="3">
        <f>J22+(G22*M22)</f>
        <v>4.9333333333333336</v>
      </c>
      <c r="L22" s="3" t="s">
        <v>64</v>
      </c>
      <c r="M22" s="3">
        <v>12</v>
      </c>
      <c r="N22" s="3" t="s">
        <v>49</v>
      </c>
      <c r="O22" s="1">
        <v>3</v>
      </c>
      <c r="P22" s="1">
        <v>2</v>
      </c>
      <c r="Q22" s="1">
        <v>3</v>
      </c>
      <c r="R22" s="1">
        <v>2</v>
      </c>
      <c r="S22" s="1">
        <v>1</v>
      </c>
      <c r="T22" s="1">
        <v>0</v>
      </c>
      <c r="U22" s="1">
        <v>0</v>
      </c>
      <c r="V22" s="1">
        <v>0</v>
      </c>
      <c r="W22" s="1">
        <v>0</v>
      </c>
      <c r="X22" s="1">
        <v>0</v>
      </c>
      <c r="Y22" s="1">
        <v>0</v>
      </c>
      <c r="Z22" s="1">
        <v>0</v>
      </c>
      <c r="AA22" s="1">
        <v>0</v>
      </c>
      <c r="AB22" s="3">
        <f t="shared" si="0"/>
        <v>0.84615384615384615</v>
      </c>
      <c r="AC22" s="4">
        <f>VLOOKUP(B22,'[1]INV 02-02-23'!$A$1:$L$8464,6,FALSE)</f>
        <v>4946.6660000000002</v>
      </c>
    </row>
    <row r="23" spans="1:29" x14ac:dyDescent="0.25">
      <c r="A23" s="1" t="s">
        <v>298</v>
      </c>
      <c r="B23" s="1" t="s">
        <v>73</v>
      </c>
      <c r="C23" s="1">
        <v>6</v>
      </c>
      <c r="D23" s="3" t="s">
        <v>74</v>
      </c>
      <c r="E23" s="1">
        <v>4</v>
      </c>
      <c r="F23" s="1">
        <v>6</v>
      </c>
      <c r="G23" s="1">
        <f>(P23+Q23+R23+S23+T23)/60</f>
        <v>3.3333333333333333E-2</v>
      </c>
      <c r="H23" s="3">
        <v>1</v>
      </c>
      <c r="I23" s="3">
        <v>1</v>
      </c>
      <c r="J23" s="3">
        <f>+G23*10+I23</f>
        <v>1.3333333333333333</v>
      </c>
      <c r="K23" s="3">
        <f>J23+(G23*M23)</f>
        <v>1.7333333333333334</v>
      </c>
      <c r="L23" s="3" t="s">
        <v>64</v>
      </c>
      <c r="M23" s="3">
        <v>12</v>
      </c>
      <c r="N23" s="3" t="s">
        <v>49</v>
      </c>
      <c r="O23" s="1">
        <v>1</v>
      </c>
      <c r="P23" s="1">
        <v>0</v>
      </c>
      <c r="Q23" s="1">
        <v>0</v>
      </c>
      <c r="R23" s="1">
        <v>0</v>
      </c>
      <c r="S23" s="1">
        <v>0</v>
      </c>
      <c r="T23" s="1">
        <v>2</v>
      </c>
      <c r="U23" s="1">
        <v>0</v>
      </c>
      <c r="V23" s="1">
        <v>0</v>
      </c>
      <c r="W23" s="1">
        <v>0</v>
      </c>
      <c r="X23" s="1">
        <v>0</v>
      </c>
      <c r="Y23" s="1">
        <v>0</v>
      </c>
      <c r="Z23" s="1">
        <v>0</v>
      </c>
      <c r="AA23" s="1">
        <v>0</v>
      </c>
      <c r="AB23" s="3">
        <f t="shared" si="0"/>
        <v>0.23076923076923078</v>
      </c>
      <c r="AC23" s="4">
        <f>VLOOKUP(B23,'[1]INV 02-02-23'!$A$1:$L$8464,6,FALSE)</f>
        <v>177.87</v>
      </c>
    </row>
    <row r="24" spans="1:29" ht="25.5" x14ac:dyDescent="0.25">
      <c r="A24" s="1" t="s">
        <v>299</v>
      </c>
      <c r="B24" s="1" t="s">
        <v>73</v>
      </c>
      <c r="C24" s="1">
        <v>6</v>
      </c>
      <c r="D24" s="3" t="s">
        <v>75</v>
      </c>
      <c r="E24" s="1">
        <v>6</v>
      </c>
      <c r="F24" s="1">
        <v>6</v>
      </c>
      <c r="G24" s="1">
        <f>(P24+Q24+R24+S24+T24)/60</f>
        <v>3.3333333333333333E-2</v>
      </c>
      <c r="H24" s="3">
        <v>1</v>
      </c>
      <c r="I24" s="3">
        <v>2</v>
      </c>
      <c r="J24" s="3">
        <f>+G24*10+I24</f>
        <v>2.3333333333333335</v>
      </c>
      <c r="K24" s="3">
        <f>J24+(G24*M24)</f>
        <v>2.7333333333333334</v>
      </c>
      <c r="L24" s="3" t="s">
        <v>48</v>
      </c>
      <c r="M24" s="3">
        <v>12</v>
      </c>
      <c r="N24" s="3" t="s">
        <v>30</v>
      </c>
      <c r="O24" s="1">
        <v>1</v>
      </c>
      <c r="P24" s="1">
        <v>0</v>
      </c>
      <c r="Q24" s="1">
        <v>0</v>
      </c>
      <c r="R24" s="1">
        <v>0</v>
      </c>
      <c r="S24" s="1">
        <v>0</v>
      </c>
      <c r="T24" s="1">
        <v>2</v>
      </c>
      <c r="U24" s="1">
        <v>0</v>
      </c>
      <c r="V24" s="1">
        <v>0</v>
      </c>
      <c r="W24" s="1">
        <v>0</v>
      </c>
      <c r="X24" s="1">
        <v>0</v>
      </c>
      <c r="Y24" s="1">
        <v>0</v>
      </c>
      <c r="Z24" s="1">
        <v>0</v>
      </c>
      <c r="AA24" s="1">
        <v>0</v>
      </c>
      <c r="AB24" s="3">
        <f t="shared" si="0"/>
        <v>0.23076923076923078</v>
      </c>
      <c r="AC24" s="4">
        <f>VLOOKUP(B24,'[1]INV 02-02-23'!$A$1:$L$8464,6,FALSE)</f>
        <v>177.87</v>
      </c>
    </row>
    <row r="25" spans="1:29" ht="25.5" x14ac:dyDescent="0.25">
      <c r="A25" s="1" t="s">
        <v>300</v>
      </c>
      <c r="B25" s="1" t="s">
        <v>76</v>
      </c>
      <c r="C25" s="1">
        <v>6</v>
      </c>
      <c r="D25" s="3" t="s">
        <v>77</v>
      </c>
      <c r="E25" s="1">
        <v>3</v>
      </c>
      <c r="F25" s="1">
        <v>2</v>
      </c>
      <c r="G25" s="1">
        <f>(P25+Q25+R25+S25+T25)/60</f>
        <v>1.6666666666666666E-2</v>
      </c>
      <c r="H25" s="3">
        <f>G25*36*1.2</f>
        <v>0.72</v>
      </c>
      <c r="I25" s="3">
        <v>0</v>
      </c>
      <c r="J25" s="3">
        <f>+G25*10+I25</f>
        <v>0.16666666666666666</v>
      </c>
      <c r="K25" s="3">
        <f>J25+(G25*M25)</f>
        <v>0.3666666666666667</v>
      </c>
      <c r="L25" s="3" t="s">
        <v>48</v>
      </c>
      <c r="M25" s="3">
        <v>12</v>
      </c>
      <c r="N25" s="3" t="s">
        <v>30</v>
      </c>
      <c r="O25" s="1">
        <v>0</v>
      </c>
      <c r="P25" s="1">
        <v>0</v>
      </c>
      <c r="Q25" s="1">
        <v>0</v>
      </c>
      <c r="R25" s="1">
        <v>1</v>
      </c>
      <c r="S25" s="1">
        <v>0</v>
      </c>
      <c r="T25" s="1">
        <v>0</v>
      </c>
      <c r="U25" s="1">
        <v>0</v>
      </c>
      <c r="V25" s="1">
        <v>0</v>
      </c>
      <c r="W25" s="1">
        <v>0</v>
      </c>
      <c r="X25" s="1">
        <v>0</v>
      </c>
      <c r="Y25" s="1">
        <v>0</v>
      </c>
      <c r="Z25" s="1">
        <v>0</v>
      </c>
      <c r="AA25" s="1">
        <v>0</v>
      </c>
      <c r="AB25" s="3">
        <f t="shared" si="0"/>
        <v>7.6923076923076927E-2</v>
      </c>
      <c r="AC25" s="4">
        <f>VLOOKUP(B25,'[1]INV 02-02-23'!$A$1:$L$8464,6,FALSE)</f>
        <v>4600</v>
      </c>
    </row>
    <row r="26" spans="1:29" ht="25.5" x14ac:dyDescent="0.25">
      <c r="A26" s="1" t="s">
        <v>301</v>
      </c>
      <c r="B26" s="1" t="s">
        <v>78</v>
      </c>
      <c r="C26" s="1">
        <v>6</v>
      </c>
      <c r="D26" s="3" t="s">
        <v>79</v>
      </c>
      <c r="E26" s="1">
        <v>3</v>
      </c>
      <c r="F26" s="1">
        <v>6</v>
      </c>
      <c r="G26" s="1">
        <f>(P26+Q26+R26+S26+T26)/60</f>
        <v>3.3333333333333333E-2</v>
      </c>
      <c r="H26" s="3">
        <f>G26*36*1.2</f>
        <v>1.44</v>
      </c>
      <c r="I26" s="3">
        <v>0</v>
      </c>
      <c r="J26" s="3">
        <f>+G26*10+I26</f>
        <v>0.33333333333333331</v>
      </c>
      <c r="K26" s="3">
        <f>J26+(G26*M26)</f>
        <v>0.73333333333333339</v>
      </c>
      <c r="L26" s="3" t="s">
        <v>48</v>
      </c>
      <c r="M26" s="3">
        <v>12</v>
      </c>
      <c r="N26" s="3" t="s">
        <v>30</v>
      </c>
      <c r="O26" s="1">
        <v>0</v>
      </c>
      <c r="P26" s="1">
        <v>0</v>
      </c>
      <c r="Q26" s="1">
        <v>1</v>
      </c>
      <c r="R26" s="1">
        <v>0</v>
      </c>
      <c r="S26" s="1">
        <v>0</v>
      </c>
      <c r="T26" s="1">
        <v>1</v>
      </c>
      <c r="U26" s="1">
        <v>0</v>
      </c>
      <c r="V26" s="1">
        <v>0</v>
      </c>
      <c r="W26" s="1">
        <v>0</v>
      </c>
      <c r="X26" s="1">
        <v>0</v>
      </c>
      <c r="Y26" s="1">
        <v>0</v>
      </c>
      <c r="Z26" s="1">
        <v>0</v>
      </c>
      <c r="AA26" s="1">
        <v>0</v>
      </c>
      <c r="AB26" s="3">
        <f t="shared" si="0"/>
        <v>0.15384615384615385</v>
      </c>
      <c r="AC26" s="4">
        <f>VLOOKUP(B26,'[1]INV 02-02-23'!$A$1:$L$8464,6,FALSE)</f>
        <v>1540.01</v>
      </c>
    </row>
    <row r="27" spans="1:29" ht="38.25" x14ac:dyDescent="0.25">
      <c r="A27" s="1" t="s">
        <v>302</v>
      </c>
      <c r="B27" s="1" t="s">
        <v>80</v>
      </c>
      <c r="C27" s="1">
        <v>6</v>
      </c>
      <c r="D27" s="3" t="s">
        <v>81</v>
      </c>
      <c r="E27" s="1">
        <v>2</v>
      </c>
      <c r="F27" s="1">
        <v>1</v>
      </c>
      <c r="G27" s="1">
        <f>(P27+Q27+R27+S27+T27)/60</f>
        <v>3.3333333333333333E-2</v>
      </c>
      <c r="H27" s="3">
        <v>6</v>
      </c>
      <c r="I27" s="3">
        <v>1</v>
      </c>
      <c r="J27" s="3">
        <f>+G27*10+I27</f>
        <v>1.3333333333333333</v>
      </c>
      <c r="K27" s="3">
        <f>J27+(G27*M27)</f>
        <v>1.7333333333333334</v>
      </c>
      <c r="L27" s="3" t="s">
        <v>48</v>
      </c>
      <c r="M27" s="3">
        <v>12</v>
      </c>
      <c r="N27" s="3" t="s">
        <v>30</v>
      </c>
      <c r="O27" s="1">
        <v>2</v>
      </c>
      <c r="P27" s="1">
        <v>0</v>
      </c>
      <c r="Q27" s="1">
        <v>0</v>
      </c>
      <c r="R27" s="1">
        <v>1</v>
      </c>
      <c r="S27" s="1">
        <v>0</v>
      </c>
      <c r="T27" s="1">
        <v>1</v>
      </c>
      <c r="U27" s="1">
        <v>0</v>
      </c>
      <c r="V27" s="1">
        <v>1</v>
      </c>
      <c r="W27" s="1">
        <v>1</v>
      </c>
      <c r="X27" s="1">
        <v>0</v>
      </c>
      <c r="Y27" s="1">
        <v>0</v>
      </c>
      <c r="Z27" s="1">
        <v>0</v>
      </c>
      <c r="AA27" s="1">
        <v>0</v>
      </c>
      <c r="AB27" s="3">
        <f t="shared" si="0"/>
        <v>0.46153846153846156</v>
      </c>
      <c r="AC27" s="4">
        <f>VLOOKUP(B27,'[1]INV 02-02-23'!$A$1:$L$8464,6,FALSE)</f>
        <v>6100</v>
      </c>
    </row>
    <row r="28" spans="1:29" ht="38.25" x14ac:dyDescent="0.25">
      <c r="A28" s="1" t="s">
        <v>303</v>
      </c>
      <c r="B28" s="1" t="s">
        <v>82</v>
      </c>
      <c r="C28" s="1">
        <v>6</v>
      </c>
      <c r="D28" s="3" t="s">
        <v>83</v>
      </c>
      <c r="E28" s="1">
        <v>6</v>
      </c>
      <c r="F28" s="1">
        <v>6</v>
      </c>
      <c r="G28" s="1">
        <f>(P28+Q28+R28+S28+T28)/60</f>
        <v>0.1</v>
      </c>
      <c r="H28" s="3">
        <v>18</v>
      </c>
      <c r="I28" s="3">
        <v>2</v>
      </c>
      <c r="J28" s="3">
        <f>+G28*10+I28</f>
        <v>3</v>
      </c>
      <c r="K28" s="3">
        <f>J28+(G28*M28)</f>
        <v>4.2</v>
      </c>
      <c r="L28" s="3" t="s">
        <v>48</v>
      </c>
      <c r="M28" s="3">
        <v>12</v>
      </c>
      <c r="N28" s="3" t="s">
        <v>30</v>
      </c>
      <c r="O28" s="1">
        <v>3</v>
      </c>
      <c r="P28" s="1">
        <v>0</v>
      </c>
      <c r="Q28" s="1">
        <v>0</v>
      </c>
      <c r="R28" s="1">
        <v>0</v>
      </c>
      <c r="S28" s="1">
        <v>6</v>
      </c>
      <c r="T28" s="1">
        <v>0</v>
      </c>
      <c r="U28" s="1">
        <v>1</v>
      </c>
      <c r="V28" s="1">
        <v>1</v>
      </c>
      <c r="W28" s="1">
        <v>0</v>
      </c>
      <c r="X28" s="1">
        <v>0</v>
      </c>
      <c r="Y28" s="1">
        <v>0</v>
      </c>
      <c r="Z28" s="1">
        <v>0</v>
      </c>
      <c r="AA28" s="1">
        <v>0</v>
      </c>
      <c r="AB28" s="3">
        <f t="shared" si="0"/>
        <v>0.84615384615384615</v>
      </c>
      <c r="AC28" s="4">
        <f>VLOOKUP(B28,'[1]INV 02-02-23'!$A$1:$L$8464,6,FALSE)</f>
        <v>6100</v>
      </c>
    </row>
    <row r="29" spans="1:29" ht="38.25" x14ac:dyDescent="0.25">
      <c r="A29" s="1" t="s">
        <v>304</v>
      </c>
      <c r="B29" s="1" t="s">
        <v>84</v>
      </c>
      <c r="C29" s="1">
        <v>6</v>
      </c>
      <c r="D29" s="3" t="s">
        <v>85</v>
      </c>
      <c r="E29" s="1">
        <v>4</v>
      </c>
      <c r="F29" s="1">
        <v>6</v>
      </c>
      <c r="G29" s="1">
        <f>(P29+Q29+R29+S29+T29)/60</f>
        <v>6.6666666666666666E-2</v>
      </c>
      <c r="H29" s="3">
        <v>18</v>
      </c>
      <c r="I29" s="3">
        <v>2</v>
      </c>
      <c r="J29" s="3">
        <f>+G29*10+I29</f>
        <v>2.6666666666666665</v>
      </c>
      <c r="K29" s="3">
        <f>J29+(G29*M29)</f>
        <v>3.4666666666666668</v>
      </c>
      <c r="L29" s="3" t="s">
        <v>48</v>
      </c>
      <c r="M29" s="3">
        <v>12</v>
      </c>
      <c r="N29" s="3" t="s">
        <v>30</v>
      </c>
      <c r="O29" s="1">
        <v>4</v>
      </c>
      <c r="P29" s="1">
        <v>0</v>
      </c>
      <c r="Q29" s="1">
        <v>4</v>
      </c>
      <c r="R29" s="1">
        <v>0</v>
      </c>
      <c r="S29" s="1">
        <v>0</v>
      </c>
      <c r="T29" s="1">
        <v>0</v>
      </c>
      <c r="U29" s="1">
        <v>0</v>
      </c>
      <c r="V29" s="1">
        <v>1</v>
      </c>
      <c r="W29" s="1">
        <v>0</v>
      </c>
      <c r="X29" s="1">
        <v>0</v>
      </c>
      <c r="Y29" s="1">
        <v>0</v>
      </c>
      <c r="Z29" s="1">
        <v>0</v>
      </c>
      <c r="AA29" s="1">
        <v>0</v>
      </c>
      <c r="AB29" s="3">
        <f t="shared" si="0"/>
        <v>0.69230769230769229</v>
      </c>
      <c r="AC29" s="4">
        <f>VLOOKUP(B29,'[1]INV 02-02-23'!$A$1:$L$8464,6,FALSE)</f>
        <v>6100</v>
      </c>
    </row>
    <row r="30" spans="1:29" ht="38.25" x14ac:dyDescent="0.25">
      <c r="A30" s="1" t="s">
        <v>305</v>
      </c>
      <c r="B30" s="1" t="s">
        <v>86</v>
      </c>
      <c r="C30" s="1">
        <v>6</v>
      </c>
      <c r="D30" s="3" t="s">
        <v>87</v>
      </c>
      <c r="E30" s="1">
        <v>2</v>
      </c>
      <c r="F30" s="1">
        <v>1</v>
      </c>
      <c r="G30" s="1">
        <f>(P30+Q30+R30+S30+T30)/60</f>
        <v>1.6666666666666666E-2</v>
      </c>
      <c r="H30" s="3">
        <v>2</v>
      </c>
      <c r="I30" s="3">
        <v>1</v>
      </c>
      <c r="J30" s="3">
        <f>+G30*10+I30</f>
        <v>1.1666666666666667</v>
      </c>
      <c r="K30" s="3">
        <f>J30+(G30*M30)</f>
        <v>1.3666666666666667</v>
      </c>
      <c r="L30" s="3" t="s">
        <v>48</v>
      </c>
      <c r="M30" s="3">
        <v>12</v>
      </c>
      <c r="N30" s="3" t="s">
        <v>30</v>
      </c>
      <c r="O30" s="1">
        <v>2</v>
      </c>
      <c r="P30" s="1">
        <v>0</v>
      </c>
      <c r="Q30" s="1">
        <v>0</v>
      </c>
      <c r="R30" s="1">
        <v>0</v>
      </c>
      <c r="S30" s="1">
        <v>1</v>
      </c>
      <c r="T30" s="1">
        <v>0</v>
      </c>
      <c r="U30" s="1">
        <v>0</v>
      </c>
      <c r="V30" s="1">
        <v>0</v>
      </c>
      <c r="W30" s="1">
        <v>0</v>
      </c>
      <c r="X30" s="1">
        <v>0</v>
      </c>
      <c r="Y30" s="1">
        <v>0</v>
      </c>
      <c r="Z30" s="1">
        <v>0</v>
      </c>
      <c r="AA30" s="1">
        <v>0</v>
      </c>
      <c r="AB30" s="3">
        <f t="shared" si="0"/>
        <v>0.23076923076923078</v>
      </c>
      <c r="AC30" s="4">
        <f>VLOOKUP(B30,'[1]INV 02-02-23'!$A$1:$L$8464,6,FALSE)</f>
        <v>5170</v>
      </c>
    </row>
    <row r="31" spans="1:29" ht="25.5" x14ac:dyDescent="0.25">
      <c r="A31" s="1" t="s">
        <v>306</v>
      </c>
      <c r="B31" s="1" t="s">
        <v>88</v>
      </c>
      <c r="C31" s="1">
        <v>6</v>
      </c>
      <c r="D31" s="3" t="s">
        <v>89</v>
      </c>
      <c r="E31" s="1">
        <v>2</v>
      </c>
      <c r="F31" s="1">
        <v>1</v>
      </c>
      <c r="G31" s="1">
        <f>(P31+Q31+R31+S31+T31)/60</f>
        <v>1.6666666666666666E-2</v>
      </c>
      <c r="H31" s="3">
        <v>2</v>
      </c>
      <c r="I31" s="3">
        <v>1</v>
      </c>
      <c r="J31" s="3">
        <f>+G31*10+I31</f>
        <v>1.1666666666666667</v>
      </c>
      <c r="K31" s="3">
        <f>J31+(G31*M31)</f>
        <v>1.3666666666666667</v>
      </c>
      <c r="L31" s="3" t="s">
        <v>48</v>
      </c>
      <c r="M31" s="3">
        <v>12</v>
      </c>
      <c r="N31" s="3" t="s">
        <v>30</v>
      </c>
      <c r="O31" s="1">
        <v>1</v>
      </c>
      <c r="P31" s="1">
        <v>0</v>
      </c>
      <c r="Q31" s="1">
        <v>0</v>
      </c>
      <c r="R31" s="1">
        <v>1</v>
      </c>
      <c r="S31" s="1">
        <v>0</v>
      </c>
      <c r="T31" s="1">
        <v>0</v>
      </c>
      <c r="U31" s="1">
        <v>0</v>
      </c>
      <c r="V31" s="1">
        <v>0</v>
      </c>
      <c r="W31" s="1">
        <v>1</v>
      </c>
      <c r="X31" s="1">
        <v>0</v>
      </c>
      <c r="Y31" s="1">
        <v>0</v>
      </c>
      <c r="Z31" s="1">
        <v>0</v>
      </c>
      <c r="AA31" s="1">
        <v>0</v>
      </c>
      <c r="AB31" s="3">
        <f t="shared" si="0"/>
        <v>0.23076923076923078</v>
      </c>
      <c r="AC31" s="4">
        <f>VLOOKUP(B31,'[1]INV 02-02-23'!$A$1:$L$8464,6,FALSE)</f>
        <v>1850</v>
      </c>
    </row>
    <row r="32" spans="1:29" x14ac:dyDescent="0.25">
      <c r="A32" s="1" t="s">
        <v>307</v>
      </c>
      <c r="B32" s="1" t="s">
        <v>90</v>
      </c>
      <c r="C32" s="1">
        <v>6</v>
      </c>
      <c r="D32" s="3" t="s">
        <v>91</v>
      </c>
      <c r="E32" s="1">
        <v>3</v>
      </c>
      <c r="F32" s="1">
        <v>1</v>
      </c>
      <c r="G32" s="1">
        <f>(P32+Q32+R32+S32+T32)/60</f>
        <v>0</v>
      </c>
      <c r="H32" s="3">
        <v>1</v>
      </c>
      <c r="I32" s="3">
        <v>1</v>
      </c>
      <c r="J32" s="3">
        <f>+G32*10+I32</f>
        <v>1</v>
      </c>
      <c r="K32" s="3">
        <f>J32+(G32*M32)</f>
        <v>1</v>
      </c>
      <c r="L32" s="3" t="s">
        <v>48</v>
      </c>
      <c r="M32" s="3">
        <v>12</v>
      </c>
      <c r="N32" s="3" t="s">
        <v>30</v>
      </c>
      <c r="O32" s="1">
        <v>1</v>
      </c>
      <c r="P32" s="1">
        <v>0</v>
      </c>
      <c r="Q32" s="1">
        <v>0</v>
      </c>
      <c r="R32" s="1">
        <v>0</v>
      </c>
      <c r="S32" s="1">
        <v>0</v>
      </c>
      <c r="T32" s="1">
        <v>0</v>
      </c>
      <c r="U32" s="1">
        <v>0</v>
      </c>
      <c r="V32" s="1">
        <v>0</v>
      </c>
      <c r="W32" s="1">
        <v>0</v>
      </c>
      <c r="X32" s="1">
        <v>0</v>
      </c>
      <c r="Y32" s="1">
        <v>0</v>
      </c>
      <c r="Z32" s="1">
        <v>0</v>
      </c>
      <c r="AA32" s="1">
        <v>0</v>
      </c>
      <c r="AB32" s="3">
        <f t="shared" si="0"/>
        <v>7.6923076923076927E-2</v>
      </c>
      <c r="AC32" s="4">
        <f>VLOOKUP(B32,'[1]INV 02-02-23'!$A$1:$L$8464,6,FALSE)</f>
        <v>76.650000000000006</v>
      </c>
    </row>
    <row r="33" spans="1:29" ht="38.25" x14ac:dyDescent="0.25">
      <c r="A33" s="1" t="s">
        <v>308</v>
      </c>
      <c r="B33" s="1" t="s">
        <v>92</v>
      </c>
      <c r="C33" s="1">
        <v>6</v>
      </c>
      <c r="D33" s="3" t="s">
        <v>93</v>
      </c>
      <c r="E33" s="1">
        <v>6</v>
      </c>
      <c r="F33" s="1">
        <v>3</v>
      </c>
      <c r="G33" s="1">
        <f>(P33+Q33+R33+S33+T33)/60</f>
        <v>0</v>
      </c>
      <c r="H33" s="3">
        <v>1</v>
      </c>
      <c r="I33" s="3">
        <v>1</v>
      </c>
      <c r="J33" s="3">
        <f>+G33*10+I33</f>
        <v>1</v>
      </c>
      <c r="K33" s="3">
        <f>J33+(G33*M33)</f>
        <v>1</v>
      </c>
      <c r="L33" s="3" t="s">
        <v>48</v>
      </c>
      <c r="M33" s="3">
        <v>12</v>
      </c>
      <c r="N33" s="3" t="s">
        <v>30</v>
      </c>
      <c r="O33" s="1">
        <v>1</v>
      </c>
      <c r="P33" s="1">
        <v>0</v>
      </c>
      <c r="Q33" s="1">
        <v>0</v>
      </c>
      <c r="R33" s="1">
        <v>0</v>
      </c>
      <c r="S33" s="1">
        <v>0</v>
      </c>
      <c r="T33" s="1">
        <v>0</v>
      </c>
      <c r="U33" s="1">
        <v>0</v>
      </c>
      <c r="V33" s="1">
        <v>0</v>
      </c>
      <c r="W33" s="1">
        <v>0</v>
      </c>
      <c r="X33" s="1">
        <v>0</v>
      </c>
      <c r="Y33" s="1">
        <v>0</v>
      </c>
      <c r="Z33" s="1">
        <v>0</v>
      </c>
      <c r="AA33" s="1">
        <v>0</v>
      </c>
      <c r="AB33" s="3">
        <f t="shared" si="0"/>
        <v>7.6923076923076927E-2</v>
      </c>
      <c r="AC33" s="4">
        <f>VLOOKUP(B33,'[1]INV 02-02-23'!$A$1:$L$8464,6,FALSE)</f>
        <v>1650.62</v>
      </c>
    </row>
    <row r="34" spans="1:29" ht="25.5" x14ac:dyDescent="0.25">
      <c r="A34" s="1" t="s">
        <v>309</v>
      </c>
      <c r="B34" s="1" t="s">
        <v>94</v>
      </c>
      <c r="C34" s="1">
        <v>6</v>
      </c>
      <c r="D34" s="3" t="s">
        <v>95</v>
      </c>
      <c r="E34" s="1">
        <v>3</v>
      </c>
      <c r="F34" s="1">
        <v>1</v>
      </c>
      <c r="G34" s="1">
        <f>(P34+Q34+R34+S34+T34)/60</f>
        <v>0</v>
      </c>
      <c r="H34" s="3">
        <v>1</v>
      </c>
      <c r="I34" s="3">
        <v>1</v>
      </c>
      <c r="J34" s="3">
        <f>+G34*10+I34</f>
        <v>1</v>
      </c>
      <c r="K34" s="3">
        <f>J34+(G34*M34)</f>
        <v>1</v>
      </c>
      <c r="L34" s="3" t="s">
        <v>48</v>
      </c>
      <c r="M34" s="3">
        <v>12</v>
      </c>
      <c r="N34" s="3" t="s">
        <v>30</v>
      </c>
      <c r="O34" s="1">
        <v>1</v>
      </c>
      <c r="P34" s="1">
        <v>0</v>
      </c>
      <c r="Q34" s="1">
        <v>0</v>
      </c>
      <c r="R34" s="1">
        <v>0</v>
      </c>
      <c r="S34" s="1">
        <v>0</v>
      </c>
      <c r="T34" s="1">
        <v>0</v>
      </c>
      <c r="U34" s="1">
        <v>0</v>
      </c>
      <c r="V34" s="1">
        <v>0</v>
      </c>
      <c r="W34" s="1">
        <v>0</v>
      </c>
      <c r="X34" s="1">
        <v>0</v>
      </c>
      <c r="Y34" s="1">
        <v>0</v>
      </c>
      <c r="Z34" s="1">
        <v>0</v>
      </c>
      <c r="AA34" s="1">
        <v>0</v>
      </c>
      <c r="AB34" s="3">
        <f t="shared" si="0"/>
        <v>7.6923076923076927E-2</v>
      </c>
      <c r="AC34" s="4">
        <f>VLOOKUP(B34,'[1]INV 02-02-23'!$A$1:$L$8464,6,FALSE)</f>
        <v>1076.73</v>
      </c>
    </row>
    <row r="35" spans="1:29" ht="25.5" x14ac:dyDescent="0.25">
      <c r="A35" s="1" t="s">
        <v>310</v>
      </c>
      <c r="B35" s="1" t="s">
        <v>96</v>
      </c>
      <c r="C35" s="1">
        <v>6</v>
      </c>
      <c r="D35" s="3" t="s">
        <v>97</v>
      </c>
      <c r="E35" s="1">
        <v>3</v>
      </c>
      <c r="F35" s="1">
        <v>1</v>
      </c>
      <c r="G35" s="1">
        <f>(P35+Q35+R35+S35+T35)/60</f>
        <v>1.6666666666666666E-2</v>
      </c>
      <c r="H35" s="3">
        <v>3</v>
      </c>
      <c r="I35" s="3">
        <v>1</v>
      </c>
      <c r="J35" s="3">
        <f>+G35*10+I35</f>
        <v>1.1666666666666667</v>
      </c>
      <c r="K35" s="3">
        <f>J35+(G35*M35)</f>
        <v>1.3666666666666667</v>
      </c>
      <c r="L35" s="3" t="s">
        <v>48</v>
      </c>
      <c r="M35" s="3">
        <v>12</v>
      </c>
      <c r="N35" s="3" t="s">
        <v>30</v>
      </c>
      <c r="O35" s="1">
        <v>1</v>
      </c>
      <c r="P35" s="1">
        <v>0</v>
      </c>
      <c r="Q35" s="1">
        <v>0</v>
      </c>
      <c r="R35" s="1">
        <v>1</v>
      </c>
      <c r="S35" s="1">
        <v>0</v>
      </c>
      <c r="T35" s="1">
        <v>0</v>
      </c>
      <c r="U35" s="1">
        <v>0</v>
      </c>
      <c r="V35" s="1">
        <v>0</v>
      </c>
      <c r="W35" s="1">
        <v>1</v>
      </c>
      <c r="X35" s="1">
        <v>0</v>
      </c>
      <c r="Y35" s="1">
        <v>0</v>
      </c>
      <c r="Z35" s="1">
        <v>0</v>
      </c>
      <c r="AA35" s="1">
        <v>0</v>
      </c>
      <c r="AB35" s="3">
        <f t="shared" si="0"/>
        <v>0.23076923076923078</v>
      </c>
      <c r="AC35" s="4">
        <f>VLOOKUP(B35,'[1]INV 02-02-23'!$A$1:$L$8464,6,FALSE)</f>
        <v>120.68</v>
      </c>
    </row>
    <row r="36" spans="1:29" x14ac:dyDescent="0.25">
      <c r="A36" s="1" t="s">
        <v>311</v>
      </c>
      <c r="B36" s="1" t="s">
        <v>98</v>
      </c>
      <c r="C36" s="1">
        <v>6</v>
      </c>
      <c r="D36" s="3" t="s">
        <v>99</v>
      </c>
      <c r="E36" s="1">
        <v>6</v>
      </c>
      <c r="F36" s="1">
        <v>1</v>
      </c>
      <c r="G36" s="1">
        <f>(P36+Q36+R36+S36+T36)/60</f>
        <v>0.15</v>
      </c>
      <c r="H36" s="3">
        <v>12</v>
      </c>
      <c r="I36" s="3">
        <v>2</v>
      </c>
      <c r="J36" s="3">
        <f>+G36*10+I36</f>
        <v>3.5</v>
      </c>
      <c r="K36" s="3">
        <f>J36+(G36*M36)</f>
        <v>5.3</v>
      </c>
      <c r="L36" s="3" t="s">
        <v>48</v>
      </c>
      <c r="M36" s="3">
        <v>12</v>
      </c>
      <c r="N36" s="3"/>
      <c r="O36" s="1">
        <v>2</v>
      </c>
      <c r="P36" s="1">
        <v>2</v>
      </c>
      <c r="Q36" s="1">
        <v>0</v>
      </c>
      <c r="R36" s="1">
        <v>0</v>
      </c>
      <c r="S36" s="1">
        <v>1</v>
      </c>
      <c r="T36" s="1">
        <v>6</v>
      </c>
      <c r="U36" s="1">
        <v>1</v>
      </c>
      <c r="V36" s="1">
        <v>1</v>
      </c>
      <c r="W36" s="1">
        <v>0</v>
      </c>
      <c r="X36" s="1">
        <v>0</v>
      </c>
      <c r="Y36" s="1">
        <v>0</v>
      </c>
      <c r="Z36" s="1">
        <v>0</v>
      </c>
      <c r="AA36" s="1">
        <v>0</v>
      </c>
      <c r="AB36" s="3">
        <f t="shared" si="0"/>
        <v>1</v>
      </c>
      <c r="AC36" s="4">
        <f>VLOOKUP(B36,'[1]INV 02-02-23'!$A$1:$L$8464,6,FALSE)</f>
        <v>347.31799999999998</v>
      </c>
    </row>
    <row r="37" spans="1:29" x14ac:dyDescent="0.25">
      <c r="A37" s="1" t="s">
        <v>312</v>
      </c>
      <c r="B37" s="1" t="s">
        <v>100</v>
      </c>
      <c r="C37" s="1">
        <v>6</v>
      </c>
      <c r="D37" s="3" t="s">
        <v>101</v>
      </c>
      <c r="E37" s="1">
        <v>6</v>
      </c>
      <c r="F37" s="1">
        <v>4</v>
      </c>
      <c r="G37" s="1">
        <f>(P37+Q37+R37+S37+T37)/60</f>
        <v>0.26666666666666666</v>
      </c>
      <c r="H37" s="3">
        <v>18</v>
      </c>
      <c r="I37" s="3">
        <v>2</v>
      </c>
      <c r="J37" s="3">
        <f>+G37*10+I37</f>
        <v>4.6666666666666661</v>
      </c>
      <c r="K37" s="3">
        <f>J37+(G37*M37)</f>
        <v>7.8666666666666663</v>
      </c>
      <c r="L37" s="3" t="s">
        <v>29</v>
      </c>
      <c r="M37" s="3">
        <v>12</v>
      </c>
      <c r="N37" s="3" t="s">
        <v>30</v>
      </c>
      <c r="O37" s="1">
        <v>2</v>
      </c>
      <c r="P37" s="1">
        <v>0</v>
      </c>
      <c r="Q37" s="1">
        <v>2</v>
      </c>
      <c r="R37" s="1">
        <v>0</v>
      </c>
      <c r="S37" s="1">
        <v>2</v>
      </c>
      <c r="T37" s="1">
        <v>12</v>
      </c>
      <c r="U37" s="1">
        <v>2</v>
      </c>
      <c r="V37" s="1">
        <v>1</v>
      </c>
      <c r="W37" s="1">
        <v>0</v>
      </c>
      <c r="X37" s="1">
        <v>0</v>
      </c>
      <c r="Y37" s="1">
        <v>0</v>
      </c>
      <c r="Z37" s="1">
        <v>0</v>
      </c>
      <c r="AA37" s="1">
        <v>0</v>
      </c>
      <c r="AB37" s="3">
        <f t="shared" si="0"/>
        <v>1.6153846153846154</v>
      </c>
      <c r="AC37" s="4">
        <f>VLOOKUP(B37,'[1]INV 02-02-23'!$A$1:$L$8464,6,FALSE)</f>
        <v>48.976700000000001</v>
      </c>
    </row>
    <row r="38" spans="1:29" x14ac:dyDescent="0.25">
      <c r="A38" s="1" t="s">
        <v>313</v>
      </c>
      <c r="B38" s="1" t="s">
        <v>102</v>
      </c>
      <c r="C38" s="1">
        <v>6</v>
      </c>
      <c r="D38" s="3" t="s">
        <v>103</v>
      </c>
      <c r="E38" s="1">
        <v>2</v>
      </c>
      <c r="F38" s="1">
        <v>1</v>
      </c>
      <c r="G38" s="1">
        <f>(P38+Q38+R38+S38+T38)/60</f>
        <v>1.6666666666666666E-2</v>
      </c>
      <c r="H38" s="3">
        <v>4</v>
      </c>
      <c r="I38" s="3">
        <v>1</v>
      </c>
      <c r="J38" s="3">
        <f>+G38*10+I38</f>
        <v>1.1666666666666667</v>
      </c>
      <c r="K38" s="3">
        <f>J38+(G38*M38)</f>
        <v>1.3666666666666667</v>
      </c>
      <c r="L38" s="3" t="s">
        <v>29</v>
      </c>
      <c r="M38" s="3">
        <v>12</v>
      </c>
      <c r="N38" s="3" t="s">
        <v>30</v>
      </c>
      <c r="O38" s="1">
        <v>1</v>
      </c>
      <c r="P38" s="1">
        <v>0</v>
      </c>
      <c r="Q38" s="1">
        <v>0</v>
      </c>
      <c r="R38" s="1">
        <v>0</v>
      </c>
      <c r="S38" s="1">
        <v>1</v>
      </c>
      <c r="T38" s="1">
        <v>0</v>
      </c>
      <c r="U38" s="1">
        <v>0</v>
      </c>
      <c r="V38" s="1">
        <v>0</v>
      </c>
      <c r="W38" s="1">
        <v>0</v>
      </c>
      <c r="X38" s="1">
        <v>0</v>
      </c>
      <c r="Y38" s="1">
        <v>0</v>
      </c>
      <c r="Z38" s="1">
        <v>0</v>
      </c>
      <c r="AA38" s="1">
        <v>0</v>
      </c>
      <c r="AB38" s="3">
        <f t="shared" si="0"/>
        <v>0.15384615384615385</v>
      </c>
      <c r="AC38" s="4">
        <f>VLOOKUP(B38,'[1]INV 02-02-23'!$A$1:$L$8464,6,FALSE)</f>
        <v>101293.08</v>
      </c>
    </row>
    <row r="39" spans="1:29" x14ac:dyDescent="0.25">
      <c r="A39" s="1" t="s">
        <v>314</v>
      </c>
      <c r="B39" s="5" t="s">
        <v>126</v>
      </c>
      <c r="C39" s="6">
        <v>6</v>
      </c>
      <c r="D39" s="5" t="s">
        <v>127</v>
      </c>
      <c r="E39" s="1">
        <v>2</v>
      </c>
      <c r="F39" s="1">
        <v>1</v>
      </c>
      <c r="G39" s="1">
        <f>(P39+Q39+R39+S39+T39)/60</f>
        <v>1.6666666666666666E-2</v>
      </c>
      <c r="H39" s="3">
        <v>4</v>
      </c>
      <c r="I39" s="1">
        <v>1</v>
      </c>
      <c r="J39" s="3">
        <f>+G39*10+I39</f>
        <v>1.1666666666666667</v>
      </c>
      <c r="K39" s="3">
        <f>J39+(G39*M39)</f>
        <v>1.3666666666666667</v>
      </c>
      <c r="L39" s="3" t="s">
        <v>44</v>
      </c>
      <c r="M39" s="3">
        <v>12</v>
      </c>
      <c r="N39" s="3" t="s">
        <v>30</v>
      </c>
      <c r="O39" s="1">
        <v>3</v>
      </c>
      <c r="P39" s="1">
        <v>1</v>
      </c>
      <c r="Q39" s="1">
        <v>0</v>
      </c>
      <c r="R39" s="1">
        <v>0</v>
      </c>
      <c r="S39" s="1">
        <v>0</v>
      </c>
      <c r="T39" s="1">
        <v>0</v>
      </c>
      <c r="U39" s="1">
        <v>0</v>
      </c>
      <c r="V39" s="1">
        <v>0</v>
      </c>
      <c r="W39" s="1">
        <v>0</v>
      </c>
      <c r="X39" s="1">
        <v>0</v>
      </c>
      <c r="Y39" s="1">
        <v>0</v>
      </c>
      <c r="Z39" s="1">
        <v>0</v>
      </c>
      <c r="AA39" s="1">
        <v>0</v>
      </c>
      <c r="AB39" s="3">
        <f t="shared" si="0"/>
        <v>0.30769230769230771</v>
      </c>
      <c r="AC39" s="4">
        <v>1700</v>
      </c>
    </row>
    <row r="40" spans="1:29" x14ac:dyDescent="0.25">
      <c r="A40" s="1" t="s">
        <v>315</v>
      </c>
      <c r="B40" s="1" t="s">
        <v>104</v>
      </c>
      <c r="C40" s="1">
        <v>6</v>
      </c>
      <c r="D40" s="3" t="s">
        <v>105</v>
      </c>
      <c r="E40" s="1">
        <v>5</v>
      </c>
      <c r="F40" s="1">
        <v>2</v>
      </c>
      <c r="G40" s="1">
        <f>(P40+Q40+R40+S40+T40)/60</f>
        <v>0</v>
      </c>
      <c r="H40" s="3">
        <v>5</v>
      </c>
      <c r="I40" s="3">
        <v>1</v>
      </c>
      <c r="J40" s="3">
        <f>+G40*10+I40</f>
        <v>1</v>
      </c>
      <c r="K40" s="3">
        <f>J40+(G40*M40)</f>
        <v>1</v>
      </c>
      <c r="L40" s="3" t="s">
        <v>29</v>
      </c>
      <c r="M40" s="3">
        <v>12</v>
      </c>
      <c r="N40" s="3" t="s">
        <v>30</v>
      </c>
      <c r="O40" s="1">
        <v>1</v>
      </c>
      <c r="P40" s="1">
        <v>0</v>
      </c>
      <c r="Q40" s="1">
        <v>0</v>
      </c>
      <c r="R40" s="1">
        <v>0</v>
      </c>
      <c r="S40" s="1">
        <v>0</v>
      </c>
      <c r="T40" s="1">
        <v>0</v>
      </c>
      <c r="U40" s="1">
        <v>0</v>
      </c>
      <c r="V40" s="1">
        <v>0</v>
      </c>
      <c r="W40" s="1">
        <v>0</v>
      </c>
      <c r="X40" s="1">
        <v>0</v>
      </c>
      <c r="Y40" s="1">
        <v>0</v>
      </c>
      <c r="Z40" s="1">
        <v>0</v>
      </c>
      <c r="AA40" s="1">
        <v>0</v>
      </c>
      <c r="AB40" s="3">
        <f t="shared" si="0"/>
        <v>7.6923076923076927E-2</v>
      </c>
      <c r="AC40" s="4">
        <f>VLOOKUP(B40,'[1]INV 02-02-23'!$A$1:$L$8464,6,FALSE)</f>
        <v>41512.205000000002</v>
      </c>
    </row>
    <row r="41" spans="1:29" x14ac:dyDescent="0.25">
      <c r="A41" s="1" t="s">
        <v>316</v>
      </c>
      <c r="B41" s="1" t="s">
        <v>106</v>
      </c>
      <c r="C41" s="1">
        <v>6</v>
      </c>
      <c r="D41" s="3" t="s">
        <v>107</v>
      </c>
      <c r="E41" s="1">
        <v>4</v>
      </c>
      <c r="F41" s="1">
        <v>2</v>
      </c>
      <c r="G41" s="1">
        <f>(P41+Q41+R41+S41+T41)/60</f>
        <v>1.6666666666666666E-2</v>
      </c>
      <c r="H41" s="3">
        <v>3</v>
      </c>
      <c r="I41" s="3">
        <v>1</v>
      </c>
      <c r="J41" s="3">
        <f>+G41*10+I41</f>
        <v>1.1666666666666667</v>
      </c>
      <c r="K41" s="3">
        <f>J41+(G41*M41)</f>
        <v>1.3666666666666667</v>
      </c>
      <c r="L41" s="3" t="s">
        <v>29</v>
      </c>
      <c r="M41" s="3">
        <v>12</v>
      </c>
      <c r="N41" s="3" t="s">
        <v>30</v>
      </c>
      <c r="O41" s="1">
        <v>1</v>
      </c>
      <c r="P41" s="1">
        <v>0</v>
      </c>
      <c r="Q41" s="1">
        <v>0</v>
      </c>
      <c r="R41" s="1">
        <v>0</v>
      </c>
      <c r="S41" s="1">
        <v>1</v>
      </c>
      <c r="T41" s="1">
        <v>0</v>
      </c>
      <c r="U41" s="1">
        <v>0</v>
      </c>
      <c r="V41" s="1">
        <v>0</v>
      </c>
      <c r="W41" s="1">
        <v>0</v>
      </c>
      <c r="X41" s="1">
        <v>0</v>
      </c>
      <c r="Y41" s="1">
        <v>0</v>
      </c>
      <c r="Z41" s="1">
        <v>0</v>
      </c>
      <c r="AA41" s="1">
        <v>0</v>
      </c>
      <c r="AB41" s="3">
        <f t="shared" si="0"/>
        <v>0.15384615384615385</v>
      </c>
      <c r="AC41" s="4">
        <f>VLOOKUP(B41,'[1]INV 02-02-23'!$A$1:$L$8464,6,FALSE)</f>
        <v>62565.675000000003</v>
      </c>
    </row>
    <row r="42" spans="1:29" x14ac:dyDescent="0.25">
      <c r="A42" s="1" t="s">
        <v>317</v>
      </c>
      <c r="B42" s="1" t="s">
        <v>108</v>
      </c>
      <c r="C42" s="1">
        <v>9</v>
      </c>
      <c r="D42" s="1" t="s">
        <v>109</v>
      </c>
      <c r="E42" s="1">
        <v>2</v>
      </c>
      <c r="F42" s="1">
        <v>1</v>
      </c>
      <c r="G42" s="1">
        <f>(P42+Q42+R42+S42+T42)/60</f>
        <v>3.3333333333333333E-2</v>
      </c>
      <c r="H42" s="3">
        <v>5</v>
      </c>
      <c r="I42" s="1">
        <v>1</v>
      </c>
      <c r="J42" s="3">
        <f>+G42*10+I42</f>
        <v>1.3333333333333333</v>
      </c>
      <c r="K42" s="3">
        <f>J42+(G42*M42)</f>
        <v>1.7333333333333334</v>
      </c>
      <c r="L42" s="3" t="s">
        <v>29</v>
      </c>
      <c r="M42" s="3">
        <v>12</v>
      </c>
      <c r="N42" s="3" t="s">
        <v>30</v>
      </c>
      <c r="O42" s="1">
        <v>1</v>
      </c>
      <c r="P42" s="1">
        <v>0</v>
      </c>
      <c r="Q42" s="1">
        <v>2</v>
      </c>
      <c r="R42" s="1">
        <v>0</v>
      </c>
      <c r="S42" s="1">
        <v>0</v>
      </c>
      <c r="T42" s="1">
        <v>0</v>
      </c>
      <c r="U42" s="1">
        <v>2</v>
      </c>
      <c r="V42" s="1">
        <v>0</v>
      </c>
      <c r="W42" s="1">
        <v>0</v>
      </c>
      <c r="X42" s="1">
        <v>0</v>
      </c>
      <c r="Y42" s="1">
        <v>0</v>
      </c>
      <c r="Z42" s="1">
        <v>0</v>
      </c>
      <c r="AA42" s="1">
        <v>0</v>
      </c>
      <c r="AB42" s="3">
        <f t="shared" si="0"/>
        <v>0.38461538461538464</v>
      </c>
      <c r="AC42" s="4">
        <f>VLOOKUP(B42,'[1]INV 02-02-23'!$A$1:$L$8464,6,FALSE)</f>
        <v>22865.7</v>
      </c>
    </row>
    <row r="43" spans="1:29" x14ac:dyDescent="0.25">
      <c r="A43" s="1" t="s">
        <v>318</v>
      </c>
      <c r="B43" s="1" t="s">
        <v>110</v>
      </c>
      <c r="C43" s="1">
        <v>9</v>
      </c>
      <c r="D43" s="1" t="s">
        <v>111</v>
      </c>
      <c r="E43" s="1">
        <v>2</v>
      </c>
      <c r="F43" s="1">
        <v>1</v>
      </c>
      <c r="G43" s="1">
        <f>(P43+Q43+R43+S43+T43)/60</f>
        <v>3.3333333333333333E-2</v>
      </c>
      <c r="H43" s="3">
        <v>5</v>
      </c>
      <c r="I43" s="1">
        <v>1</v>
      </c>
      <c r="J43" s="3">
        <f>+G43*10+I43</f>
        <v>1.3333333333333333</v>
      </c>
      <c r="K43" s="3">
        <f>J43+(G43*M43)</f>
        <v>1.7333333333333334</v>
      </c>
      <c r="L43" s="3" t="s">
        <v>29</v>
      </c>
      <c r="M43" s="3">
        <v>12</v>
      </c>
      <c r="N43" s="3" t="s">
        <v>30</v>
      </c>
      <c r="O43" s="1">
        <v>1</v>
      </c>
      <c r="P43" s="1">
        <v>0</v>
      </c>
      <c r="Q43" s="1">
        <v>2</v>
      </c>
      <c r="R43" s="1">
        <v>0</v>
      </c>
      <c r="S43" s="1">
        <v>0</v>
      </c>
      <c r="T43" s="1">
        <v>0</v>
      </c>
      <c r="U43" s="1">
        <v>1</v>
      </c>
      <c r="V43" s="1">
        <v>0</v>
      </c>
      <c r="W43" s="1">
        <v>1</v>
      </c>
      <c r="X43" s="1">
        <v>0</v>
      </c>
      <c r="Y43" s="1">
        <v>0</v>
      </c>
      <c r="Z43" s="1">
        <v>0</v>
      </c>
      <c r="AA43" s="1">
        <v>0</v>
      </c>
      <c r="AB43" s="3">
        <f t="shared" si="0"/>
        <v>0.38461538461538464</v>
      </c>
      <c r="AC43" s="4">
        <f>VLOOKUP(B43,'[1]INV 02-02-23'!$A$1:$L$8464,6,FALSE)</f>
        <v>1307.472</v>
      </c>
    </row>
    <row r="44" spans="1:29" x14ac:dyDescent="0.25">
      <c r="A44" s="1" t="s">
        <v>319</v>
      </c>
      <c r="B44" s="1" t="s">
        <v>112</v>
      </c>
      <c r="C44" s="1">
        <v>9</v>
      </c>
      <c r="D44" s="1" t="s">
        <v>113</v>
      </c>
      <c r="E44" s="1">
        <v>4</v>
      </c>
      <c r="F44" s="1">
        <v>1</v>
      </c>
      <c r="G44" s="1">
        <f>(P44+Q44+R44+S44+T44)/60</f>
        <v>6.6666666666666666E-2</v>
      </c>
      <c r="H44" s="3">
        <v>8</v>
      </c>
      <c r="I44" s="1">
        <v>2</v>
      </c>
      <c r="J44" s="3">
        <f>+G44*10+I44</f>
        <v>2.6666666666666665</v>
      </c>
      <c r="K44" s="3">
        <f>J44+(G44*M44)</f>
        <v>3.4666666666666668</v>
      </c>
      <c r="L44" s="3" t="s">
        <v>29</v>
      </c>
      <c r="M44" s="3">
        <v>12</v>
      </c>
      <c r="N44" s="3" t="s">
        <v>30</v>
      </c>
      <c r="O44" s="1">
        <v>2</v>
      </c>
      <c r="P44" s="1">
        <v>0</v>
      </c>
      <c r="Q44" s="1">
        <v>2</v>
      </c>
      <c r="R44" s="1">
        <v>0</v>
      </c>
      <c r="S44" s="1">
        <v>1</v>
      </c>
      <c r="T44" s="1">
        <v>1</v>
      </c>
      <c r="U44" s="1">
        <v>0</v>
      </c>
      <c r="V44" s="1">
        <v>0</v>
      </c>
      <c r="W44" s="1">
        <v>0</v>
      </c>
      <c r="X44" s="1">
        <v>0</v>
      </c>
      <c r="Y44" s="1">
        <v>0</v>
      </c>
      <c r="Z44" s="1">
        <v>0</v>
      </c>
      <c r="AA44" s="1">
        <v>0</v>
      </c>
      <c r="AB44" s="3">
        <f t="shared" si="0"/>
        <v>0.46153846153846156</v>
      </c>
      <c r="AC44" s="4">
        <f>VLOOKUP(B44,'[1]INV 02-02-23'!$A$1:$L$8464,6,FALSE)</f>
        <v>9338.7900000000009</v>
      </c>
    </row>
    <row r="45" spans="1:29" x14ac:dyDescent="0.25">
      <c r="A45" s="1" t="s">
        <v>320</v>
      </c>
      <c r="B45" s="1" t="s">
        <v>114</v>
      </c>
      <c r="C45" s="1">
        <v>9</v>
      </c>
      <c r="D45" s="1" t="s">
        <v>115</v>
      </c>
      <c r="E45" s="1">
        <v>4</v>
      </c>
      <c r="F45" s="1">
        <v>1</v>
      </c>
      <c r="G45" s="1">
        <f>(P45+Q45+R45+S45+T45)/60</f>
        <v>3.3333333333333333E-2</v>
      </c>
      <c r="H45" s="3">
        <v>8</v>
      </c>
      <c r="I45" s="1">
        <v>2</v>
      </c>
      <c r="J45" s="3">
        <f>+G45*10+I45</f>
        <v>2.3333333333333335</v>
      </c>
      <c r="K45" s="3">
        <f>J45+(G45*M45)</f>
        <v>2.7333333333333334</v>
      </c>
      <c r="L45" s="3" t="s">
        <v>29</v>
      </c>
      <c r="M45" s="3">
        <v>12</v>
      </c>
      <c r="N45" s="3" t="s">
        <v>30</v>
      </c>
      <c r="O45" s="1">
        <v>1</v>
      </c>
      <c r="P45" s="1">
        <v>0</v>
      </c>
      <c r="Q45" s="1">
        <v>1</v>
      </c>
      <c r="R45" s="1">
        <v>0</v>
      </c>
      <c r="S45" s="1">
        <v>1</v>
      </c>
      <c r="T45" s="1">
        <v>0</v>
      </c>
      <c r="U45" s="1">
        <v>0</v>
      </c>
      <c r="V45" s="1">
        <v>0</v>
      </c>
      <c r="W45" s="1">
        <v>0</v>
      </c>
      <c r="X45" s="1">
        <v>0</v>
      </c>
      <c r="Y45" s="1">
        <v>0</v>
      </c>
      <c r="Z45" s="1">
        <v>0</v>
      </c>
      <c r="AA45" s="1">
        <v>0</v>
      </c>
      <c r="AB45" s="3">
        <f t="shared" si="0"/>
        <v>0.23076923076923078</v>
      </c>
      <c r="AC45" s="4">
        <f>VLOOKUP(B45,'[1]INV 02-02-23'!$A$1:$L$8464,6,FALSE)</f>
        <v>890</v>
      </c>
    </row>
    <row r="46" spans="1:29" x14ac:dyDescent="0.25">
      <c r="A46" s="1" t="s">
        <v>321</v>
      </c>
      <c r="B46" s="1" t="s">
        <v>116</v>
      </c>
      <c r="C46" s="1">
        <v>9</v>
      </c>
      <c r="D46" s="1" t="s">
        <v>117</v>
      </c>
      <c r="E46" s="1">
        <v>5</v>
      </c>
      <c r="F46" s="1">
        <v>1</v>
      </c>
      <c r="G46" s="1">
        <f>(P46+Q46+R46+S46+T46)/60</f>
        <v>0.05</v>
      </c>
      <c r="H46" s="3">
        <v>8</v>
      </c>
      <c r="I46" s="1">
        <v>2</v>
      </c>
      <c r="J46" s="3">
        <f>+G46*10+I46</f>
        <v>2.5</v>
      </c>
      <c r="K46" s="3">
        <f>J46+(G46*M46)</f>
        <v>3.1</v>
      </c>
      <c r="L46" s="3" t="s">
        <v>29</v>
      </c>
      <c r="M46" s="3">
        <v>12</v>
      </c>
      <c r="N46" s="3" t="s">
        <v>30</v>
      </c>
      <c r="O46" s="1">
        <v>2</v>
      </c>
      <c r="P46" s="1">
        <v>0</v>
      </c>
      <c r="Q46" s="1">
        <v>1</v>
      </c>
      <c r="R46" s="1">
        <v>0</v>
      </c>
      <c r="S46" s="1">
        <v>2</v>
      </c>
      <c r="T46" s="1">
        <v>0</v>
      </c>
      <c r="U46" s="1">
        <v>0</v>
      </c>
      <c r="V46" s="1">
        <v>0</v>
      </c>
      <c r="W46" s="1">
        <v>0</v>
      </c>
      <c r="X46" s="1">
        <v>0</v>
      </c>
      <c r="Y46" s="1">
        <v>0</v>
      </c>
      <c r="Z46" s="1">
        <v>0</v>
      </c>
      <c r="AA46" s="1">
        <v>0</v>
      </c>
      <c r="AB46" s="3">
        <f t="shared" si="0"/>
        <v>0.38461538461538464</v>
      </c>
      <c r="AC46" s="4">
        <f>VLOOKUP(B46,'[1]INV 02-02-23'!$A$1:$L$8464,6,FALSE)</f>
        <v>1478.4</v>
      </c>
    </row>
    <row r="47" spans="1:29" x14ac:dyDescent="0.25">
      <c r="A47" s="1" t="s">
        <v>322</v>
      </c>
      <c r="B47" s="1" t="s">
        <v>118</v>
      </c>
      <c r="C47" s="1">
        <v>9</v>
      </c>
      <c r="D47" s="1" t="s">
        <v>119</v>
      </c>
      <c r="E47" s="1">
        <v>5</v>
      </c>
      <c r="F47" s="1">
        <v>1</v>
      </c>
      <c r="G47" s="1">
        <f>(P47+Q47+R47+S47+T47)/60</f>
        <v>0.05</v>
      </c>
      <c r="H47" s="3">
        <v>9</v>
      </c>
      <c r="I47" s="1">
        <v>2</v>
      </c>
      <c r="J47" s="3">
        <f>+G47*10+I47</f>
        <v>2.5</v>
      </c>
      <c r="K47" s="3">
        <f>J47+(G47*M47)</f>
        <v>3.1</v>
      </c>
      <c r="L47" s="3" t="s">
        <v>29</v>
      </c>
      <c r="M47" s="3">
        <v>12</v>
      </c>
      <c r="N47" s="3" t="s">
        <v>30</v>
      </c>
      <c r="O47" s="1">
        <v>2</v>
      </c>
      <c r="P47" s="1">
        <v>0</v>
      </c>
      <c r="Q47" s="1">
        <v>1</v>
      </c>
      <c r="R47" s="1">
        <v>0</v>
      </c>
      <c r="S47" s="1">
        <v>2</v>
      </c>
      <c r="T47" s="1">
        <v>0</v>
      </c>
      <c r="U47" s="1">
        <v>0</v>
      </c>
      <c r="V47" s="1">
        <v>0</v>
      </c>
      <c r="W47" s="1">
        <v>0</v>
      </c>
      <c r="X47" s="1">
        <v>0</v>
      </c>
      <c r="Y47" s="1">
        <v>0</v>
      </c>
      <c r="Z47" s="1">
        <v>0</v>
      </c>
      <c r="AA47" s="1">
        <v>0</v>
      </c>
      <c r="AB47" s="3">
        <f t="shared" si="0"/>
        <v>0.38461538461538464</v>
      </c>
      <c r="AC47" s="4">
        <f>VLOOKUP(B47,'[1]INV 02-02-23'!$A$1:$L$8464,6,FALSE)</f>
        <v>7577.53</v>
      </c>
    </row>
    <row r="48" spans="1:29" x14ac:dyDescent="0.25">
      <c r="A48" s="1" t="s">
        <v>323</v>
      </c>
      <c r="B48" s="5" t="s">
        <v>120</v>
      </c>
      <c r="C48" s="6">
        <v>6</v>
      </c>
      <c r="D48" s="5" t="s">
        <v>121</v>
      </c>
      <c r="E48" s="1">
        <v>2</v>
      </c>
      <c r="F48" s="1">
        <v>1</v>
      </c>
      <c r="G48" s="1">
        <f>(P48+Q48+R48+S48+T48)/60</f>
        <v>0</v>
      </c>
      <c r="H48" s="3">
        <v>6</v>
      </c>
      <c r="I48" s="1">
        <v>1</v>
      </c>
      <c r="J48" s="3">
        <f>+G48*10+I48</f>
        <v>1</v>
      </c>
      <c r="K48" s="3">
        <f>J48+(G48*M48)</f>
        <v>1</v>
      </c>
      <c r="L48" s="3" t="s">
        <v>44</v>
      </c>
      <c r="M48" s="3">
        <v>12</v>
      </c>
      <c r="N48" s="3" t="s">
        <v>30</v>
      </c>
      <c r="O48" s="1">
        <v>1</v>
      </c>
      <c r="P48" s="1">
        <v>0</v>
      </c>
      <c r="Q48" s="1">
        <v>0</v>
      </c>
      <c r="R48" s="1">
        <v>0</v>
      </c>
      <c r="S48" s="1">
        <v>0</v>
      </c>
      <c r="T48" s="1">
        <v>0</v>
      </c>
      <c r="U48" s="1">
        <v>0</v>
      </c>
      <c r="V48" s="1">
        <v>0</v>
      </c>
      <c r="W48" s="1">
        <v>0</v>
      </c>
      <c r="X48" s="1">
        <v>0</v>
      </c>
      <c r="Y48" s="1">
        <v>0</v>
      </c>
      <c r="Z48" s="1">
        <v>0</v>
      </c>
      <c r="AA48" s="1">
        <v>0</v>
      </c>
      <c r="AB48" s="3">
        <f t="shared" si="0"/>
        <v>7.6923076923076927E-2</v>
      </c>
      <c r="AC48" s="4">
        <v>900</v>
      </c>
    </row>
    <row r="49" spans="1:29" x14ac:dyDescent="0.25">
      <c r="A49" s="1" t="s">
        <v>324</v>
      </c>
      <c r="B49" s="5" t="s">
        <v>122</v>
      </c>
      <c r="C49" s="6">
        <v>6</v>
      </c>
      <c r="D49" s="5" t="s">
        <v>123</v>
      </c>
      <c r="E49" s="1">
        <v>2</v>
      </c>
      <c r="F49" s="1">
        <v>1</v>
      </c>
      <c r="G49" s="1">
        <f>(P49+Q49+R49+S49+T49)/60</f>
        <v>0</v>
      </c>
      <c r="H49" s="3">
        <v>6</v>
      </c>
      <c r="I49" s="1">
        <v>1</v>
      </c>
      <c r="J49" s="3">
        <f>+G49*10+I49</f>
        <v>1</v>
      </c>
      <c r="K49" s="3">
        <f>J49+(G49*M49)</f>
        <v>1</v>
      </c>
      <c r="L49" s="3" t="s">
        <v>44</v>
      </c>
      <c r="M49" s="3">
        <v>12</v>
      </c>
      <c r="N49" s="3" t="s">
        <v>30</v>
      </c>
      <c r="O49" s="1">
        <v>1</v>
      </c>
      <c r="P49" s="1">
        <v>0</v>
      </c>
      <c r="Q49" s="1">
        <v>0</v>
      </c>
      <c r="R49" s="1">
        <v>0</v>
      </c>
      <c r="S49" s="1">
        <v>0</v>
      </c>
      <c r="T49" s="1">
        <v>0</v>
      </c>
      <c r="U49" s="1">
        <v>0</v>
      </c>
      <c r="V49" s="1">
        <v>0</v>
      </c>
      <c r="W49" s="1">
        <v>0</v>
      </c>
      <c r="X49" s="1">
        <v>0</v>
      </c>
      <c r="Y49" s="1">
        <v>0</v>
      </c>
      <c r="Z49" s="1">
        <v>0</v>
      </c>
      <c r="AA49" s="1">
        <v>0</v>
      </c>
      <c r="AB49" s="3">
        <f t="shared" si="0"/>
        <v>7.6923076923076927E-2</v>
      </c>
      <c r="AC49" s="4">
        <v>250</v>
      </c>
    </row>
    <row r="50" spans="1:29" x14ac:dyDescent="0.25">
      <c r="A50" s="1" t="s">
        <v>325</v>
      </c>
      <c r="B50" s="5" t="s">
        <v>124</v>
      </c>
      <c r="C50" s="6">
        <v>6</v>
      </c>
      <c r="D50" s="5" t="s">
        <v>125</v>
      </c>
      <c r="E50" s="1">
        <v>2</v>
      </c>
      <c r="F50" s="1">
        <v>1</v>
      </c>
      <c r="G50" s="1">
        <f>(P50+Q50+R50+S50+T50)/60</f>
        <v>0</v>
      </c>
      <c r="H50" s="3">
        <v>2</v>
      </c>
      <c r="I50" s="1">
        <v>1</v>
      </c>
      <c r="J50" s="3">
        <f>+G50*10+I50</f>
        <v>1</v>
      </c>
      <c r="K50" s="3">
        <f>J50+(G50*M50)</f>
        <v>1</v>
      </c>
      <c r="L50" s="3" t="s">
        <v>44</v>
      </c>
      <c r="M50" s="3">
        <v>12</v>
      </c>
      <c r="N50" s="3" t="s">
        <v>30</v>
      </c>
      <c r="O50" s="1">
        <v>1</v>
      </c>
      <c r="P50" s="1">
        <v>0</v>
      </c>
      <c r="Q50" s="1">
        <v>0</v>
      </c>
      <c r="R50" s="1">
        <v>0</v>
      </c>
      <c r="S50" s="1">
        <v>0</v>
      </c>
      <c r="T50" s="1">
        <v>0</v>
      </c>
      <c r="U50" s="1">
        <v>0</v>
      </c>
      <c r="V50" s="1">
        <v>0</v>
      </c>
      <c r="W50" s="1">
        <v>0</v>
      </c>
      <c r="X50" s="1">
        <v>0</v>
      </c>
      <c r="Y50" s="1">
        <v>0</v>
      </c>
      <c r="Z50" s="1">
        <v>0</v>
      </c>
      <c r="AA50" s="1">
        <v>0</v>
      </c>
      <c r="AB50" s="3">
        <f t="shared" si="0"/>
        <v>7.6923076923076927E-2</v>
      </c>
      <c r="AC50" s="4">
        <v>600</v>
      </c>
    </row>
    <row r="51" spans="1:29" x14ac:dyDescent="0.25">
      <c r="A51" s="1" t="s">
        <v>326</v>
      </c>
      <c r="B51" s="5" t="s">
        <v>128</v>
      </c>
      <c r="C51" s="6">
        <v>6</v>
      </c>
      <c r="D51" s="5" t="s">
        <v>129</v>
      </c>
      <c r="E51" s="1">
        <v>4</v>
      </c>
      <c r="F51" s="1">
        <v>1</v>
      </c>
      <c r="G51" s="1">
        <f>(P51+Q51+R51+S51+T51)/60</f>
        <v>0</v>
      </c>
      <c r="H51" s="3">
        <v>4</v>
      </c>
      <c r="I51" s="1">
        <v>2</v>
      </c>
      <c r="J51" s="3">
        <f>+G51*10+I51</f>
        <v>2</v>
      </c>
      <c r="K51" s="3">
        <f>J51+(G51*M51)</f>
        <v>2</v>
      </c>
      <c r="L51" s="3" t="s">
        <v>44</v>
      </c>
      <c r="M51" s="3">
        <v>12</v>
      </c>
      <c r="N51" s="3" t="s">
        <v>30</v>
      </c>
      <c r="O51" s="1">
        <v>1</v>
      </c>
      <c r="P51" s="1">
        <v>0</v>
      </c>
      <c r="Q51" s="1">
        <v>0</v>
      </c>
      <c r="R51" s="1">
        <v>0</v>
      </c>
      <c r="S51" s="1">
        <v>0</v>
      </c>
      <c r="T51" s="1">
        <v>0</v>
      </c>
      <c r="U51" s="1">
        <v>0</v>
      </c>
      <c r="V51" s="1">
        <v>0</v>
      </c>
      <c r="W51" s="1">
        <v>0</v>
      </c>
      <c r="X51" s="1">
        <v>0</v>
      </c>
      <c r="Y51" s="1">
        <v>0</v>
      </c>
      <c r="Z51" s="1">
        <v>0</v>
      </c>
      <c r="AA51" s="1">
        <v>0</v>
      </c>
      <c r="AB51" s="3">
        <f t="shared" si="0"/>
        <v>7.6923076923076927E-2</v>
      </c>
      <c r="AC51" s="4">
        <v>600</v>
      </c>
    </row>
    <row r="52" spans="1:29" x14ac:dyDescent="0.25">
      <c r="A52" s="1" t="s">
        <v>327</v>
      </c>
      <c r="B52" s="5" t="s">
        <v>130</v>
      </c>
      <c r="C52" s="1">
        <v>6</v>
      </c>
      <c r="D52" s="3" t="s">
        <v>131</v>
      </c>
      <c r="E52" s="5">
        <v>2</v>
      </c>
      <c r="F52" s="1">
        <v>1</v>
      </c>
      <c r="G52" s="1">
        <f>(P52+Q52+R52+S52+T52)/60</f>
        <v>1.6666666666666666E-2</v>
      </c>
      <c r="H52" s="3">
        <v>3</v>
      </c>
      <c r="I52" s="3">
        <v>1</v>
      </c>
      <c r="J52" s="3">
        <f>+G52*10+I52</f>
        <v>1.1666666666666667</v>
      </c>
      <c r="K52" s="3">
        <f>J52+(G52*M52)</f>
        <v>1.3666666666666667</v>
      </c>
      <c r="L52" s="3" t="s">
        <v>29</v>
      </c>
      <c r="M52" s="3">
        <v>12</v>
      </c>
      <c r="N52" s="3" t="s">
        <v>30</v>
      </c>
      <c r="O52" s="1">
        <v>1</v>
      </c>
      <c r="P52" s="1">
        <v>0</v>
      </c>
      <c r="Q52" s="1">
        <v>0</v>
      </c>
      <c r="R52" s="1">
        <v>0</v>
      </c>
      <c r="S52" s="1">
        <v>0</v>
      </c>
      <c r="T52" s="1">
        <v>1</v>
      </c>
      <c r="U52" s="1">
        <v>0</v>
      </c>
      <c r="V52" s="1">
        <v>0</v>
      </c>
      <c r="W52" s="1">
        <v>0</v>
      </c>
      <c r="X52" s="1">
        <v>0</v>
      </c>
      <c r="Y52" s="1">
        <v>0</v>
      </c>
      <c r="Z52" s="1">
        <v>0</v>
      </c>
      <c r="AA52" s="1">
        <v>0</v>
      </c>
      <c r="AB52" s="3">
        <f t="shared" si="0"/>
        <v>0.15384615384615385</v>
      </c>
      <c r="AC52" s="4">
        <f>VLOOKUP(B52,'[1]INV 02-02-23'!$A$1:$L$8464,6,FALSE)</f>
        <v>100965</v>
      </c>
    </row>
    <row r="53" spans="1:29" x14ac:dyDescent="0.25">
      <c r="A53" s="1" t="s">
        <v>328</v>
      </c>
      <c r="B53" s="1" t="s">
        <v>132</v>
      </c>
      <c r="C53" s="1">
        <v>6</v>
      </c>
      <c r="D53" s="3" t="s">
        <v>133</v>
      </c>
      <c r="E53" s="1">
        <v>3</v>
      </c>
      <c r="F53" s="1">
        <v>1</v>
      </c>
      <c r="G53" s="1">
        <f>(P53+Q53+R53+S53+T53)/60</f>
        <v>0</v>
      </c>
      <c r="H53" s="3">
        <v>3</v>
      </c>
      <c r="I53" s="3">
        <v>1</v>
      </c>
      <c r="J53" s="3">
        <f>+G53*10+I53</f>
        <v>1</v>
      </c>
      <c r="K53" s="3">
        <f>J53+(G53*M53)</f>
        <v>1</v>
      </c>
      <c r="L53" s="3" t="s">
        <v>64</v>
      </c>
      <c r="M53" s="3">
        <v>12</v>
      </c>
      <c r="N53" s="3" t="s">
        <v>30</v>
      </c>
      <c r="O53" s="1">
        <v>1</v>
      </c>
      <c r="P53" s="1">
        <v>0</v>
      </c>
      <c r="Q53" s="1">
        <v>0</v>
      </c>
      <c r="R53" s="1">
        <v>0</v>
      </c>
      <c r="S53" s="1">
        <v>0</v>
      </c>
      <c r="T53" s="1">
        <v>0</v>
      </c>
      <c r="U53" s="1">
        <v>1</v>
      </c>
      <c r="V53" s="1">
        <v>0</v>
      </c>
      <c r="W53" s="1">
        <v>0</v>
      </c>
      <c r="X53" s="1">
        <v>1</v>
      </c>
      <c r="Y53" s="1">
        <v>0</v>
      </c>
      <c r="Z53" s="1">
        <v>0</v>
      </c>
      <c r="AA53" s="1">
        <v>0</v>
      </c>
      <c r="AB53" s="3">
        <f t="shared" si="0"/>
        <v>0.23076923076923078</v>
      </c>
      <c r="AC53" s="4">
        <f>VLOOKUP(B53,'[1]INV 02-02-23'!$A$1:$L$8464,6,FALSE)</f>
        <v>9123</v>
      </c>
    </row>
    <row r="54" spans="1:29" x14ac:dyDescent="0.25">
      <c r="A54" s="1" t="s">
        <v>329</v>
      </c>
      <c r="B54" s="1" t="s">
        <v>134</v>
      </c>
      <c r="C54" s="1">
        <v>6</v>
      </c>
      <c r="D54" s="3" t="s">
        <v>135</v>
      </c>
      <c r="E54" s="1">
        <v>6</v>
      </c>
      <c r="F54" s="1">
        <v>1</v>
      </c>
      <c r="G54" s="1">
        <f>(P54+Q54+R54+S54+T54)/60</f>
        <v>0.1</v>
      </c>
      <c r="H54" s="3">
        <v>12</v>
      </c>
      <c r="I54" s="3">
        <v>2</v>
      </c>
      <c r="J54" s="3">
        <f>+G54*10+I54</f>
        <v>3</v>
      </c>
      <c r="K54" s="3">
        <f>J54+(G54*M54)</f>
        <v>4.2</v>
      </c>
      <c r="L54" s="3" t="s">
        <v>64</v>
      </c>
      <c r="M54" s="3">
        <v>12</v>
      </c>
      <c r="N54" s="3" t="s">
        <v>30</v>
      </c>
      <c r="O54" s="1">
        <v>1</v>
      </c>
      <c r="P54" s="1">
        <v>0</v>
      </c>
      <c r="Q54" s="1">
        <v>2</v>
      </c>
      <c r="R54" s="1">
        <v>1</v>
      </c>
      <c r="S54" s="1">
        <v>2</v>
      </c>
      <c r="T54" s="1">
        <v>1</v>
      </c>
      <c r="U54" s="1">
        <v>3</v>
      </c>
      <c r="V54" s="1">
        <v>4</v>
      </c>
      <c r="W54" s="1">
        <v>0</v>
      </c>
      <c r="X54" s="1">
        <v>0</v>
      </c>
      <c r="Y54" s="1">
        <v>0</v>
      </c>
      <c r="Z54" s="1">
        <v>1</v>
      </c>
      <c r="AA54" s="1">
        <v>0</v>
      </c>
      <c r="AB54" s="3">
        <f t="shared" si="0"/>
        <v>1.1538461538461537</v>
      </c>
      <c r="AC54" s="4">
        <f>VLOOKUP(B54,'[1]INV 02-02-23'!$A$1:$L$8464,6,FALSE)</f>
        <v>838.95830000000001</v>
      </c>
    </row>
    <row r="55" spans="1:29" x14ac:dyDescent="0.25">
      <c r="A55" s="1" t="s">
        <v>330</v>
      </c>
      <c r="B55" s="1" t="s">
        <v>136</v>
      </c>
      <c r="C55" s="1">
        <v>6</v>
      </c>
      <c r="D55" s="3" t="s">
        <v>137</v>
      </c>
      <c r="E55" s="1">
        <v>3</v>
      </c>
      <c r="F55" s="1">
        <v>1</v>
      </c>
      <c r="G55" s="1">
        <f>(P55+Q55+R55+S55+T55)/60</f>
        <v>0.05</v>
      </c>
      <c r="H55" s="3">
        <v>8</v>
      </c>
      <c r="I55" s="3">
        <v>1</v>
      </c>
      <c r="J55" s="3">
        <v>2</v>
      </c>
      <c r="K55" s="3">
        <v>4</v>
      </c>
      <c r="L55" s="3" t="s">
        <v>64</v>
      </c>
      <c r="M55" s="3">
        <v>12</v>
      </c>
      <c r="N55" s="3" t="s">
        <v>30</v>
      </c>
      <c r="O55" s="1">
        <v>1</v>
      </c>
      <c r="P55" s="1">
        <v>0</v>
      </c>
      <c r="Q55" s="1">
        <v>3</v>
      </c>
      <c r="R55" s="1">
        <v>0</v>
      </c>
      <c r="S55" s="1">
        <v>0</v>
      </c>
      <c r="T55" s="1">
        <v>0</v>
      </c>
      <c r="U55" s="1">
        <v>0</v>
      </c>
      <c r="V55" s="1">
        <v>0</v>
      </c>
      <c r="W55" s="1">
        <v>0</v>
      </c>
      <c r="X55" s="1">
        <v>0</v>
      </c>
      <c r="Y55" s="1">
        <v>0</v>
      </c>
      <c r="Z55" s="1">
        <v>0</v>
      </c>
      <c r="AA55" s="1">
        <v>1</v>
      </c>
      <c r="AB55" s="3">
        <f t="shared" si="0"/>
        <v>0.38461538461538464</v>
      </c>
      <c r="AC55" s="4">
        <f>VLOOKUP(B55,'[1]INV 02-02-23'!$A$1:$L$8464,6,FALSE)</f>
        <v>750</v>
      </c>
    </row>
    <row r="56" spans="1:29" x14ac:dyDescent="0.25">
      <c r="A56" s="1" t="s">
        <v>331</v>
      </c>
      <c r="B56" s="1" t="s">
        <v>138</v>
      </c>
      <c r="C56" s="1">
        <v>6</v>
      </c>
      <c r="D56" s="3" t="s">
        <v>139</v>
      </c>
      <c r="E56" s="1">
        <v>4</v>
      </c>
      <c r="F56" s="1">
        <v>1</v>
      </c>
      <c r="G56" s="1">
        <f>(P56+Q56+R56+S56+T56)/60</f>
        <v>1.6666666666666666E-2</v>
      </c>
      <c r="H56" s="3">
        <v>3</v>
      </c>
      <c r="I56" s="3">
        <v>1</v>
      </c>
      <c r="J56" s="3">
        <v>2</v>
      </c>
      <c r="K56" s="3">
        <v>3</v>
      </c>
      <c r="L56" s="3" t="s">
        <v>48</v>
      </c>
      <c r="M56" s="3">
        <v>12</v>
      </c>
      <c r="N56" s="3" t="s">
        <v>30</v>
      </c>
      <c r="O56" s="1">
        <v>1</v>
      </c>
      <c r="P56" s="1">
        <v>1</v>
      </c>
      <c r="Q56" s="1">
        <v>0</v>
      </c>
      <c r="R56" s="1">
        <v>0</v>
      </c>
      <c r="S56" s="1">
        <v>0</v>
      </c>
      <c r="T56" s="1">
        <v>0</v>
      </c>
      <c r="U56" s="1">
        <v>0</v>
      </c>
      <c r="V56" s="1">
        <v>0</v>
      </c>
      <c r="W56" s="1">
        <v>0</v>
      </c>
      <c r="X56" s="1">
        <v>0</v>
      </c>
      <c r="Y56" s="1">
        <v>0</v>
      </c>
      <c r="Z56" s="1">
        <v>0</v>
      </c>
      <c r="AA56" s="1">
        <v>0</v>
      </c>
      <c r="AB56" s="3">
        <f t="shared" si="0"/>
        <v>0.15384615384615385</v>
      </c>
      <c r="AC56" s="4">
        <f>VLOOKUP(B56,'[1]INV 02-02-23'!$A$1:$L$8464,6,FALSE)</f>
        <v>19074</v>
      </c>
    </row>
    <row r="57" spans="1:29" ht="25.5" x14ac:dyDescent="0.25">
      <c r="A57" s="1" t="s">
        <v>332</v>
      </c>
      <c r="B57" s="1" t="s">
        <v>140</v>
      </c>
      <c r="C57" s="1">
        <v>6</v>
      </c>
      <c r="D57" s="3" t="s">
        <v>141</v>
      </c>
      <c r="E57" s="1">
        <v>1</v>
      </c>
      <c r="F57" s="1">
        <v>1</v>
      </c>
      <c r="G57" s="1">
        <f>(P57+Q57+R57+S57+T57)/60</f>
        <v>1.6666666666666666E-2</v>
      </c>
      <c r="H57" s="3">
        <v>2</v>
      </c>
      <c r="I57" s="3">
        <v>1</v>
      </c>
      <c r="J57" s="3">
        <v>1</v>
      </c>
      <c r="K57" s="3">
        <v>2</v>
      </c>
      <c r="L57" s="3" t="s">
        <v>48</v>
      </c>
      <c r="M57" s="3">
        <v>12</v>
      </c>
      <c r="N57" s="3" t="s">
        <v>30</v>
      </c>
      <c r="O57" s="1">
        <v>1</v>
      </c>
      <c r="P57" s="1">
        <v>0</v>
      </c>
      <c r="Q57" s="1">
        <v>0</v>
      </c>
      <c r="R57" s="1">
        <v>1</v>
      </c>
      <c r="S57" s="1">
        <v>0</v>
      </c>
      <c r="T57" s="1">
        <v>0</v>
      </c>
      <c r="U57" s="1">
        <v>1</v>
      </c>
      <c r="V57" s="1">
        <v>0</v>
      </c>
      <c r="W57" s="1">
        <v>0</v>
      </c>
      <c r="X57" s="1">
        <v>0</v>
      </c>
      <c r="Y57" s="1">
        <v>0</v>
      </c>
      <c r="Z57" s="1">
        <v>0</v>
      </c>
      <c r="AA57" s="1">
        <v>0</v>
      </c>
      <c r="AB57" s="3">
        <f t="shared" si="0"/>
        <v>0.23076923076923078</v>
      </c>
      <c r="AC57" s="4">
        <f>VLOOKUP(B57,'[1]INV 02-02-23'!$A$1:$L$8464,6,FALSE)</f>
        <v>18507</v>
      </c>
    </row>
    <row r="58" spans="1:29" x14ac:dyDescent="0.25">
      <c r="A58" s="1" t="s">
        <v>333</v>
      </c>
      <c r="B58" s="1" t="s">
        <v>142</v>
      </c>
      <c r="C58" s="1">
        <v>6</v>
      </c>
      <c r="D58" s="3" t="s">
        <v>143</v>
      </c>
      <c r="E58" s="1"/>
      <c r="F58" s="1">
        <v>1</v>
      </c>
      <c r="G58" s="1">
        <f>(P58+Q58+R58+S58+T58)/60</f>
        <v>0</v>
      </c>
      <c r="H58" s="3">
        <f>G58*36*1.2</f>
        <v>0</v>
      </c>
      <c r="I58" s="3"/>
      <c r="J58" s="3">
        <f>+G58*10+I58</f>
        <v>0</v>
      </c>
      <c r="K58" s="3">
        <f>J58+(G58*M58)</f>
        <v>0</v>
      </c>
      <c r="L58" s="3" t="s">
        <v>48</v>
      </c>
      <c r="M58" s="3">
        <v>12</v>
      </c>
      <c r="N58" s="3" t="s">
        <v>30</v>
      </c>
      <c r="O58" s="1">
        <v>1</v>
      </c>
      <c r="P58" s="1">
        <v>0</v>
      </c>
      <c r="Q58" s="1">
        <v>0</v>
      </c>
      <c r="R58" s="1">
        <v>0</v>
      </c>
      <c r="S58" s="1">
        <v>0</v>
      </c>
      <c r="T58" s="1">
        <v>0</v>
      </c>
      <c r="U58" s="1">
        <v>0</v>
      </c>
      <c r="V58" s="1">
        <v>0</v>
      </c>
      <c r="W58" s="1">
        <v>0</v>
      </c>
      <c r="X58" s="1">
        <v>0</v>
      </c>
      <c r="Y58" s="1">
        <v>0</v>
      </c>
      <c r="Z58" s="1">
        <v>0</v>
      </c>
      <c r="AA58" s="1">
        <v>0</v>
      </c>
      <c r="AB58" s="3">
        <f t="shared" si="0"/>
        <v>7.6923076923076927E-2</v>
      </c>
      <c r="AC58" s="4">
        <f>VLOOKUP(B58,'[1]INV 02-02-23'!$A$1:$L$8464,6,FALSE)</f>
        <v>4445.7547000000004</v>
      </c>
    </row>
    <row r="59" spans="1:29" x14ac:dyDescent="0.25">
      <c r="A59" s="1" t="s">
        <v>334</v>
      </c>
      <c r="B59" s="1" t="s">
        <v>144</v>
      </c>
      <c r="C59" s="1">
        <v>6</v>
      </c>
      <c r="D59" s="3" t="s">
        <v>145</v>
      </c>
      <c r="E59" s="1">
        <v>1</v>
      </c>
      <c r="F59" s="1">
        <v>1</v>
      </c>
      <c r="G59" s="1">
        <f>(P59+Q59+R59+S59+T59)/60</f>
        <v>0</v>
      </c>
      <c r="H59" s="3">
        <v>1</v>
      </c>
      <c r="I59" s="3">
        <v>1</v>
      </c>
      <c r="J59" s="3">
        <f>+G59*10+I59</f>
        <v>1</v>
      </c>
      <c r="K59" s="3">
        <v>2</v>
      </c>
      <c r="L59" s="3" t="s">
        <v>48</v>
      </c>
      <c r="M59" s="3">
        <v>12</v>
      </c>
      <c r="N59" s="3" t="s">
        <v>30</v>
      </c>
      <c r="O59" s="1">
        <v>1</v>
      </c>
      <c r="P59" s="1">
        <v>0</v>
      </c>
      <c r="Q59" s="1">
        <v>0</v>
      </c>
      <c r="R59" s="1">
        <v>0</v>
      </c>
      <c r="S59" s="1">
        <v>0</v>
      </c>
      <c r="T59" s="1">
        <v>0</v>
      </c>
      <c r="U59" s="1">
        <v>0</v>
      </c>
      <c r="V59" s="1">
        <v>0</v>
      </c>
      <c r="W59" s="1">
        <v>0</v>
      </c>
      <c r="X59" s="1">
        <v>0</v>
      </c>
      <c r="Y59" s="1">
        <v>0</v>
      </c>
      <c r="Z59" s="1">
        <v>0</v>
      </c>
      <c r="AA59" s="1">
        <v>0</v>
      </c>
      <c r="AB59" s="3">
        <f t="shared" si="0"/>
        <v>7.6923076923076927E-2</v>
      </c>
      <c r="AC59" s="4">
        <f>VLOOKUP(B59,'[1]INV 02-02-23'!$A$1:$L$8464,6,FALSE)</f>
        <v>4492.2979999999998</v>
      </c>
    </row>
    <row r="60" spans="1:29" x14ac:dyDescent="0.25">
      <c r="A60" s="1" t="s">
        <v>335</v>
      </c>
      <c r="B60" s="5" t="s">
        <v>146</v>
      </c>
      <c r="C60" s="1">
        <v>6</v>
      </c>
      <c r="D60" s="3" t="s">
        <v>147</v>
      </c>
      <c r="E60" s="5">
        <v>4</v>
      </c>
      <c r="F60" s="1">
        <v>2</v>
      </c>
      <c r="G60" s="1">
        <f>(P60+Q60+R60+S60+T60)/60</f>
        <v>0</v>
      </c>
      <c r="H60" s="3">
        <v>4</v>
      </c>
      <c r="I60" s="3">
        <v>1</v>
      </c>
      <c r="J60" s="3">
        <v>2</v>
      </c>
      <c r="K60" s="3">
        <v>4</v>
      </c>
      <c r="L60" s="3" t="s">
        <v>48</v>
      </c>
      <c r="M60" s="3">
        <v>12</v>
      </c>
      <c r="N60" s="3" t="s">
        <v>30</v>
      </c>
      <c r="O60" s="1">
        <v>6</v>
      </c>
      <c r="P60" s="1">
        <v>0</v>
      </c>
      <c r="Q60" s="1">
        <v>0</v>
      </c>
      <c r="R60" s="1">
        <v>0</v>
      </c>
      <c r="S60" s="1">
        <v>0</v>
      </c>
      <c r="T60" s="1">
        <v>0</v>
      </c>
      <c r="U60" s="1">
        <v>1</v>
      </c>
      <c r="V60" s="1">
        <v>0</v>
      </c>
      <c r="W60" s="1">
        <v>1</v>
      </c>
      <c r="X60" s="1">
        <v>0</v>
      </c>
      <c r="Y60" s="1">
        <v>0</v>
      </c>
      <c r="Z60" s="1">
        <v>0</v>
      </c>
      <c r="AA60" s="1">
        <v>0</v>
      </c>
      <c r="AB60" s="3">
        <f t="shared" si="0"/>
        <v>0.61538461538461542</v>
      </c>
      <c r="AC60" s="4">
        <f>VLOOKUP(B60,'[1]INV 02-02-23'!$A$1:$L$8464,6,FALSE)</f>
        <v>3921.5</v>
      </c>
    </row>
    <row r="61" spans="1:29" x14ac:dyDescent="0.25">
      <c r="A61" s="1" t="s">
        <v>336</v>
      </c>
      <c r="B61" s="5" t="s">
        <v>148</v>
      </c>
      <c r="C61" s="1">
        <v>6</v>
      </c>
      <c r="D61" s="3" t="s">
        <v>149</v>
      </c>
      <c r="E61" s="5" t="s">
        <v>150</v>
      </c>
      <c r="F61" s="1">
        <v>16</v>
      </c>
      <c r="G61" s="1">
        <f>(P61+Q61+R61+S61+T61)/60</f>
        <v>0</v>
      </c>
      <c r="H61" s="3">
        <v>24</v>
      </c>
      <c r="I61" s="3">
        <v>8</v>
      </c>
      <c r="J61" s="3">
        <f>+G61*10+I61</f>
        <v>8</v>
      </c>
      <c r="K61" s="3">
        <v>16</v>
      </c>
      <c r="L61" s="3" t="s">
        <v>48</v>
      </c>
      <c r="M61" s="3">
        <v>12</v>
      </c>
      <c r="N61" s="3" t="s">
        <v>30</v>
      </c>
      <c r="O61" s="1">
        <v>10</v>
      </c>
      <c r="P61" s="1">
        <v>0</v>
      </c>
      <c r="Q61" s="1">
        <v>0</v>
      </c>
      <c r="R61" s="1">
        <v>0</v>
      </c>
      <c r="S61" s="1">
        <v>0</v>
      </c>
      <c r="T61" s="1">
        <v>0</v>
      </c>
      <c r="U61" s="1">
        <v>0</v>
      </c>
      <c r="V61" s="1">
        <v>0</v>
      </c>
      <c r="W61" s="1">
        <v>0</v>
      </c>
      <c r="X61" s="1">
        <v>0</v>
      </c>
      <c r="Y61" s="1">
        <v>2</v>
      </c>
      <c r="Z61" s="1">
        <v>0</v>
      </c>
      <c r="AA61" s="1">
        <v>2</v>
      </c>
      <c r="AB61" s="3">
        <f t="shared" si="0"/>
        <v>1.0769230769230769</v>
      </c>
      <c r="AC61" s="4">
        <f>VLOOKUP(B61,'[1]INV 02-02-23'!$A$1:$L$8464,6,FALSE)</f>
        <v>533.91409999999996</v>
      </c>
    </row>
    <row r="62" spans="1:29" x14ac:dyDescent="0.25">
      <c r="A62" s="1" t="s">
        <v>337</v>
      </c>
      <c r="B62" s="5" t="s">
        <v>151</v>
      </c>
      <c r="C62" s="1">
        <v>6</v>
      </c>
      <c r="D62" s="3" t="s">
        <v>152</v>
      </c>
      <c r="E62" s="5">
        <v>14</v>
      </c>
      <c r="F62" s="1">
        <v>1</v>
      </c>
      <c r="G62" s="1">
        <f>(P62+Q62+R62+S62+T62)/60</f>
        <v>0.25</v>
      </c>
      <c r="H62" s="3">
        <v>28</v>
      </c>
      <c r="I62" s="3">
        <v>4</v>
      </c>
      <c r="J62" s="3">
        <v>7</v>
      </c>
      <c r="K62" s="3">
        <v>14</v>
      </c>
      <c r="L62" s="3" t="s">
        <v>48</v>
      </c>
      <c r="M62" s="3">
        <v>12</v>
      </c>
      <c r="N62" s="3" t="s">
        <v>30</v>
      </c>
      <c r="O62" s="1">
        <v>6</v>
      </c>
      <c r="P62" s="1">
        <v>6</v>
      </c>
      <c r="Q62" s="1">
        <v>2</v>
      </c>
      <c r="R62" s="1">
        <v>4</v>
      </c>
      <c r="S62" s="1">
        <v>3</v>
      </c>
      <c r="T62" s="1">
        <v>0</v>
      </c>
      <c r="U62" s="1">
        <v>1</v>
      </c>
      <c r="V62" s="1">
        <v>1</v>
      </c>
      <c r="W62" s="1">
        <v>0</v>
      </c>
      <c r="X62" s="1">
        <v>0</v>
      </c>
      <c r="Y62" s="1">
        <v>1</v>
      </c>
      <c r="Z62" s="1">
        <v>1</v>
      </c>
      <c r="AA62" s="1">
        <v>0</v>
      </c>
      <c r="AB62" s="3">
        <f t="shared" si="0"/>
        <v>1.9230769230769231</v>
      </c>
      <c r="AC62" s="4">
        <f>VLOOKUP(B62,'[1]INV 02-02-23'!$A$1:$L$8464,6,FALSE)</f>
        <v>1521</v>
      </c>
    </row>
    <row r="63" spans="1:29" x14ac:dyDescent="0.25">
      <c r="A63" s="1" t="s">
        <v>338</v>
      </c>
      <c r="B63" s="5" t="s">
        <v>153</v>
      </c>
      <c r="C63" s="1">
        <v>6</v>
      </c>
      <c r="D63" s="3" t="s">
        <v>154</v>
      </c>
      <c r="E63" s="5">
        <v>3</v>
      </c>
      <c r="F63" s="1">
        <v>2</v>
      </c>
      <c r="G63" s="1">
        <f>(P63+Q63+R63+S63+T63)/60</f>
        <v>0</v>
      </c>
      <c r="H63" s="3">
        <v>1</v>
      </c>
      <c r="I63" s="3">
        <v>1</v>
      </c>
      <c r="J63" s="3">
        <f>+G63*10+I63</f>
        <v>1</v>
      </c>
      <c r="K63" s="3">
        <v>2</v>
      </c>
      <c r="L63" s="3" t="s">
        <v>48</v>
      </c>
      <c r="M63" s="3">
        <v>12</v>
      </c>
      <c r="N63" s="3" t="s">
        <v>30</v>
      </c>
      <c r="O63" s="1">
        <v>1</v>
      </c>
      <c r="P63" s="1">
        <v>0</v>
      </c>
      <c r="Q63" s="1">
        <v>0</v>
      </c>
      <c r="R63" s="1">
        <v>0</v>
      </c>
      <c r="S63" s="1">
        <v>0</v>
      </c>
      <c r="T63" s="1">
        <v>0</v>
      </c>
      <c r="U63" s="1">
        <v>0</v>
      </c>
      <c r="V63" s="1">
        <v>0</v>
      </c>
      <c r="W63" s="1">
        <v>1</v>
      </c>
      <c r="X63" s="1">
        <v>0</v>
      </c>
      <c r="Y63" s="1">
        <v>0</v>
      </c>
      <c r="Z63" s="1">
        <v>0</v>
      </c>
      <c r="AA63" s="1">
        <v>0</v>
      </c>
      <c r="AB63" s="3">
        <f t="shared" si="0"/>
        <v>0.15384615384615385</v>
      </c>
      <c r="AC63" s="4">
        <f>VLOOKUP(B63,'[1]INV 02-02-23'!$A$1:$L$8464,6,FALSE)</f>
        <v>3209.585</v>
      </c>
    </row>
    <row r="64" spans="1:29" x14ac:dyDescent="0.25">
      <c r="A64" s="1" t="s">
        <v>339</v>
      </c>
      <c r="B64" s="1" t="s">
        <v>155</v>
      </c>
      <c r="C64" s="1">
        <v>6</v>
      </c>
      <c r="D64" s="3" t="s">
        <v>156</v>
      </c>
      <c r="E64" s="1">
        <v>8</v>
      </c>
      <c r="F64" s="1">
        <v>1</v>
      </c>
      <c r="G64" s="1">
        <f>(P64+Q64+R64+S64+T64)/60</f>
        <v>8.3333333333333329E-2</v>
      </c>
      <c r="H64" s="3">
        <v>10</v>
      </c>
      <c r="I64" s="3">
        <v>3</v>
      </c>
      <c r="J64" s="3">
        <v>5</v>
      </c>
      <c r="K64" s="3">
        <v>9</v>
      </c>
      <c r="L64" s="3" t="s">
        <v>48</v>
      </c>
      <c r="M64" s="3">
        <v>12</v>
      </c>
      <c r="N64" s="3" t="s">
        <v>30</v>
      </c>
      <c r="O64" s="1">
        <v>5</v>
      </c>
      <c r="P64" s="1">
        <v>0</v>
      </c>
      <c r="Q64" s="1">
        <v>5</v>
      </c>
      <c r="R64" s="1">
        <v>0</v>
      </c>
      <c r="S64" s="1">
        <v>0</v>
      </c>
      <c r="T64" s="1">
        <v>0</v>
      </c>
      <c r="U64" s="1">
        <v>0</v>
      </c>
      <c r="V64" s="1">
        <v>0</v>
      </c>
      <c r="W64" s="1">
        <v>0</v>
      </c>
      <c r="X64" s="1">
        <v>0</v>
      </c>
      <c r="Y64" s="1">
        <v>0</v>
      </c>
      <c r="Z64" s="1">
        <v>1</v>
      </c>
      <c r="AA64" s="1">
        <v>0</v>
      </c>
      <c r="AB64" s="3">
        <f t="shared" si="0"/>
        <v>0.84615384615384615</v>
      </c>
      <c r="AC64" s="4">
        <f>VLOOKUP(B64,'[1]INV 02-02-23'!$A$1:$L$8464,6,FALSE)</f>
        <v>1346</v>
      </c>
    </row>
    <row r="65" spans="1:29" ht="25.5" x14ac:dyDescent="0.25">
      <c r="A65" s="1" t="s">
        <v>340</v>
      </c>
      <c r="B65" s="5" t="s">
        <v>157</v>
      </c>
      <c r="C65" s="1">
        <v>6</v>
      </c>
      <c r="D65" s="3" t="s">
        <v>158</v>
      </c>
      <c r="E65" s="5">
        <v>4</v>
      </c>
      <c r="F65" s="1">
        <v>1</v>
      </c>
      <c r="G65" s="1">
        <f>(P65+Q65+R65+S65+T65)/60</f>
        <v>8.3333333333333329E-2</v>
      </c>
      <c r="H65" s="3">
        <v>8</v>
      </c>
      <c r="I65" s="3">
        <v>1</v>
      </c>
      <c r="J65" s="3">
        <v>2</v>
      </c>
      <c r="K65" s="3">
        <v>4</v>
      </c>
      <c r="L65" s="3" t="s">
        <v>48</v>
      </c>
      <c r="M65" s="3">
        <v>12</v>
      </c>
      <c r="N65" s="3" t="s">
        <v>30</v>
      </c>
      <c r="O65" s="1">
        <v>1</v>
      </c>
      <c r="P65" s="1">
        <v>0</v>
      </c>
      <c r="Q65" s="1">
        <v>1</v>
      </c>
      <c r="R65" s="1">
        <v>2</v>
      </c>
      <c r="S65" s="1">
        <v>1</v>
      </c>
      <c r="T65" s="1">
        <v>1</v>
      </c>
      <c r="U65" s="1">
        <v>1</v>
      </c>
      <c r="V65" s="1">
        <v>0</v>
      </c>
      <c r="W65" s="1">
        <v>1</v>
      </c>
      <c r="X65" s="1">
        <v>1</v>
      </c>
      <c r="Y65" s="1">
        <v>0</v>
      </c>
      <c r="Z65" s="1">
        <v>0</v>
      </c>
      <c r="AA65" s="1">
        <v>0</v>
      </c>
      <c r="AB65" s="3">
        <f t="shared" si="0"/>
        <v>0.69230769230769229</v>
      </c>
      <c r="AC65" s="4">
        <f>VLOOKUP(B65,'[1]INV 02-02-23'!$A$1:$L$8464,6,FALSE)</f>
        <v>3378</v>
      </c>
    </row>
    <row r="66" spans="1:29" x14ac:dyDescent="0.25">
      <c r="A66" s="1" t="s">
        <v>341</v>
      </c>
      <c r="B66" s="5" t="s">
        <v>159</v>
      </c>
      <c r="C66" s="1">
        <v>9</v>
      </c>
      <c r="D66" s="3" t="s">
        <v>160</v>
      </c>
      <c r="E66" s="5">
        <v>2</v>
      </c>
      <c r="F66" s="1">
        <v>1</v>
      </c>
      <c r="G66" s="1">
        <f>(P66+Q66+R66+S66+T66)/60</f>
        <v>1.6666666666666666E-2</v>
      </c>
      <c r="H66" s="3">
        <v>6</v>
      </c>
      <c r="I66" s="3">
        <v>1</v>
      </c>
      <c r="J66" s="3">
        <v>1</v>
      </c>
      <c r="K66" s="3">
        <v>2</v>
      </c>
      <c r="L66" s="3" t="s">
        <v>48</v>
      </c>
      <c r="M66" s="3">
        <v>12</v>
      </c>
      <c r="N66" s="3" t="s">
        <v>49</v>
      </c>
      <c r="O66" s="1">
        <v>1</v>
      </c>
      <c r="P66" s="1">
        <v>0</v>
      </c>
      <c r="Q66" s="1">
        <v>1</v>
      </c>
      <c r="R66" s="1">
        <v>0</v>
      </c>
      <c r="S66" s="1">
        <v>0</v>
      </c>
      <c r="T66" s="1">
        <v>0</v>
      </c>
      <c r="U66" s="1">
        <v>1</v>
      </c>
      <c r="V66" s="1">
        <v>0</v>
      </c>
      <c r="W66" s="1">
        <v>0</v>
      </c>
      <c r="X66" s="1">
        <v>0</v>
      </c>
      <c r="Y66" s="1">
        <v>0</v>
      </c>
      <c r="Z66" s="1">
        <v>0</v>
      </c>
      <c r="AA66" s="1">
        <v>0</v>
      </c>
      <c r="AB66" s="3">
        <f t="shared" ref="AB66:AB124" si="1">AVERAGE(O66:AA66)</f>
        <v>0.23076923076923078</v>
      </c>
      <c r="AC66" s="4">
        <f>VLOOKUP(B66,'[1]INV 02-02-23'!$A$1:$L$8464,6,FALSE)</f>
        <v>131.5</v>
      </c>
    </row>
    <row r="67" spans="1:29" ht="25.5" x14ac:dyDescent="0.25">
      <c r="A67" s="1" t="s">
        <v>342</v>
      </c>
      <c r="B67" s="5" t="s">
        <v>161</v>
      </c>
      <c r="C67" s="1">
        <v>9</v>
      </c>
      <c r="D67" s="3" t="s">
        <v>162</v>
      </c>
      <c r="E67" s="5">
        <v>3</v>
      </c>
      <c r="F67" s="1">
        <v>1</v>
      </c>
      <c r="G67" s="1">
        <f>(P67+Q67+R67+S67+T67)/60</f>
        <v>1.6666666666666666E-2</v>
      </c>
      <c r="H67" s="3">
        <v>9</v>
      </c>
      <c r="I67" s="3">
        <v>1</v>
      </c>
      <c r="J67" s="3">
        <v>2</v>
      </c>
      <c r="K67" s="3">
        <v>4</v>
      </c>
      <c r="L67" s="3" t="s">
        <v>48</v>
      </c>
      <c r="M67" s="3">
        <v>12</v>
      </c>
      <c r="N67" s="3" t="s">
        <v>49</v>
      </c>
      <c r="O67" s="1">
        <v>2</v>
      </c>
      <c r="P67" s="1">
        <v>0</v>
      </c>
      <c r="Q67" s="1">
        <v>1</v>
      </c>
      <c r="R67" s="1">
        <v>0</v>
      </c>
      <c r="S67" s="1">
        <v>0</v>
      </c>
      <c r="T67" s="1">
        <v>0</v>
      </c>
      <c r="U67" s="1">
        <v>1</v>
      </c>
      <c r="V67" s="1">
        <v>0</v>
      </c>
      <c r="W67" s="1">
        <v>0</v>
      </c>
      <c r="X67" s="1">
        <v>0</v>
      </c>
      <c r="Y67" s="1">
        <v>2</v>
      </c>
      <c r="Z67" s="1">
        <v>0</v>
      </c>
      <c r="AA67" s="1">
        <v>1</v>
      </c>
      <c r="AB67" s="3">
        <f t="shared" si="1"/>
        <v>0.53846153846153844</v>
      </c>
      <c r="AC67" s="4">
        <f>VLOOKUP(B67,'[1]INV 02-02-23'!$A$1:$L$8464,6,FALSE)</f>
        <v>145</v>
      </c>
    </row>
    <row r="68" spans="1:29" x14ac:dyDescent="0.25">
      <c r="A68" s="1" t="s">
        <v>343</v>
      </c>
      <c r="B68" s="5" t="s">
        <v>163</v>
      </c>
      <c r="C68" s="1">
        <v>9</v>
      </c>
      <c r="D68" s="3" t="s">
        <v>164</v>
      </c>
      <c r="E68" s="5">
        <v>1</v>
      </c>
      <c r="F68" s="1">
        <v>2</v>
      </c>
      <c r="G68" s="1">
        <f>(P68+Q68+R68+S68+T68)/60</f>
        <v>0</v>
      </c>
      <c r="H68" s="3">
        <v>1</v>
      </c>
      <c r="I68" s="3">
        <v>1</v>
      </c>
      <c r="J68" s="3">
        <f>+G68*10+I68</f>
        <v>1</v>
      </c>
      <c r="K68" s="3">
        <v>2</v>
      </c>
      <c r="L68" s="3" t="s">
        <v>48</v>
      </c>
      <c r="M68" s="3">
        <v>12</v>
      </c>
      <c r="N68" s="3" t="s">
        <v>49</v>
      </c>
      <c r="O68" s="1">
        <v>1</v>
      </c>
      <c r="P68" s="1">
        <v>0</v>
      </c>
      <c r="Q68" s="1">
        <v>0</v>
      </c>
      <c r="R68" s="1">
        <v>0</v>
      </c>
      <c r="S68" s="1">
        <v>0</v>
      </c>
      <c r="T68" s="1">
        <v>0</v>
      </c>
      <c r="U68" s="1">
        <v>0</v>
      </c>
      <c r="V68" s="1">
        <v>0</v>
      </c>
      <c r="W68" s="1">
        <v>0</v>
      </c>
      <c r="X68" s="1">
        <v>0</v>
      </c>
      <c r="Y68" s="1">
        <v>0</v>
      </c>
      <c r="Z68" s="1">
        <v>0</v>
      </c>
      <c r="AA68" s="1">
        <v>0</v>
      </c>
      <c r="AB68" s="3">
        <f t="shared" si="1"/>
        <v>7.6923076923076927E-2</v>
      </c>
      <c r="AC68" s="4">
        <f>VLOOKUP(B68,'[1]INV 02-02-23'!$A$1:$L$8464,6,FALSE)</f>
        <v>915.5</v>
      </c>
    </row>
    <row r="69" spans="1:29" x14ac:dyDescent="0.25">
      <c r="A69" s="1" t="s">
        <v>344</v>
      </c>
      <c r="B69" s="1" t="s">
        <v>165</v>
      </c>
      <c r="C69" s="1">
        <v>9</v>
      </c>
      <c r="D69" s="3" t="s">
        <v>166</v>
      </c>
      <c r="E69" s="1">
        <v>3</v>
      </c>
      <c r="F69" s="1">
        <v>2</v>
      </c>
      <c r="G69" s="1">
        <f>(P69+Q69+R69+S69+T69)/60</f>
        <v>3.3333333333333333E-2</v>
      </c>
      <c r="H69" s="3">
        <v>4</v>
      </c>
      <c r="I69" s="3">
        <v>1</v>
      </c>
      <c r="J69" s="3">
        <v>2</v>
      </c>
      <c r="K69" s="3">
        <v>3</v>
      </c>
      <c r="L69" s="3" t="s">
        <v>48</v>
      </c>
      <c r="M69" s="3">
        <v>12</v>
      </c>
      <c r="N69" s="3" t="s">
        <v>49</v>
      </c>
      <c r="O69" s="1">
        <v>1</v>
      </c>
      <c r="P69" s="1">
        <v>1</v>
      </c>
      <c r="Q69" s="1">
        <v>0</v>
      </c>
      <c r="R69" s="1">
        <v>0</v>
      </c>
      <c r="S69" s="1">
        <v>0</v>
      </c>
      <c r="T69" s="1">
        <v>1</v>
      </c>
      <c r="U69" s="1">
        <v>1</v>
      </c>
      <c r="V69" s="1">
        <v>1</v>
      </c>
      <c r="W69" s="1">
        <v>1</v>
      </c>
      <c r="X69" s="1">
        <v>0</v>
      </c>
      <c r="Y69" s="1">
        <v>0</v>
      </c>
      <c r="Z69" s="1">
        <v>1</v>
      </c>
      <c r="AA69" s="1">
        <v>0</v>
      </c>
      <c r="AB69" s="3">
        <f t="shared" si="1"/>
        <v>0.53846153846153844</v>
      </c>
      <c r="AC69" s="4">
        <f>VLOOKUP(B69,'[1]INV 02-02-23'!$A$1:$L$8464,6,FALSE)</f>
        <v>865</v>
      </c>
    </row>
    <row r="70" spans="1:29" x14ac:dyDescent="0.25">
      <c r="A70" s="1" t="s">
        <v>345</v>
      </c>
      <c r="B70" s="1" t="s">
        <v>167</v>
      </c>
      <c r="C70" s="1">
        <v>9</v>
      </c>
      <c r="D70" s="3" t="s">
        <v>168</v>
      </c>
      <c r="E70" s="1">
        <v>4</v>
      </c>
      <c r="F70" s="1">
        <v>1</v>
      </c>
      <c r="G70" s="1">
        <f>(P70+Q70+R70+S70+T70)/60</f>
        <v>8.3333333333333329E-2</v>
      </c>
      <c r="H70" s="3">
        <v>4</v>
      </c>
      <c r="I70" s="3">
        <v>1</v>
      </c>
      <c r="J70" s="3">
        <v>2</v>
      </c>
      <c r="K70" s="3">
        <v>4</v>
      </c>
      <c r="L70" s="3" t="s">
        <v>48</v>
      </c>
      <c r="M70" s="3">
        <v>12</v>
      </c>
      <c r="N70" s="3" t="s">
        <v>49</v>
      </c>
      <c r="O70" s="1">
        <v>1</v>
      </c>
      <c r="P70" s="1">
        <v>1</v>
      </c>
      <c r="Q70" s="1">
        <v>1</v>
      </c>
      <c r="R70" s="1">
        <v>1</v>
      </c>
      <c r="S70" s="1">
        <v>1</v>
      </c>
      <c r="T70" s="1">
        <v>1</v>
      </c>
      <c r="U70" s="1">
        <v>0</v>
      </c>
      <c r="V70" s="1">
        <v>0</v>
      </c>
      <c r="W70" s="1">
        <v>1</v>
      </c>
      <c r="X70" s="1">
        <v>0</v>
      </c>
      <c r="Y70" s="1">
        <v>0</v>
      </c>
      <c r="Z70" s="1">
        <v>0</v>
      </c>
      <c r="AA70" s="1">
        <v>0</v>
      </c>
      <c r="AB70" s="3">
        <f t="shared" si="1"/>
        <v>0.53846153846153844</v>
      </c>
      <c r="AC70" s="4">
        <f>VLOOKUP(B70,'[1]INV 02-02-23'!$A$1:$L$8464,6,FALSE)</f>
        <v>1735.6667</v>
      </c>
    </row>
    <row r="71" spans="1:29" x14ac:dyDescent="0.25">
      <c r="A71" s="1" t="s">
        <v>346</v>
      </c>
      <c r="B71" s="1" t="s">
        <v>169</v>
      </c>
      <c r="C71" s="1">
        <v>9</v>
      </c>
      <c r="D71" s="3" t="s">
        <v>170</v>
      </c>
      <c r="E71" s="1">
        <v>1</v>
      </c>
      <c r="F71" s="1">
        <v>1</v>
      </c>
      <c r="G71" s="1">
        <f>(P71+Q71+R71+S71+T71)/60</f>
        <v>3.3333333333333333E-2</v>
      </c>
      <c r="H71" s="3">
        <v>3</v>
      </c>
      <c r="I71" s="3">
        <v>1</v>
      </c>
      <c r="J71" s="3">
        <v>2</v>
      </c>
      <c r="K71" s="3">
        <v>3</v>
      </c>
      <c r="L71" s="3" t="s">
        <v>48</v>
      </c>
      <c r="M71" s="3">
        <v>12</v>
      </c>
      <c r="N71" s="3" t="s">
        <v>49</v>
      </c>
      <c r="O71" s="1">
        <v>1</v>
      </c>
      <c r="P71" s="1">
        <v>0</v>
      </c>
      <c r="Q71" s="1">
        <v>0</v>
      </c>
      <c r="R71" s="1">
        <v>0</v>
      </c>
      <c r="S71" s="1">
        <v>1</v>
      </c>
      <c r="T71" s="1">
        <v>1</v>
      </c>
      <c r="U71" s="1">
        <v>0</v>
      </c>
      <c r="V71" s="1">
        <v>0</v>
      </c>
      <c r="W71" s="1">
        <v>1</v>
      </c>
      <c r="X71" s="1">
        <v>0</v>
      </c>
      <c r="Y71" s="1">
        <v>0</v>
      </c>
      <c r="Z71" s="1">
        <v>0</v>
      </c>
      <c r="AA71" s="1">
        <v>0</v>
      </c>
      <c r="AB71" s="3">
        <f t="shared" si="1"/>
        <v>0.30769230769230771</v>
      </c>
      <c r="AC71" s="4">
        <f>VLOOKUP(B71,'[1]INV 02-02-23'!$A$1:$L$8464,6,FALSE)</f>
        <v>2637.7676999999999</v>
      </c>
    </row>
    <row r="72" spans="1:29" ht="25.5" x14ac:dyDescent="0.25">
      <c r="A72" s="1" t="s">
        <v>347</v>
      </c>
      <c r="B72" s="5" t="s">
        <v>171</v>
      </c>
      <c r="C72" s="1">
        <v>9</v>
      </c>
      <c r="D72" s="3" t="s">
        <v>172</v>
      </c>
      <c r="E72" s="5">
        <v>16</v>
      </c>
      <c r="F72" s="1">
        <v>1</v>
      </c>
      <c r="G72" s="1">
        <f>(P72+Q72+R72+S72+T72)/60</f>
        <v>0.21666666666666667</v>
      </c>
      <c r="H72" s="3">
        <v>40</v>
      </c>
      <c r="I72" s="3">
        <v>4</v>
      </c>
      <c r="J72" s="3">
        <v>8</v>
      </c>
      <c r="K72" s="3">
        <v>18</v>
      </c>
      <c r="L72" s="3" t="s">
        <v>48</v>
      </c>
      <c r="M72" s="3">
        <v>12</v>
      </c>
      <c r="N72" s="3" t="s">
        <v>49</v>
      </c>
      <c r="O72" s="1">
        <v>10</v>
      </c>
      <c r="P72" s="1">
        <v>6</v>
      </c>
      <c r="Q72" s="1">
        <v>3</v>
      </c>
      <c r="R72" s="1">
        <v>0</v>
      </c>
      <c r="S72" s="1">
        <v>4</v>
      </c>
      <c r="T72" s="1">
        <v>0</v>
      </c>
      <c r="U72" s="1">
        <v>0</v>
      </c>
      <c r="V72" s="1">
        <v>0</v>
      </c>
      <c r="W72" s="1">
        <v>5</v>
      </c>
      <c r="X72" s="1">
        <v>0</v>
      </c>
      <c r="Y72" s="1">
        <v>0</v>
      </c>
      <c r="Z72" s="1">
        <v>1</v>
      </c>
      <c r="AA72" s="1">
        <v>0</v>
      </c>
      <c r="AB72" s="3">
        <f t="shared" si="1"/>
        <v>2.2307692307692308</v>
      </c>
      <c r="AC72" s="4">
        <f>VLOOKUP(B72,'[1]INV 02-02-23'!$A$1:$L$8464,6,FALSE)</f>
        <v>76</v>
      </c>
    </row>
    <row r="73" spans="1:29" ht="25.5" x14ac:dyDescent="0.25">
      <c r="A73" s="1" t="s">
        <v>348</v>
      </c>
      <c r="B73" s="5" t="s">
        <v>173</v>
      </c>
      <c r="C73" s="1">
        <v>9</v>
      </c>
      <c r="D73" s="3" t="s">
        <v>174</v>
      </c>
      <c r="E73" s="5">
        <v>18</v>
      </c>
      <c r="F73" s="1">
        <v>1</v>
      </c>
      <c r="G73" s="1">
        <f>(P73+Q73+R73+S73+T73)/60</f>
        <v>0.28333333333333333</v>
      </c>
      <c r="H73" s="3">
        <v>40</v>
      </c>
      <c r="I73" s="3">
        <v>6</v>
      </c>
      <c r="J73" s="3">
        <v>10</v>
      </c>
      <c r="K73" s="3">
        <v>20</v>
      </c>
      <c r="L73" s="3" t="s">
        <v>48</v>
      </c>
      <c r="M73" s="3">
        <v>12</v>
      </c>
      <c r="N73" s="3" t="s">
        <v>49</v>
      </c>
      <c r="O73" s="1">
        <v>8</v>
      </c>
      <c r="P73" s="1">
        <v>4</v>
      </c>
      <c r="Q73" s="1">
        <v>3</v>
      </c>
      <c r="R73" s="1">
        <v>6</v>
      </c>
      <c r="S73" s="1">
        <v>2</v>
      </c>
      <c r="T73" s="1">
        <v>2</v>
      </c>
      <c r="U73" s="1">
        <v>0</v>
      </c>
      <c r="V73" s="1">
        <v>3</v>
      </c>
      <c r="W73" s="1">
        <v>1</v>
      </c>
      <c r="X73" s="1">
        <v>0</v>
      </c>
      <c r="Y73" s="1">
        <v>1</v>
      </c>
      <c r="Z73" s="1">
        <v>1</v>
      </c>
      <c r="AA73" s="1">
        <v>0</v>
      </c>
      <c r="AB73" s="3">
        <f t="shared" si="1"/>
        <v>2.3846153846153846</v>
      </c>
      <c r="AC73" s="4">
        <f>VLOOKUP(B73,'[1]INV 02-02-23'!$A$1:$L$8464,6,FALSE)</f>
        <v>61.5</v>
      </c>
    </row>
    <row r="74" spans="1:29" ht="25.5" x14ac:dyDescent="0.25">
      <c r="A74" s="1" t="s">
        <v>349</v>
      </c>
      <c r="B74" s="5" t="s">
        <v>175</v>
      </c>
      <c r="C74" s="1">
        <v>9</v>
      </c>
      <c r="D74" s="3" t="s">
        <v>176</v>
      </c>
      <c r="E74" s="5">
        <v>10</v>
      </c>
      <c r="F74" s="1">
        <v>3</v>
      </c>
      <c r="G74" s="1">
        <f>(P74+Q74+R74+S74+T74)/60</f>
        <v>0.11666666666666667</v>
      </c>
      <c r="H74" s="3">
        <v>25</v>
      </c>
      <c r="I74" s="3">
        <v>3</v>
      </c>
      <c r="J74" s="3">
        <v>5</v>
      </c>
      <c r="K74" s="3">
        <v>10</v>
      </c>
      <c r="L74" s="3" t="s">
        <v>48</v>
      </c>
      <c r="M74" s="3">
        <v>8</v>
      </c>
      <c r="N74" s="3" t="s">
        <v>49</v>
      </c>
      <c r="O74" s="1">
        <v>4</v>
      </c>
      <c r="P74" s="1">
        <v>2</v>
      </c>
      <c r="Q74" s="1">
        <v>0</v>
      </c>
      <c r="R74" s="1">
        <v>1</v>
      </c>
      <c r="S74" s="1">
        <v>4</v>
      </c>
      <c r="T74" s="1">
        <v>0</v>
      </c>
      <c r="U74" s="1">
        <v>0</v>
      </c>
      <c r="V74" s="1">
        <v>4</v>
      </c>
      <c r="W74" s="1">
        <v>0</v>
      </c>
      <c r="X74" s="1">
        <v>0</v>
      </c>
      <c r="Y74" s="1">
        <v>0</v>
      </c>
      <c r="Z74" s="1">
        <v>0</v>
      </c>
      <c r="AA74" s="1">
        <v>0</v>
      </c>
      <c r="AB74" s="3">
        <f t="shared" si="1"/>
        <v>1.1538461538461537</v>
      </c>
      <c r="AC74" s="4">
        <f>VLOOKUP(B74,'[1]INV 02-02-23'!$A$1:$L$8464,6,FALSE)</f>
        <v>87</v>
      </c>
    </row>
    <row r="75" spans="1:29" x14ac:dyDescent="0.25">
      <c r="A75" s="1" t="s">
        <v>350</v>
      </c>
      <c r="B75" s="5" t="s">
        <v>177</v>
      </c>
      <c r="C75" s="1">
        <v>9</v>
      </c>
      <c r="D75" s="3" t="s">
        <v>178</v>
      </c>
      <c r="E75" s="5">
        <v>6</v>
      </c>
      <c r="F75" s="1">
        <v>4</v>
      </c>
      <c r="G75" s="1">
        <f>(P75+Q75+R75+S75+T75)/60</f>
        <v>1.6666666666666666E-2</v>
      </c>
      <c r="H75" s="3">
        <v>2</v>
      </c>
      <c r="I75" s="3">
        <v>2</v>
      </c>
      <c r="J75" s="3">
        <v>4</v>
      </c>
      <c r="K75" s="3">
        <v>6</v>
      </c>
      <c r="L75" s="3" t="s">
        <v>48</v>
      </c>
      <c r="M75" s="3">
        <v>8</v>
      </c>
      <c r="N75" s="3" t="s">
        <v>49</v>
      </c>
      <c r="O75" s="1">
        <v>8</v>
      </c>
      <c r="P75" s="1">
        <v>0</v>
      </c>
      <c r="Q75" s="1">
        <v>0</v>
      </c>
      <c r="R75" s="1">
        <v>1</v>
      </c>
      <c r="S75" s="1">
        <v>0</v>
      </c>
      <c r="T75" s="1">
        <v>0</v>
      </c>
      <c r="U75" s="1">
        <v>2</v>
      </c>
      <c r="V75" s="1">
        <v>1</v>
      </c>
      <c r="W75" s="1">
        <v>0</v>
      </c>
      <c r="X75" s="1">
        <v>0</v>
      </c>
      <c r="Y75" s="1">
        <v>2</v>
      </c>
      <c r="Z75" s="1">
        <v>0</v>
      </c>
      <c r="AA75" s="1">
        <v>2</v>
      </c>
      <c r="AB75" s="3">
        <f t="shared" si="1"/>
        <v>1.2307692307692308</v>
      </c>
      <c r="AC75" s="4">
        <f>VLOOKUP(B75,'[1]INV 02-02-23'!$A$1:$L$8464,6,FALSE)</f>
        <v>256.42860000000002</v>
      </c>
    </row>
    <row r="76" spans="1:29" x14ac:dyDescent="0.25">
      <c r="A76" s="1" t="s">
        <v>351</v>
      </c>
      <c r="B76" s="5" t="s">
        <v>179</v>
      </c>
      <c r="C76" s="1">
        <v>6</v>
      </c>
      <c r="D76" s="3" t="s">
        <v>180</v>
      </c>
      <c r="E76" s="5">
        <v>14</v>
      </c>
      <c r="F76" s="1">
        <v>1</v>
      </c>
      <c r="G76" s="1">
        <f>(P76+Q76+R76+S76+T76)/60</f>
        <v>0.26666666666666666</v>
      </c>
      <c r="H76" s="3">
        <v>30</v>
      </c>
      <c r="I76" s="3">
        <v>4</v>
      </c>
      <c r="J76" s="3">
        <v>10</v>
      </c>
      <c r="K76" s="3">
        <v>16</v>
      </c>
      <c r="L76" s="3" t="s">
        <v>64</v>
      </c>
      <c r="M76" s="3">
        <v>8</v>
      </c>
      <c r="N76" s="3" t="s">
        <v>30</v>
      </c>
      <c r="O76" s="1">
        <v>12</v>
      </c>
      <c r="P76" s="1">
        <v>4</v>
      </c>
      <c r="Q76" s="1">
        <v>4</v>
      </c>
      <c r="R76" s="1">
        <v>6</v>
      </c>
      <c r="S76" s="1">
        <v>2</v>
      </c>
      <c r="T76" s="1">
        <v>0</v>
      </c>
      <c r="U76" s="1">
        <v>0</v>
      </c>
      <c r="V76" s="1">
        <v>0</v>
      </c>
      <c r="W76" s="1">
        <v>0</v>
      </c>
      <c r="X76" s="1">
        <v>0</v>
      </c>
      <c r="Y76" s="1">
        <v>0</v>
      </c>
      <c r="Z76" s="1">
        <v>0</v>
      </c>
      <c r="AA76" s="1">
        <v>0</v>
      </c>
      <c r="AB76" s="3">
        <f t="shared" si="1"/>
        <v>2.1538461538461537</v>
      </c>
      <c r="AC76" s="4">
        <f>VLOOKUP(B76,'[1]INV 02-02-23'!$A$1:$L$8464,6,FALSE)</f>
        <v>2072</v>
      </c>
    </row>
    <row r="77" spans="1:29" x14ac:dyDescent="0.25">
      <c r="A77" s="1" t="s">
        <v>352</v>
      </c>
      <c r="B77" s="5" t="s">
        <v>181</v>
      </c>
      <c r="C77" s="1">
        <v>6</v>
      </c>
      <c r="D77" s="3" t="s">
        <v>182</v>
      </c>
      <c r="E77" s="5">
        <v>10</v>
      </c>
      <c r="F77" s="1">
        <v>1</v>
      </c>
      <c r="G77" s="1">
        <f>(P77+Q77+R77+S77+T77)/60</f>
        <v>0.16666666666666666</v>
      </c>
      <c r="H77" s="3">
        <v>25</v>
      </c>
      <c r="I77" s="3">
        <v>3</v>
      </c>
      <c r="J77" s="3">
        <v>5</v>
      </c>
      <c r="K77" s="3">
        <v>10</v>
      </c>
      <c r="L77" s="3" t="s">
        <v>64</v>
      </c>
      <c r="M77" s="3">
        <v>8</v>
      </c>
      <c r="N77" s="3" t="s">
        <v>30</v>
      </c>
      <c r="O77" s="1">
        <v>12</v>
      </c>
      <c r="P77" s="1">
        <v>4</v>
      </c>
      <c r="Q77" s="1">
        <v>0</v>
      </c>
      <c r="R77" s="1">
        <v>2</v>
      </c>
      <c r="S77" s="1">
        <v>3</v>
      </c>
      <c r="T77" s="1">
        <v>1</v>
      </c>
      <c r="U77" s="1">
        <v>0</v>
      </c>
      <c r="V77" s="1">
        <v>1</v>
      </c>
      <c r="W77" s="1">
        <v>1</v>
      </c>
      <c r="X77" s="1">
        <v>0</v>
      </c>
      <c r="Y77" s="1">
        <v>0</v>
      </c>
      <c r="Z77" s="1">
        <v>0</v>
      </c>
      <c r="AA77" s="1">
        <v>0</v>
      </c>
      <c r="AB77" s="3">
        <f t="shared" si="1"/>
        <v>1.8461538461538463</v>
      </c>
      <c r="AC77" s="4">
        <f>VLOOKUP(B77,'[1]INV 02-02-23'!$A$1:$L$8464,6,FALSE)</f>
        <v>1711.912</v>
      </c>
    </row>
    <row r="78" spans="1:29" x14ac:dyDescent="0.25">
      <c r="A78" s="1" t="s">
        <v>353</v>
      </c>
      <c r="B78" s="5" t="s">
        <v>183</v>
      </c>
      <c r="C78" s="1">
        <v>9</v>
      </c>
      <c r="D78" s="3" t="s">
        <v>184</v>
      </c>
      <c r="E78" s="5">
        <v>3</v>
      </c>
      <c r="F78" s="1">
        <v>4</v>
      </c>
      <c r="G78" s="1">
        <f>(P78+Q78+R78+S78+T78)/60</f>
        <v>1.6666666666666666E-2</v>
      </c>
      <c r="H78" s="3">
        <v>1</v>
      </c>
      <c r="I78" s="3">
        <v>1</v>
      </c>
      <c r="J78" s="3">
        <v>2</v>
      </c>
      <c r="K78" s="3">
        <v>3</v>
      </c>
      <c r="L78" s="3" t="s">
        <v>48</v>
      </c>
      <c r="M78" s="3">
        <v>8</v>
      </c>
      <c r="N78" s="3" t="s">
        <v>49</v>
      </c>
      <c r="O78" s="1">
        <v>2</v>
      </c>
      <c r="P78" s="1">
        <v>1</v>
      </c>
      <c r="Q78" s="1">
        <v>0</v>
      </c>
      <c r="R78" s="1">
        <v>0</v>
      </c>
      <c r="S78" s="1">
        <v>0</v>
      </c>
      <c r="T78" s="1">
        <v>0</v>
      </c>
      <c r="U78" s="1">
        <v>1</v>
      </c>
      <c r="V78" s="1">
        <v>0</v>
      </c>
      <c r="W78" s="1">
        <v>0</v>
      </c>
      <c r="X78" s="1">
        <v>1</v>
      </c>
      <c r="Y78" s="1">
        <v>0</v>
      </c>
      <c r="Z78" s="1">
        <v>0</v>
      </c>
      <c r="AA78" s="1">
        <v>0</v>
      </c>
      <c r="AB78" s="3">
        <f t="shared" si="1"/>
        <v>0.38461538461538464</v>
      </c>
      <c r="AC78" s="4">
        <f>VLOOKUP(B78,'[1]INV 02-02-23'!$A$1:$L$8464,6,FALSE)</f>
        <v>193</v>
      </c>
    </row>
    <row r="79" spans="1:29" x14ac:dyDescent="0.25">
      <c r="A79" s="1" t="s">
        <v>354</v>
      </c>
      <c r="B79" s="1" t="s">
        <v>185</v>
      </c>
      <c r="C79" s="1"/>
      <c r="D79" s="3" t="s">
        <v>186</v>
      </c>
      <c r="E79" s="1">
        <v>4</v>
      </c>
      <c r="F79" s="1">
        <v>1</v>
      </c>
      <c r="G79" s="1">
        <f>(P79+Q79+R79+S79+T79)/60</f>
        <v>8.3333333333333329E-2</v>
      </c>
      <c r="H79" s="3">
        <v>8</v>
      </c>
      <c r="I79" s="3">
        <v>1</v>
      </c>
      <c r="J79" s="3">
        <v>2</v>
      </c>
      <c r="K79" s="3">
        <v>4</v>
      </c>
      <c r="L79" s="3" t="s">
        <v>64</v>
      </c>
      <c r="M79" s="3">
        <v>8</v>
      </c>
      <c r="N79" s="3" t="s">
        <v>30</v>
      </c>
      <c r="O79" s="1">
        <v>2</v>
      </c>
      <c r="P79" s="1">
        <v>0</v>
      </c>
      <c r="Q79" s="1">
        <v>2</v>
      </c>
      <c r="R79" s="1">
        <v>1</v>
      </c>
      <c r="S79" s="1">
        <v>0</v>
      </c>
      <c r="T79" s="1">
        <v>2</v>
      </c>
      <c r="U79" s="1">
        <v>0</v>
      </c>
      <c r="V79" s="1">
        <v>0</v>
      </c>
      <c r="W79" s="1">
        <v>0</v>
      </c>
      <c r="X79" s="1">
        <v>0</v>
      </c>
      <c r="Y79" s="1">
        <v>0</v>
      </c>
      <c r="Z79" s="1">
        <v>0</v>
      </c>
      <c r="AA79" s="1">
        <v>1</v>
      </c>
      <c r="AB79" s="3">
        <f t="shared" si="1"/>
        <v>0.61538461538461542</v>
      </c>
      <c r="AC79" s="4">
        <f>VLOOKUP(B79,'[1]INV 02-02-23'!$A$1:$L$8464,6,FALSE)</f>
        <v>1707</v>
      </c>
    </row>
    <row r="80" spans="1:29" x14ac:dyDescent="0.25">
      <c r="A80" s="1" t="s">
        <v>355</v>
      </c>
      <c r="B80" s="5" t="s">
        <v>187</v>
      </c>
      <c r="C80" s="1">
        <v>6</v>
      </c>
      <c r="D80" s="3" t="s">
        <v>188</v>
      </c>
      <c r="E80" s="5">
        <v>2</v>
      </c>
      <c r="F80" s="1">
        <v>1</v>
      </c>
      <c r="G80" s="1">
        <f>(P80+Q80+R80+S80+T80)/60</f>
        <v>1.6666666666666666E-2</v>
      </c>
      <c r="H80" s="3">
        <v>2</v>
      </c>
      <c r="I80" s="3">
        <v>1</v>
      </c>
      <c r="J80" s="3">
        <v>1</v>
      </c>
      <c r="K80" s="3">
        <v>2</v>
      </c>
      <c r="L80" s="3" t="s">
        <v>64</v>
      </c>
      <c r="M80" s="3">
        <v>8</v>
      </c>
      <c r="N80" s="3" t="s">
        <v>30</v>
      </c>
      <c r="O80" s="1">
        <v>1</v>
      </c>
      <c r="P80" s="1">
        <v>0</v>
      </c>
      <c r="Q80" s="1">
        <v>1</v>
      </c>
      <c r="R80" s="1">
        <v>0</v>
      </c>
      <c r="S80" s="1">
        <v>0</v>
      </c>
      <c r="T80" s="1">
        <v>0</v>
      </c>
      <c r="U80" s="1">
        <v>0</v>
      </c>
      <c r="V80" s="1">
        <v>0</v>
      </c>
      <c r="W80" s="1">
        <v>1</v>
      </c>
      <c r="X80" s="1">
        <v>1</v>
      </c>
      <c r="Y80" s="1">
        <v>0</v>
      </c>
      <c r="Z80" s="1">
        <v>0</v>
      </c>
      <c r="AA80" s="1">
        <v>0</v>
      </c>
      <c r="AB80" s="3">
        <f t="shared" si="1"/>
        <v>0.30769230769230771</v>
      </c>
      <c r="AC80" s="4">
        <f>VLOOKUP(B80,'[1]INV 02-02-23'!$A$1:$L$8464,6,FALSE)</f>
        <v>13925</v>
      </c>
    </row>
    <row r="81" spans="1:29" x14ac:dyDescent="0.25">
      <c r="A81" s="1" t="s">
        <v>356</v>
      </c>
      <c r="B81" s="1" t="s">
        <v>189</v>
      </c>
      <c r="C81" s="1">
        <v>9</v>
      </c>
      <c r="D81" s="3" t="s">
        <v>190</v>
      </c>
      <c r="E81" s="1">
        <v>2</v>
      </c>
      <c r="F81" s="1">
        <v>3</v>
      </c>
      <c r="G81" s="1">
        <f>(P81+Q81+R81+S81+T81)/60</f>
        <v>1.6666666666666666E-2</v>
      </c>
      <c r="H81" s="3">
        <v>1</v>
      </c>
      <c r="I81" s="3">
        <v>1</v>
      </c>
      <c r="J81" s="3">
        <v>1</v>
      </c>
      <c r="K81" s="3">
        <v>2</v>
      </c>
      <c r="L81" s="3" t="s">
        <v>48</v>
      </c>
      <c r="M81" s="3">
        <v>8</v>
      </c>
      <c r="N81" s="3" t="s">
        <v>49</v>
      </c>
      <c r="O81" s="1">
        <v>1</v>
      </c>
      <c r="P81" s="1">
        <v>0</v>
      </c>
      <c r="Q81" s="1">
        <v>0</v>
      </c>
      <c r="R81" s="1">
        <v>0</v>
      </c>
      <c r="S81" s="1">
        <v>1</v>
      </c>
      <c r="T81" s="1">
        <v>0</v>
      </c>
      <c r="U81" s="1">
        <v>0</v>
      </c>
      <c r="V81" s="1">
        <v>0</v>
      </c>
      <c r="W81" s="1">
        <v>0</v>
      </c>
      <c r="X81" s="1">
        <v>0</v>
      </c>
      <c r="Y81" s="1">
        <v>0</v>
      </c>
      <c r="Z81" s="1">
        <v>1</v>
      </c>
      <c r="AA81" s="1">
        <v>0</v>
      </c>
      <c r="AB81" s="3">
        <f t="shared" si="1"/>
        <v>0.23076923076923078</v>
      </c>
      <c r="AC81" s="4">
        <f>VLOOKUP(B81,'[1]INV 02-02-23'!$A$1:$L$8464,6,FALSE)</f>
        <v>36173.816700000003</v>
      </c>
    </row>
    <row r="82" spans="1:29" x14ac:dyDescent="0.25">
      <c r="A82" s="1" t="s">
        <v>357</v>
      </c>
      <c r="B82" s="1" t="s">
        <v>191</v>
      </c>
      <c r="C82" s="1">
        <v>9</v>
      </c>
      <c r="D82" s="3" t="s">
        <v>192</v>
      </c>
      <c r="E82" s="1">
        <v>2</v>
      </c>
      <c r="F82" s="1">
        <v>4</v>
      </c>
      <c r="G82" s="1">
        <f>(P82+Q82+R82+S82+T82)/60</f>
        <v>0.05</v>
      </c>
      <c r="H82" s="3">
        <v>1</v>
      </c>
      <c r="I82" s="3">
        <v>1</v>
      </c>
      <c r="J82" s="3">
        <v>1</v>
      </c>
      <c r="K82" s="3">
        <v>2</v>
      </c>
      <c r="L82" s="3" t="s">
        <v>48</v>
      </c>
      <c r="M82" s="3">
        <v>8</v>
      </c>
      <c r="N82" s="3" t="s">
        <v>49</v>
      </c>
      <c r="O82" s="1">
        <v>1</v>
      </c>
      <c r="P82" s="1">
        <v>0</v>
      </c>
      <c r="Q82" s="1">
        <v>1</v>
      </c>
      <c r="R82" s="1">
        <v>1</v>
      </c>
      <c r="S82" s="1">
        <v>1</v>
      </c>
      <c r="T82" s="1">
        <v>0</v>
      </c>
      <c r="U82" s="1">
        <v>0</v>
      </c>
      <c r="V82" s="1">
        <v>0</v>
      </c>
      <c r="W82" s="1">
        <v>0</v>
      </c>
      <c r="X82" s="1">
        <v>1</v>
      </c>
      <c r="Y82" s="1">
        <v>0</v>
      </c>
      <c r="Z82" s="1">
        <v>2</v>
      </c>
      <c r="AA82" s="1">
        <v>1</v>
      </c>
      <c r="AB82" s="3">
        <f t="shared" si="1"/>
        <v>0.61538461538461542</v>
      </c>
      <c r="AC82" s="4">
        <f>VLOOKUP(B82,'[1]INV 02-02-23'!$A$1:$L$8464,6,FALSE)</f>
        <v>2079</v>
      </c>
    </row>
    <row r="83" spans="1:29" x14ac:dyDescent="0.25">
      <c r="A83" s="1" t="s">
        <v>358</v>
      </c>
      <c r="B83" s="5" t="s">
        <v>193</v>
      </c>
      <c r="C83" s="1">
        <v>6</v>
      </c>
      <c r="D83" s="3" t="s">
        <v>194</v>
      </c>
      <c r="E83" s="5">
        <v>2</v>
      </c>
      <c r="F83" s="1">
        <v>1</v>
      </c>
      <c r="G83" s="1">
        <f>(P83+Q83+R83+S83+T83)/60</f>
        <v>0</v>
      </c>
      <c r="H83" s="3">
        <v>1</v>
      </c>
      <c r="I83" s="3">
        <v>1</v>
      </c>
      <c r="J83" s="3">
        <f>+G83*10+I83</f>
        <v>1</v>
      </c>
      <c r="K83" s="3">
        <v>2</v>
      </c>
      <c r="L83" s="3" t="s">
        <v>48</v>
      </c>
      <c r="M83" s="3">
        <v>8</v>
      </c>
      <c r="N83" s="3" t="s">
        <v>49</v>
      </c>
      <c r="O83" s="1">
        <v>1</v>
      </c>
      <c r="P83" s="1">
        <v>0</v>
      </c>
      <c r="Q83" s="1">
        <v>0</v>
      </c>
      <c r="R83" s="1">
        <v>0</v>
      </c>
      <c r="S83" s="1">
        <v>0</v>
      </c>
      <c r="T83" s="1">
        <v>0</v>
      </c>
      <c r="U83" s="1">
        <v>0</v>
      </c>
      <c r="V83" s="1">
        <v>0</v>
      </c>
      <c r="W83" s="1">
        <v>0</v>
      </c>
      <c r="X83" s="1">
        <v>0</v>
      </c>
      <c r="Y83" s="1">
        <v>1</v>
      </c>
      <c r="Z83" s="1">
        <v>0</v>
      </c>
      <c r="AA83" s="1">
        <v>0</v>
      </c>
      <c r="AB83" s="3">
        <f t="shared" si="1"/>
        <v>0.15384615384615385</v>
      </c>
      <c r="AC83" s="4">
        <f>VLOOKUP(B83,'[1]INV 02-02-23'!$A$1:$L$8464,6,FALSE)</f>
        <v>10469</v>
      </c>
    </row>
    <row r="84" spans="1:29" ht="25.5" x14ac:dyDescent="0.25">
      <c r="A84" s="1" t="s">
        <v>359</v>
      </c>
      <c r="B84" s="5" t="s">
        <v>195</v>
      </c>
      <c r="C84" s="1">
        <v>6</v>
      </c>
      <c r="D84" s="3" t="s">
        <v>196</v>
      </c>
      <c r="E84" s="5">
        <v>1</v>
      </c>
      <c r="F84" s="1">
        <v>1</v>
      </c>
      <c r="G84" s="1">
        <f>(P84+Q84+R84+S84+T84)/60</f>
        <v>0</v>
      </c>
      <c r="H84" s="3">
        <v>2</v>
      </c>
      <c r="I84" s="3">
        <v>1</v>
      </c>
      <c r="J84" s="3">
        <v>1</v>
      </c>
      <c r="K84" s="3">
        <v>2</v>
      </c>
      <c r="L84" s="3" t="s">
        <v>48</v>
      </c>
      <c r="M84" s="3">
        <v>8</v>
      </c>
      <c r="N84" s="3" t="s">
        <v>49</v>
      </c>
      <c r="O84" s="1">
        <v>1</v>
      </c>
      <c r="P84" s="1">
        <v>0</v>
      </c>
      <c r="Q84" s="1">
        <v>0</v>
      </c>
      <c r="R84" s="1">
        <v>0</v>
      </c>
      <c r="S84" s="1">
        <v>0</v>
      </c>
      <c r="T84" s="1">
        <v>0</v>
      </c>
      <c r="U84" s="1">
        <v>0</v>
      </c>
      <c r="V84" s="1">
        <v>0</v>
      </c>
      <c r="W84" s="1">
        <v>0</v>
      </c>
      <c r="X84" s="1">
        <v>0</v>
      </c>
      <c r="Y84" s="1">
        <v>0</v>
      </c>
      <c r="Z84" s="1">
        <v>0</v>
      </c>
      <c r="AA84" s="1">
        <v>0</v>
      </c>
      <c r="AB84" s="3">
        <f t="shared" si="1"/>
        <v>7.6923076923076927E-2</v>
      </c>
      <c r="AC84" s="4">
        <f>VLOOKUP(B84,'[1]INV 02-02-23'!$A$1:$L$8464,6,FALSE)</f>
        <v>7500</v>
      </c>
    </row>
    <row r="85" spans="1:29" x14ac:dyDescent="0.25">
      <c r="A85" s="1" t="s">
        <v>360</v>
      </c>
      <c r="B85" s="5" t="s">
        <v>197</v>
      </c>
      <c r="C85" s="1">
        <v>9</v>
      </c>
      <c r="D85" s="3" t="s">
        <v>198</v>
      </c>
      <c r="E85" s="5">
        <v>1</v>
      </c>
      <c r="F85" s="1">
        <v>1</v>
      </c>
      <c r="G85" s="1">
        <f>(P85+Q85+R85+S85+T85)/60</f>
        <v>0</v>
      </c>
      <c r="H85" s="3">
        <v>2</v>
      </c>
      <c r="I85" s="3">
        <v>1</v>
      </c>
      <c r="J85" s="3">
        <v>1</v>
      </c>
      <c r="K85" s="3">
        <v>2</v>
      </c>
      <c r="L85" s="3" t="s">
        <v>48</v>
      </c>
      <c r="M85" s="3">
        <v>8</v>
      </c>
      <c r="N85" s="3" t="s">
        <v>49</v>
      </c>
      <c r="O85" s="1">
        <v>1</v>
      </c>
      <c r="P85" s="1">
        <v>0</v>
      </c>
      <c r="Q85" s="1">
        <v>0</v>
      </c>
      <c r="R85" s="1">
        <v>0</v>
      </c>
      <c r="S85" s="1">
        <v>0</v>
      </c>
      <c r="T85" s="1">
        <v>0</v>
      </c>
      <c r="U85" s="1">
        <v>0</v>
      </c>
      <c r="V85" s="1">
        <v>0</v>
      </c>
      <c r="W85" s="1">
        <v>0</v>
      </c>
      <c r="X85" s="1">
        <v>0</v>
      </c>
      <c r="Y85" s="1">
        <v>0</v>
      </c>
      <c r="Z85" s="1">
        <v>0</v>
      </c>
      <c r="AA85" s="1">
        <v>0</v>
      </c>
      <c r="AB85" s="3">
        <f t="shared" si="1"/>
        <v>7.6923076923076927E-2</v>
      </c>
      <c r="AC85" s="4">
        <f>VLOOKUP(B85,'[1]INV 02-02-23'!$A$1:$L$8464,6,FALSE)</f>
        <v>2626</v>
      </c>
    </row>
    <row r="86" spans="1:29" x14ac:dyDescent="0.25">
      <c r="A86" s="1" t="s">
        <v>361</v>
      </c>
      <c r="B86" s="1" t="s">
        <v>199</v>
      </c>
      <c r="C86" s="1">
        <v>6</v>
      </c>
      <c r="D86" s="3" t="s">
        <v>200</v>
      </c>
      <c r="E86" s="5">
        <v>1</v>
      </c>
      <c r="F86" s="1">
        <v>1</v>
      </c>
      <c r="G86" s="1">
        <f>(P86+Q86+R86+S86+T86)/60</f>
        <v>1.6666666666666666E-2</v>
      </c>
      <c r="H86" s="3">
        <v>2</v>
      </c>
      <c r="I86" s="3">
        <v>1</v>
      </c>
      <c r="J86" s="3">
        <v>1</v>
      </c>
      <c r="K86" s="3">
        <v>2</v>
      </c>
      <c r="L86" s="3" t="s">
        <v>48</v>
      </c>
      <c r="M86" s="3">
        <v>8</v>
      </c>
      <c r="N86" s="3" t="s">
        <v>49</v>
      </c>
      <c r="O86" s="1">
        <v>1</v>
      </c>
      <c r="P86" s="1">
        <v>0</v>
      </c>
      <c r="Q86" s="1">
        <v>0</v>
      </c>
      <c r="R86" s="1">
        <v>0</v>
      </c>
      <c r="S86" s="1">
        <v>1</v>
      </c>
      <c r="T86" s="1">
        <v>0</v>
      </c>
      <c r="U86" s="1">
        <v>0</v>
      </c>
      <c r="V86" s="1">
        <v>0</v>
      </c>
      <c r="W86" s="1">
        <v>0</v>
      </c>
      <c r="X86" s="1">
        <v>0</v>
      </c>
      <c r="Y86" s="1">
        <v>0</v>
      </c>
      <c r="Z86" s="1">
        <v>0</v>
      </c>
      <c r="AA86" s="1">
        <v>0</v>
      </c>
      <c r="AB86" s="3">
        <f t="shared" si="1"/>
        <v>0.15384615384615385</v>
      </c>
      <c r="AC86" s="4">
        <f>VLOOKUP(B86,'[1]INV 02-02-23'!$A$1:$L$8464,6,FALSE)</f>
        <v>845</v>
      </c>
    </row>
    <row r="87" spans="1:29" x14ac:dyDescent="0.25">
      <c r="A87" s="1" t="s">
        <v>362</v>
      </c>
      <c r="B87" s="1" t="s">
        <v>201</v>
      </c>
      <c r="C87" s="1">
        <v>6</v>
      </c>
      <c r="D87" s="3" t="s">
        <v>202</v>
      </c>
      <c r="E87" s="5">
        <v>1</v>
      </c>
      <c r="F87" s="1">
        <v>1</v>
      </c>
      <c r="G87" s="1">
        <f>(P87+Q87+R87+S87+T87)/60</f>
        <v>0</v>
      </c>
      <c r="H87" s="3">
        <v>2</v>
      </c>
      <c r="I87" s="3">
        <v>1</v>
      </c>
      <c r="J87" s="3">
        <v>1</v>
      </c>
      <c r="K87" s="3">
        <v>2</v>
      </c>
      <c r="L87" s="3" t="s">
        <v>48</v>
      </c>
      <c r="M87" s="3">
        <v>8</v>
      </c>
      <c r="N87" s="3" t="s">
        <v>49</v>
      </c>
      <c r="O87" s="1">
        <v>1</v>
      </c>
      <c r="P87" s="1">
        <v>0</v>
      </c>
      <c r="Q87" s="1">
        <v>0</v>
      </c>
      <c r="R87" s="1">
        <v>0</v>
      </c>
      <c r="S87" s="1">
        <v>0</v>
      </c>
      <c r="T87" s="1">
        <v>0</v>
      </c>
      <c r="U87" s="1">
        <v>1</v>
      </c>
      <c r="V87" s="1">
        <v>1</v>
      </c>
      <c r="W87" s="1">
        <v>0</v>
      </c>
      <c r="X87" s="1">
        <v>0</v>
      </c>
      <c r="Y87" s="1">
        <v>1</v>
      </c>
      <c r="Z87" s="1">
        <v>0</v>
      </c>
      <c r="AA87" s="1">
        <v>0</v>
      </c>
      <c r="AB87" s="3">
        <f t="shared" si="1"/>
        <v>0.30769230769230771</v>
      </c>
      <c r="AC87" s="4">
        <f>VLOOKUP(B87,'[1]INV 02-02-23'!$A$1:$L$8464,6,FALSE)</f>
        <v>125</v>
      </c>
    </row>
    <row r="88" spans="1:29" x14ac:dyDescent="0.25">
      <c r="A88" s="1" t="s">
        <v>363</v>
      </c>
      <c r="B88" s="1" t="s">
        <v>203</v>
      </c>
      <c r="C88" s="1">
        <v>6</v>
      </c>
      <c r="D88" s="3" t="s">
        <v>204</v>
      </c>
      <c r="E88" s="5">
        <v>3</v>
      </c>
      <c r="F88" s="1">
        <v>1</v>
      </c>
      <c r="G88" s="1">
        <f>(P88+Q88+R88+S88+T88)/60</f>
        <v>1.6666666666666666E-2</v>
      </c>
      <c r="H88" s="3">
        <v>3</v>
      </c>
      <c r="I88" s="3">
        <v>1</v>
      </c>
      <c r="J88" s="3">
        <v>2</v>
      </c>
      <c r="K88" s="3">
        <v>3</v>
      </c>
      <c r="L88" s="3" t="s">
        <v>48</v>
      </c>
      <c r="M88" s="3">
        <v>8</v>
      </c>
      <c r="N88" s="3" t="s">
        <v>49</v>
      </c>
      <c r="O88" s="1">
        <v>1</v>
      </c>
      <c r="P88" s="1">
        <v>0</v>
      </c>
      <c r="Q88" s="1">
        <v>0</v>
      </c>
      <c r="R88" s="1">
        <v>0</v>
      </c>
      <c r="S88" s="1">
        <v>1</v>
      </c>
      <c r="T88" s="1">
        <v>0</v>
      </c>
      <c r="U88" s="1">
        <v>1</v>
      </c>
      <c r="V88" s="1">
        <v>1</v>
      </c>
      <c r="W88" s="1">
        <v>1</v>
      </c>
      <c r="X88" s="1">
        <v>1</v>
      </c>
      <c r="Y88" s="1">
        <v>0</v>
      </c>
      <c r="Z88" s="1">
        <v>0</v>
      </c>
      <c r="AA88" s="1">
        <v>0</v>
      </c>
      <c r="AB88" s="3">
        <f t="shared" si="1"/>
        <v>0.46153846153846156</v>
      </c>
      <c r="AC88" s="4">
        <f>VLOOKUP(B88,'[1]INV 02-02-23'!$A$1:$L$8464,6,FALSE)</f>
        <v>1430</v>
      </c>
    </row>
    <row r="89" spans="1:29" x14ac:dyDescent="0.25">
      <c r="A89" s="1" t="s">
        <v>364</v>
      </c>
      <c r="B89" s="1" t="s">
        <v>205</v>
      </c>
      <c r="C89" s="1">
        <v>6</v>
      </c>
      <c r="D89" s="3" t="s">
        <v>206</v>
      </c>
      <c r="E89" s="5">
        <v>3</v>
      </c>
      <c r="F89" s="1">
        <v>1</v>
      </c>
      <c r="G89" s="1">
        <f>(P89+Q89+R89+S89+T89)/60</f>
        <v>1.6666666666666666E-2</v>
      </c>
      <c r="H89" s="3">
        <v>5</v>
      </c>
      <c r="I89" s="3">
        <v>1</v>
      </c>
      <c r="J89" s="3">
        <v>2</v>
      </c>
      <c r="K89" s="3">
        <v>3</v>
      </c>
      <c r="L89" s="3" t="s">
        <v>48</v>
      </c>
      <c r="M89" s="3">
        <v>8</v>
      </c>
      <c r="N89" s="3" t="s">
        <v>49</v>
      </c>
      <c r="O89" s="1">
        <v>1</v>
      </c>
      <c r="P89" s="1">
        <v>1</v>
      </c>
      <c r="Q89" s="1">
        <v>0</v>
      </c>
      <c r="R89" s="1">
        <v>0</v>
      </c>
      <c r="S89" s="1">
        <v>0</v>
      </c>
      <c r="T89" s="1">
        <v>0</v>
      </c>
      <c r="U89" s="1">
        <v>0</v>
      </c>
      <c r="V89" s="1">
        <v>0</v>
      </c>
      <c r="W89" s="1">
        <v>0</v>
      </c>
      <c r="X89" s="1">
        <v>0</v>
      </c>
      <c r="Y89" s="1">
        <v>0</v>
      </c>
      <c r="Z89" s="1">
        <v>0</v>
      </c>
      <c r="AA89" s="1">
        <v>0</v>
      </c>
      <c r="AB89" s="3">
        <f t="shared" si="1"/>
        <v>0.15384615384615385</v>
      </c>
      <c r="AC89" s="4">
        <f>VLOOKUP(B89,'[1]INV 02-02-23'!$A$1:$L$8464,6,FALSE)</f>
        <v>332.5</v>
      </c>
    </row>
    <row r="90" spans="1:29" x14ac:dyDescent="0.25">
      <c r="A90" s="1" t="s">
        <v>365</v>
      </c>
      <c r="B90" s="1" t="s">
        <v>207</v>
      </c>
      <c r="C90" s="1">
        <v>6</v>
      </c>
      <c r="D90" s="3" t="s">
        <v>208</v>
      </c>
      <c r="E90" s="5">
        <v>2</v>
      </c>
      <c r="F90" s="1">
        <v>1</v>
      </c>
      <c r="G90" s="1">
        <f>(P90+Q90+R90+S90+T90)/60</f>
        <v>0.05</v>
      </c>
      <c r="H90" s="3">
        <v>2</v>
      </c>
      <c r="I90" s="3">
        <v>1</v>
      </c>
      <c r="J90" s="3">
        <v>1</v>
      </c>
      <c r="K90" s="3">
        <v>2</v>
      </c>
      <c r="L90" s="3" t="s">
        <v>48</v>
      </c>
      <c r="M90" s="3">
        <v>8</v>
      </c>
      <c r="N90" s="3" t="s">
        <v>49</v>
      </c>
      <c r="O90" s="1">
        <v>1</v>
      </c>
      <c r="P90" s="1">
        <v>0</v>
      </c>
      <c r="Q90" s="1">
        <v>1</v>
      </c>
      <c r="R90" s="1">
        <v>1</v>
      </c>
      <c r="S90" s="1">
        <v>1</v>
      </c>
      <c r="T90" s="1">
        <v>0</v>
      </c>
      <c r="U90" s="1">
        <v>1</v>
      </c>
      <c r="V90" s="1">
        <v>0</v>
      </c>
      <c r="W90" s="1">
        <v>1</v>
      </c>
      <c r="X90" s="1">
        <v>0</v>
      </c>
      <c r="Y90" s="1">
        <v>0</v>
      </c>
      <c r="Z90" s="1">
        <v>0</v>
      </c>
      <c r="AA90" s="1">
        <v>0</v>
      </c>
      <c r="AB90" s="3">
        <f t="shared" si="1"/>
        <v>0.46153846153846156</v>
      </c>
      <c r="AC90" s="4">
        <f>VLOOKUP(B90,'[1]INV 02-02-23'!$A$1:$L$8464,6,FALSE)</f>
        <v>2369.5</v>
      </c>
    </row>
    <row r="91" spans="1:29" x14ac:dyDescent="0.25">
      <c r="A91" s="1" t="s">
        <v>366</v>
      </c>
      <c r="B91" s="1" t="s">
        <v>209</v>
      </c>
      <c r="C91" s="1">
        <v>6</v>
      </c>
      <c r="D91" s="3" t="s">
        <v>210</v>
      </c>
      <c r="E91" s="5">
        <v>2</v>
      </c>
      <c r="F91" s="1">
        <v>2</v>
      </c>
      <c r="G91" s="1">
        <f>(P91+Q91+R91+S91+T91)/60</f>
        <v>1.6666666666666666E-2</v>
      </c>
      <c r="H91" s="3">
        <v>4</v>
      </c>
      <c r="I91" s="3">
        <v>1</v>
      </c>
      <c r="J91" s="3">
        <v>1</v>
      </c>
      <c r="K91" s="3">
        <v>2</v>
      </c>
      <c r="L91" s="3" t="s">
        <v>48</v>
      </c>
      <c r="M91" s="3">
        <v>8</v>
      </c>
      <c r="N91" s="3" t="s">
        <v>49</v>
      </c>
      <c r="O91" s="1">
        <v>1</v>
      </c>
      <c r="P91" s="1">
        <v>0</v>
      </c>
      <c r="Q91" s="1">
        <v>0</v>
      </c>
      <c r="R91" s="1">
        <v>1</v>
      </c>
      <c r="S91" s="1">
        <v>0</v>
      </c>
      <c r="T91" s="1">
        <v>0</v>
      </c>
      <c r="U91" s="1">
        <v>0</v>
      </c>
      <c r="V91" s="1">
        <v>1</v>
      </c>
      <c r="W91" s="1">
        <v>0</v>
      </c>
      <c r="X91" s="1">
        <v>0</v>
      </c>
      <c r="Y91" s="1">
        <v>1</v>
      </c>
      <c r="Z91" s="1">
        <v>1</v>
      </c>
      <c r="AA91" s="1">
        <v>0</v>
      </c>
      <c r="AB91" s="3">
        <f t="shared" si="1"/>
        <v>0.38461538461538464</v>
      </c>
      <c r="AC91" s="4">
        <f>VLOOKUP(B91,'[1]INV 02-02-23'!$A$1:$L$8464,6,FALSE)</f>
        <v>527.5</v>
      </c>
    </row>
    <row r="92" spans="1:29" x14ac:dyDescent="0.25">
      <c r="A92" s="1" t="s">
        <v>367</v>
      </c>
      <c r="B92" s="1" t="s">
        <v>211</v>
      </c>
      <c r="C92" s="1">
        <v>6</v>
      </c>
      <c r="D92" s="3" t="s">
        <v>212</v>
      </c>
      <c r="E92" s="5">
        <v>6</v>
      </c>
      <c r="F92" s="1">
        <v>2</v>
      </c>
      <c r="G92" s="1">
        <f>(P92+Q92+R92+S92+T92)/60</f>
        <v>3.3333333333333333E-2</v>
      </c>
      <c r="H92" s="3">
        <v>4</v>
      </c>
      <c r="I92" s="3">
        <v>1</v>
      </c>
      <c r="J92" s="3">
        <v>2</v>
      </c>
      <c r="K92" s="3">
        <v>4</v>
      </c>
      <c r="L92" s="3" t="s">
        <v>48</v>
      </c>
      <c r="M92" s="3">
        <v>8</v>
      </c>
      <c r="N92" s="3" t="s">
        <v>49</v>
      </c>
      <c r="O92" s="1">
        <v>2</v>
      </c>
      <c r="P92" s="1">
        <v>0</v>
      </c>
      <c r="Q92" s="1">
        <v>0</v>
      </c>
      <c r="R92" s="1">
        <v>1</v>
      </c>
      <c r="S92" s="1">
        <v>0</v>
      </c>
      <c r="T92" s="1">
        <v>1</v>
      </c>
      <c r="U92" s="1">
        <v>1</v>
      </c>
      <c r="V92" s="1">
        <v>0</v>
      </c>
      <c r="W92" s="1">
        <v>0</v>
      </c>
      <c r="X92" s="1">
        <v>0</v>
      </c>
      <c r="Y92" s="1">
        <v>0</v>
      </c>
      <c r="Z92" s="1">
        <v>0</v>
      </c>
      <c r="AA92" s="1">
        <v>0</v>
      </c>
      <c r="AB92" s="3">
        <f t="shared" si="1"/>
        <v>0.38461538461538464</v>
      </c>
      <c r="AC92" s="4">
        <f>VLOOKUP(B92,'[1]INV 02-02-23'!$A$1:$L$8464,6,FALSE)</f>
        <v>2963.3332999999998</v>
      </c>
    </row>
    <row r="93" spans="1:29" x14ac:dyDescent="0.25">
      <c r="A93" s="1" t="s">
        <v>368</v>
      </c>
      <c r="B93" s="1" t="s">
        <v>213</v>
      </c>
      <c r="C93" s="1">
        <v>6</v>
      </c>
      <c r="D93" s="3" t="s">
        <v>214</v>
      </c>
      <c r="E93" s="5">
        <v>6</v>
      </c>
      <c r="F93" s="1">
        <v>1</v>
      </c>
      <c r="G93" s="1">
        <f>(P93+Q93+R93+S93+T93)/60</f>
        <v>3.3333333333333333E-2</v>
      </c>
      <c r="H93" s="3">
        <v>8</v>
      </c>
      <c r="I93" s="3">
        <v>1</v>
      </c>
      <c r="J93" s="3">
        <v>2</v>
      </c>
      <c r="K93" s="3">
        <v>4</v>
      </c>
      <c r="L93" s="3" t="s">
        <v>48</v>
      </c>
      <c r="M93" s="3">
        <v>8</v>
      </c>
      <c r="N93" s="3" t="s">
        <v>49</v>
      </c>
      <c r="O93" s="1">
        <v>2</v>
      </c>
      <c r="P93" s="1">
        <v>0</v>
      </c>
      <c r="Q93" s="1">
        <v>1</v>
      </c>
      <c r="R93" s="1">
        <v>0</v>
      </c>
      <c r="S93" s="1">
        <v>1</v>
      </c>
      <c r="T93" s="1">
        <v>0</v>
      </c>
      <c r="U93" s="1">
        <v>1</v>
      </c>
      <c r="V93" s="1">
        <v>0</v>
      </c>
      <c r="W93" s="1">
        <v>0</v>
      </c>
      <c r="X93" s="1">
        <v>0</v>
      </c>
      <c r="Y93" s="1">
        <v>0</v>
      </c>
      <c r="Z93" s="1">
        <v>0</v>
      </c>
      <c r="AA93" s="1">
        <v>0</v>
      </c>
      <c r="AB93" s="3">
        <f t="shared" si="1"/>
        <v>0.38461538461538464</v>
      </c>
      <c r="AC93" s="4">
        <f>VLOOKUP(B93,'[1]INV 02-02-23'!$A$1:$L$8464,6,FALSE)</f>
        <v>766.33330000000001</v>
      </c>
    </row>
    <row r="94" spans="1:29" x14ac:dyDescent="0.25">
      <c r="A94" s="1" t="s">
        <v>369</v>
      </c>
      <c r="B94" s="1" t="s">
        <v>215</v>
      </c>
      <c r="C94" s="1">
        <v>6</v>
      </c>
      <c r="D94" s="3" t="s">
        <v>216</v>
      </c>
      <c r="E94" s="5">
        <v>1</v>
      </c>
      <c r="F94" s="1">
        <v>1</v>
      </c>
      <c r="G94" s="1">
        <f>(P94+Q94+R94+S94+T94)/60</f>
        <v>0</v>
      </c>
      <c r="H94" s="3">
        <v>1</v>
      </c>
      <c r="I94" s="3">
        <v>1</v>
      </c>
      <c r="J94" s="3">
        <f>+G94*10+I94</f>
        <v>1</v>
      </c>
      <c r="K94" s="3">
        <v>2</v>
      </c>
      <c r="L94" s="3" t="s">
        <v>48</v>
      </c>
      <c r="M94" s="3">
        <v>8</v>
      </c>
      <c r="N94" s="3" t="s">
        <v>49</v>
      </c>
      <c r="O94" s="1">
        <v>1</v>
      </c>
      <c r="P94" s="1">
        <v>0</v>
      </c>
      <c r="Q94" s="1">
        <v>0</v>
      </c>
      <c r="R94" s="1">
        <v>0</v>
      </c>
      <c r="S94" s="1">
        <v>0</v>
      </c>
      <c r="T94" s="1">
        <v>0</v>
      </c>
      <c r="U94" s="1">
        <v>1</v>
      </c>
      <c r="V94" s="1">
        <v>1</v>
      </c>
      <c r="W94" s="1">
        <v>0</v>
      </c>
      <c r="X94" s="1">
        <v>0</v>
      </c>
      <c r="Y94" s="1">
        <v>0</v>
      </c>
      <c r="Z94" s="1">
        <v>0</v>
      </c>
      <c r="AA94" s="1">
        <v>0</v>
      </c>
      <c r="AB94" s="3">
        <f t="shared" si="1"/>
        <v>0.23076923076923078</v>
      </c>
      <c r="AC94" s="4">
        <f>VLOOKUP(B94,'[1]INV 02-02-23'!$A$1:$L$8464,6,FALSE)</f>
        <v>3172</v>
      </c>
    </row>
    <row r="95" spans="1:29" x14ac:dyDescent="0.25">
      <c r="A95" s="1" t="s">
        <v>370</v>
      </c>
      <c r="B95" s="1" t="s">
        <v>217</v>
      </c>
      <c r="C95" s="1">
        <v>6</v>
      </c>
      <c r="D95" s="3" t="s">
        <v>218</v>
      </c>
      <c r="E95" s="5">
        <v>1</v>
      </c>
      <c r="F95" s="1">
        <v>2</v>
      </c>
      <c r="G95" s="1">
        <f>(P95+Q95+R95+S95+T95)/60</f>
        <v>3.3333333333333333E-2</v>
      </c>
      <c r="H95" s="3">
        <v>2</v>
      </c>
      <c r="I95" s="3">
        <v>1</v>
      </c>
      <c r="J95" s="3">
        <v>1</v>
      </c>
      <c r="K95" s="3">
        <v>2</v>
      </c>
      <c r="L95" s="3" t="s">
        <v>48</v>
      </c>
      <c r="M95" s="3">
        <v>8</v>
      </c>
      <c r="N95" s="3" t="s">
        <v>49</v>
      </c>
      <c r="O95" s="1">
        <v>1</v>
      </c>
      <c r="P95" s="1">
        <v>0</v>
      </c>
      <c r="Q95" s="1">
        <v>0</v>
      </c>
      <c r="R95" s="1">
        <v>1</v>
      </c>
      <c r="S95" s="1">
        <v>0</v>
      </c>
      <c r="T95" s="1">
        <v>1</v>
      </c>
      <c r="U95" s="1">
        <v>0</v>
      </c>
      <c r="V95" s="1">
        <v>0</v>
      </c>
      <c r="W95" s="1">
        <v>0</v>
      </c>
      <c r="X95" s="1">
        <v>0</v>
      </c>
      <c r="Y95" s="1">
        <v>0</v>
      </c>
      <c r="Z95" s="1">
        <v>0</v>
      </c>
      <c r="AA95" s="1">
        <v>0</v>
      </c>
      <c r="AB95" s="3">
        <f t="shared" si="1"/>
        <v>0.23076923076923078</v>
      </c>
      <c r="AC95" s="4">
        <f>VLOOKUP(B95,'[1]INV 02-02-23'!$A$1:$L$8464,6,FALSE)</f>
        <v>1224.249</v>
      </c>
    </row>
    <row r="96" spans="1:29" x14ac:dyDescent="0.25">
      <c r="A96" s="1" t="s">
        <v>371</v>
      </c>
      <c r="B96" s="1" t="s">
        <v>265</v>
      </c>
      <c r="C96" s="1">
        <v>6</v>
      </c>
      <c r="D96" s="3" t="s">
        <v>266</v>
      </c>
      <c r="E96" s="5">
        <v>2</v>
      </c>
      <c r="F96" s="1">
        <v>1</v>
      </c>
      <c r="G96" s="1">
        <f>(P96+Q96+R96+S96+T96)/60</f>
        <v>3.3333333333333333E-2</v>
      </c>
      <c r="H96" s="3">
        <v>2</v>
      </c>
      <c r="I96" s="3">
        <v>1</v>
      </c>
      <c r="J96" s="3">
        <f>+G96*10+I96</f>
        <v>1.3333333333333333</v>
      </c>
      <c r="K96" s="3">
        <v>2</v>
      </c>
      <c r="L96" s="3" t="s">
        <v>29</v>
      </c>
      <c r="M96" s="3">
        <v>8</v>
      </c>
      <c r="N96" s="3" t="s">
        <v>30</v>
      </c>
      <c r="O96" s="1">
        <v>1</v>
      </c>
      <c r="P96" s="1">
        <v>0</v>
      </c>
      <c r="Q96" s="1">
        <v>1</v>
      </c>
      <c r="R96" s="1">
        <v>1</v>
      </c>
      <c r="S96" s="1">
        <v>0</v>
      </c>
      <c r="T96" s="1">
        <v>0</v>
      </c>
      <c r="U96" s="1">
        <v>1</v>
      </c>
      <c r="V96" s="1">
        <v>0</v>
      </c>
      <c r="W96" s="1">
        <v>0</v>
      </c>
      <c r="X96" s="1">
        <v>0</v>
      </c>
      <c r="Y96" s="1">
        <v>0</v>
      </c>
      <c r="Z96" s="1">
        <v>0</v>
      </c>
      <c r="AA96" s="1">
        <v>0</v>
      </c>
      <c r="AB96" s="3">
        <f t="shared" si="1"/>
        <v>0.30769230769230771</v>
      </c>
      <c r="AC96" s="4">
        <v>800</v>
      </c>
    </row>
    <row r="97" spans="1:29" x14ac:dyDescent="0.25">
      <c r="A97" s="1" t="s">
        <v>372</v>
      </c>
      <c r="B97" s="1" t="s">
        <v>267</v>
      </c>
      <c r="C97" s="1">
        <v>6</v>
      </c>
      <c r="D97" s="3" t="s">
        <v>268</v>
      </c>
      <c r="E97" s="5">
        <v>2</v>
      </c>
      <c r="F97" s="1">
        <v>1</v>
      </c>
      <c r="G97" s="1">
        <f>(P97+Q97+R97+S97+T97)/60</f>
        <v>1.6666666666666666E-2</v>
      </c>
      <c r="H97" s="3">
        <v>2</v>
      </c>
      <c r="I97" s="1">
        <v>1</v>
      </c>
      <c r="J97" s="3">
        <v>1</v>
      </c>
      <c r="K97" s="3">
        <v>2</v>
      </c>
      <c r="L97" s="3" t="s">
        <v>29</v>
      </c>
      <c r="M97" s="3">
        <v>8</v>
      </c>
      <c r="N97" s="3" t="s">
        <v>30</v>
      </c>
      <c r="O97" s="1">
        <v>1</v>
      </c>
      <c r="P97" s="1">
        <v>0</v>
      </c>
      <c r="Q97" s="1">
        <v>0</v>
      </c>
      <c r="R97" s="1">
        <v>0</v>
      </c>
      <c r="S97" s="1">
        <v>0</v>
      </c>
      <c r="T97" s="1">
        <v>1</v>
      </c>
      <c r="U97" s="1">
        <v>0</v>
      </c>
      <c r="V97" s="1">
        <v>1</v>
      </c>
      <c r="W97" s="1">
        <v>0</v>
      </c>
      <c r="X97" s="1">
        <v>0</v>
      </c>
      <c r="Y97" s="1">
        <v>0</v>
      </c>
      <c r="Z97" s="1">
        <v>0</v>
      </c>
      <c r="AA97" s="1">
        <v>0</v>
      </c>
      <c r="AB97" s="3">
        <f t="shared" si="1"/>
        <v>0.23076923076923078</v>
      </c>
      <c r="AC97" s="1"/>
    </row>
    <row r="98" spans="1:29" x14ac:dyDescent="0.25">
      <c r="A98" s="1" t="s">
        <v>373</v>
      </c>
      <c r="B98" s="1" t="s">
        <v>219</v>
      </c>
      <c r="C98" s="1">
        <v>6</v>
      </c>
      <c r="D98" s="5" t="s">
        <v>220</v>
      </c>
      <c r="E98" s="5">
        <v>2</v>
      </c>
      <c r="F98" s="1">
        <v>1</v>
      </c>
      <c r="G98" s="1">
        <f>(P98+Q98+R98+S98+T98)/60</f>
        <v>0.05</v>
      </c>
      <c r="H98" s="3">
        <v>4</v>
      </c>
      <c r="I98" s="5">
        <v>1</v>
      </c>
      <c r="J98" s="3">
        <v>1</v>
      </c>
      <c r="K98" s="3">
        <v>2</v>
      </c>
      <c r="L98" s="3" t="s">
        <v>48</v>
      </c>
      <c r="M98" s="3">
        <v>8</v>
      </c>
      <c r="N98" s="3" t="s">
        <v>49</v>
      </c>
      <c r="O98" s="1">
        <v>1</v>
      </c>
      <c r="P98" s="1">
        <v>0</v>
      </c>
      <c r="Q98" s="1">
        <v>0</v>
      </c>
      <c r="R98" s="1">
        <v>2</v>
      </c>
      <c r="S98" s="1">
        <v>0</v>
      </c>
      <c r="T98" s="1">
        <v>1</v>
      </c>
      <c r="U98" s="1">
        <v>0</v>
      </c>
      <c r="V98" s="1">
        <v>0</v>
      </c>
      <c r="W98" s="1">
        <v>0</v>
      </c>
      <c r="X98" s="1">
        <v>1</v>
      </c>
      <c r="Y98" s="1">
        <v>0</v>
      </c>
      <c r="Z98" s="1">
        <v>0</v>
      </c>
      <c r="AA98" s="1">
        <v>0</v>
      </c>
      <c r="AB98" s="3">
        <f t="shared" si="1"/>
        <v>0.38461538461538464</v>
      </c>
      <c r="AC98" s="4">
        <f>VLOOKUP(B98,'[1]INV 02-02-23'!$A$1:$L$8464,6,FALSE)</f>
        <v>300.45</v>
      </c>
    </row>
    <row r="99" spans="1:29" x14ac:dyDescent="0.25">
      <c r="A99" s="1" t="s">
        <v>374</v>
      </c>
      <c r="B99" s="1" t="s">
        <v>221</v>
      </c>
      <c r="C99" s="1">
        <v>6</v>
      </c>
      <c r="D99" s="5" t="s">
        <v>222</v>
      </c>
      <c r="E99" s="5">
        <v>2</v>
      </c>
      <c r="F99" s="1">
        <v>1</v>
      </c>
      <c r="G99" s="1">
        <f>(P99+Q99+R99+S99+T99)/60</f>
        <v>3.3333333333333333E-2</v>
      </c>
      <c r="H99" s="3">
        <v>4</v>
      </c>
      <c r="I99" s="5">
        <v>1</v>
      </c>
      <c r="J99" s="3">
        <v>1</v>
      </c>
      <c r="K99" s="3">
        <v>2</v>
      </c>
      <c r="L99" s="3" t="s">
        <v>48</v>
      </c>
      <c r="M99" s="3">
        <v>12</v>
      </c>
      <c r="N99" s="3" t="s">
        <v>49</v>
      </c>
      <c r="O99" s="1">
        <v>1</v>
      </c>
      <c r="P99" s="1">
        <v>0</v>
      </c>
      <c r="Q99" s="1">
        <v>0</v>
      </c>
      <c r="R99" s="1">
        <v>2</v>
      </c>
      <c r="S99" s="1">
        <v>0</v>
      </c>
      <c r="T99" s="1">
        <v>0</v>
      </c>
      <c r="U99" s="1">
        <v>0</v>
      </c>
      <c r="V99" s="1">
        <v>0</v>
      </c>
      <c r="W99" s="1">
        <v>0</v>
      </c>
      <c r="X99" s="1">
        <v>1</v>
      </c>
      <c r="Y99" s="1">
        <v>0</v>
      </c>
      <c r="Z99" s="1">
        <v>0</v>
      </c>
      <c r="AA99" s="1">
        <v>0</v>
      </c>
      <c r="AB99" s="3">
        <f t="shared" si="1"/>
        <v>0.30769230769230771</v>
      </c>
      <c r="AC99" s="4">
        <f>VLOOKUP(B99,'[1]INV 02-02-23'!$A$1:$L$8464,6,FALSE)</f>
        <v>1998</v>
      </c>
    </row>
    <row r="100" spans="1:29" x14ac:dyDescent="0.25">
      <c r="A100" s="1" t="s">
        <v>375</v>
      </c>
      <c r="B100" s="1" t="s">
        <v>223</v>
      </c>
      <c r="C100" s="1">
        <v>6</v>
      </c>
      <c r="D100" s="5" t="s">
        <v>224</v>
      </c>
      <c r="E100" s="5">
        <v>3</v>
      </c>
      <c r="F100" s="1">
        <v>2</v>
      </c>
      <c r="G100" s="1">
        <f>(P100+Q100+R100+S100+T100)/60</f>
        <v>1.6666666666666666E-2</v>
      </c>
      <c r="H100" s="3">
        <v>4</v>
      </c>
      <c r="I100" s="5">
        <v>1</v>
      </c>
      <c r="J100" s="3">
        <v>2</v>
      </c>
      <c r="K100" s="3">
        <v>3</v>
      </c>
      <c r="L100" s="3" t="s">
        <v>48</v>
      </c>
      <c r="M100" s="3">
        <v>12</v>
      </c>
      <c r="N100" s="3" t="s">
        <v>49</v>
      </c>
      <c r="O100" s="1">
        <v>2</v>
      </c>
      <c r="P100" s="1">
        <v>0</v>
      </c>
      <c r="Q100" s="1">
        <v>0</v>
      </c>
      <c r="R100" s="1">
        <v>0</v>
      </c>
      <c r="S100" s="1">
        <v>1</v>
      </c>
      <c r="T100" s="1">
        <v>0</v>
      </c>
      <c r="U100" s="1">
        <v>0</v>
      </c>
      <c r="V100" s="1">
        <v>1</v>
      </c>
      <c r="W100" s="1">
        <v>0</v>
      </c>
      <c r="X100" s="1">
        <v>0</v>
      </c>
      <c r="Y100" s="1">
        <v>0</v>
      </c>
      <c r="Z100" s="1">
        <v>0</v>
      </c>
      <c r="AA100" s="1">
        <v>0</v>
      </c>
      <c r="AB100" s="3">
        <f t="shared" si="1"/>
        <v>0.30769230769230771</v>
      </c>
      <c r="AC100" s="4">
        <f>VLOOKUP(B100,'[1]INV 02-02-23'!$A$1:$L$8464,6,FALSE)</f>
        <v>207.71</v>
      </c>
    </row>
    <row r="101" spans="1:29" x14ac:dyDescent="0.25">
      <c r="A101" s="1" t="s">
        <v>376</v>
      </c>
      <c r="B101" s="1" t="s">
        <v>225</v>
      </c>
      <c r="C101" s="1">
        <v>6</v>
      </c>
      <c r="D101" s="5" t="s">
        <v>226</v>
      </c>
      <c r="E101" s="5">
        <v>3</v>
      </c>
      <c r="F101" s="1">
        <v>2</v>
      </c>
      <c r="G101" s="1">
        <f>(P101+Q101+R101+S101+T101)/60</f>
        <v>3.3333333333333333E-2</v>
      </c>
      <c r="H101" s="3">
        <v>4</v>
      </c>
      <c r="I101" s="5">
        <v>1</v>
      </c>
      <c r="J101" s="3">
        <v>2</v>
      </c>
      <c r="K101" s="3">
        <v>3</v>
      </c>
      <c r="L101" s="3" t="s">
        <v>48</v>
      </c>
      <c r="M101" s="3">
        <v>12</v>
      </c>
      <c r="N101" s="3" t="s">
        <v>49</v>
      </c>
      <c r="O101" s="1">
        <v>3</v>
      </c>
      <c r="P101" s="1">
        <v>0</v>
      </c>
      <c r="Q101" s="1">
        <v>0</v>
      </c>
      <c r="R101" s="1">
        <v>0</v>
      </c>
      <c r="S101" s="1">
        <v>1</v>
      </c>
      <c r="T101" s="1">
        <v>1</v>
      </c>
      <c r="U101" s="1">
        <v>0</v>
      </c>
      <c r="V101" s="1">
        <v>0</v>
      </c>
      <c r="W101" s="1">
        <v>0</v>
      </c>
      <c r="X101" s="1">
        <v>0</v>
      </c>
      <c r="Y101" s="1">
        <v>0</v>
      </c>
      <c r="Z101" s="1">
        <v>0</v>
      </c>
      <c r="AA101" s="1">
        <v>0</v>
      </c>
      <c r="AB101" s="3">
        <f t="shared" si="1"/>
        <v>0.38461538461538464</v>
      </c>
      <c r="AC101" s="4">
        <f>VLOOKUP(B101,'[1]INV 02-02-23'!$A$1:$L$8464,6,FALSE)</f>
        <v>1096</v>
      </c>
    </row>
    <row r="102" spans="1:29" x14ac:dyDescent="0.25">
      <c r="A102" s="1" t="s">
        <v>377</v>
      </c>
      <c r="B102" s="5" t="s">
        <v>227</v>
      </c>
      <c r="C102" s="1">
        <v>6</v>
      </c>
      <c r="D102" s="5" t="s">
        <v>228</v>
      </c>
      <c r="E102" s="5">
        <v>1</v>
      </c>
      <c r="F102" s="1">
        <v>1</v>
      </c>
      <c r="G102" s="1">
        <f>(P102+Q102+R102+S102+T102)/60</f>
        <v>3.3333333333333333E-2</v>
      </c>
      <c r="H102" s="3">
        <v>2</v>
      </c>
      <c r="I102" s="5">
        <v>1</v>
      </c>
      <c r="J102" s="3">
        <v>1</v>
      </c>
      <c r="K102" s="3">
        <v>2</v>
      </c>
      <c r="L102" s="3" t="s">
        <v>48</v>
      </c>
      <c r="M102" s="3">
        <v>12</v>
      </c>
      <c r="N102" s="3" t="s">
        <v>49</v>
      </c>
      <c r="O102" s="1">
        <v>1</v>
      </c>
      <c r="P102" s="1">
        <v>0</v>
      </c>
      <c r="Q102" s="1">
        <v>0</v>
      </c>
      <c r="R102" s="1">
        <v>1</v>
      </c>
      <c r="S102" s="1">
        <v>1</v>
      </c>
      <c r="T102" s="1">
        <v>0</v>
      </c>
      <c r="U102" s="1">
        <v>0</v>
      </c>
      <c r="V102" s="1">
        <v>1</v>
      </c>
      <c r="W102" s="1">
        <v>0</v>
      </c>
      <c r="X102" s="1">
        <v>0</v>
      </c>
      <c r="Y102" s="1">
        <v>0</v>
      </c>
      <c r="Z102" s="1">
        <v>0</v>
      </c>
      <c r="AA102" s="1">
        <v>0</v>
      </c>
      <c r="AB102" s="3">
        <f t="shared" si="1"/>
        <v>0.30769230769230771</v>
      </c>
      <c r="AC102" s="4">
        <f>VLOOKUP(B102,'[1]INV 02-02-23'!$A$1:$L$8464,6,FALSE)</f>
        <v>1978</v>
      </c>
    </row>
    <row r="103" spans="1:29" x14ac:dyDescent="0.25">
      <c r="A103" s="1" t="s">
        <v>378</v>
      </c>
      <c r="B103" s="1" t="s">
        <v>229</v>
      </c>
      <c r="C103" s="1">
        <v>6</v>
      </c>
      <c r="D103" s="5" t="s">
        <v>230</v>
      </c>
      <c r="E103" s="5">
        <v>3</v>
      </c>
      <c r="F103" s="1">
        <v>1</v>
      </c>
      <c r="G103" s="1">
        <f>(P103+Q103+R103+S103+T103)/60</f>
        <v>0.05</v>
      </c>
      <c r="H103" s="3">
        <v>6</v>
      </c>
      <c r="I103" s="5">
        <v>1</v>
      </c>
      <c r="J103" s="3">
        <v>2</v>
      </c>
      <c r="K103" s="3">
        <v>3</v>
      </c>
      <c r="L103" s="3" t="s">
        <v>29</v>
      </c>
      <c r="M103" s="3">
        <v>12</v>
      </c>
      <c r="N103" s="3" t="s">
        <v>30</v>
      </c>
      <c r="O103" s="1">
        <v>2</v>
      </c>
      <c r="P103" s="1">
        <v>1</v>
      </c>
      <c r="Q103" s="1">
        <v>0</v>
      </c>
      <c r="R103" s="1">
        <v>2</v>
      </c>
      <c r="S103" s="1">
        <v>0</v>
      </c>
      <c r="T103" s="1">
        <v>0</v>
      </c>
      <c r="U103" s="1">
        <v>0</v>
      </c>
      <c r="V103" s="1">
        <v>1</v>
      </c>
      <c r="W103" s="1">
        <v>0</v>
      </c>
      <c r="X103" s="1"/>
      <c r="Y103" s="1"/>
      <c r="Z103" s="1"/>
      <c r="AA103" s="1"/>
      <c r="AB103" s="3">
        <f t="shared" si="1"/>
        <v>0.66666666666666663</v>
      </c>
      <c r="AC103" s="4">
        <f>VLOOKUP(B103,'[1]INV 02-02-23'!$A$1:$L$8464,6,FALSE)</f>
        <v>7694.75</v>
      </c>
    </row>
    <row r="104" spans="1:29" x14ac:dyDescent="0.25">
      <c r="A104" s="1" t="s">
        <v>379</v>
      </c>
      <c r="B104" s="1" t="s">
        <v>231</v>
      </c>
      <c r="C104" s="1">
        <v>6</v>
      </c>
      <c r="D104" s="5" t="s">
        <v>232</v>
      </c>
      <c r="E104" s="5">
        <v>3</v>
      </c>
      <c r="F104" s="1">
        <v>1</v>
      </c>
      <c r="G104" s="1">
        <f>(P104+Q104+R104+S104+T104)/60</f>
        <v>8.3333333333333329E-2</v>
      </c>
      <c r="H104" s="3">
        <v>9</v>
      </c>
      <c r="I104" s="5">
        <v>1</v>
      </c>
      <c r="J104" s="3">
        <v>2</v>
      </c>
      <c r="K104" s="3">
        <v>3</v>
      </c>
      <c r="L104" s="3" t="s">
        <v>29</v>
      </c>
      <c r="M104" s="3">
        <v>12</v>
      </c>
      <c r="N104" s="3" t="s">
        <v>30</v>
      </c>
      <c r="O104" s="1">
        <v>3</v>
      </c>
      <c r="P104" s="1">
        <v>0</v>
      </c>
      <c r="Q104" s="1">
        <v>1</v>
      </c>
      <c r="R104" s="1">
        <v>3</v>
      </c>
      <c r="S104" s="1">
        <v>0</v>
      </c>
      <c r="T104" s="1">
        <v>1</v>
      </c>
      <c r="U104" s="1">
        <v>0</v>
      </c>
      <c r="V104" s="1">
        <v>1</v>
      </c>
      <c r="W104" s="1">
        <v>0</v>
      </c>
      <c r="X104" s="1">
        <v>0</v>
      </c>
      <c r="Y104" s="1">
        <v>0</v>
      </c>
      <c r="Z104" s="1">
        <v>0</v>
      </c>
      <c r="AA104" s="1">
        <v>0</v>
      </c>
      <c r="AB104" s="3">
        <f t="shared" si="1"/>
        <v>0.69230769230769229</v>
      </c>
      <c r="AC104" s="4">
        <f>VLOOKUP(B104,'[1]INV 02-02-23'!$A$1:$L$8464,6,FALSE)</f>
        <v>3260</v>
      </c>
    </row>
    <row r="105" spans="1:29" x14ac:dyDescent="0.25">
      <c r="A105" s="1" t="s">
        <v>380</v>
      </c>
      <c r="B105" s="1" t="s">
        <v>233</v>
      </c>
      <c r="C105" s="1">
        <v>6</v>
      </c>
      <c r="D105" s="5" t="s">
        <v>234</v>
      </c>
      <c r="E105" s="5">
        <v>1</v>
      </c>
      <c r="F105" s="1">
        <v>1</v>
      </c>
      <c r="G105" s="1">
        <f>(P105+Q105+R105+S105+T105)/60</f>
        <v>0.05</v>
      </c>
      <c r="H105" s="3">
        <v>2</v>
      </c>
      <c r="I105" s="5">
        <v>1</v>
      </c>
      <c r="J105" s="3">
        <v>1</v>
      </c>
      <c r="K105" s="3">
        <v>2</v>
      </c>
      <c r="L105" s="3" t="s">
        <v>29</v>
      </c>
      <c r="M105" s="3">
        <v>12</v>
      </c>
      <c r="N105" s="3" t="s">
        <v>30</v>
      </c>
      <c r="O105" s="1">
        <v>2</v>
      </c>
      <c r="P105" s="1">
        <v>1</v>
      </c>
      <c r="Q105" s="1">
        <v>0</v>
      </c>
      <c r="R105" s="1">
        <v>1</v>
      </c>
      <c r="S105" s="1">
        <v>1</v>
      </c>
      <c r="T105" s="1">
        <v>0</v>
      </c>
      <c r="U105" s="1">
        <v>0</v>
      </c>
      <c r="V105" s="1">
        <v>0</v>
      </c>
      <c r="W105" s="1">
        <v>0</v>
      </c>
      <c r="X105" s="1"/>
      <c r="Y105" s="1"/>
      <c r="Z105" s="1"/>
      <c r="AA105" s="1"/>
      <c r="AB105" s="3">
        <f t="shared" si="1"/>
        <v>0.55555555555555558</v>
      </c>
      <c r="AC105" s="4">
        <f>VLOOKUP(B105,'[1]INV 02-02-23'!$A$1:$L$8464,6,FALSE)</f>
        <v>6519</v>
      </c>
    </row>
    <row r="106" spans="1:29" x14ac:dyDescent="0.25">
      <c r="A106" s="1" t="s">
        <v>381</v>
      </c>
      <c r="B106" s="1" t="s">
        <v>235</v>
      </c>
      <c r="C106" s="1">
        <v>6</v>
      </c>
      <c r="D106" s="5" t="s">
        <v>236</v>
      </c>
      <c r="E106" s="5">
        <v>2</v>
      </c>
      <c r="F106" s="1">
        <v>1</v>
      </c>
      <c r="G106" s="1">
        <f>(P106+Q106+R106+S106+T106)/60</f>
        <v>3.3333333333333333E-2</v>
      </c>
      <c r="H106" s="3">
        <v>4</v>
      </c>
      <c r="I106" s="5">
        <v>1</v>
      </c>
      <c r="J106" s="3">
        <f>+G106*10+I106</f>
        <v>1.3333333333333333</v>
      </c>
      <c r="K106" s="3">
        <v>2</v>
      </c>
      <c r="L106" s="3" t="s">
        <v>29</v>
      </c>
      <c r="M106" s="3">
        <v>12</v>
      </c>
      <c r="N106" s="3" t="s">
        <v>30</v>
      </c>
      <c r="O106" s="1">
        <v>1</v>
      </c>
      <c r="P106" s="1">
        <v>0</v>
      </c>
      <c r="Q106" s="1">
        <v>1</v>
      </c>
      <c r="R106" s="1">
        <v>0</v>
      </c>
      <c r="S106" s="1">
        <v>0</v>
      </c>
      <c r="T106" s="1">
        <v>1</v>
      </c>
      <c r="U106" s="1">
        <v>0</v>
      </c>
      <c r="V106" s="1">
        <v>0</v>
      </c>
      <c r="W106" s="1">
        <v>0</v>
      </c>
      <c r="X106" s="1">
        <v>0</v>
      </c>
      <c r="Y106" s="1">
        <v>0</v>
      </c>
      <c r="Z106" s="1">
        <v>0</v>
      </c>
      <c r="AA106" s="1">
        <v>0</v>
      </c>
      <c r="AB106" s="3">
        <f t="shared" si="1"/>
        <v>0.23076923076923078</v>
      </c>
      <c r="AC106" s="4">
        <v>6000</v>
      </c>
    </row>
    <row r="107" spans="1:29" x14ac:dyDescent="0.25">
      <c r="A107" s="1" t="s">
        <v>382</v>
      </c>
      <c r="B107" s="1" t="s">
        <v>237</v>
      </c>
      <c r="C107" s="1">
        <v>6</v>
      </c>
      <c r="D107" s="5" t="s">
        <v>238</v>
      </c>
      <c r="E107" s="5">
        <v>3</v>
      </c>
      <c r="F107" s="1">
        <v>1</v>
      </c>
      <c r="G107" s="1">
        <f>(P107+Q107+R107+S107+T107)/60</f>
        <v>0</v>
      </c>
      <c r="H107" s="3">
        <v>6</v>
      </c>
      <c r="I107" s="5">
        <v>1</v>
      </c>
      <c r="J107" s="3">
        <v>2</v>
      </c>
      <c r="K107" s="3">
        <v>3</v>
      </c>
      <c r="L107" s="3" t="s">
        <v>29</v>
      </c>
      <c r="M107" s="3">
        <v>12</v>
      </c>
      <c r="N107" s="3" t="s">
        <v>30</v>
      </c>
      <c r="O107" s="1">
        <v>1</v>
      </c>
      <c r="P107" s="1">
        <v>0</v>
      </c>
      <c r="Q107" s="1">
        <v>0</v>
      </c>
      <c r="R107" s="1">
        <v>0</v>
      </c>
      <c r="S107" s="1">
        <v>0</v>
      </c>
      <c r="T107" s="1">
        <v>0</v>
      </c>
      <c r="U107" s="1">
        <v>0</v>
      </c>
      <c r="V107" s="1">
        <v>0</v>
      </c>
      <c r="W107" s="1">
        <v>0</v>
      </c>
      <c r="X107" s="1">
        <v>0</v>
      </c>
      <c r="Y107" s="1">
        <v>0</v>
      </c>
      <c r="Z107" s="1">
        <v>0</v>
      </c>
      <c r="AA107" s="1">
        <v>0</v>
      </c>
      <c r="AB107" s="3">
        <f t="shared" si="1"/>
        <v>7.6923076923076927E-2</v>
      </c>
      <c r="AC107" s="4">
        <v>5200</v>
      </c>
    </row>
    <row r="108" spans="1:29" x14ac:dyDescent="0.25">
      <c r="A108" s="1" t="s">
        <v>383</v>
      </c>
      <c r="B108" s="5" t="s">
        <v>239</v>
      </c>
      <c r="C108" s="1">
        <v>6</v>
      </c>
      <c r="D108" s="5" t="s">
        <v>240</v>
      </c>
      <c r="E108" s="5">
        <v>2</v>
      </c>
      <c r="F108" s="1">
        <v>1</v>
      </c>
      <c r="G108" s="1">
        <f>(P108+Q108+R108+S108+T108)/60</f>
        <v>3.3333333333333333E-2</v>
      </c>
      <c r="H108" s="3">
        <v>2</v>
      </c>
      <c r="I108" s="5">
        <v>1</v>
      </c>
      <c r="J108" s="3">
        <v>1</v>
      </c>
      <c r="K108" s="3">
        <v>2</v>
      </c>
      <c r="L108" s="3" t="s">
        <v>29</v>
      </c>
      <c r="M108" s="3">
        <v>12</v>
      </c>
      <c r="N108" s="3" t="s">
        <v>30</v>
      </c>
      <c r="O108" s="1">
        <v>1</v>
      </c>
      <c r="P108" s="1">
        <v>0</v>
      </c>
      <c r="Q108" s="1">
        <v>1</v>
      </c>
      <c r="R108" s="1">
        <v>0</v>
      </c>
      <c r="S108" s="1">
        <v>0</v>
      </c>
      <c r="T108" s="1">
        <v>1</v>
      </c>
      <c r="U108" s="1">
        <v>1</v>
      </c>
      <c r="V108" s="1">
        <v>1</v>
      </c>
      <c r="W108" s="1">
        <v>0</v>
      </c>
      <c r="X108" s="1">
        <v>0</v>
      </c>
      <c r="Y108" s="1">
        <v>0</v>
      </c>
      <c r="Z108" s="1">
        <v>0</v>
      </c>
      <c r="AA108" s="1">
        <v>0</v>
      </c>
      <c r="AB108" s="3">
        <f t="shared" si="1"/>
        <v>0.38461538461538464</v>
      </c>
      <c r="AC108" s="4">
        <v>7000</v>
      </c>
    </row>
    <row r="109" spans="1:29" x14ac:dyDescent="0.25">
      <c r="A109" s="1" t="s">
        <v>384</v>
      </c>
      <c r="B109" s="5" t="s">
        <v>241</v>
      </c>
      <c r="C109" s="1">
        <v>6</v>
      </c>
      <c r="D109" s="5" t="s">
        <v>242</v>
      </c>
      <c r="E109" s="5">
        <v>2</v>
      </c>
      <c r="F109" s="1">
        <v>1</v>
      </c>
      <c r="G109" s="1">
        <f>(P109+Q109+R109+S109+T109)/60</f>
        <v>0.05</v>
      </c>
      <c r="H109" s="3">
        <v>4</v>
      </c>
      <c r="I109" s="5">
        <v>1</v>
      </c>
      <c r="J109" s="3">
        <v>1</v>
      </c>
      <c r="K109" s="3">
        <v>2</v>
      </c>
      <c r="L109" s="3" t="s">
        <v>48</v>
      </c>
      <c r="M109" s="3">
        <v>12</v>
      </c>
      <c r="N109" s="3" t="s">
        <v>49</v>
      </c>
      <c r="O109" s="1">
        <v>1</v>
      </c>
      <c r="P109" s="1">
        <v>1</v>
      </c>
      <c r="Q109" s="1">
        <v>0</v>
      </c>
      <c r="R109" s="1">
        <v>1</v>
      </c>
      <c r="S109" s="1">
        <v>1</v>
      </c>
      <c r="T109" s="1">
        <v>0</v>
      </c>
      <c r="U109" s="1">
        <v>1</v>
      </c>
      <c r="V109" s="1">
        <v>0</v>
      </c>
      <c r="W109" s="1">
        <v>0</v>
      </c>
      <c r="X109" s="1">
        <v>0</v>
      </c>
      <c r="Y109" s="1">
        <v>0</v>
      </c>
      <c r="Z109" s="1">
        <v>0</v>
      </c>
      <c r="AA109" s="1">
        <v>0</v>
      </c>
      <c r="AB109" s="3">
        <f t="shared" si="1"/>
        <v>0.38461538461538464</v>
      </c>
      <c r="AC109" s="4">
        <v>1500</v>
      </c>
    </row>
    <row r="110" spans="1:29" x14ac:dyDescent="0.25">
      <c r="A110" s="1" t="s">
        <v>385</v>
      </c>
      <c r="B110" s="5" t="s">
        <v>243</v>
      </c>
      <c r="C110" s="1">
        <v>6</v>
      </c>
      <c r="D110" s="5" t="s">
        <v>244</v>
      </c>
      <c r="E110" s="5">
        <v>2</v>
      </c>
      <c r="F110" s="1">
        <v>1</v>
      </c>
      <c r="G110" s="1">
        <f>(P110+Q110+R110+S110+T110)/60</f>
        <v>0.05</v>
      </c>
      <c r="H110" s="3">
        <v>4</v>
      </c>
      <c r="I110" s="5">
        <v>1</v>
      </c>
      <c r="J110" s="3">
        <v>1</v>
      </c>
      <c r="K110" s="3">
        <v>2</v>
      </c>
      <c r="L110" s="3" t="s">
        <v>48</v>
      </c>
      <c r="M110" s="3">
        <v>12</v>
      </c>
      <c r="N110" s="3" t="s">
        <v>49</v>
      </c>
      <c r="O110" s="1">
        <v>1</v>
      </c>
      <c r="P110" s="1">
        <v>0</v>
      </c>
      <c r="Q110" s="1">
        <v>1</v>
      </c>
      <c r="R110" s="1">
        <v>0</v>
      </c>
      <c r="S110" s="1">
        <v>1</v>
      </c>
      <c r="T110" s="1">
        <v>1</v>
      </c>
      <c r="U110" s="1">
        <v>0</v>
      </c>
      <c r="V110" s="1">
        <v>0</v>
      </c>
      <c r="W110" s="1">
        <v>0</v>
      </c>
      <c r="X110" s="1">
        <v>1</v>
      </c>
      <c r="Y110" s="1">
        <v>0</v>
      </c>
      <c r="Z110" s="1">
        <v>0</v>
      </c>
      <c r="AA110" s="1">
        <v>0</v>
      </c>
      <c r="AB110" s="3">
        <f t="shared" si="1"/>
        <v>0.38461538461538464</v>
      </c>
      <c r="AC110" s="4">
        <v>2500</v>
      </c>
    </row>
    <row r="111" spans="1:29" x14ac:dyDescent="0.25">
      <c r="A111" s="1" t="s">
        <v>386</v>
      </c>
      <c r="B111" s="1" t="s">
        <v>245</v>
      </c>
      <c r="C111" s="1">
        <v>6</v>
      </c>
      <c r="D111" s="3" t="s">
        <v>246</v>
      </c>
      <c r="E111" s="1">
        <v>1</v>
      </c>
      <c r="F111" s="1">
        <v>1</v>
      </c>
      <c r="G111" s="1">
        <f>(P111+Q111+R111+S111+T111)/60</f>
        <v>1.6666666666666666E-2</v>
      </c>
      <c r="H111" s="3">
        <f>G111*36*1.2</f>
        <v>0.72</v>
      </c>
      <c r="I111" s="3">
        <v>1</v>
      </c>
      <c r="J111" s="3">
        <v>1</v>
      </c>
      <c r="K111" s="3">
        <v>1</v>
      </c>
      <c r="L111" s="3" t="s">
        <v>29</v>
      </c>
      <c r="M111" s="3">
        <v>12</v>
      </c>
      <c r="N111" s="3" t="s">
        <v>30</v>
      </c>
      <c r="O111" s="1">
        <v>1</v>
      </c>
      <c r="P111" s="1">
        <v>1</v>
      </c>
      <c r="Q111" s="1">
        <v>0</v>
      </c>
      <c r="R111" s="1">
        <v>0</v>
      </c>
      <c r="S111" s="1">
        <v>0</v>
      </c>
      <c r="T111" s="1">
        <v>0</v>
      </c>
      <c r="U111" s="1">
        <v>0</v>
      </c>
      <c r="V111" s="1">
        <v>0</v>
      </c>
      <c r="W111" s="1">
        <v>0</v>
      </c>
      <c r="X111" s="1">
        <v>0</v>
      </c>
      <c r="Y111" s="1">
        <v>0</v>
      </c>
      <c r="Z111" s="1">
        <v>1</v>
      </c>
      <c r="AA111" s="1">
        <v>0</v>
      </c>
      <c r="AB111" s="3">
        <f t="shared" si="1"/>
        <v>0.23076923076923078</v>
      </c>
      <c r="AC111" s="4">
        <f>VLOOKUP(B111,'[1]INV 02-02-23'!$A$1:$L$8464,6,FALSE)</f>
        <v>51600</v>
      </c>
    </row>
    <row r="112" spans="1:29" x14ac:dyDescent="0.25">
      <c r="A112" s="1" t="s">
        <v>387</v>
      </c>
      <c r="B112" s="1" t="s">
        <v>247</v>
      </c>
      <c r="C112" s="1">
        <v>6</v>
      </c>
      <c r="D112" s="3" t="s">
        <v>248</v>
      </c>
      <c r="E112" s="1">
        <v>1</v>
      </c>
      <c r="F112" s="1">
        <v>1</v>
      </c>
      <c r="G112" s="1">
        <f>(P112+Q112+R112+S112+T112)/60</f>
        <v>1.6666666666666666E-2</v>
      </c>
      <c r="H112" s="3">
        <f>G112*36*1.2</f>
        <v>0.72</v>
      </c>
      <c r="I112" s="3">
        <v>1</v>
      </c>
      <c r="J112" s="3">
        <v>1</v>
      </c>
      <c r="K112" s="3">
        <v>1</v>
      </c>
      <c r="L112" s="3" t="s">
        <v>29</v>
      </c>
      <c r="M112" s="3">
        <v>12</v>
      </c>
      <c r="N112" s="3" t="s">
        <v>30</v>
      </c>
      <c r="O112" s="1">
        <v>1</v>
      </c>
      <c r="P112" s="1">
        <v>0</v>
      </c>
      <c r="Q112" s="1">
        <v>1</v>
      </c>
      <c r="R112" s="1">
        <v>0</v>
      </c>
      <c r="S112" s="1">
        <v>0</v>
      </c>
      <c r="T112" s="1">
        <v>0</v>
      </c>
      <c r="U112" s="1">
        <v>1</v>
      </c>
      <c r="V112" s="1">
        <v>0</v>
      </c>
      <c r="W112" s="1">
        <v>0</v>
      </c>
      <c r="X112" s="1">
        <v>0</v>
      </c>
      <c r="Y112" s="1">
        <v>1</v>
      </c>
      <c r="Z112" s="1">
        <v>0</v>
      </c>
      <c r="AA112" s="1">
        <v>0</v>
      </c>
      <c r="AB112" s="3">
        <f t="shared" si="1"/>
        <v>0.30769230769230771</v>
      </c>
      <c r="AC112" s="4">
        <f>VLOOKUP(B112,'[1]INV 02-02-23'!$A$1:$L$8464,6,FALSE)</f>
        <v>195300.54</v>
      </c>
    </row>
    <row r="113" spans="1:29" ht="25.5" x14ac:dyDescent="0.25">
      <c r="A113" s="1" t="s">
        <v>388</v>
      </c>
      <c r="B113" s="1" t="s">
        <v>249</v>
      </c>
      <c r="C113" s="1">
        <v>9</v>
      </c>
      <c r="D113" s="3" t="s">
        <v>250</v>
      </c>
      <c r="E113" s="1">
        <v>2</v>
      </c>
      <c r="F113" s="1">
        <v>2</v>
      </c>
      <c r="G113" s="1">
        <f>(P113+Q113+R113+S113+T113)/60</f>
        <v>3.3333333333333333E-2</v>
      </c>
      <c r="H113" s="3">
        <v>2</v>
      </c>
      <c r="I113" s="3">
        <v>2</v>
      </c>
      <c r="J113" s="3">
        <v>2</v>
      </c>
      <c r="K113" s="3">
        <v>4</v>
      </c>
      <c r="L113" s="3" t="s">
        <v>29</v>
      </c>
      <c r="M113" s="3">
        <v>12</v>
      </c>
      <c r="N113" s="3" t="s">
        <v>30</v>
      </c>
      <c r="O113" s="1">
        <v>2</v>
      </c>
      <c r="P113" s="1">
        <v>1</v>
      </c>
      <c r="Q113" s="1">
        <v>0</v>
      </c>
      <c r="R113" s="1">
        <v>1</v>
      </c>
      <c r="S113" s="1">
        <v>0</v>
      </c>
      <c r="T113" s="1">
        <v>0</v>
      </c>
      <c r="U113" s="1">
        <v>2</v>
      </c>
      <c r="V113" s="1">
        <v>0</v>
      </c>
      <c r="W113" s="1">
        <v>0</v>
      </c>
      <c r="X113" s="1">
        <v>0</v>
      </c>
      <c r="Y113" s="1">
        <v>0</v>
      </c>
      <c r="Z113" s="1">
        <v>1</v>
      </c>
      <c r="AA113" s="1">
        <v>0</v>
      </c>
      <c r="AB113" s="3">
        <f t="shared" si="1"/>
        <v>0.53846153846153844</v>
      </c>
      <c r="AC113" s="4">
        <f>VLOOKUP(B113,'[1]INV 02-02-23'!$A$1:$L$8464,6,FALSE)</f>
        <v>44758.720000000001</v>
      </c>
    </row>
    <row r="114" spans="1:29" ht="25.5" x14ac:dyDescent="0.25">
      <c r="A114" s="1" t="s">
        <v>389</v>
      </c>
      <c r="B114" s="1" t="s">
        <v>251</v>
      </c>
      <c r="C114" s="1">
        <v>9</v>
      </c>
      <c r="D114" s="3" t="s">
        <v>252</v>
      </c>
      <c r="E114" s="1">
        <v>2</v>
      </c>
      <c r="F114" s="1">
        <v>2</v>
      </c>
      <c r="G114" s="1">
        <f>(P114+Q114+R114+S114+T114)/60</f>
        <v>1.6666666666666666E-2</v>
      </c>
      <c r="H114" s="3">
        <v>2</v>
      </c>
      <c r="I114" s="3">
        <v>2</v>
      </c>
      <c r="J114" s="3">
        <v>2</v>
      </c>
      <c r="K114" s="3">
        <v>4</v>
      </c>
      <c r="L114" s="3" t="s">
        <v>29</v>
      </c>
      <c r="M114" s="3">
        <v>12</v>
      </c>
      <c r="N114" s="3" t="s">
        <v>30</v>
      </c>
      <c r="O114" s="1">
        <v>1</v>
      </c>
      <c r="P114" s="1">
        <v>0</v>
      </c>
      <c r="Q114" s="1">
        <v>0</v>
      </c>
      <c r="R114" s="1">
        <v>0</v>
      </c>
      <c r="S114" s="1">
        <v>1</v>
      </c>
      <c r="T114" s="1">
        <v>0</v>
      </c>
      <c r="U114" s="1">
        <v>2</v>
      </c>
      <c r="V114" s="1">
        <v>0</v>
      </c>
      <c r="W114" s="1">
        <v>1</v>
      </c>
      <c r="X114" s="1">
        <v>0</v>
      </c>
      <c r="Y114" s="1">
        <v>0</v>
      </c>
      <c r="Z114" s="1">
        <v>0</v>
      </c>
      <c r="AA114" s="1">
        <v>0</v>
      </c>
      <c r="AB114" s="3">
        <f t="shared" si="1"/>
        <v>0.38461538461538464</v>
      </c>
      <c r="AC114" s="4">
        <f>VLOOKUP(B114,'[1]INV 02-02-23'!$A$1:$L$8464,6,FALSE)</f>
        <v>65863.27</v>
      </c>
    </row>
    <row r="115" spans="1:29" x14ac:dyDescent="0.25">
      <c r="A115" s="1" t="s">
        <v>390</v>
      </c>
      <c r="B115" s="5" t="s">
        <v>253</v>
      </c>
      <c r="C115" s="1">
        <v>6</v>
      </c>
      <c r="D115" s="3" t="s">
        <v>254</v>
      </c>
      <c r="E115" s="5">
        <v>3</v>
      </c>
      <c r="F115" s="1">
        <v>1</v>
      </c>
      <c r="G115" s="1">
        <f>(P115+Q115+R115+S115+T115)/60</f>
        <v>1.6666666666666666E-2</v>
      </c>
      <c r="H115" s="3">
        <v>4</v>
      </c>
      <c r="I115" s="3">
        <v>1</v>
      </c>
      <c r="J115" s="3">
        <v>2</v>
      </c>
      <c r="K115" s="3">
        <v>3</v>
      </c>
      <c r="L115" s="3" t="s">
        <v>29</v>
      </c>
      <c r="M115" s="3">
        <v>8</v>
      </c>
      <c r="N115" s="3" t="s">
        <v>30</v>
      </c>
      <c r="O115" s="1">
        <v>1</v>
      </c>
      <c r="P115" s="1">
        <v>0</v>
      </c>
      <c r="Q115" s="1">
        <v>0</v>
      </c>
      <c r="R115" s="1">
        <v>0</v>
      </c>
      <c r="S115" s="1">
        <v>0</v>
      </c>
      <c r="T115" s="1">
        <v>1</v>
      </c>
      <c r="U115" s="1">
        <v>0</v>
      </c>
      <c r="V115" s="1">
        <v>0</v>
      </c>
      <c r="W115" s="1">
        <v>0</v>
      </c>
      <c r="X115" s="1">
        <v>0</v>
      </c>
      <c r="Y115" s="1">
        <v>0</v>
      </c>
      <c r="Z115" s="1">
        <v>0</v>
      </c>
      <c r="AA115" s="1">
        <v>0</v>
      </c>
      <c r="AB115" s="3">
        <f t="shared" si="1"/>
        <v>0.15384615384615385</v>
      </c>
      <c r="AC115" s="4">
        <f>VLOOKUP(B115,'[1]INV 02-02-23'!$A$1:$L$8464,6,FALSE)</f>
        <v>1764</v>
      </c>
    </row>
    <row r="116" spans="1:29" x14ac:dyDescent="0.25">
      <c r="A116" s="1" t="s">
        <v>391</v>
      </c>
      <c r="B116" s="1" t="s">
        <v>255</v>
      </c>
      <c r="C116" s="1">
        <v>6</v>
      </c>
      <c r="D116" s="3" t="s">
        <v>256</v>
      </c>
      <c r="E116" s="1">
        <v>3</v>
      </c>
      <c r="F116" s="1">
        <v>1</v>
      </c>
      <c r="G116" s="1">
        <f>(P116+Q116+R116+S116+T116)/60</f>
        <v>0.05</v>
      </c>
      <c r="H116" s="3">
        <v>6</v>
      </c>
      <c r="I116" s="3">
        <v>1</v>
      </c>
      <c r="J116" s="3">
        <v>2</v>
      </c>
      <c r="K116" s="3">
        <v>4</v>
      </c>
      <c r="L116" s="3" t="s">
        <v>48</v>
      </c>
      <c r="M116" s="3">
        <v>8</v>
      </c>
      <c r="N116" s="3" t="s">
        <v>49</v>
      </c>
      <c r="O116" s="1">
        <v>2</v>
      </c>
      <c r="P116" s="1">
        <v>1</v>
      </c>
      <c r="Q116" s="1">
        <v>0</v>
      </c>
      <c r="R116" s="1">
        <v>1</v>
      </c>
      <c r="S116" s="1">
        <v>0</v>
      </c>
      <c r="T116" s="1">
        <v>1</v>
      </c>
      <c r="U116" s="1">
        <v>1</v>
      </c>
      <c r="V116" s="1">
        <v>0</v>
      </c>
      <c r="W116" s="1">
        <v>0</v>
      </c>
      <c r="X116" s="1">
        <v>1</v>
      </c>
      <c r="Y116" s="1">
        <v>0</v>
      </c>
      <c r="Z116" s="1">
        <v>1</v>
      </c>
      <c r="AA116" s="1">
        <v>0</v>
      </c>
      <c r="AB116" s="3">
        <f t="shared" si="1"/>
        <v>0.61538461538461542</v>
      </c>
      <c r="AC116" s="4">
        <f>VLOOKUP(B116,'[1]INV 02-02-23'!$A$1:$L$8464,6,FALSE)</f>
        <v>44750</v>
      </c>
    </row>
    <row r="117" spans="1:29" x14ac:dyDescent="0.25">
      <c r="A117" s="1" t="s">
        <v>392</v>
      </c>
      <c r="B117" s="1" t="s">
        <v>257</v>
      </c>
      <c r="C117" s="1">
        <v>9</v>
      </c>
      <c r="D117" s="3" t="s">
        <v>258</v>
      </c>
      <c r="E117" s="1">
        <v>6</v>
      </c>
      <c r="F117" s="1">
        <v>7</v>
      </c>
      <c r="G117" s="1">
        <f>(P117+Q117+R117+S117+T117)/60</f>
        <v>0.13333333333333333</v>
      </c>
      <c r="H117" s="3">
        <v>16</v>
      </c>
      <c r="I117" s="3">
        <v>2</v>
      </c>
      <c r="J117" s="3">
        <v>4</v>
      </c>
      <c r="K117" s="3">
        <v>8</v>
      </c>
      <c r="L117" s="3" t="s">
        <v>48</v>
      </c>
      <c r="M117" s="3">
        <v>8</v>
      </c>
      <c r="N117" s="3" t="s">
        <v>49</v>
      </c>
      <c r="O117" s="1">
        <v>1</v>
      </c>
      <c r="P117" s="1">
        <v>0</v>
      </c>
      <c r="Q117" s="1">
        <v>2</v>
      </c>
      <c r="R117" s="1">
        <v>2</v>
      </c>
      <c r="S117" s="1">
        <v>2</v>
      </c>
      <c r="T117" s="1">
        <v>2</v>
      </c>
      <c r="U117" s="1">
        <v>2</v>
      </c>
      <c r="V117" s="1">
        <v>0</v>
      </c>
      <c r="W117" s="1">
        <v>0</v>
      </c>
      <c r="X117" s="1">
        <v>8</v>
      </c>
      <c r="Y117" s="1">
        <v>0</v>
      </c>
      <c r="Z117" s="1">
        <v>1</v>
      </c>
      <c r="AA117" s="1">
        <v>2</v>
      </c>
      <c r="AB117" s="3">
        <f t="shared" si="1"/>
        <v>1.6923076923076923</v>
      </c>
      <c r="AC117" s="4">
        <f>VLOOKUP(B117,'[1]INV 02-02-23'!$A$1:$L$8464,6,FALSE)</f>
        <v>14400</v>
      </c>
    </row>
    <row r="118" spans="1:29" x14ac:dyDescent="0.25">
      <c r="A118" s="1" t="s">
        <v>393</v>
      </c>
      <c r="B118" s="1" t="s">
        <v>259</v>
      </c>
      <c r="C118" s="1">
        <v>6</v>
      </c>
      <c r="D118" s="3" t="s">
        <v>260</v>
      </c>
      <c r="E118" s="5">
        <v>6</v>
      </c>
      <c r="F118" s="1">
        <v>1</v>
      </c>
      <c r="G118" s="1">
        <f>(P118+Q118+R118+S118+T118)/60</f>
        <v>3.3333333333333333E-2</v>
      </c>
      <c r="H118" s="3">
        <v>12</v>
      </c>
      <c r="I118" s="3">
        <v>2</v>
      </c>
      <c r="J118" s="3">
        <v>3</v>
      </c>
      <c r="K118" s="3">
        <v>6</v>
      </c>
      <c r="L118" s="3" t="s">
        <v>48</v>
      </c>
      <c r="M118" s="3">
        <v>8</v>
      </c>
      <c r="N118" s="3" t="s">
        <v>49</v>
      </c>
      <c r="O118" s="1">
        <v>1</v>
      </c>
      <c r="P118" s="1">
        <v>0</v>
      </c>
      <c r="Q118" s="1">
        <v>0</v>
      </c>
      <c r="R118" s="1">
        <v>2</v>
      </c>
      <c r="S118" s="1">
        <v>0</v>
      </c>
      <c r="T118" s="1">
        <v>0</v>
      </c>
      <c r="U118" s="1">
        <v>2</v>
      </c>
      <c r="V118" s="1">
        <v>0</v>
      </c>
      <c r="W118" s="1">
        <v>0</v>
      </c>
      <c r="X118" s="1">
        <v>0</v>
      </c>
      <c r="Y118" s="1">
        <v>1</v>
      </c>
      <c r="Z118" s="1">
        <v>1</v>
      </c>
      <c r="AA118" s="1">
        <v>0</v>
      </c>
      <c r="AB118" s="3">
        <f t="shared" si="1"/>
        <v>0.53846153846153844</v>
      </c>
      <c r="AC118" s="4">
        <f>VLOOKUP(B118,'[1]INV 02-02-23'!$A$1:$L$8464,6,FALSE)</f>
        <v>32100</v>
      </c>
    </row>
    <row r="119" spans="1:29" x14ac:dyDescent="0.25">
      <c r="A119" s="1" t="s">
        <v>394</v>
      </c>
      <c r="B119" s="1" t="s">
        <v>261</v>
      </c>
      <c r="C119" s="1">
        <v>9</v>
      </c>
      <c r="D119" s="3" t="s">
        <v>262</v>
      </c>
      <c r="E119" s="5">
        <v>12</v>
      </c>
      <c r="F119" s="1">
        <v>14</v>
      </c>
      <c r="G119" s="1">
        <f>(P119+Q119+R119+S119+T119)/60</f>
        <v>0.28333333333333333</v>
      </c>
      <c r="H119" s="3">
        <v>20</v>
      </c>
      <c r="I119" s="3">
        <v>4</v>
      </c>
      <c r="J119" s="3">
        <v>8</v>
      </c>
      <c r="K119" s="3">
        <v>14</v>
      </c>
      <c r="L119" s="3" t="s">
        <v>48</v>
      </c>
      <c r="M119" s="3">
        <v>8</v>
      </c>
      <c r="N119" s="3" t="s">
        <v>49</v>
      </c>
      <c r="O119" s="1">
        <v>6</v>
      </c>
      <c r="P119" s="1">
        <v>1</v>
      </c>
      <c r="Q119" s="1">
        <v>6</v>
      </c>
      <c r="R119" s="1">
        <v>2</v>
      </c>
      <c r="S119" s="1">
        <v>4</v>
      </c>
      <c r="T119" s="1">
        <v>4</v>
      </c>
      <c r="U119" s="1">
        <v>1</v>
      </c>
      <c r="V119" s="1">
        <v>0</v>
      </c>
      <c r="W119" s="1">
        <v>0</v>
      </c>
      <c r="X119" s="1">
        <v>0</v>
      </c>
      <c r="Y119" s="1">
        <v>3</v>
      </c>
      <c r="Z119" s="1">
        <v>3</v>
      </c>
      <c r="AA119" s="1">
        <v>0</v>
      </c>
      <c r="AB119" s="3">
        <f t="shared" si="1"/>
        <v>2.3076923076923075</v>
      </c>
      <c r="AC119" s="4">
        <f>VLOOKUP(B119,'[1]INV 02-02-23'!$A$1:$L$8464,6,FALSE)</f>
        <v>14400</v>
      </c>
    </row>
    <row r="120" spans="1:29" x14ac:dyDescent="0.25">
      <c r="A120" s="1" t="s">
        <v>395</v>
      </c>
      <c r="B120" s="1" t="s">
        <v>263</v>
      </c>
      <c r="C120" s="1">
        <v>9</v>
      </c>
      <c r="D120" s="3" t="s">
        <v>264</v>
      </c>
      <c r="E120" s="5">
        <v>4</v>
      </c>
      <c r="F120" s="1">
        <v>4</v>
      </c>
      <c r="G120" s="1">
        <f>(P120+Q120+R120+S120+T120)/60</f>
        <v>8.3333333333333329E-2</v>
      </c>
      <c r="H120" s="3">
        <v>4</v>
      </c>
      <c r="I120" s="3">
        <v>2</v>
      </c>
      <c r="J120" s="3">
        <v>2</v>
      </c>
      <c r="K120" s="3">
        <v>4</v>
      </c>
      <c r="L120" s="3" t="s">
        <v>29</v>
      </c>
      <c r="M120" s="3">
        <v>8</v>
      </c>
      <c r="N120" s="3" t="s">
        <v>30</v>
      </c>
      <c r="O120" s="1">
        <v>1</v>
      </c>
      <c r="P120" s="1">
        <v>0</v>
      </c>
      <c r="Q120" s="1">
        <v>0</v>
      </c>
      <c r="R120" s="1">
        <v>2</v>
      </c>
      <c r="S120" s="1">
        <v>1</v>
      </c>
      <c r="T120" s="1">
        <v>2</v>
      </c>
      <c r="U120" s="1">
        <v>0</v>
      </c>
      <c r="V120" s="1">
        <v>2</v>
      </c>
      <c r="W120" s="1">
        <v>0</v>
      </c>
      <c r="X120" s="1">
        <v>0</v>
      </c>
      <c r="Y120" s="1">
        <v>0</v>
      </c>
      <c r="Z120" s="1">
        <v>0</v>
      </c>
      <c r="AA120" s="1">
        <v>0</v>
      </c>
      <c r="AB120" s="3">
        <f t="shared" si="1"/>
        <v>0.61538461538461542</v>
      </c>
      <c r="AC120" s="4">
        <f>VLOOKUP(B120,'[1]INV 02-02-23'!$A$1:$L$8464,6,FALSE)</f>
        <v>9020</v>
      </c>
    </row>
    <row r="121" spans="1:29" x14ac:dyDescent="0.25">
      <c r="A121" s="1" t="s">
        <v>396</v>
      </c>
      <c r="B121" s="1" t="s">
        <v>400</v>
      </c>
      <c r="C121" s="1">
        <v>6</v>
      </c>
      <c r="D121" s="3" t="s">
        <v>269</v>
      </c>
      <c r="E121" s="5">
        <v>1</v>
      </c>
      <c r="F121" s="1">
        <v>1</v>
      </c>
      <c r="G121" s="1">
        <f>(P121+Q121+R121+S121+T121)/60</f>
        <v>1.6666666666666666E-2</v>
      </c>
      <c r="H121" s="3">
        <v>1</v>
      </c>
      <c r="I121" s="1">
        <v>1</v>
      </c>
      <c r="J121" s="3">
        <f>+G121*10+I121</f>
        <v>1.1666666666666667</v>
      </c>
      <c r="K121" s="3">
        <v>2</v>
      </c>
      <c r="L121" s="3" t="s">
        <v>29</v>
      </c>
      <c r="M121" s="3">
        <v>8</v>
      </c>
      <c r="N121" s="3" t="s">
        <v>30</v>
      </c>
      <c r="O121" s="1">
        <v>1</v>
      </c>
      <c r="P121" s="1">
        <v>1</v>
      </c>
      <c r="Q121" s="1">
        <v>0</v>
      </c>
      <c r="R121" s="1">
        <v>0</v>
      </c>
      <c r="S121" s="1">
        <v>0</v>
      </c>
      <c r="T121" s="1">
        <v>0</v>
      </c>
      <c r="U121" s="1">
        <v>0</v>
      </c>
      <c r="V121" s="1">
        <v>0</v>
      </c>
      <c r="W121" s="1">
        <v>0</v>
      </c>
      <c r="X121" s="1">
        <v>0</v>
      </c>
      <c r="Y121" s="1">
        <v>0</v>
      </c>
      <c r="Z121" s="1">
        <v>0</v>
      </c>
      <c r="AA121" s="1">
        <v>0</v>
      </c>
      <c r="AB121" s="3">
        <f t="shared" si="1"/>
        <v>0.15384615384615385</v>
      </c>
      <c r="AC121" s="1"/>
    </row>
    <row r="122" spans="1:29" x14ac:dyDescent="0.25">
      <c r="A122" s="1" t="s">
        <v>397</v>
      </c>
      <c r="B122" s="1" t="s">
        <v>400</v>
      </c>
      <c r="C122" s="1">
        <v>6</v>
      </c>
      <c r="D122" s="3" t="s">
        <v>272</v>
      </c>
      <c r="E122" s="5">
        <v>2</v>
      </c>
      <c r="F122" s="1">
        <v>1</v>
      </c>
      <c r="G122" s="1">
        <f>(P122+Q122+R122+S122+T122)/60</f>
        <v>3.3333333333333333E-2</v>
      </c>
      <c r="H122" s="3">
        <v>2</v>
      </c>
      <c r="I122" s="1">
        <v>1</v>
      </c>
      <c r="J122" s="3">
        <v>1</v>
      </c>
      <c r="K122" s="3">
        <v>2</v>
      </c>
      <c r="L122" s="3" t="s">
        <v>29</v>
      </c>
      <c r="M122" s="3">
        <v>8</v>
      </c>
      <c r="N122" s="3" t="s">
        <v>30</v>
      </c>
      <c r="O122" s="1">
        <v>0</v>
      </c>
      <c r="P122" s="1">
        <v>1</v>
      </c>
      <c r="Q122" s="1">
        <v>0</v>
      </c>
      <c r="R122" s="1">
        <v>1</v>
      </c>
      <c r="S122" s="1">
        <v>0</v>
      </c>
      <c r="T122" s="1">
        <v>0</v>
      </c>
      <c r="U122" s="1">
        <v>0</v>
      </c>
      <c r="V122" s="1">
        <v>0</v>
      </c>
      <c r="W122" s="1">
        <v>0</v>
      </c>
      <c r="X122" s="1">
        <v>0</v>
      </c>
      <c r="Y122" s="1">
        <v>0</v>
      </c>
      <c r="Z122" s="1">
        <v>0</v>
      </c>
      <c r="AA122" s="1">
        <v>0</v>
      </c>
      <c r="AB122" s="3">
        <f t="shared" si="1"/>
        <v>0.15384615384615385</v>
      </c>
      <c r="AC122" s="1"/>
    </row>
    <row r="123" spans="1:29" x14ac:dyDescent="0.25">
      <c r="A123" s="1" t="s">
        <v>398</v>
      </c>
      <c r="B123" s="1" t="s">
        <v>400</v>
      </c>
      <c r="C123" s="1">
        <v>6</v>
      </c>
      <c r="D123" s="3" t="s">
        <v>273</v>
      </c>
      <c r="E123" s="5">
        <v>2</v>
      </c>
      <c r="F123" s="1">
        <v>1</v>
      </c>
      <c r="G123" s="1">
        <f>(P123+Q123+R123+S123+T123)/60</f>
        <v>1.6666666666666666E-2</v>
      </c>
      <c r="H123" s="3">
        <v>4</v>
      </c>
      <c r="I123" s="1">
        <v>1</v>
      </c>
      <c r="J123" s="3">
        <v>1</v>
      </c>
      <c r="K123" s="3">
        <v>2</v>
      </c>
      <c r="L123" s="3" t="s">
        <v>29</v>
      </c>
      <c r="M123" s="3">
        <v>8</v>
      </c>
      <c r="N123" s="3" t="s">
        <v>30</v>
      </c>
      <c r="O123" s="1">
        <v>0</v>
      </c>
      <c r="P123" s="1">
        <v>0</v>
      </c>
      <c r="Q123" s="1">
        <v>1</v>
      </c>
      <c r="R123" s="1">
        <v>0</v>
      </c>
      <c r="S123" s="1">
        <v>0</v>
      </c>
      <c r="T123" s="1">
        <v>0</v>
      </c>
      <c r="U123" s="1">
        <v>1</v>
      </c>
      <c r="V123" s="1">
        <v>0</v>
      </c>
      <c r="W123" s="1">
        <v>0</v>
      </c>
      <c r="X123" s="1">
        <v>0</v>
      </c>
      <c r="Y123" s="1">
        <v>0</v>
      </c>
      <c r="Z123" s="1">
        <v>0</v>
      </c>
      <c r="AA123" s="1">
        <v>0</v>
      </c>
      <c r="AB123" s="3">
        <f t="shared" si="1"/>
        <v>0.15384615384615385</v>
      </c>
      <c r="AC123" s="1"/>
    </row>
    <row r="124" spans="1:29" ht="38.25" x14ac:dyDescent="0.25">
      <c r="A124" s="1" t="s">
        <v>399</v>
      </c>
      <c r="B124" s="1" t="s">
        <v>400</v>
      </c>
      <c r="C124" s="1">
        <v>6</v>
      </c>
      <c r="D124" s="3" t="s">
        <v>274</v>
      </c>
      <c r="E124" s="5">
        <v>2</v>
      </c>
      <c r="F124" s="1">
        <v>1</v>
      </c>
      <c r="G124" s="1">
        <f>(P124+Q124+R124+S124+T124)/60</f>
        <v>0.05</v>
      </c>
      <c r="H124" s="3">
        <v>2</v>
      </c>
      <c r="I124" s="1">
        <v>1</v>
      </c>
      <c r="J124" s="3">
        <f>+G124*10+I124</f>
        <v>1.5</v>
      </c>
      <c r="K124" s="3">
        <v>2</v>
      </c>
      <c r="L124" s="3" t="s">
        <v>29</v>
      </c>
      <c r="M124" s="3">
        <v>12</v>
      </c>
      <c r="N124" s="3" t="s">
        <v>30</v>
      </c>
      <c r="O124" s="1">
        <v>0</v>
      </c>
      <c r="P124" s="1">
        <v>1</v>
      </c>
      <c r="Q124" s="1">
        <v>0</v>
      </c>
      <c r="R124" s="1">
        <v>1</v>
      </c>
      <c r="S124" s="1">
        <v>0</v>
      </c>
      <c r="T124" s="1">
        <v>1</v>
      </c>
      <c r="U124" s="1">
        <v>0</v>
      </c>
      <c r="V124" s="1">
        <v>0</v>
      </c>
      <c r="W124" s="1">
        <v>0</v>
      </c>
      <c r="X124" s="1">
        <v>0</v>
      </c>
      <c r="Y124" s="1">
        <v>0</v>
      </c>
      <c r="Z124" s="1">
        <v>0</v>
      </c>
      <c r="AA124" s="1">
        <v>0</v>
      </c>
      <c r="AB124" s="3">
        <f t="shared" si="1"/>
        <v>0.23076923076923078</v>
      </c>
      <c r="AC124" s="1"/>
    </row>
  </sheetData>
  <autoFilter ref="B1:AC124">
    <sortState ref="B2:AG124">
      <sortCondition ref="B1:B124"/>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Accouplement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2025-10-14T15:50:57Z</dcterms:modified>
</cp:coreProperties>
</file>